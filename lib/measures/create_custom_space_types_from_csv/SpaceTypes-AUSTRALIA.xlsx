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\OpenStudio_Measures_HEPLLC\lib\measures\create_custom_space_types_from_csv\"/>
    </mc:Choice>
  </mc:AlternateContent>
  <xr:revisionPtr revIDLastSave="0" documentId="13_ncr:1_{F3091606-A191-4406-B5EC-3815992DEB0C}" xr6:coauthVersionLast="47" xr6:coauthVersionMax="47" xr10:uidLastSave="{00000000-0000-0000-0000-000000000000}"/>
  <bookViews>
    <workbookView xWindow="-110" yWindow="-110" windowWidth="25820" windowHeight="16220" xr2:uid="{1831FF50-099F-4AF2-90CB-B3DDCDD5815A}"/>
  </bookViews>
  <sheets>
    <sheet name="Space Types" sheetId="1" r:id="rId1"/>
    <sheet name="ExportToCSV" sheetId="4" r:id="rId2"/>
    <sheet name="Schedules" sheetId="2" r:id="rId3"/>
  </sheets>
  <externalReferences>
    <externalReference r:id="rId4"/>
  </externalReferences>
  <definedNames>
    <definedName name="_CEUS">[1]CEUS!$A$3:$C$21</definedName>
    <definedName name="_xlnm._FilterDatabase" localSheetId="1" hidden="1">ExportToCSV!$A$1:$AO$1</definedName>
    <definedName name="_xlnm._FilterDatabase" localSheetId="2" hidden="1">Schedules!$A$3:$AF$3505</definedName>
    <definedName name="_xlnm._FilterDatabase" localSheetId="0" hidden="1">'Space Types'!$A$4:$CW$142</definedName>
    <definedName name="_Plugs">'[1]CBECS-2003'!$A$3:$U$75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3" i="4" s="1"/>
  <c r="C7" i="1"/>
  <c r="C8" i="1"/>
  <c r="C5" i="4" s="1"/>
  <c r="C9" i="1"/>
  <c r="C6" i="4" s="1"/>
  <c r="C10" i="1"/>
  <c r="C7" i="4" s="1"/>
  <c r="C11" i="1"/>
  <c r="C8" i="4" s="1"/>
  <c r="C12" i="1"/>
  <c r="C9" i="4" s="1"/>
  <c r="C13" i="1"/>
  <c r="C10" i="4" s="1"/>
  <c r="C14" i="1"/>
  <c r="C11" i="4" s="1"/>
  <c r="C15" i="1"/>
  <c r="C12" i="4" s="1"/>
  <c r="C16" i="1"/>
  <c r="C13" i="4" s="1"/>
  <c r="C17" i="1"/>
  <c r="C14" i="4" s="1"/>
  <c r="C18" i="1"/>
  <c r="C15" i="4" s="1"/>
  <c r="C19" i="1"/>
  <c r="C16" i="4" s="1"/>
  <c r="C20" i="1"/>
  <c r="C17" i="4" s="1"/>
  <c r="C21" i="1"/>
  <c r="C18" i="4" s="1"/>
  <c r="C22" i="1"/>
  <c r="C19" i="4" s="1"/>
  <c r="C23" i="1"/>
  <c r="C20" i="4" s="1"/>
  <c r="C24" i="1"/>
  <c r="C21" i="4" s="1"/>
  <c r="C25" i="1"/>
  <c r="C22" i="4" s="1"/>
  <c r="C26" i="1"/>
  <c r="C23" i="4" s="1"/>
  <c r="C27" i="1"/>
  <c r="C24" i="4" s="1"/>
  <c r="C28" i="1"/>
  <c r="C25" i="4" s="1"/>
  <c r="C29" i="1"/>
  <c r="C26" i="4" s="1"/>
  <c r="C30" i="1"/>
  <c r="C31" i="1"/>
  <c r="C28" i="4" s="1"/>
  <c r="C32" i="1"/>
  <c r="C29" i="4" s="1"/>
  <c r="C33" i="1"/>
  <c r="C30" i="4" s="1"/>
  <c r="C34" i="1"/>
  <c r="C31" i="4" s="1"/>
  <c r="C35" i="1"/>
  <c r="C32" i="4" s="1"/>
  <c r="C36" i="1"/>
  <c r="C33" i="4" s="1"/>
  <c r="C37" i="1"/>
  <c r="C34" i="4" s="1"/>
  <c r="C5" i="1"/>
  <c r="C2" i="4" s="1"/>
  <c r="D1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27" i="4"/>
  <c r="C4" i="4"/>
  <c r="C1" i="4"/>
  <c r="B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2" i="4"/>
  <c r="B6" i="1"/>
  <c r="B3" i="4" s="1"/>
  <c r="B7" i="1"/>
  <c r="B4" i="4" s="1"/>
  <c r="B8" i="1"/>
  <c r="B5" i="4" s="1"/>
  <c r="B9" i="1"/>
  <c r="B6" i="4" s="1"/>
  <c r="B10" i="1"/>
  <c r="B7" i="4" s="1"/>
  <c r="B11" i="1"/>
  <c r="B8" i="4" s="1"/>
  <c r="B12" i="1"/>
  <c r="B9" i="4" s="1"/>
  <c r="B13" i="1"/>
  <c r="B10" i="4" s="1"/>
  <c r="B14" i="1"/>
  <c r="B11" i="4" s="1"/>
  <c r="B15" i="1"/>
  <c r="B12" i="4" s="1"/>
  <c r="B16" i="1"/>
  <c r="B13" i="4" s="1"/>
  <c r="B17" i="1"/>
  <c r="B14" i="4" s="1"/>
  <c r="B18" i="1"/>
  <c r="B15" i="4" s="1"/>
  <c r="B19" i="1"/>
  <c r="B16" i="4" s="1"/>
  <c r="B20" i="1"/>
  <c r="B17" i="4" s="1"/>
  <c r="B21" i="1"/>
  <c r="B18" i="4" s="1"/>
  <c r="B22" i="1"/>
  <c r="B19" i="4" s="1"/>
  <c r="B23" i="1"/>
  <c r="B20" i="4" s="1"/>
  <c r="B24" i="1"/>
  <c r="B21" i="4" s="1"/>
  <c r="B25" i="1"/>
  <c r="B22" i="4" s="1"/>
  <c r="B26" i="1"/>
  <c r="B23" i="4" s="1"/>
  <c r="B27" i="1"/>
  <c r="B24" i="4" s="1"/>
  <c r="B28" i="1"/>
  <c r="B25" i="4" s="1"/>
  <c r="B29" i="1"/>
  <c r="B26" i="4" s="1"/>
  <c r="B30" i="1"/>
  <c r="B27" i="4" s="1"/>
  <c r="B31" i="1"/>
  <c r="B28" i="4" s="1"/>
  <c r="B32" i="1"/>
  <c r="B29" i="4" s="1"/>
  <c r="B33" i="1"/>
  <c r="B30" i="4" s="1"/>
  <c r="B34" i="1"/>
  <c r="B31" i="4" s="1"/>
  <c r="B35" i="1"/>
  <c r="B32" i="4" s="1"/>
  <c r="B36" i="1"/>
  <c r="B33" i="4" s="1"/>
  <c r="B37" i="1"/>
  <c r="B34" i="4" s="1"/>
  <c r="B38" i="1"/>
  <c r="B35" i="4" s="1"/>
  <c r="B39" i="1"/>
  <c r="B36" i="4" s="1"/>
  <c r="B40" i="1"/>
  <c r="B37" i="4" s="1"/>
  <c r="B41" i="1"/>
  <c r="B38" i="4" s="1"/>
  <c r="B42" i="1"/>
  <c r="B39" i="4" s="1"/>
  <c r="B43" i="1"/>
  <c r="B40" i="4" s="1"/>
  <c r="B44" i="1"/>
  <c r="B41" i="4" s="1"/>
  <c r="B45" i="1"/>
  <c r="B42" i="4" s="1"/>
  <c r="B46" i="1"/>
  <c r="B43" i="4" s="1"/>
  <c r="B47" i="1"/>
  <c r="B44" i="4" s="1"/>
  <c r="B48" i="1"/>
  <c r="B45" i="4" s="1"/>
  <c r="B49" i="1"/>
  <c r="B46" i="4" s="1"/>
  <c r="B50" i="1"/>
  <c r="B47" i="4" s="1"/>
  <c r="B51" i="1"/>
  <c r="B48" i="4" s="1"/>
  <c r="B52" i="1"/>
  <c r="B49" i="4" s="1"/>
  <c r="B53" i="1"/>
  <c r="B50" i="4" s="1"/>
  <c r="B54" i="1"/>
  <c r="B51" i="4" s="1"/>
  <c r="B55" i="1"/>
  <c r="B52" i="4" s="1"/>
  <c r="B56" i="1"/>
  <c r="B53" i="4" s="1"/>
  <c r="B57" i="1"/>
  <c r="B54" i="4" s="1"/>
  <c r="B58" i="1"/>
  <c r="B55" i="4" s="1"/>
  <c r="B59" i="1"/>
  <c r="B56" i="4" s="1"/>
  <c r="B60" i="1"/>
  <c r="B57" i="4" s="1"/>
  <c r="B61" i="1"/>
  <c r="B58" i="4" s="1"/>
  <c r="B62" i="1"/>
  <c r="B59" i="4" s="1"/>
  <c r="B63" i="1"/>
  <c r="B60" i="4" s="1"/>
  <c r="B64" i="1"/>
  <c r="B61" i="4" s="1"/>
  <c r="B65" i="1"/>
  <c r="B62" i="4" s="1"/>
  <c r="B66" i="1"/>
  <c r="B63" i="4" s="1"/>
  <c r="B67" i="1"/>
  <c r="B64" i="4" s="1"/>
  <c r="B68" i="1"/>
  <c r="B65" i="4" s="1"/>
  <c r="B69" i="1"/>
  <c r="B66" i="4" s="1"/>
  <c r="B70" i="1"/>
  <c r="B67" i="4" s="1"/>
  <c r="B71" i="1"/>
  <c r="B68" i="4" s="1"/>
  <c r="B72" i="1"/>
  <c r="B69" i="4" s="1"/>
  <c r="B73" i="1"/>
  <c r="B70" i="4" s="1"/>
  <c r="B74" i="1"/>
  <c r="B71" i="4" s="1"/>
  <c r="B75" i="1"/>
  <c r="B72" i="4" s="1"/>
  <c r="B76" i="1"/>
  <c r="B73" i="4" s="1"/>
  <c r="B77" i="1"/>
  <c r="B74" i="4" s="1"/>
  <c r="B78" i="1"/>
  <c r="B75" i="4" s="1"/>
  <c r="B79" i="1"/>
  <c r="B76" i="4" s="1"/>
  <c r="B80" i="1"/>
  <c r="B77" i="4" s="1"/>
  <c r="B81" i="1"/>
  <c r="B78" i="4" s="1"/>
  <c r="B82" i="1"/>
  <c r="B79" i="4" s="1"/>
  <c r="B83" i="1"/>
  <c r="B80" i="4" s="1"/>
  <c r="B84" i="1"/>
  <c r="B81" i="4" s="1"/>
  <c r="B85" i="1"/>
  <c r="B82" i="4" s="1"/>
  <c r="B86" i="1"/>
  <c r="B83" i="4" s="1"/>
  <c r="B87" i="1"/>
  <c r="B84" i="4" s="1"/>
  <c r="B88" i="1"/>
  <c r="B85" i="4" s="1"/>
  <c r="B89" i="1"/>
  <c r="B86" i="4" s="1"/>
  <c r="B90" i="1"/>
  <c r="B87" i="4" s="1"/>
  <c r="B91" i="1"/>
  <c r="B88" i="4" s="1"/>
  <c r="B92" i="1"/>
  <c r="B89" i="4" s="1"/>
  <c r="B93" i="1"/>
  <c r="B90" i="4" s="1"/>
  <c r="B94" i="1"/>
  <c r="B91" i="4" s="1"/>
  <c r="B95" i="1"/>
  <c r="B92" i="4" s="1"/>
  <c r="B96" i="1"/>
  <c r="B93" i="4" s="1"/>
  <c r="B97" i="1"/>
  <c r="B94" i="4" s="1"/>
  <c r="B98" i="1"/>
  <c r="B95" i="4" s="1"/>
  <c r="B99" i="1"/>
  <c r="B96" i="4" s="1"/>
  <c r="B100" i="1"/>
  <c r="B97" i="4" s="1"/>
  <c r="B101" i="1"/>
  <c r="B98" i="4" s="1"/>
  <c r="B102" i="1"/>
  <c r="B99" i="4" s="1"/>
  <c r="B103" i="1"/>
  <c r="B100" i="4" s="1"/>
  <c r="B104" i="1"/>
  <c r="B101" i="4" s="1"/>
  <c r="B105" i="1"/>
  <c r="B102" i="4" s="1"/>
  <c r="B106" i="1"/>
  <c r="B103" i="4" s="1"/>
  <c r="B107" i="1"/>
  <c r="B104" i="4" s="1"/>
  <c r="B108" i="1"/>
  <c r="B105" i="4" s="1"/>
  <c r="B109" i="1"/>
  <c r="B106" i="4" s="1"/>
  <c r="B110" i="1"/>
  <c r="B107" i="4" s="1"/>
  <c r="B111" i="1"/>
  <c r="B108" i="4" s="1"/>
  <c r="B112" i="1"/>
  <c r="B109" i="4" s="1"/>
  <c r="B113" i="1"/>
  <c r="B110" i="4" s="1"/>
  <c r="B114" i="1"/>
  <c r="B111" i="4" s="1"/>
  <c r="B115" i="1"/>
  <c r="B112" i="4" s="1"/>
  <c r="B116" i="1"/>
  <c r="B113" i="4" s="1"/>
  <c r="B117" i="1"/>
  <c r="B114" i="4" s="1"/>
  <c r="B118" i="1"/>
  <c r="B115" i="4" s="1"/>
  <c r="B119" i="1"/>
  <c r="B116" i="4" s="1"/>
  <c r="B120" i="1"/>
  <c r="B117" i="4" s="1"/>
  <c r="B121" i="1"/>
  <c r="B118" i="4" s="1"/>
  <c r="B122" i="1"/>
  <c r="B119" i="4" s="1"/>
  <c r="B123" i="1"/>
  <c r="B120" i="4" s="1"/>
  <c r="B124" i="1"/>
  <c r="B121" i="4" s="1"/>
  <c r="B125" i="1"/>
  <c r="B122" i="4" s="1"/>
  <c r="B126" i="1"/>
  <c r="B123" i="4" s="1"/>
  <c r="B127" i="1"/>
  <c r="B124" i="4" s="1"/>
  <c r="B128" i="1"/>
  <c r="B125" i="4" s="1"/>
  <c r="B129" i="1"/>
  <c r="B126" i="4" s="1"/>
  <c r="B130" i="1"/>
  <c r="B127" i="4" s="1"/>
  <c r="B131" i="1"/>
  <c r="B128" i="4" s="1"/>
  <c r="B132" i="1"/>
  <c r="B129" i="4" s="1"/>
  <c r="B133" i="1"/>
  <c r="B130" i="4" s="1"/>
  <c r="B134" i="1"/>
  <c r="B131" i="4" s="1"/>
  <c r="B135" i="1"/>
  <c r="B132" i="4" s="1"/>
  <c r="B136" i="1"/>
  <c r="B133" i="4" s="1"/>
  <c r="B137" i="1"/>
  <c r="B134" i="4" s="1"/>
  <c r="B138" i="1"/>
  <c r="B135" i="4" s="1"/>
  <c r="B139" i="1"/>
  <c r="B136" i="4" s="1"/>
  <c r="B140" i="1"/>
  <c r="B137" i="4" s="1"/>
  <c r="B141" i="1"/>
  <c r="B138" i="4" s="1"/>
  <c r="B5" i="1"/>
  <c r="B2" i="4" s="1"/>
  <c r="AI132" i="1"/>
  <c r="AI133" i="1"/>
  <c r="AI134" i="1"/>
  <c r="AI135" i="1"/>
  <c r="AI136" i="1"/>
  <c r="AI137" i="1"/>
  <c r="AI138" i="1"/>
  <c r="AI139" i="1"/>
  <c r="AI140" i="1"/>
  <c r="AI141" i="1"/>
  <c r="AI131" i="1"/>
  <c r="AI126" i="1"/>
  <c r="AI127" i="1"/>
  <c r="AI128" i="1"/>
  <c r="AI129" i="1"/>
  <c r="AI125" i="1"/>
  <c r="AI120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01" i="1"/>
  <c r="AI95" i="1"/>
  <c r="AI96" i="1"/>
  <c r="AI97" i="1"/>
  <c r="AI98" i="1"/>
  <c r="AI99" i="1"/>
  <c r="AI94" i="1"/>
  <c r="AI91" i="1"/>
  <c r="AI87" i="1"/>
  <c r="AI88" i="1"/>
  <c r="AI89" i="1"/>
  <c r="AI86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72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2" i="1"/>
  <c r="AI63" i="1"/>
  <c r="AI64" i="1"/>
  <c r="AI65" i="1"/>
  <c r="AI66" i="1"/>
  <c r="AI67" i="1"/>
  <c r="AI68" i="1"/>
  <c r="AI69" i="1"/>
  <c r="AI70" i="1"/>
  <c r="AI61" i="1"/>
  <c r="CV52" i="1"/>
  <c r="CW52" i="1" s="1"/>
  <c r="CV53" i="1"/>
  <c r="CW53" i="1" s="1"/>
  <c r="CV54" i="1"/>
  <c r="CW54" i="1" s="1"/>
  <c r="CV6" i="1" l="1"/>
  <c r="CW6" i="1" s="1"/>
  <c r="BB3" i="4" s="1"/>
  <c r="CV7" i="1"/>
  <c r="CW7" i="1" s="1"/>
  <c r="BB4" i="4" s="1"/>
  <c r="CV8" i="1"/>
  <c r="CW8" i="1" s="1"/>
  <c r="BB5" i="4" s="1"/>
  <c r="CV9" i="1"/>
  <c r="CW9" i="1" s="1"/>
  <c r="BB6" i="4" s="1"/>
  <c r="CV10" i="1"/>
  <c r="CW10" i="1" s="1"/>
  <c r="BB7" i="4" s="1"/>
  <c r="CV11" i="1"/>
  <c r="CW11" i="1" s="1"/>
  <c r="BB8" i="4" s="1"/>
  <c r="CV12" i="1"/>
  <c r="CW12" i="1" s="1"/>
  <c r="BB9" i="4" s="1"/>
  <c r="CV13" i="1"/>
  <c r="CW13" i="1" s="1"/>
  <c r="BB10" i="4" s="1"/>
  <c r="CV14" i="1"/>
  <c r="CW14" i="1" s="1"/>
  <c r="BB11" i="4" s="1"/>
  <c r="CV15" i="1"/>
  <c r="CW15" i="1" s="1"/>
  <c r="BB12" i="4" s="1"/>
  <c r="CV16" i="1"/>
  <c r="CW16" i="1" s="1"/>
  <c r="BB13" i="4" s="1"/>
  <c r="CV17" i="1"/>
  <c r="CW17" i="1" s="1"/>
  <c r="BB14" i="4" s="1"/>
  <c r="CV18" i="1"/>
  <c r="CW18" i="1" s="1"/>
  <c r="BB15" i="4" s="1"/>
  <c r="CV19" i="1"/>
  <c r="CW19" i="1" s="1"/>
  <c r="BB16" i="4" s="1"/>
  <c r="CV20" i="1"/>
  <c r="CW20" i="1" s="1"/>
  <c r="BB17" i="4" s="1"/>
  <c r="CV21" i="1"/>
  <c r="CW21" i="1" s="1"/>
  <c r="BB18" i="4" s="1"/>
  <c r="CV22" i="1"/>
  <c r="CW22" i="1" s="1"/>
  <c r="BB19" i="4" s="1"/>
  <c r="CV23" i="1"/>
  <c r="CW23" i="1" s="1"/>
  <c r="BB20" i="4" s="1"/>
  <c r="CV24" i="1"/>
  <c r="CW24" i="1" s="1"/>
  <c r="BB21" i="4" s="1"/>
  <c r="CV25" i="1"/>
  <c r="CW25" i="1" s="1"/>
  <c r="BB22" i="4" s="1"/>
  <c r="CV26" i="1"/>
  <c r="CW26" i="1" s="1"/>
  <c r="BB23" i="4" s="1"/>
  <c r="CV27" i="1"/>
  <c r="CW27" i="1" s="1"/>
  <c r="BB24" i="4" s="1"/>
  <c r="CV28" i="1"/>
  <c r="CW28" i="1" s="1"/>
  <c r="BB25" i="4" s="1"/>
  <c r="CV29" i="1"/>
  <c r="CW29" i="1" s="1"/>
  <c r="BB26" i="4" s="1"/>
  <c r="CV30" i="1"/>
  <c r="CW30" i="1" s="1"/>
  <c r="BB27" i="4" s="1"/>
  <c r="CV31" i="1"/>
  <c r="CW31" i="1" s="1"/>
  <c r="BB28" i="4" s="1"/>
  <c r="CV32" i="1"/>
  <c r="CW32" i="1" s="1"/>
  <c r="BB29" i="4" s="1"/>
  <c r="CV33" i="1"/>
  <c r="CW33" i="1" s="1"/>
  <c r="BB30" i="4" s="1"/>
  <c r="CV34" i="1"/>
  <c r="CW34" i="1" s="1"/>
  <c r="BB31" i="4" s="1"/>
  <c r="CV35" i="1"/>
  <c r="CW35" i="1" s="1"/>
  <c r="BB32" i="4" s="1"/>
  <c r="CV36" i="1"/>
  <c r="CW36" i="1" s="1"/>
  <c r="BB33" i="4" s="1"/>
  <c r="CV37" i="1"/>
  <c r="CW37" i="1" s="1"/>
  <c r="BB34" i="4" s="1"/>
  <c r="CV49" i="1"/>
  <c r="CW49" i="1" s="1"/>
  <c r="BB46" i="4" s="1"/>
  <c r="CV50" i="1"/>
  <c r="CW50" i="1" s="1"/>
  <c r="BB47" i="4" s="1"/>
  <c r="CV51" i="1"/>
  <c r="CW51" i="1" s="1"/>
  <c r="BB48" i="4" s="1"/>
  <c r="BB51" i="4"/>
  <c r="CV55" i="1"/>
  <c r="CW55" i="1" s="1"/>
  <c r="BB52" i="4" s="1"/>
  <c r="CV56" i="1"/>
  <c r="CW56" i="1" s="1"/>
  <c r="BB53" i="4" s="1"/>
  <c r="CV57" i="1"/>
  <c r="CW57" i="1" s="1"/>
  <c r="BB54" i="4" s="1"/>
  <c r="CV58" i="1"/>
  <c r="CW58" i="1" s="1"/>
  <c r="BB55" i="4" s="1"/>
  <c r="CV59" i="1"/>
  <c r="CW59" i="1" s="1"/>
  <c r="BB56" i="4" s="1"/>
  <c r="CV60" i="1"/>
  <c r="CW60" i="1" s="1"/>
  <c r="BB57" i="4" s="1"/>
  <c r="CV61" i="1"/>
  <c r="CW61" i="1" s="1"/>
  <c r="BB58" i="4" s="1"/>
  <c r="CV62" i="1"/>
  <c r="CW62" i="1" s="1"/>
  <c r="BB59" i="4" s="1"/>
  <c r="CV63" i="1"/>
  <c r="CW63" i="1" s="1"/>
  <c r="BB60" i="4" s="1"/>
  <c r="CV64" i="1"/>
  <c r="CW64" i="1" s="1"/>
  <c r="BB61" i="4" s="1"/>
  <c r="CV65" i="1"/>
  <c r="CW65" i="1" s="1"/>
  <c r="BB62" i="4" s="1"/>
  <c r="CV66" i="1"/>
  <c r="CW66" i="1" s="1"/>
  <c r="BB63" i="4" s="1"/>
  <c r="CV67" i="1"/>
  <c r="CW67" i="1" s="1"/>
  <c r="BB64" i="4" s="1"/>
  <c r="CV68" i="1"/>
  <c r="CW68" i="1" s="1"/>
  <c r="BB65" i="4" s="1"/>
  <c r="CV69" i="1"/>
  <c r="CW69" i="1" s="1"/>
  <c r="BB66" i="4" s="1"/>
  <c r="CV70" i="1"/>
  <c r="CW70" i="1" s="1"/>
  <c r="BB67" i="4" s="1"/>
  <c r="CV71" i="1"/>
  <c r="CW71" i="1" s="1"/>
  <c r="BB68" i="4" s="1"/>
  <c r="CV72" i="1"/>
  <c r="CW72" i="1" s="1"/>
  <c r="BB69" i="4" s="1"/>
  <c r="CV73" i="1"/>
  <c r="CW73" i="1" s="1"/>
  <c r="BB70" i="4" s="1"/>
  <c r="CV74" i="1"/>
  <c r="CW74" i="1" s="1"/>
  <c r="BB71" i="4" s="1"/>
  <c r="CV75" i="1"/>
  <c r="CW75" i="1" s="1"/>
  <c r="BB72" i="4" s="1"/>
  <c r="CV76" i="1"/>
  <c r="CW76" i="1" s="1"/>
  <c r="BB73" i="4" s="1"/>
  <c r="CV77" i="1"/>
  <c r="CW77" i="1" s="1"/>
  <c r="BB74" i="4" s="1"/>
  <c r="CV78" i="1"/>
  <c r="CW78" i="1" s="1"/>
  <c r="BB75" i="4" s="1"/>
  <c r="CV79" i="1"/>
  <c r="CW79" i="1" s="1"/>
  <c r="BB76" i="4" s="1"/>
  <c r="CV80" i="1"/>
  <c r="CW80" i="1" s="1"/>
  <c r="BB77" i="4" s="1"/>
  <c r="CV81" i="1"/>
  <c r="CW81" i="1" s="1"/>
  <c r="BB78" i="4" s="1"/>
  <c r="CV82" i="1"/>
  <c r="CW82" i="1" s="1"/>
  <c r="BB79" i="4" s="1"/>
  <c r="CV83" i="1"/>
  <c r="CW83" i="1" s="1"/>
  <c r="BB80" i="4" s="1"/>
  <c r="CV84" i="1"/>
  <c r="CW84" i="1" s="1"/>
  <c r="BB81" i="4" s="1"/>
  <c r="CV85" i="1"/>
  <c r="CW85" i="1" s="1"/>
  <c r="BB82" i="4" s="1"/>
  <c r="CV86" i="1"/>
  <c r="CW86" i="1" s="1"/>
  <c r="BB83" i="4" s="1"/>
  <c r="CV87" i="1"/>
  <c r="CW87" i="1" s="1"/>
  <c r="BB84" i="4" s="1"/>
  <c r="CV88" i="1"/>
  <c r="CW88" i="1" s="1"/>
  <c r="BB85" i="4" s="1"/>
  <c r="CV89" i="1"/>
  <c r="CW89" i="1" s="1"/>
  <c r="BB86" i="4" s="1"/>
  <c r="CV90" i="1"/>
  <c r="CW90" i="1" s="1"/>
  <c r="BB87" i="4" s="1"/>
  <c r="CV91" i="1"/>
  <c r="CW91" i="1" s="1"/>
  <c r="BB88" i="4" s="1"/>
  <c r="CV92" i="1"/>
  <c r="CW92" i="1" s="1"/>
  <c r="BB89" i="4" s="1"/>
  <c r="CV93" i="1"/>
  <c r="CW93" i="1" s="1"/>
  <c r="BB90" i="4" s="1"/>
  <c r="CV94" i="1"/>
  <c r="CW94" i="1" s="1"/>
  <c r="BB91" i="4" s="1"/>
  <c r="CV95" i="1"/>
  <c r="CW95" i="1" s="1"/>
  <c r="BB92" i="4" s="1"/>
  <c r="CV96" i="1"/>
  <c r="CW96" i="1" s="1"/>
  <c r="BB93" i="4" s="1"/>
  <c r="CV97" i="1"/>
  <c r="CW97" i="1" s="1"/>
  <c r="BB94" i="4" s="1"/>
  <c r="CV98" i="1"/>
  <c r="CW98" i="1" s="1"/>
  <c r="BB95" i="4" s="1"/>
  <c r="CV99" i="1"/>
  <c r="CW99" i="1" s="1"/>
  <c r="BB96" i="4" s="1"/>
  <c r="CV100" i="1"/>
  <c r="CW100" i="1" s="1"/>
  <c r="BB97" i="4" s="1"/>
  <c r="CV101" i="1"/>
  <c r="CW101" i="1" s="1"/>
  <c r="BB98" i="4" s="1"/>
  <c r="CV102" i="1"/>
  <c r="CW102" i="1" s="1"/>
  <c r="BB99" i="4" s="1"/>
  <c r="CV103" i="1"/>
  <c r="CW103" i="1" s="1"/>
  <c r="BB100" i="4" s="1"/>
  <c r="CV104" i="1"/>
  <c r="CW104" i="1" s="1"/>
  <c r="BB101" i="4" s="1"/>
  <c r="CV105" i="1"/>
  <c r="CW105" i="1" s="1"/>
  <c r="BB102" i="4" s="1"/>
  <c r="CV106" i="1"/>
  <c r="CW106" i="1" s="1"/>
  <c r="BB103" i="4" s="1"/>
  <c r="CV107" i="1"/>
  <c r="CW107" i="1" s="1"/>
  <c r="BB104" i="4" s="1"/>
  <c r="CV108" i="1"/>
  <c r="CW108" i="1" s="1"/>
  <c r="BB105" i="4" s="1"/>
  <c r="CV109" i="1"/>
  <c r="CW109" i="1" s="1"/>
  <c r="BB106" i="4" s="1"/>
  <c r="CV110" i="1"/>
  <c r="CW110" i="1" s="1"/>
  <c r="BB107" i="4" s="1"/>
  <c r="CV111" i="1"/>
  <c r="CW111" i="1" s="1"/>
  <c r="BB108" i="4" s="1"/>
  <c r="CV112" i="1"/>
  <c r="CW112" i="1" s="1"/>
  <c r="BB109" i="4" s="1"/>
  <c r="CV113" i="1"/>
  <c r="CW113" i="1" s="1"/>
  <c r="BB110" i="4" s="1"/>
  <c r="CV114" i="1"/>
  <c r="CW114" i="1" s="1"/>
  <c r="BB111" i="4" s="1"/>
  <c r="CV115" i="1"/>
  <c r="CW115" i="1" s="1"/>
  <c r="BB112" i="4" s="1"/>
  <c r="CV116" i="1"/>
  <c r="CW116" i="1" s="1"/>
  <c r="BB113" i="4" s="1"/>
  <c r="CV117" i="1"/>
  <c r="CW117" i="1" s="1"/>
  <c r="BB114" i="4" s="1"/>
  <c r="CV118" i="1"/>
  <c r="CW118" i="1" s="1"/>
  <c r="BB115" i="4" s="1"/>
  <c r="CV119" i="1"/>
  <c r="CW119" i="1" s="1"/>
  <c r="BB116" i="4" s="1"/>
  <c r="CV120" i="1"/>
  <c r="CW120" i="1" s="1"/>
  <c r="BB117" i="4" s="1"/>
  <c r="CV121" i="1"/>
  <c r="CW121" i="1" s="1"/>
  <c r="BB118" i="4" s="1"/>
  <c r="CV122" i="1"/>
  <c r="CW122" i="1" s="1"/>
  <c r="BB119" i="4" s="1"/>
  <c r="CV123" i="1"/>
  <c r="CW123" i="1" s="1"/>
  <c r="BB120" i="4" s="1"/>
  <c r="CV124" i="1"/>
  <c r="CW124" i="1" s="1"/>
  <c r="BB121" i="4" s="1"/>
  <c r="CV125" i="1"/>
  <c r="CW125" i="1" s="1"/>
  <c r="BB122" i="4" s="1"/>
  <c r="CV126" i="1"/>
  <c r="CW126" i="1" s="1"/>
  <c r="BB123" i="4" s="1"/>
  <c r="CV127" i="1"/>
  <c r="CW127" i="1" s="1"/>
  <c r="BB124" i="4" s="1"/>
  <c r="CV128" i="1"/>
  <c r="CW128" i="1" s="1"/>
  <c r="BB125" i="4" s="1"/>
  <c r="CV129" i="1"/>
  <c r="CW129" i="1" s="1"/>
  <c r="BB126" i="4" s="1"/>
  <c r="CV130" i="1"/>
  <c r="CW130" i="1" s="1"/>
  <c r="BB127" i="4" s="1"/>
  <c r="CV131" i="1"/>
  <c r="CW131" i="1" s="1"/>
  <c r="BB128" i="4" s="1"/>
  <c r="CV132" i="1"/>
  <c r="CW132" i="1" s="1"/>
  <c r="BB129" i="4" s="1"/>
  <c r="CV133" i="1"/>
  <c r="CW133" i="1" s="1"/>
  <c r="BB130" i="4" s="1"/>
  <c r="CV134" i="1"/>
  <c r="CW134" i="1" s="1"/>
  <c r="BB131" i="4" s="1"/>
  <c r="CV135" i="1"/>
  <c r="CW135" i="1" s="1"/>
  <c r="BB132" i="4" s="1"/>
  <c r="CV136" i="1"/>
  <c r="CW136" i="1" s="1"/>
  <c r="BB133" i="4" s="1"/>
  <c r="CV137" i="1"/>
  <c r="CW137" i="1" s="1"/>
  <c r="BB134" i="4" s="1"/>
  <c r="CV138" i="1"/>
  <c r="CW138" i="1" s="1"/>
  <c r="BB135" i="4" s="1"/>
  <c r="CV139" i="1"/>
  <c r="CW139" i="1" s="1"/>
  <c r="BB136" i="4" s="1"/>
  <c r="CV140" i="1"/>
  <c r="CW140" i="1" s="1"/>
  <c r="BB137" i="4" s="1"/>
  <c r="CV141" i="1"/>
  <c r="CW141" i="1" s="1"/>
  <c r="BB138" i="4" s="1"/>
  <c r="CV5" i="1"/>
  <c r="CW5" i="1" s="1"/>
  <c r="BB2" i="4" s="1"/>
  <c r="BB49" i="4"/>
  <c r="BB50" i="4"/>
  <c r="CV39" i="1"/>
  <c r="CW39" i="1" s="1"/>
  <c r="BB36" i="4" s="1"/>
  <c r="CV40" i="1"/>
  <c r="CW40" i="1" s="1"/>
  <c r="BB37" i="4" s="1"/>
  <c r="CV41" i="1"/>
  <c r="CW41" i="1" s="1"/>
  <c r="BB38" i="4" s="1"/>
  <c r="CV42" i="1"/>
  <c r="CW42" i="1" s="1"/>
  <c r="BB39" i="4" s="1"/>
  <c r="CV43" i="1"/>
  <c r="CW43" i="1" s="1"/>
  <c r="BB40" i="4" s="1"/>
  <c r="CV44" i="1"/>
  <c r="CW44" i="1" s="1"/>
  <c r="BB41" i="4" s="1"/>
  <c r="CV45" i="1"/>
  <c r="CW45" i="1" s="1"/>
  <c r="BB42" i="4" s="1"/>
  <c r="CV46" i="1"/>
  <c r="CW46" i="1" s="1"/>
  <c r="BB43" i="4" s="1"/>
  <c r="CV47" i="1"/>
  <c r="CW47" i="1" s="1"/>
  <c r="BB44" i="4" s="1"/>
  <c r="CV48" i="1"/>
  <c r="CW48" i="1" s="1"/>
  <c r="BB45" i="4" s="1"/>
  <c r="AP2" i="4"/>
  <c r="AQ2" i="4"/>
  <c r="AR2" i="4"/>
  <c r="AS2" i="4"/>
  <c r="AT2" i="4"/>
  <c r="AU2" i="4"/>
  <c r="AV2" i="4"/>
  <c r="AW2" i="4"/>
  <c r="AX2" i="4"/>
  <c r="AY2" i="4"/>
  <c r="AZ2" i="4"/>
  <c r="BA2" i="4"/>
  <c r="AP3" i="4"/>
  <c r="AQ3" i="4"/>
  <c r="AR3" i="4"/>
  <c r="AS3" i="4"/>
  <c r="AT3" i="4"/>
  <c r="AU3" i="4"/>
  <c r="AV3" i="4"/>
  <c r="AW3" i="4"/>
  <c r="AX3" i="4"/>
  <c r="AY3" i="4"/>
  <c r="AZ3" i="4"/>
  <c r="BA3" i="4"/>
  <c r="AP4" i="4"/>
  <c r="AQ4" i="4"/>
  <c r="AR4" i="4"/>
  <c r="AS4" i="4"/>
  <c r="AT4" i="4"/>
  <c r="AU4" i="4"/>
  <c r="AV4" i="4"/>
  <c r="AW4" i="4"/>
  <c r="AX4" i="4"/>
  <c r="AY4" i="4"/>
  <c r="AZ4" i="4"/>
  <c r="BA4" i="4"/>
  <c r="AP5" i="4"/>
  <c r="AQ5" i="4"/>
  <c r="AR5" i="4"/>
  <c r="AS5" i="4"/>
  <c r="AT5" i="4"/>
  <c r="AU5" i="4"/>
  <c r="AV5" i="4"/>
  <c r="AW5" i="4"/>
  <c r="AX5" i="4"/>
  <c r="AY5" i="4"/>
  <c r="AZ5" i="4"/>
  <c r="BA5" i="4"/>
  <c r="AP6" i="4"/>
  <c r="AQ6" i="4"/>
  <c r="AR6" i="4"/>
  <c r="AS6" i="4"/>
  <c r="AT6" i="4"/>
  <c r="AU6" i="4"/>
  <c r="AV6" i="4"/>
  <c r="AW6" i="4"/>
  <c r="AX6" i="4"/>
  <c r="AY6" i="4"/>
  <c r="AZ6" i="4"/>
  <c r="BA6" i="4"/>
  <c r="AP7" i="4"/>
  <c r="AQ7" i="4"/>
  <c r="AR7" i="4"/>
  <c r="AS7" i="4"/>
  <c r="AT7" i="4"/>
  <c r="AU7" i="4"/>
  <c r="AV7" i="4"/>
  <c r="AW7" i="4"/>
  <c r="AX7" i="4"/>
  <c r="AY7" i="4"/>
  <c r="AZ7" i="4"/>
  <c r="BA7" i="4"/>
  <c r="AP8" i="4"/>
  <c r="AQ8" i="4"/>
  <c r="AR8" i="4"/>
  <c r="AS8" i="4"/>
  <c r="AT8" i="4"/>
  <c r="AU8" i="4"/>
  <c r="AV8" i="4"/>
  <c r="AW8" i="4"/>
  <c r="AX8" i="4"/>
  <c r="AY8" i="4"/>
  <c r="AZ8" i="4"/>
  <c r="BA8" i="4"/>
  <c r="AP9" i="4"/>
  <c r="AQ9" i="4"/>
  <c r="AR9" i="4"/>
  <c r="AS9" i="4"/>
  <c r="AT9" i="4"/>
  <c r="AU9" i="4"/>
  <c r="AV9" i="4"/>
  <c r="AW9" i="4"/>
  <c r="AX9" i="4"/>
  <c r="AY9" i="4"/>
  <c r="AZ9" i="4"/>
  <c r="BA9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AQ1" i="4"/>
  <c r="AR1" i="4"/>
  <c r="AS1" i="4"/>
  <c r="AT1" i="4"/>
  <c r="AU1" i="4"/>
  <c r="AV1" i="4"/>
  <c r="AW1" i="4"/>
  <c r="AX1" i="4"/>
  <c r="AY1" i="4"/>
  <c r="AZ1" i="4"/>
  <c r="BA1" i="4"/>
  <c r="BB1" i="4"/>
  <c r="AP1" i="4"/>
  <c r="CV38" i="1"/>
  <c r="CW38" i="1" s="1"/>
  <c r="BB35" i="4" s="1"/>
  <c r="AO2" i="4" l="1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L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J4" i="4"/>
  <c r="AJ7" i="4"/>
  <c r="AJ8" i="4"/>
  <c r="AJ9" i="4"/>
  <c r="AJ12" i="4"/>
  <c r="AJ13" i="4"/>
  <c r="AJ14" i="4"/>
  <c r="AJ15" i="4"/>
  <c r="AJ17" i="4"/>
  <c r="AJ18" i="4"/>
  <c r="AJ19" i="4"/>
  <c r="AJ21" i="4"/>
  <c r="AJ24" i="4"/>
  <c r="AJ27" i="4"/>
  <c r="AJ28" i="4"/>
  <c r="AJ29" i="4"/>
  <c r="AJ31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I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H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F2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D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C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A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Z46" i="4"/>
  <c r="Z47" i="4"/>
  <c r="Z81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V46" i="4"/>
  <c r="V47" i="4"/>
  <c r="U22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S22" i="4"/>
  <c r="S68" i="4"/>
  <c r="S82" i="4"/>
  <c r="S87" i="4"/>
  <c r="S89" i="4"/>
  <c r="S90" i="4"/>
  <c r="S97" i="4"/>
  <c r="S118" i="4"/>
  <c r="S119" i="4"/>
  <c r="S120" i="4"/>
  <c r="S121" i="4"/>
  <c r="S127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46" i="4"/>
  <c r="R47" i="4"/>
  <c r="R55" i="4"/>
  <c r="R56" i="4"/>
  <c r="R57" i="4"/>
  <c r="R58" i="4"/>
  <c r="R67" i="4"/>
  <c r="R68" i="4"/>
  <c r="R77" i="4"/>
  <c r="R81" i="4"/>
  <c r="R82" i="4"/>
  <c r="R87" i="4"/>
  <c r="R89" i="4"/>
  <c r="R90" i="4"/>
  <c r="R93" i="4"/>
  <c r="R94" i="4"/>
  <c r="R95" i="4"/>
  <c r="R96" i="4"/>
  <c r="R97" i="4"/>
  <c r="R108" i="4"/>
  <c r="R118" i="4"/>
  <c r="R119" i="4"/>
  <c r="R120" i="4"/>
  <c r="R121" i="4"/>
  <c r="R127" i="4"/>
  <c r="Q22" i="4"/>
  <c r="Q30" i="4"/>
  <c r="Q33" i="4"/>
  <c r="Q46" i="4"/>
  <c r="Q47" i="4"/>
  <c r="Q55" i="4"/>
  <c r="Q56" i="4"/>
  <c r="Q58" i="4"/>
  <c r="Q67" i="4"/>
  <c r="Q68" i="4"/>
  <c r="Q77" i="4"/>
  <c r="Q81" i="4"/>
  <c r="Q82" i="4"/>
  <c r="Q87" i="4"/>
  <c r="Q89" i="4"/>
  <c r="Q90" i="4"/>
  <c r="Q93" i="4"/>
  <c r="Q94" i="4"/>
  <c r="Q95" i="4"/>
  <c r="Q96" i="4"/>
  <c r="Q97" i="4"/>
  <c r="Q108" i="4"/>
  <c r="Q127" i="4"/>
  <c r="Q136" i="4"/>
  <c r="Q137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O22" i="4"/>
  <c r="O30" i="4"/>
  <c r="O33" i="4"/>
  <c r="O46" i="4"/>
  <c r="O47" i="4"/>
  <c r="O55" i="4"/>
  <c r="O56" i="4"/>
  <c r="O58" i="4"/>
  <c r="O67" i="4"/>
  <c r="O68" i="4"/>
  <c r="O77" i="4"/>
  <c r="O81" i="4"/>
  <c r="O82" i="4"/>
  <c r="O87" i="4"/>
  <c r="O89" i="4"/>
  <c r="O90" i="4"/>
  <c r="O93" i="4"/>
  <c r="O94" i="4"/>
  <c r="O95" i="4"/>
  <c r="O96" i="4"/>
  <c r="O97" i="4"/>
  <c r="O108" i="4"/>
  <c r="O127" i="4"/>
  <c r="O136" i="4"/>
  <c r="O137" i="4"/>
  <c r="N22" i="4"/>
  <c r="N30" i="4"/>
  <c r="N33" i="4"/>
  <c r="N46" i="4"/>
  <c r="N47" i="4"/>
  <c r="N55" i="4"/>
  <c r="N56" i="4"/>
  <c r="N58" i="4"/>
  <c r="N67" i="4"/>
  <c r="N68" i="4"/>
  <c r="N77" i="4"/>
  <c r="N81" i="4"/>
  <c r="N82" i="4"/>
  <c r="N87" i="4"/>
  <c r="N89" i="4"/>
  <c r="N90" i="4"/>
  <c r="N93" i="4"/>
  <c r="N94" i="4"/>
  <c r="N95" i="4"/>
  <c r="N96" i="4"/>
  <c r="N97" i="4"/>
  <c r="N108" i="4"/>
  <c r="N127" i="4"/>
  <c r="N136" i="4"/>
  <c r="N137" i="4"/>
  <c r="AO1" i="4"/>
  <c r="AJ1" i="4"/>
  <c r="AK1" i="4"/>
  <c r="AL1" i="4"/>
  <c r="AM1" i="4"/>
  <c r="AN1" i="4"/>
  <c r="Z1" i="4"/>
  <c r="AA1" i="4"/>
  <c r="AB1" i="4"/>
  <c r="AC1" i="4"/>
  <c r="AD1" i="4"/>
  <c r="AE1" i="4"/>
  <c r="AF1" i="4"/>
  <c r="AG1" i="4"/>
  <c r="AH1" i="4"/>
  <c r="AI1" i="4"/>
  <c r="V1" i="4"/>
  <c r="W1" i="4"/>
  <c r="X1" i="4"/>
  <c r="Y1" i="4"/>
  <c r="U1" i="4"/>
  <c r="T1" i="4"/>
  <c r="S1" i="4"/>
  <c r="N1" i="4"/>
  <c r="O1" i="4"/>
  <c r="P1" i="4"/>
  <c r="Q1" i="4"/>
  <c r="R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K22" i="4"/>
  <c r="K30" i="4"/>
  <c r="K33" i="4"/>
  <c r="K46" i="4"/>
  <c r="K47" i="4"/>
  <c r="K55" i="4"/>
  <c r="K56" i="4"/>
  <c r="K58" i="4"/>
  <c r="K67" i="4"/>
  <c r="K68" i="4"/>
  <c r="K77" i="4"/>
  <c r="K81" i="4"/>
  <c r="K82" i="4"/>
  <c r="K87" i="4"/>
  <c r="K89" i="4"/>
  <c r="K90" i="4"/>
  <c r="K93" i="4"/>
  <c r="K94" i="4"/>
  <c r="K95" i="4"/>
  <c r="K96" i="4"/>
  <c r="K97" i="4"/>
  <c r="K108" i="4"/>
  <c r="K127" i="4"/>
  <c r="K136" i="4"/>
  <c r="K137" i="4"/>
  <c r="K1" i="4"/>
  <c r="L1" i="4"/>
  <c r="M1" i="4"/>
  <c r="J22" i="4"/>
  <c r="J33" i="4"/>
  <c r="J46" i="4"/>
  <c r="J47" i="4"/>
  <c r="J55" i="4"/>
  <c r="J56" i="4"/>
  <c r="J58" i="4"/>
  <c r="J67" i="4"/>
  <c r="J68" i="4"/>
  <c r="J77" i="4"/>
  <c r="J81" i="4"/>
  <c r="J82" i="4"/>
  <c r="J87" i="4"/>
  <c r="J89" i="4"/>
  <c r="J90" i="4"/>
  <c r="J93" i="4"/>
  <c r="J94" i="4"/>
  <c r="J95" i="4"/>
  <c r="J96" i="4"/>
  <c r="J97" i="4"/>
  <c r="J108" i="4"/>
  <c r="J127" i="4"/>
  <c r="J136" i="4"/>
  <c r="J137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" i="4"/>
  <c r="F1" i="4"/>
  <c r="G1" i="4"/>
  <c r="H1" i="4"/>
  <c r="I1" i="4"/>
  <c r="J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" i="4"/>
  <c r="AE141" i="1" l="1"/>
  <c r="Q138" i="4" s="1"/>
  <c r="AE138" i="1"/>
  <c r="Q135" i="4" s="1"/>
  <c r="AE137" i="1"/>
  <c r="Q134" i="4" s="1"/>
  <c r="AE136" i="1"/>
  <c r="Q133" i="4" s="1"/>
  <c r="AE135" i="1"/>
  <c r="Q132" i="4" s="1"/>
  <c r="AE134" i="1"/>
  <c r="Q131" i="4" s="1"/>
  <c r="AE133" i="1"/>
  <c r="Q130" i="4" s="1"/>
  <c r="AE132" i="1"/>
  <c r="Q129" i="4" s="1"/>
  <c r="AE131" i="1"/>
  <c r="Q128" i="4" s="1"/>
  <c r="AE129" i="1"/>
  <c r="Q126" i="4" s="1"/>
  <c r="AE128" i="1"/>
  <c r="Q125" i="4" s="1"/>
  <c r="AE127" i="1"/>
  <c r="Q124" i="4" s="1"/>
  <c r="AE126" i="1"/>
  <c r="Q123" i="4" s="1"/>
  <c r="AE125" i="1"/>
  <c r="Q122" i="4" s="1"/>
  <c r="AE124" i="1"/>
  <c r="Q121" i="4" s="1"/>
  <c r="AE123" i="1"/>
  <c r="Q120" i="4" s="1"/>
  <c r="AE122" i="1"/>
  <c r="Q119" i="4" s="1"/>
  <c r="AE121" i="1"/>
  <c r="Q118" i="4" s="1"/>
  <c r="AE120" i="1"/>
  <c r="Q117" i="4" s="1"/>
  <c r="AE119" i="1"/>
  <c r="Q116" i="4" s="1"/>
  <c r="AE118" i="1"/>
  <c r="Q115" i="4" s="1"/>
  <c r="AE117" i="1"/>
  <c r="Q114" i="4" s="1"/>
  <c r="AE116" i="1"/>
  <c r="Q113" i="4" s="1"/>
  <c r="AE115" i="1"/>
  <c r="Q112" i="4" s="1"/>
  <c r="AE114" i="1"/>
  <c r="Q111" i="4" s="1"/>
  <c r="AE113" i="1"/>
  <c r="Q110" i="4" s="1"/>
  <c r="AE112" i="1"/>
  <c r="Q109" i="4" s="1"/>
  <c r="AE110" i="1"/>
  <c r="Q107" i="4" s="1"/>
  <c r="AE109" i="1"/>
  <c r="Q106" i="4" s="1"/>
  <c r="AE108" i="1"/>
  <c r="Q105" i="4" s="1"/>
  <c r="AE107" i="1"/>
  <c r="Q104" i="4" s="1"/>
  <c r="AE106" i="1"/>
  <c r="Q103" i="4" s="1"/>
  <c r="AE105" i="1"/>
  <c r="Q102" i="4" s="1"/>
  <c r="AE104" i="1"/>
  <c r="Q101" i="4" s="1"/>
  <c r="AE103" i="1"/>
  <c r="Q100" i="4" s="1"/>
  <c r="AE102" i="1"/>
  <c r="Q99" i="4" s="1"/>
  <c r="AE101" i="1"/>
  <c r="Q98" i="4" s="1"/>
  <c r="AE95" i="1"/>
  <c r="Q92" i="4" s="1"/>
  <c r="AE94" i="1"/>
  <c r="Q91" i="4" s="1"/>
  <c r="AE91" i="1"/>
  <c r="Q88" i="4" s="1"/>
  <c r="AE89" i="1"/>
  <c r="Q86" i="4" s="1"/>
  <c r="AE88" i="1"/>
  <c r="Q85" i="4" s="1"/>
  <c r="AE87" i="1"/>
  <c r="Q84" i="4" s="1"/>
  <c r="AE86" i="1"/>
  <c r="Q83" i="4" s="1"/>
  <c r="AE83" i="1"/>
  <c r="Q80" i="4" s="1"/>
  <c r="AE82" i="1"/>
  <c r="Q79" i="4" s="1"/>
  <c r="AE81" i="1"/>
  <c r="Q78" i="4" s="1"/>
  <c r="AE79" i="1"/>
  <c r="Q76" i="4" s="1"/>
  <c r="AE78" i="1"/>
  <c r="Q75" i="4" s="1"/>
  <c r="AE77" i="1"/>
  <c r="Q74" i="4" s="1"/>
  <c r="AE76" i="1"/>
  <c r="Q73" i="4" s="1"/>
  <c r="AE75" i="1"/>
  <c r="Q72" i="4" s="1"/>
  <c r="AE74" i="1"/>
  <c r="Q71" i="4" s="1"/>
  <c r="AE73" i="1"/>
  <c r="Q70" i="4" s="1"/>
  <c r="AE72" i="1"/>
  <c r="Q69" i="4" s="1"/>
  <c r="AE69" i="1"/>
  <c r="Q66" i="4" s="1"/>
  <c r="AE68" i="1"/>
  <c r="Q65" i="4" s="1"/>
  <c r="AE67" i="1"/>
  <c r="Q64" i="4" s="1"/>
  <c r="AE66" i="1"/>
  <c r="Q63" i="4" s="1"/>
  <c r="AE65" i="1"/>
  <c r="Q62" i="4" s="1"/>
  <c r="AE64" i="1"/>
  <c r="Q61" i="4" s="1"/>
  <c r="AE63" i="1"/>
  <c r="Q60" i="4" s="1"/>
  <c r="AE62" i="1"/>
  <c r="Q59" i="4" s="1"/>
  <c r="AE60" i="1"/>
  <c r="Q57" i="4" s="1"/>
  <c r="AE57" i="1"/>
  <c r="Q54" i="4" s="1"/>
  <c r="AE56" i="1"/>
  <c r="Q53" i="4" s="1"/>
  <c r="AE55" i="1"/>
  <c r="Q52" i="4" s="1"/>
  <c r="AE54" i="1"/>
  <c r="Q51" i="4" s="1"/>
  <c r="AE53" i="1"/>
  <c r="Q50" i="4" s="1"/>
  <c r="AE52" i="1"/>
  <c r="Q49" i="4" s="1"/>
  <c r="AE51" i="1"/>
  <c r="Q48" i="4" s="1"/>
  <c r="AE48" i="1"/>
  <c r="Q45" i="4" s="1"/>
  <c r="AE47" i="1"/>
  <c r="Q44" i="4" s="1"/>
  <c r="AE46" i="1"/>
  <c r="Q43" i="4" s="1"/>
  <c r="AE45" i="1"/>
  <c r="Q42" i="4" s="1"/>
  <c r="AE44" i="1"/>
  <c r="Q41" i="4" s="1"/>
  <c r="AE43" i="1"/>
  <c r="Q40" i="4" s="1"/>
  <c r="AE42" i="1"/>
  <c r="Q39" i="4" s="1"/>
  <c r="AE41" i="1"/>
  <c r="Q38" i="4" s="1"/>
  <c r="AE40" i="1"/>
  <c r="Q37" i="4" s="1"/>
  <c r="AE39" i="1"/>
  <c r="Q36" i="4" s="1"/>
  <c r="AE38" i="1"/>
  <c r="Q35" i="4" s="1"/>
  <c r="AE37" i="1"/>
  <c r="Q34" i="4" s="1"/>
  <c r="AE35" i="1"/>
  <c r="Q32" i="4" s="1"/>
  <c r="AE34" i="1"/>
  <c r="Q31" i="4" s="1"/>
  <c r="AE32" i="1"/>
  <c r="Q29" i="4" s="1"/>
  <c r="AE31" i="1"/>
  <c r="Q28" i="4" s="1"/>
  <c r="AE30" i="1"/>
  <c r="Q27" i="4" s="1"/>
  <c r="AE29" i="1"/>
  <c r="Q26" i="4" s="1"/>
  <c r="AE28" i="1"/>
  <c r="Q25" i="4" s="1"/>
  <c r="AE27" i="1"/>
  <c r="Q24" i="4" s="1"/>
  <c r="AE26" i="1"/>
  <c r="Q23" i="4" s="1"/>
  <c r="AE6" i="1"/>
  <c r="Q3" i="4" s="1"/>
  <c r="AE7" i="1"/>
  <c r="Q4" i="4" s="1"/>
  <c r="AE8" i="1"/>
  <c r="Q5" i="4" s="1"/>
  <c r="AE9" i="1"/>
  <c r="Q6" i="4" s="1"/>
  <c r="AE10" i="1"/>
  <c r="Q7" i="4" s="1"/>
  <c r="AE11" i="1"/>
  <c r="Q8" i="4" s="1"/>
  <c r="AE12" i="1"/>
  <c r="Q9" i="4" s="1"/>
  <c r="AE13" i="1"/>
  <c r="Q10" i="4" s="1"/>
  <c r="AE14" i="1"/>
  <c r="Q11" i="4" s="1"/>
  <c r="AE15" i="1"/>
  <c r="Q12" i="4" s="1"/>
  <c r="AE16" i="1"/>
  <c r="Q13" i="4" s="1"/>
  <c r="AE17" i="1"/>
  <c r="Q14" i="4" s="1"/>
  <c r="AE18" i="1"/>
  <c r="Q15" i="4" s="1"/>
  <c r="AE19" i="1"/>
  <c r="Q16" i="4" s="1"/>
  <c r="AE20" i="1"/>
  <c r="Q17" i="4" s="1"/>
  <c r="AE21" i="1"/>
  <c r="Q18" i="4" s="1"/>
  <c r="AE22" i="1"/>
  <c r="Q19" i="4" s="1"/>
  <c r="AE23" i="1"/>
  <c r="Q20" i="4" s="1"/>
  <c r="AE24" i="1"/>
  <c r="Q21" i="4" s="1"/>
  <c r="AE5" i="1"/>
  <c r="Q2" i="4" s="1"/>
  <c r="N138" i="4" l="1"/>
  <c r="K138" i="4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5" i="1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2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69" i="4"/>
  <c r="AG2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2" i="4"/>
  <c r="AK141" i="1"/>
  <c r="AK130" i="1"/>
  <c r="AK101" i="1"/>
  <c r="AK100" i="1"/>
  <c r="AK90" i="1"/>
  <c r="AK87" i="1"/>
  <c r="AK86" i="1"/>
  <c r="AK85" i="1"/>
  <c r="AK76" i="1"/>
  <c r="AK75" i="1"/>
  <c r="AK72" i="1"/>
  <c r="AK71" i="1"/>
  <c r="J60" i="4"/>
  <c r="J61" i="4"/>
  <c r="J62" i="4"/>
  <c r="J63" i="4"/>
  <c r="J64" i="4"/>
  <c r="J65" i="4"/>
  <c r="J66" i="4"/>
  <c r="J59" i="4"/>
  <c r="J49" i="4"/>
  <c r="J50" i="4"/>
  <c r="J51" i="4"/>
  <c r="J52" i="4"/>
  <c r="J53" i="4"/>
  <c r="J54" i="4"/>
  <c r="J48" i="4"/>
  <c r="J35" i="4"/>
  <c r="J36" i="4"/>
  <c r="J37" i="4"/>
  <c r="J38" i="4"/>
  <c r="J39" i="4"/>
  <c r="J40" i="4"/>
  <c r="J41" i="4"/>
  <c r="J42" i="4"/>
  <c r="J43" i="4"/>
  <c r="J44" i="4"/>
  <c r="J45" i="4"/>
  <c r="J30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3" i="4"/>
  <c r="S24" i="4"/>
  <c r="S25" i="4"/>
  <c r="S26" i="4"/>
  <c r="S27" i="4"/>
  <c r="S28" i="4"/>
  <c r="S29" i="4"/>
  <c r="S30" i="4"/>
  <c r="S31" i="4"/>
  <c r="S32" i="4"/>
  <c r="S33" i="4"/>
  <c r="S34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3" i="4"/>
  <c r="S84" i="4"/>
  <c r="S85" i="4"/>
  <c r="S86" i="4"/>
  <c r="S88" i="4"/>
  <c r="S91" i="4"/>
  <c r="S92" i="4"/>
  <c r="S93" i="4"/>
  <c r="S94" i="4"/>
  <c r="S95" i="4"/>
  <c r="S96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22" i="4"/>
  <c r="S123" i="4"/>
  <c r="S124" i="4"/>
  <c r="S125" i="4"/>
  <c r="S126" i="4"/>
  <c r="S128" i="4"/>
  <c r="S129" i="4"/>
  <c r="S130" i="4"/>
  <c r="S131" i="4"/>
  <c r="S132" i="4"/>
  <c r="S133" i="4"/>
  <c r="S134" i="4"/>
  <c r="S135" i="4"/>
  <c r="S136" i="4"/>
  <c r="S137" i="4"/>
  <c r="S138" i="4"/>
  <c r="S35" i="4"/>
  <c r="AG39" i="1"/>
  <c r="R36" i="4" s="1"/>
  <c r="AG40" i="1"/>
  <c r="R37" i="4" s="1"/>
  <c r="AG41" i="1"/>
  <c r="R38" i="4" s="1"/>
  <c r="AG42" i="1"/>
  <c r="R39" i="4" s="1"/>
  <c r="AG43" i="1"/>
  <c r="R40" i="4" s="1"/>
  <c r="AG44" i="1"/>
  <c r="R41" i="4" s="1"/>
  <c r="AG45" i="1"/>
  <c r="R42" i="4" s="1"/>
  <c r="AG46" i="1"/>
  <c r="R43" i="4" s="1"/>
  <c r="AG47" i="1"/>
  <c r="R44" i="4" s="1"/>
  <c r="AG48" i="1"/>
  <c r="R45" i="4" s="1"/>
  <c r="AG51" i="1"/>
  <c r="R48" i="4" s="1"/>
  <c r="AG52" i="1"/>
  <c r="R49" i="4" s="1"/>
  <c r="AG53" i="1"/>
  <c r="R50" i="4" s="1"/>
  <c r="AG54" i="1"/>
  <c r="R51" i="4" s="1"/>
  <c r="AG55" i="1"/>
  <c r="R52" i="4" s="1"/>
  <c r="AG56" i="1"/>
  <c r="R53" i="4" s="1"/>
  <c r="AG57" i="1"/>
  <c r="R54" i="4" s="1"/>
  <c r="AG62" i="1"/>
  <c r="R59" i="4" s="1"/>
  <c r="AG63" i="1"/>
  <c r="R60" i="4" s="1"/>
  <c r="AG64" i="1"/>
  <c r="R61" i="4" s="1"/>
  <c r="AG65" i="1"/>
  <c r="R62" i="4" s="1"/>
  <c r="AG66" i="1"/>
  <c r="R63" i="4" s="1"/>
  <c r="AG67" i="1"/>
  <c r="R64" i="4" s="1"/>
  <c r="AG68" i="1"/>
  <c r="R65" i="4" s="1"/>
  <c r="AG69" i="1"/>
  <c r="R66" i="4" s="1"/>
  <c r="AG72" i="1"/>
  <c r="R69" i="4" s="1"/>
  <c r="AG73" i="1"/>
  <c r="R70" i="4" s="1"/>
  <c r="AG74" i="1"/>
  <c r="R71" i="4" s="1"/>
  <c r="AG75" i="1"/>
  <c r="R72" i="4" s="1"/>
  <c r="AG76" i="1"/>
  <c r="R73" i="4" s="1"/>
  <c r="AG77" i="1"/>
  <c r="R74" i="4" s="1"/>
  <c r="AG78" i="1"/>
  <c r="R75" i="4" s="1"/>
  <c r="AG79" i="1"/>
  <c r="R76" i="4" s="1"/>
  <c r="AG81" i="1"/>
  <c r="R78" i="4" s="1"/>
  <c r="AG82" i="1"/>
  <c r="R79" i="4" s="1"/>
  <c r="AG83" i="1"/>
  <c r="R80" i="4" s="1"/>
  <c r="AG86" i="1"/>
  <c r="R83" i="4" s="1"/>
  <c r="AG87" i="1"/>
  <c r="R84" i="4" s="1"/>
  <c r="AG88" i="1"/>
  <c r="R85" i="4" s="1"/>
  <c r="AG89" i="1"/>
  <c r="R86" i="4" s="1"/>
  <c r="AG91" i="1"/>
  <c r="R88" i="4" s="1"/>
  <c r="AG94" i="1"/>
  <c r="R91" i="4" s="1"/>
  <c r="AG95" i="1"/>
  <c r="R92" i="4" s="1"/>
  <c r="AG101" i="1"/>
  <c r="R98" i="4" s="1"/>
  <c r="AG102" i="1"/>
  <c r="R99" i="4" s="1"/>
  <c r="AG103" i="1"/>
  <c r="R100" i="4" s="1"/>
  <c r="AG104" i="1"/>
  <c r="R101" i="4" s="1"/>
  <c r="AG105" i="1"/>
  <c r="R102" i="4" s="1"/>
  <c r="AG106" i="1"/>
  <c r="R103" i="4" s="1"/>
  <c r="AG107" i="1"/>
  <c r="R104" i="4" s="1"/>
  <c r="AG108" i="1"/>
  <c r="R105" i="4" s="1"/>
  <c r="AG109" i="1"/>
  <c r="R106" i="4" s="1"/>
  <c r="AG110" i="1"/>
  <c r="R107" i="4" s="1"/>
  <c r="AG112" i="1"/>
  <c r="R109" i="4" s="1"/>
  <c r="AG113" i="1"/>
  <c r="R110" i="4" s="1"/>
  <c r="AG114" i="1"/>
  <c r="R111" i="4" s="1"/>
  <c r="AG115" i="1"/>
  <c r="R112" i="4" s="1"/>
  <c r="AG116" i="1"/>
  <c r="R113" i="4" s="1"/>
  <c r="AG117" i="1"/>
  <c r="R114" i="4" s="1"/>
  <c r="AG118" i="1"/>
  <c r="R115" i="4" s="1"/>
  <c r="AG119" i="1"/>
  <c r="R116" i="4" s="1"/>
  <c r="AG120" i="1"/>
  <c r="R117" i="4" s="1"/>
  <c r="AG125" i="1"/>
  <c r="R122" i="4" s="1"/>
  <c r="AG126" i="1"/>
  <c r="R123" i="4" s="1"/>
  <c r="AG127" i="1"/>
  <c r="R124" i="4" s="1"/>
  <c r="AG128" i="1"/>
  <c r="R125" i="4" s="1"/>
  <c r="AG129" i="1"/>
  <c r="R126" i="4" s="1"/>
  <c r="AG131" i="1"/>
  <c r="R128" i="4" s="1"/>
  <c r="AG132" i="1"/>
  <c r="R129" i="4" s="1"/>
  <c r="AG133" i="1"/>
  <c r="R130" i="4" s="1"/>
  <c r="AG134" i="1"/>
  <c r="R131" i="4" s="1"/>
  <c r="AG135" i="1"/>
  <c r="R132" i="4" s="1"/>
  <c r="AG136" i="1"/>
  <c r="R133" i="4" s="1"/>
  <c r="AG137" i="1"/>
  <c r="R134" i="4" s="1"/>
  <c r="AG138" i="1"/>
  <c r="R135" i="4" s="1"/>
  <c r="AG139" i="1"/>
  <c r="R136" i="4" s="1"/>
  <c r="AG140" i="1"/>
  <c r="R137" i="4" s="1"/>
  <c r="AG141" i="1"/>
  <c r="R138" i="4" s="1"/>
  <c r="AG38" i="1"/>
  <c r="R35" i="4" s="1"/>
  <c r="J69" i="4"/>
  <c r="J70" i="4"/>
  <c r="J71" i="4"/>
  <c r="J72" i="4"/>
  <c r="J73" i="4"/>
  <c r="J74" i="4"/>
  <c r="J75" i="4"/>
  <c r="J76" i="4"/>
  <c r="J78" i="4"/>
  <c r="J79" i="4"/>
  <c r="J80" i="4"/>
  <c r="J83" i="4"/>
  <c r="J84" i="4"/>
  <c r="J85" i="4"/>
  <c r="J86" i="4"/>
  <c r="J88" i="4"/>
  <c r="J91" i="4"/>
  <c r="J92" i="4"/>
  <c r="J98" i="4"/>
  <c r="J99" i="4"/>
  <c r="J100" i="4"/>
  <c r="J101" i="4"/>
  <c r="J102" i="4"/>
  <c r="J103" i="4"/>
  <c r="J104" i="4"/>
  <c r="J105" i="4"/>
  <c r="J106" i="4"/>
  <c r="J107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8" i="4"/>
  <c r="J129" i="4"/>
  <c r="J130" i="4"/>
  <c r="J131" i="4"/>
  <c r="J132" i="4"/>
  <c r="J133" i="4"/>
  <c r="J134" i="4"/>
  <c r="J135" i="4"/>
  <c r="J138" i="4"/>
  <c r="CB101" i="1"/>
  <c r="CC101" i="1" s="1"/>
  <c r="AN98" i="4" s="1"/>
  <c r="CB100" i="1"/>
  <c r="CC100" i="1" s="1"/>
  <c r="AN97" i="4" s="1"/>
  <c r="CB90" i="1"/>
  <c r="CC90" i="1" s="1"/>
  <c r="AN87" i="4" s="1"/>
  <c r="J2" i="4" l="1"/>
  <c r="M123" i="1"/>
  <c r="I120" i="4" s="1"/>
  <c r="H120" i="4"/>
  <c r="M99" i="1"/>
  <c r="I96" i="4" s="1"/>
  <c r="H96" i="4"/>
  <c r="M75" i="1"/>
  <c r="I72" i="4" s="1"/>
  <c r="H72" i="4"/>
  <c r="M51" i="1"/>
  <c r="I48" i="4" s="1"/>
  <c r="H48" i="4"/>
  <c r="M27" i="1"/>
  <c r="I24" i="4" s="1"/>
  <c r="H24" i="4"/>
  <c r="M122" i="1"/>
  <c r="I119" i="4" s="1"/>
  <c r="H119" i="4"/>
  <c r="M98" i="1"/>
  <c r="I95" i="4" s="1"/>
  <c r="H95" i="4"/>
  <c r="M74" i="1"/>
  <c r="I71" i="4" s="1"/>
  <c r="H71" i="4"/>
  <c r="M50" i="1"/>
  <c r="I47" i="4" s="1"/>
  <c r="H47" i="4"/>
  <c r="M26" i="1"/>
  <c r="I23" i="4" s="1"/>
  <c r="H23" i="4"/>
  <c r="M121" i="1"/>
  <c r="I118" i="4" s="1"/>
  <c r="H118" i="4"/>
  <c r="M97" i="1"/>
  <c r="I94" i="4" s="1"/>
  <c r="H94" i="4"/>
  <c r="M73" i="1"/>
  <c r="I70" i="4" s="1"/>
  <c r="H70" i="4"/>
  <c r="M49" i="1"/>
  <c r="I46" i="4" s="1"/>
  <c r="H46" i="4"/>
  <c r="M25" i="1"/>
  <c r="I22" i="4" s="1"/>
  <c r="H22" i="4"/>
  <c r="M120" i="1"/>
  <c r="I117" i="4" s="1"/>
  <c r="H117" i="4"/>
  <c r="M96" i="1"/>
  <c r="I93" i="4" s="1"/>
  <c r="H93" i="4"/>
  <c r="M72" i="1"/>
  <c r="I69" i="4" s="1"/>
  <c r="H69" i="4"/>
  <c r="M48" i="1"/>
  <c r="I45" i="4" s="1"/>
  <c r="H45" i="4"/>
  <c r="M24" i="1"/>
  <c r="I21" i="4" s="1"/>
  <c r="H21" i="4"/>
  <c r="M119" i="1"/>
  <c r="I116" i="4" s="1"/>
  <c r="H116" i="4"/>
  <c r="M95" i="1"/>
  <c r="I92" i="4" s="1"/>
  <c r="H92" i="4"/>
  <c r="M71" i="1"/>
  <c r="I68" i="4" s="1"/>
  <c r="H68" i="4"/>
  <c r="M47" i="1"/>
  <c r="I44" i="4" s="1"/>
  <c r="H44" i="4"/>
  <c r="M23" i="1"/>
  <c r="I20" i="4" s="1"/>
  <c r="H20" i="4"/>
  <c r="M5" i="1"/>
  <c r="I2" i="4" s="1"/>
  <c r="H2" i="4"/>
  <c r="M118" i="1"/>
  <c r="I115" i="4" s="1"/>
  <c r="H115" i="4"/>
  <c r="M94" i="1"/>
  <c r="I91" i="4" s="1"/>
  <c r="H91" i="4"/>
  <c r="M70" i="1"/>
  <c r="I67" i="4" s="1"/>
  <c r="H67" i="4"/>
  <c r="M46" i="1"/>
  <c r="I43" i="4" s="1"/>
  <c r="H43" i="4"/>
  <c r="M22" i="1"/>
  <c r="I19" i="4" s="1"/>
  <c r="H19" i="4"/>
  <c r="M141" i="1"/>
  <c r="I138" i="4" s="1"/>
  <c r="H138" i="4"/>
  <c r="M117" i="1"/>
  <c r="I114" i="4" s="1"/>
  <c r="H114" i="4"/>
  <c r="M93" i="1"/>
  <c r="I90" i="4" s="1"/>
  <c r="H90" i="4"/>
  <c r="M69" i="1"/>
  <c r="I66" i="4" s="1"/>
  <c r="H66" i="4"/>
  <c r="M45" i="1"/>
  <c r="I42" i="4" s="1"/>
  <c r="H42" i="4"/>
  <c r="M21" i="1"/>
  <c r="I18" i="4" s="1"/>
  <c r="H18" i="4"/>
  <c r="M140" i="1"/>
  <c r="I137" i="4" s="1"/>
  <c r="H137" i="4"/>
  <c r="M116" i="1"/>
  <c r="I113" i="4" s="1"/>
  <c r="H113" i="4"/>
  <c r="M92" i="1"/>
  <c r="I89" i="4" s="1"/>
  <c r="H89" i="4"/>
  <c r="M68" i="1"/>
  <c r="I65" i="4" s="1"/>
  <c r="H65" i="4"/>
  <c r="M44" i="1"/>
  <c r="I41" i="4" s="1"/>
  <c r="H41" i="4"/>
  <c r="M20" i="1"/>
  <c r="I17" i="4" s="1"/>
  <c r="H17" i="4"/>
  <c r="M139" i="1"/>
  <c r="I136" i="4" s="1"/>
  <c r="H136" i="4"/>
  <c r="M115" i="1"/>
  <c r="I112" i="4" s="1"/>
  <c r="H112" i="4"/>
  <c r="M91" i="1"/>
  <c r="I88" i="4" s="1"/>
  <c r="H88" i="4"/>
  <c r="M67" i="1"/>
  <c r="I64" i="4" s="1"/>
  <c r="H64" i="4"/>
  <c r="M43" i="1"/>
  <c r="I40" i="4" s="1"/>
  <c r="H40" i="4"/>
  <c r="M19" i="1"/>
  <c r="I16" i="4" s="1"/>
  <c r="H16" i="4"/>
  <c r="M138" i="1"/>
  <c r="I135" i="4" s="1"/>
  <c r="H135" i="4"/>
  <c r="M114" i="1"/>
  <c r="I111" i="4" s="1"/>
  <c r="H111" i="4"/>
  <c r="M90" i="1"/>
  <c r="I87" i="4" s="1"/>
  <c r="H87" i="4"/>
  <c r="M66" i="1"/>
  <c r="I63" i="4" s="1"/>
  <c r="H63" i="4"/>
  <c r="M42" i="1"/>
  <c r="I39" i="4" s="1"/>
  <c r="H39" i="4"/>
  <c r="M18" i="1"/>
  <c r="I15" i="4" s="1"/>
  <c r="H15" i="4"/>
  <c r="M137" i="1"/>
  <c r="I134" i="4" s="1"/>
  <c r="H134" i="4"/>
  <c r="M113" i="1"/>
  <c r="I110" i="4" s="1"/>
  <c r="H110" i="4"/>
  <c r="M89" i="1"/>
  <c r="I86" i="4" s="1"/>
  <c r="H86" i="4"/>
  <c r="M65" i="1"/>
  <c r="I62" i="4" s="1"/>
  <c r="H62" i="4"/>
  <c r="M41" i="1"/>
  <c r="I38" i="4" s="1"/>
  <c r="H38" i="4"/>
  <c r="M17" i="1"/>
  <c r="I14" i="4" s="1"/>
  <c r="H14" i="4"/>
  <c r="M136" i="1"/>
  <c r="I133" i="4" s="1"/>
  <c r="H133" i="4"/>
  <c r="M112" i="1"/>
  <c r="I109" i="4" s="1"/>
  <c r="H109" i="4"/>
  <c r="M88" i="1"/>
  <c r="I85" i="4" s="1"/>
  <c r="H85" i="4"/>
  <c r="M64" i="1"/>
  <c r="I61" i="4" s="1"/>
  <c r="H61" i="4"/>
  <c r="M40" i="1"/>
  <c r="I37" i="4" s="1"/>
  <c r="H37" i="4"/>
  <c r="M16" i="1"/>
  <c r="I13" i="4" s="1"/>
  <c r="H13" i="4"/>
  <c r="M135" i="1"/>
  <c r="I132" i="4" s="1"/>
  <c r="H132" i="4"/>
  <c r="M111" i="1"/>
  <c r="I108" i="4" s="1"/>
  <c r="H108" i="4"/>
  <c r="M87" i="1"/>
  <c r="I84" i="4" s="1"/>
  <c r="H84" i="4"/>
  <c r="M63" i="1"/>
  <c r="I60" i="4" s="1"/>
  <c r="H60" i="4"/>
  <c r="M39" i="1"/>
  <c r="I36" i="4" s="1"/>
  <c r="H36" i="4"/>
  <c r="M15" i="1"/>
  <c r="I12" i="4" s="1"/>
  <c r="H12" i="4"/>
  <c r="M134" i="1"/>
  <c r="I131" i="4" s="1"/>
  <c r="H131" i="4"/>
  <c r="M110" i="1"/>
  <c r="I107" i="4" s="1"/>
  <c r="H107" i="4"/>
  <c r="M86" i="1"/>
  <c r="I83" i="4" s="1"/>
  <c r="H83" i="4"/>
  <c r="M62" i="1"/>
  <c r="I59" i="4" s="1"/>
  <c r="H59" i="4"/>
  <c r="M38" i="1"/>
  <c r="I35" i="4" s="1"/>
  <c r="H35" i="4"/>
  <c r="M14" i="1"/>
  <c r="I11" i="4" s="1"/>
  <c r="H11" i="4"/>
  <c r="M133" i="1"/>
  <c r="I130" i="4" s="1"/>
  <c r="H130" i="4"/>
  <c r="M109" i="1"/>
  <c r="I106" i="4" s="1"/>
  <c r="H106" i="4"/>
  <c r="M85" i="1"/>
  <c r="I82" i="4" s="1"/>
  <c r="H82" i="4"/>
  <c r="M61" i="1"/>
  <c r="I58" i="4" s="1"/>
  <c r="H58" i="4"/>
  <c r="M37" i="1"/>
  <c r="I34" i="4" s="1"/>
  <c r="H34" i="4"/>
  <c r="M13" i="1"/>
  <c r="I10" i="4" s="1"/>
  <c r="H10" i="4"/>
  <c r="M132" i="1"/>
  <c r="I129" i="4" s="1"/>
  <c r="H129" i="4"/>
  <c r="M108" i="1"/>
  <c r="I105" i="4" s="1"/>
  <c r="H105" i="4"/>
  <c r="M84" i="1"/>
  <c r="I81" i="4" s="1"/>
  <c r="H81" i="4"/>
  <c r="M60" i="1"/>
  <c r="I57" i="4" s="1"/>
  <c r="H57" i="4"/>
  <c r="M36" i="1"/>
  <c r="I33" i="4" s="1"/>
  <c r="H33" i="4"/>
  <c r="M12" i="1"/>
  <c r="I9" i="4" s="1"/>
  <c r="H9" i="4"/>
  <c r="M131" i="1"/>
  <c r="I128" i="4" s="1"/>
  <c r="H128" i="4"/>
  <c r="M107" i="1"/>
  <c r="I104" i="4" s="1"/>
  <c r="H104" i="4"/>
  <c r="M83" i="1"/>
  <c r="I80" i="4" s="1"/>
  <c r="H80" i="4"/>
  <c r="M59" i="1"/>
  <c r="I56" i="4" s="1"/>
  <c r="H56" i="4"/>
  <c r="M35" i="1"/>
  <c r="I32" i="4" s="1"/>
  <c r="H32" i="4"/>
  <c r="M11" i="1"/>
  <c r="I8" i="4" s="1"/>
  <c r="H8" i="4"/>
  <c r="M130" i="1"/>
  <c r="I127" i="4" s="1"/>
  <c r="H127" i="4"/>
  <c r="M106" i="1"/>
  <c r="I103" i="4" s="1"/>
  <c r="H103" i="4"/>
  <c r="M82" i="1"/>
  <c r="I79" i="4" s="1"/>
  <c r="H79" i="4"/>
  <c r="M58" i="1"/>
  <c r="I55" i="4" s="1"/>
  <c r="H55" i="4"/>
  <c r="M34" i="1"/>
  <c r="I31" i="4" s="1"/>
  <c r="H31" i="4"/>
  <c r="M10" i="1"/>
  <c r="I7" i="4" s="1"/>
  <c r="H7" i="4"/>
  <c r="M129" i="1"/>
  <c r="I126" i="4" s="1"/>
  <c r="H126" i="4"/>
  <c r="M105" i="1"/>
  <c r="I102" i="4" s="1"/>
  <c r="H102" i="4"/>
  <c r="M81" i="1"/>
  <c r="I78" i="4" s="1"/>
  <c r="H78" i="4"/>
  <c r="M57" i="1"/>
  <c r="I54" i="4" s="1"/>
  <c r="H54" i="4"/>
  <c r="M33" i="1"/>
  <c r="I30" i="4" s="1"/>
  <c r="H30" i="4"/>
  <c r="M9" i="1"/>
  <c r="I6" i="4" s="1"/>
  <c r="H6" i="4"/>
  <c r="M128" i="1"/>
  <c r="I125" i="4" s="1"/>
  <c r="H125" i="4"/>
  <c r="M104" i="1"/>
  <c r="I101" i="4" s="1"/>
  <c r="H101" i="4"/>
  <c r="M80" i="1"/>
  <c r="I77" i="4" s="1"/>
  <c r="H77" i="4"/>
  <c r="M56" i="1"/>
  <c r="I53" i="4" s="1"/>
  <c r="H53" i="4"/>
  <c r="M32" i="1"/>
  <c r="I29" i="4" s="1"/>
  <c r="H29" i="4"/>
  <c r="M8" i="1"/>
  <c r="I5" i="4" s="1"/>
  <c r="H5" i="4"/>
  <c r="M127" i="1"/>
  <c r="I124" i="4" s="1"/>
  <c r="H124" i="4"/>
  <c r="M103" i="1"/>
  <c r="I100" i="4" s="1"/>
  <c r="H100" i="4"/>
  <c r="M79" i="1"/>
  <c r="I76" i="4" s="1"/>
  <c r="H76" i="4"/>
  <c r="M55" i="1"/>
  <c r="I52" i="4" s="1"/>
  <c r="H52" i="4"/>
  <c r="M31" i="1"/>
  <c r="I28" i="4" s="1"/>
  <c r="H28" i="4"/>
  <c r="M7" i="1"/>
  <c r="I4" i="4" s="1"/>
  <c r="H4" i="4"/>
  <c r="M126" i="1"/>
  <c r="I123" i="4" s="1"/>
  <c r="H123" i="4"/>
  <c r="M102" i="1"/>
  <c r="I99" i="4" s="1"/>
  <c r="H99" i="4"/>
  <c r="M78" i="1"/>
  <c r="I75" i="4" s="1"/>
  <c r="H75" i="4"/>
  <c r="M54" i="1"/>
  <c r="I51" i="4" s="1"/>
  <c r="H51" i="4"/>
  <c r="M30" i="1"/>
  <c r="I27" i="4" s="1"/>
  <c r="H27" i="4"/>
  <c r="M6" i="1"/>
  <c r="I3" i="4" s="1"/>
  <c r="H3" i="4"/>
  <c r="M125" i="1"/>
  <c r="I122" i="4" s="1"/>
  <c r="H122" i="4"/>
  <c r="M101" i="1"/>
  <c r="I98" i="4" s="1"/>
  <c r="H98" i="4"/>
  <c r="M77" i="1"/>
  <c r="I74" i="4" s="1"/>
  <c r="H74" i="4"/>
  <c r="M53" i="1"/>
  <c r="I50" i="4" s="1"/>
  <c r="H50" i="4"/>
  <c r="M29" i="1"/>
  <c r="I26" i="4" s="1"/>
  <c r="H26" i="4"/>
  <c r="M124" i="1"/>
  <c r="I121" i="4" s="1"/>
  <c r="H121" i="4"/>
  <c r="M100" i="1"/>
  <c r="I97" i="4" s="1"/>
  <c r="H97" i="4"/>
  <c r="M76" i="1"/>
  <c r="I73" i="4" s="1"/>
  <c r="H73" i="4"/>
  <c r="M52" i="1"/>
  <c r="I49" i="4" s="1"/>
  <c r="H49" i="4"/>
  <c r="M28" i="1"/>
  <c r="I25" i="4" s="1"/>
  <c r="H25" i="4"/>
  <c r="K2" i="4"/>
  <c r="K4" i="4"/>
  <c r="K5" i="4"/>
  <c r="K3" i="4"/>
  <c r="AJ5" i="4"/>
  <c r="AJ6" i="4"/>
  <c r="AJ10" i="4"/>
  <c r="AJ11" i="4"/>
  <c r="AJ16" i="4"/>
  <c r="AJ20" i="4"/>
  <c r="AJ22" i="4"/>
  <c r="AJ23" i="4"/>
  <c r="AJ25" i="4"/>
  <c r="AJ26" i="4"/>
  <c r="AJ30" i="4"/>
  <c r="AJ34" i="4"/>
  <c r="AJ33" i="4"/>
  <c r="AJ32" i="4"/>
  <c r="AJ3" i="4"/>
  <c r="AJ2" i="4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C38" i="1" s="1"/>
  <c r="AN35" i="4" s="1"/>
  <c r="CB39" i="1"/>
  <c r="CC39" i="1" s="1"/>
  <c r="AN36" i="4" s="1"/>
  <c r="CB40" i="1"/>
  <c r="CC40" i="1" s="1"/>
  <c r="AN37" i="4" s="1"/>
  <c r="CB41" i="1"/>
  <c r="CC41" i="1" s="1"/>
  <c r="AN38" i="4" s="1"/>
  <c r="CB42" i="1"/>
  <c r="CC42" i="1" s="1"/>
  <c r="AN39" i="4" s="1"/>
  <c r="CB43" i="1"/>
  <c r="CC43" i="1" s="1"/>
  <c r="AN40" i="4" s="1"/>
  <c r="CB44" i="1"/>
  <c r="CC44" i="1" s="1"/>
  <c r="AN41" i="4" s="1"/>
  <c r="CB45" i="1"/>
  <c r="CC45" i="1" s="1"/>
  <c r="AN42" i="4" s="1"/>
  <c r="CB46" i="1"/>
  <c r="CC46" i="1" s="1"/>
  <c r="AN43" i="4" s="1"/>
  <c r="CB47" i="1"/>
  <c r="CC47" i="1" s="1"/>
  <c r="AN44" i="4" s="1"/>
  <c r="CB48" i="1"/>
  <c r="CC48" i="1" s="1"/>
  <c r="AN45" i="4" s="1"/>
  <c r="CB49" i="1"/>
  <c r="CC49" i="1" s="1"/>
  <c r="AN46" i="4" s="1"/>
  <c r="CB50" i="1"/>
  <c r="CC50" i="1" s="1"/>
  <c r="AN47" i="4" s="1"/>
  <c r="CB51" i="1"/>
  <c r="CC51" i="1" s="1"/>
  <c r="AN48" i="4" s="1"/>
  <c r="CB52" i="1"/>
  <c r="CC52" i="1" s="1"/>
  <c r="AN49" i="4" s="1"/>
  <c r="CB53" i="1"/>
  <c r="CC53" i="1" s="1"/>
  <c r="AN50" i="4" s="1"/>
  <c r="CB54" i="1"/>
  <c r="CC54" i="1" s="1"/>
  <c r="AN51" i="4" s="1"/>
  <c r="CB55" i="1"/>
  <c r="CC55" i="1" s="1"/>
  <c r="AN52" i="4" s="1"/>
  <c r="CB56" i="1"/>
  <c r="CC56" i="1" s="1"/>
  <c r="AN53" i="4" s="1"/>
  <c r="CB57" i="1"/>
  <c r="CC57" i="1" s="1"/>
  <c r="AN54" i="4" s="1"/>
  <c r="CB58" i="1"/>
  <c r="CC58" i="1" s="1"/>
  <c r="AN55" i="4" s="1"/>
  <c r="CB59" i="1"/>
  <c r="CC59" i="1" s="1"/>
  <c r="AN56" i="4" s="1"/>
  <c r="CB60" i="1"/>
  <c r="CC60" i="1" s="1"/>
  <c r="AN57" i="4" s="1"/>
  <c r="CB61" i="1"/>
  <c r="CC61" i="1" s="1"/>
  <c r="AN58" i="4" s="1"/>
  <c r="CB62" i="1"/>
  <c r="CC62" i="1" s="1"/>
  <c r="AN59" i="4" s="1"/>
  <c r="CB63" i="1"/>
  <c r="CC63" i="1" s="1"/>
  <c r="AN60" i="4" s="1"/>
  <c r="CB64" i="1"/>
  <c r="CC64" i="1" s="1"/>
  <c r="AN61" i="4" s="1"/>
  <c r="CB65" i="1"/>
  <c r="CC65" i="1" s="1"/>
  <c r="AN62" i="4" s="1"/>
  <c r="CB66" i="1"/>
  <c r="CC66" i="1" s="1"/>
  <c r="AN63" i="4" s="1"/>
  <c r="CB67" i="1"/>
  <c r="CC67" i="1" s="1"/>
  <c r="AN64" i="4" s="1"/>
  <c r="CB68" i="1"/>
  <c r="CC68" i="1" s="1"/>
  <c r="AN65" i="4" s="1"/>
  <c r="CB69" i="1"/>
  <c r="CC69" i="1" s="1"/>
  <c r="AN66" i="4" s="1"/>
  <c r="CB70" i="1"/>
  <c r="CC70" i="1" s="1"/>
  <c r="AN67" i="4" s="1"/>
  <c r="CB71" i="1"/>
  <c r="CC71" i="1" s="1"/>
  <c r="AN68" i="4" s="1"/>
  <c r="CB72" i="1"/>
  <c r="CC72" i="1" s="1"/>
  <c r="AN69" i="4" s="1"/>
  <c r="CB73" i="1"/>
  <c r="CC73" i="1" s="1"/>
  <c r="AN70" i="4" s="1"/>
  <c r="CB74" i="1"/>
  <c r="CC74" i="1" s="1"/>
  <c r="AN71" i="4" s="1"/>
  <c r="CB75" i="1"/>
  <c r="CC75" i="1" s="1"/>
  <c r="AN72" i="4" s="1"/>
  <c r="CB76" i="1"/>
  <c r="CC76" i="1" s="1"/>
  <c r="AN73" i="4" s="1"/>
  <c r="CB77" i="1"/>
  <c r="CC77" i="1" s="1"/>
  <c r="AN74" i="4" s="1"/>
  <c r="CB78" i="1"/>
  <c r="CC78" i="1" s="1"/>
  <c r="AN75" i="4" s="1"/>
  <c r="CB79" i="1"/>
  <c r="CC79" i="1" s="1"/>
  <c r="AN76" i="4" s="1"/>
  <c r="CB80" i="1"/>
  <c r="CC80" i="1" s="1"/>
  <c r="AN77" i="4" s="1"/>
  <c r="CB81" i="1"/>
  <c r="CC81" i="1" s="1"/>
  <c r="AN78" i="4" s="1"/>
  <c r="CB82" i="1"/>
  <c r="CC82" i="1" s="1"/>
  <c r="AN79" i="4" s="1"/>
  <c r="CB83" i="1"/>
  <c r="CC83" i="1" s="1"/>
  <c r="AN80" i="4" s="1"/>
  <c r="CB84" i="1"/>
  <c r="CC84" i="1" s="1"/>
  <c r="AN81" i="4" s="1"/>
  <c r="CB85" i="1"/>
  <c r="CC85" i="1" s="1"/>
  <c r="AN82" i="4" s="1"/>
  <c r="CB86" i="1"/>
  <c r="CC86" i="1" s="1"/>
  <c r="AN83" i="4" s="1"/>
  <c r="CB87" i="1"/>
  <c r="CC87" i="1" s="1"/>
  <c r="AN84" i="4" s="1"/>
  <c r="CB88" i="1"/>
  <c r="CC88" i="1" s="1"/>
  <c r="AN85" i="4" s="1"/>
  <c r="CB89" i="1"/>
  <c r="CC89" i="1" s="1"/>
  <c r="AN86" i="4" s="1"/>
  <c r="CB91" i="1"/>
  <c r="CC91" i="1" s="1"/>
  <c r="AN88" i="4" s="1"/>
  <c r="CB92" i="1"/>
  <c r="CC92" i="1" s="1"/>
  <c r="AN89" i="4" s="1"/>
  <c r="CB93" i="1"/>
  <c r="CC93" i="1" s="1"/>
  <c r="AN90" i="4" s="1"/>
  <c r="CB94" i="1"/>
  <c r="CC94" i="1" s="1"/>
  <c r="AN91" i="4" s="1"/>
  <c r="CB95" i="1"/>
  <c r="CC95" i="1" s="1"/>
  <c r="AN92" i="4" s="1"/>
  <c r="CB96" i="1"/>
  <c r="CC96" i="1" s="1"/>
  <c r="AN93" i="4" s="1"/>
  <c r="CB97" i="1"/>
  <c r="CC97" i="1" s="1"/>
  <c r="AN94" i="4" s="1"/>
  <c r="CB98" i="1"/>
  <c r="CC98" i="1" s="1"/>
  <c r="AN95" i="4" s="1"/>
  <c r="CB99" i="1"/>
  <c r="CC99" i="1" s="1"/>
  <c r="AN96" i="4" s="1"/>
  <c r="CB102" i="1"/>
  <c r="CC102" i="1" s="1"/>
  <c r="AN99" i="4" s="1"/>
  <c r="CB103" i="1"/>
  <c r="CC103" i="1" s="1"/>
  <c r="AN100" i="4" s="1"/>
  <c r="CB104" i="1"/>
  <c r="CC104" i="1" s="1"/>
  <c r="AN101" i="4" s="1"/>
  <c r="CB105" i="1"/>
  <c r="CC105" i="1" s="1"/>
  <c r="AN102" i="4" s="1"/>
  <c r="CB106" i="1"/>
  <c r="CC106" i="1" s="1"/>
  <c r="AN103" i="4" s="1"/>
  <c r="CB107" i="1"/>
  <c r="CC107" i="1" s="1"/>
  <c r="AN104" i="4" s="1"/>
  <c r="CB108" i="1"/>
  <c r="CC108" i="1" s="1"/>
  <c r="AN105" i="4" s="1"/>
  <c r="CB109" i="1"/>
  <c r="CC109" i="1" s="1"/>
  <c r="AN106" i="4" s="1"/>
  <c r="CB110" i="1"/>
  <c r="CC110" i="1" s="1"/>
  <c r="AN107" i="4" s="1"/>
  <c r="CB111" i="1"/>
  <c r="CC111" i="1" s="1"/>
  <c r="AN108" i="4" s="1"/>
  <c r="CB112" i="1"/>
  <c r="CC112" i="1" s="1"/>
  <c r="AN109" i="4" s="1"/>
  <c r="CB113" i="1"/>
  <c r="CC113" i="1" s="1"/>
  <c r="AN110" i="4" s="1"/>
  <c r="CB114" i="1"/>
  <c r="CC114" i="1" s="1"/>
  <c r="AN111" i="4" s="1"/>
  <c r="CB115" i="1"/>
  <c r="CC115" i="1" s="1"/>
  <c r="AN112" i="4" s="1"/>
  <c r="CB116" i="1"/>
  <c r="CC116" i="1" s="1"/>
  <c r="AN113" i="4" s="1"/>
  <c r="CB117" i="1"/>
  <c r="CC117" i="1" s="1"/>
  <c r="AN114" i="4" s="1"/>
  <c r="CB118" i="1"/>
  <c r="CC118" i="1" s="1"/>
  <c r="AN115" i="4" s="1"/>
  <c r="CB119" i="1"/>
  <c r="CC119" i="1" s="1"/>
  <c r="AN116" i="4" s="1"/>
  <c r="CB120" i="1"/>
  <c r="CC120" i="1" s="1"/>
  <c r="AN117" i="4" s="1"/>
  <c r="CB121" i="1"/>
  <c r="CC121" i="1" s="1"/>
  <c r="AN118" i="4" s="1"/>
  <c r="CB122" i="1"/>
  <c r="CC122" i="1" s="1"/>
  <c r="AN119" i="4" s="1"/>
  <c r="CB123" i="1"/>
  <c r="CC123" i="1" s="1"/>
  <c r="AN120" i="4" s="1"/>
  <c r="CB124" i="1"/>
  <c r="CC124" i="1" s="1"/>
  <c r="AN121" i="4" s="1"/>
  <c r="CB125" i="1"/>
  <c r="CC125" i="1" s="1"/>
  <c r="AN122" i="4" s="1"/>
  <c r="CB126" i="1"/>
  <c r="CC126" i="1" s="1"/>
  <c r="AN123" i="4" s="1"/>
  <c r="CB127" i="1"/>
  <c r="CC127" i="1" s="1"/>
  <c r="AN124" i="4" s="1"/>
  <c r="CB128" i="1"/>
  <c r="CC128" i="1" s="1"/>
  <c r="AN125" i="4" s="1"/>
  <c r="CB129" i="1"/>
  <c r="CC129" i="1" s="1"/>
  <c r="AN126" i="4" s="1"/>
  <c r="CB130" i="1"/>
  <c r="CC130" i="1" s="1"/>
  <c r="AN127" i="4" s="1"/>
  <c r="CB131" i="1"/>
  <c r="CC131" i="1" s="1"/>
  <c r="AN128" i="4" s="1"/>
  <c r="CB132" i="1"/>
  <c r="CC132" i="1" s="1"/>
  <c r="AN129" i="4" s="1"/>
  <c r="CB133" i="1"/>
  <c r="CC133" i="1" s="1"/>
  <c r="AN130" i="4" s="1"/>
  <c r="CB134" i="1"/>
  <c r="CC134" i="1" s="1"/>
  <c r="AN131" i="4" s="1"/>
  <c r="CB135" i="1"/>
  <c r="CC135" i="1" s="1"/>
  <c r="AN132" i="4" s="1"/>
  <c r="CB136" i="1"/>
  <c r="CC136" i="1" s="1"/>
  <c r="AN133" i="4" s="1"/>
  <c r="CB137" i="1"/>
  <c r="CC137" i="1" s="1"/>
  <c r="AN134" i="4" s="1"/>
  <c r="CB138" i="1"/>
  <c r="CC138" i="1" s="1"/>
  <c r="AN135" i="4" s="1"/>
  <c r="CB139" i="1"/>
  <c r="CC139" i="1" s="1"/>
  <c r="AN136" i="4" s="1"/>
  <c r="CB140" i="1"/>
  <c r="CC140" i="1" s="1"/>
  <c r="AN137" i="4" s="1"/>
  <c r="CB141" i="1"/>
  <c r="CC141" i="1" s="1"/>
  <c r="AN138" i="4" s="1"/>
  <c r="CB5" i="1"/>
  <c r="AQ5" i="1"/>
  <c r="U2" i="4" s="1"/>
  <c r="CC6" i="1"/>
  <c r="AN3" i="4" s="1"/>
  <c r="CC7" i="1"/>
  <c r="AN4" i="4" s="1"/>
  <c r="CC8" i="1"/>
  <c r="AN5" i="4" s="1"/>
  <c r="CC9" i="1"/>
  <c r="AN6" i="4" s="1"/>
  <c r="CC10" i="1"/>
  <c r="AN7" i="4" s="1"/>
  <c r="CC11" i="1"/>
  <c r="AN8" i="4" s="1"/>
  <c r="CC12" i="1"/>
  <c r="AN9" i="4" s="1"/>
  <c r="CC13" i="1"/>
  <c r="AN10" i="4" s="1"/>
  <c r="CC14" i="1"/>
  <c r="AN11" i="4" s="1"/>
  <c r="CC15" i="1"/>
  <c r="AN12" i="4" s="1"/>
  <c r="CC16" i="1"/>
  <c r="AN13" i="4" s="1"/>
  <c r="CC17" i="1"/>
  <c r="AN14" i="4" s="1"/>
  <c r="CC18" i="1"/>
  <c r="AN15" i="4" s="1"/>
  <c r="CC19" i="1"/>
  <c r="AN16" i="4" s="1"/>
  <c r="CC20" i="1"/>
  <c r="AN17" i="4" s="1"/>
  <c r="CC21" i="1"/>
  <c r="AN18" i="4" s="1"/>
  <c r="CC22" i="1"/>
  <c r="AN19" i="4" s="1"/>
  <c r="CC23" i="1"/>
  <c r="AN20" i="4" s="1"/>
  <c r="CC24" i="1"/>
  <c r="AN21" i="4" s="1"/>
  <c r="CC25" i="1"/>
  <c r="AN22" i="4" s="1"/>
  <c r="CC26" i="1"/>
  <c r="AN23" i="4" s="1"/>
  <c r="CC27" i="1"/>
  <c r="AN24" i="4" s="1"/>
  <c r="CC28" i="1"/>
  <c r="AN25" i="4" s="1"/>
  <c r="CC29" i="1"/>
  <c r="AN26" i="4" s="1"/>
  <c r="CC30" i="1"/>
  <c r="AN27" i="4" s="1"/>
  <c r="CC31" i="1"/>
  <c r="AN28" i="4" s="1"/>
  <c r="CC32" i="1"/>
  <c r="AN29" i="4" s="1"/>
  <c r="CC33" i="1"/>
  <c r="AN30" i="4" s="1"/>
  <c r="CC34" i="1"/>
  <c r="AN31" i="4" s="1"/>
  <c r="CC35" i="1"/>
  <c r="AN32" i="4" s="1"/>
  <c r="CC36" i="1"/>
  <c r="AN33" i="4" s="1"/>
  <c r="CC37" i="1"/>
  <c r="AN34" i="4" s="1"/>
  <c r="CC5" i="1"/>
  <c r="AN2" i="4" s="1"/>
  <c r="AQ141" i="1"/>
  <c r="U138" i="4" s="1"/>
  <c r="AQ140" i="1"/>
  <c r="U137" i="4" s="1"/>
  <c r="AQ139" i="1"/>
  <c r="U136" i="4" s="1"/>
  <c r="AQ138" i="1"/>
  <c r="U135" i="4" s="1"/>
  <c r="AQ137" i="1"/>
  <c r="U134" i="4" s="1"/>
  <c r="AQ136" i="1"/>
  <c r="U133" i="4" s="1"/>
  <c r="AQ135" i="1"/>
  <c r="U132" i="4" s="1"/>
  <c r="AQ134" i="1"/>
  <c r="U131" i="4" s="1"/>
  <c r="AQ133" i="1"/>
  <c r="U130" i="4" s="1"/>
  <c r="AQ132" i="1"/>
  <c r="U129" i="4" s="1"/>
  <c r="AQ131" i="1"/>
  <c r="U128" i="4" s="1"/>
  <c r="AQ130" i="1"/>
  <c r="U127" i="4" s="1"/>
  <c r="AQ129" i="1"/>
  <c r="U126" i="4" s="1"/>
  <c r="AQ128" i="1"/>
  <c r="U125" i="4" s="1"/>
  <c r="AQ127" i="1"/>
  <c r="U124" i="4" s="1"/>
  <c r="AQ126" i="1"/>
  <c r="U123" i="4" s="1"/>
  <c r="AQ125" i="1"/>
  <c r="U122" i="4" s="1"/>
  <c r="AQ124" i="1"/>
  <c r="U121" i="4" s="1"/>
  <c r="AQ123" i="1"/>
  <c r="U120" i="4" s="1"/>
  <c r="AQ122" i="1"/>
  <c r="U119" i="4" s="1"/>
  <c r="AQ121" i="1"/>
  <c r="U118" i="4" s="1"/>
  <c r="AQ120" i="1"/>
  <c r="U117" i="4" s="1"/>
  <c r="AQ119" i="1"/>
  <c r="U116" i="4" s="1"/>
  <c r="AQ118" i="1"/>
  <c r="U115" i="4" s="1"/>
  <c r="AQ117" i="1"/>
  <c r="U114" i="4" s="1"/>
  <c r="AQ116" i="1"/>
  <c r="U113" i="4" s="1"/>
  <c r="AQ115" i="1"/>
  <c r="U112" i="4" s="1"/>
  <c r="AQ114" i="1"/>
  <c r="U111" i="4" s="1"/>
  <c r="AQ113" i="1"/>
  <c r="U110" i="4" s="1"/>
  <c r="AQ112" i="1"/>
  <c r="U109" i="4" s="1"/>
  <c r="AQ111" i="1"/>
  <c r="U108" i="4" s="1"/>
  <c r="AQ110" i="1"/>
  <c r="U107" i="4" s="1"/>
  <c r="AQ109" i="1"/>
  <c r="U106" i="4" s="1"/>
  <c r="AQ108" i="1"/>
  <c r="U105" i="4" s="1"/>
  <c r="AQ107" i="1"/>
  <c r="U104" i="4" s="1"/>
  <c r="AQ106" i="1"/>
  <c r="U103" i="4" s="1"/>
  <c r="AQ105" i="1"/>
  <c r="U102" i="4" s="1"/>
  <c r="AQ104" i="1"/>
  <c r="U101" i="4" s="1"/>
  <c r="AQ103" i="1"/>
  <c r="U100" i="4" s="1"/>
  <c r="AQ102" i="1"/>
  <c r="U99" i="4" s="1"/>
  <c r="AQ101" i="1"/>
  <c r="U98" i="4" s="1"/>
  <c r="AQ100" i="1"/>
  <c r="U97" i="4" s="1"/>
  <c r="AQ99" i="1"/>
  <c r="U96" i="4" s="1"/>
  <c r="AQ98" i="1"/>
  <c r="U95" i="4" s="1"/>
  <c r="AQ97" i="1"/>
  <c r="U94" i="4" s="1"/>
  <c r="AQ96" i="1"/>
  <c r="U93" i="4" s="1"/>
  <c r="AQ95" i="1"/>
  <c r="U92" i="4" s="1"/>
  <c r="AQ94" i="1"/>
  <c r="U91" i="4" s="1"/>
  <c r="AQ93" i="1"/>
  <c r="U90" i="4" s="1"/>
  <c r="AQ92" i="1"/>
  <c r="U89" i="4" s="1"/>
  <c r="AQ91" i="1"/>
  <c r="U88" i="4" s="1"/>
  <c r="AQ90" i="1"/>
  <c r="U87" i="4" s="1"/>
  <c r="AQ89" i="1"/>
  <c r="U86" i="4" s="1"/>
  <c r="AQ88" i="1"/>
  <c r="U85" i="4" s="1"/>
  <c r="AQ87" i="1"/>
  <c r="U84" i="4" s="1"/>
  <c r="AQ86" i="1"/>
  <c r="U83" i="4" s="1"/>
  <c r="AQ85" i="1"/>
  <c r="U82" i="4" s="1"/>
  <c r="AQ84" i="1"/>
  <c r="U81" i="4" s="1"/>
  <c r="AQ83" i="1"/>
  <c r="U80" i="4" s="1"/>
  <c r="AQ82" i="1"/>
  <c r="U79" i="4" s="1"/>
  <c r="AQ81" i="1"/>
  <c r="U78" i="4" s="1"/>
  <c r="AQ80" i="1"/>
  <c r="U77" i="4" s="1"/>
  <c r="AQ79" i="1"/>
  <c r="U76" i="4" s="1"/>
  <c r="AQ78" i="1"/>
  <c r="U75" i="4" s="1"/>
  <c r="AQ77" i="1"/>
  <c r="U74" i="4" s="1"/>
  <c r="AQ76" i="1"/>
  <c r="U73" i="4" s="1"/>
  <c r="AQ75" i="1"/>
  <c r="U72" i="4" s="1"/>
  <c r="AQ74" i="1"/>
  <c r="U71" i="4" s="1"/>
  <c r="AQ73" i="1"/>
  <c r="U70" i="4" s="1"/>
  <c r="AQ72" i="1"/>
  <c r="U69" i="4" s="1"/>
  <c r="AQ71" i="1"/>
  <c r="U68" i="4" s="1"/>
  <c r="AQ70" i="1"/>
  <c r="U67" i="4" s="1"/>
  <c r="AQ69" i="1"/>
  <c r="U66" i="4" s="1"/>
  <c r="AQ68" i="1"/>
  <c r="U65" i="4" s="1"/>
  <c r="AQ67" i="1"/>
  <c r="U64" i="4" s="1"/>
  <c r="AQ66" i="1"/>
  <c r="U63" i="4" s="1"/>
  <c r="AQ65" i="1"/>
  <c r="U62" i="4" s="1"/>
  <c r="AQ64" i="1"/>
  <c r="U61" i="4" s="1"/>
  <c r="AQ63" i="1"/>
  <c r="U60" i="4" s="1"/>
  <c r="AQ62" i="1"/>
  <c r="U59" i="4" s="1"/>
  <c r="AQ61" i="1"/>
  <c r="U58" i="4" s="1"/>
  <c r="AQ60" i="1"/>
  <c r="U57" i="4" s="1"/>
  <c r="AQ59" i="1"/>
  <c r="U56" i="4" s="1"/>
  <c r="AQ58" i="1"/>
  <c r="U55" i="4" s="1"/>
  <c r="AQ57" i="1"/>
  <c r="U54" i="4" s="1"/>
  <c r="AQ56" i="1"/>
  <c r="U53" i="4" s="1"/>
  <c r="AQ55" i="1"/>
  <c r="U52" i="4" s="1"/>
  <c r="AQ54" i="1"/>
  <c r="U51" i="4" s="1"/>
  <c r="AQ53" i="1"/>
  <c r="U50" i="4" s="1"/>
  <c r="AQ52" i="1"/>
  <c r="U49" i="4" s="1"/>
  <c r="AQ51" i="1"/>
  <c r="U48" i="4" s="1"/>
  <c r="AQ50" i="1"/>
  <c r="U47" i="4" s="1"/>
  <c r="AQ49" i="1"/>
  <c r="U46" i="4" s="1"/>
  <c r="AQ48" i="1"/>
  <c r="U45" i="4" s="1"/>
  <c r="AQ47" i="1"/>
  <c r="U44" i="4" s="1"/>
  <c r="AQ46" i="1"/>
  <c r="U43" i="4" s="1"/>
  <c r="AQ45" i="1"/>
  <c r="U42" i="4" s="1"/>
  <c r="AQ44" i="1"/>
  <c r="U41" i="4" s="1"/>
  <c r="AQ43" i="1"/>
  <c r="U40" i="4" s="1"/>
  <c r="AQ42" i="1"/>
  <c r="U39" i="4" s="1"/>
  <c r="AQ41" i="1"/>
  <c r="U38" i="4" s="1"/>
  <c r="AQ40" i="1"/>
  <c r="U37" i="4" s="1"/>
  <c r="AQ39" i="1"/>
  <c r="U36" i="4" s="1"/>
  <c r="AQ38" i="1"/>
  <c r="U35" i="4" s="1"/>
  <c r="AQ37" i="1"/>
  <c r="U34" i="4" s="1"/>
  <c r="AQ36" i="1"/>
  <c r="U33" i="4" s="1"/>
  <c r="AQ35" i="1"/>
  <c r="U32" i="4" s="1"/>
  <c r="AQ34" i="1"/>
  <c r="U31" i="4" s="1"/>
  <c r="AQ33" i="1"/>
  <c r="U30" i="4" s="1"/>
  <c r="AQ32" i="1"/>
  <c r="U29" i="4" s="1"/>
  <c r="AQ31" i="1"/>
  <c r="U28" i="4" s="1"/>
  <c r="AQ30" i="1"/>
  <c r="U27" i="4" s="1"/>
  <c r="AQ29" i="1"/>
  <c r="U26" i="4" s="1"/>
  <c r="AQ28" i="1"/>
  <c r="U25" i="4" s="1"/>
  <c r="AQ27" i="1"/>
  <c r="U24" i="4" s="1"/>
  <c r="AQ26" i="1"/>
  <c r="U23" i="4" s="1"/>
  <c r="AQ24" i="1"/>
  <c r="U21" i="4" s="1"/>
  <c r="AQ23" i="1"/>
  <c r="U20" i="4" s="1"/>
  <c r="AQ22" i="1"/>
  <c r="U19" i="4" s="1"/>
  <c r="AQ21" i="1"/>
  <c r="U18" i="4" s="1"/>
  <c r="AQ20" i="1"/>
  <c r="U17" i="4" s="1"/>
  <c r="AQ19" i="1"/>
  <c r="U16" i="4" s="1"/>
  <c r="AQ18" i="1"/>
  <c r="U15" i="4" s="1"/>
  <c r="AQ17" i="1"/>
  <c r="U14" i="4" s="1"/>
  <c r="AQ16" i="1"/>
  <c r="U13" i="4" s="1"/>
  <c r="AQ15" i="1"/>
  <c r="U12" i="4" s="1"/>
  <c r="AQ14" i="1"/>
  <c r="U11" i="4" s="1"/>
  <c r="AQ13" i="1"/>
  <c r="U10" i="4" s="1"/>
  <c r="AQ12" i="1"/>
  <c r="U9" i="4" s="1"/>
  <c r="AQ11" i="1"/>
  <c r="U8" i="4" s="1"/>
  <c r="AQ10" i="1"/>
  <c r="U7" i="4" s="1"/>
  <c r="AQ9" i="1"/>
  <c r="U6" i="4" s="1"/>
  <c r="AQ8" i="1"/>
  <c r="U5" i="4" s="1"/>
  <c r="AQ7" i="1"/>
  <c r="U4" i="4" s="1"/>
  <c r="AQ6" i="1"/>
  <c r="U3" i="4" s="1"/>
  <c r="J57" i="4"/>
  <c r="J34" i="4"/>
  <c r="AC55" i="1"/>
  <c r="O52" i="4" s="1"/>
  <c r="AC6" i="1"/>
  <c r="O3" i="4" s="1"/>
  <c r="AC7" i="1"/>
  <c r="O4" i="4" s="1"/>
  <c r="AC8" i="1"/>
  <c r="O5" i="4" s="1"/>
  <c r="AC9" i="1"/>
  <c r="O6" i="4" s="1"/>
  <c r="AC10" i="1"/>
  <c r="O7" i="4" s="1"/>
  <c r="AC11" i="1"/>
  <c r="O8" i="4" s="1"/>
  <c r="AC12" i="1"/>
  <c r="O9" i="4" s="1"/>
  <c r="AC13" i="1"/>
  <c r="O10" i="4" s="1"/>
  <c r="AC14" i="1"/>
  <c r="O11" i="4" s="1"/>
  <c r="AC15" i="1"/>
  <c r="O12" i="4" s="1"/>
  <c r="AC16" i="1"/>
  <c r="O13" i="4" s="1"/>
  <c r="AC17" i="1"/>
  <c r="O14" i="4" s="1"/>
  <c r="AC18" i="1"/>
  <c r="O15" i="4" s="1"/>
  <c r="AC19" i="1"/>
  <c r="O16" i="4" s="1"/>
  <c r="AC20" i="1"/>
  <c r="O17" i="4" s="1"/>
  <c r="AC21" i="1"/>
  <c r="O18" i="4" s="1"/>
  <c r="AC22" i="1"/>
  <c r="O19" i="4" s="1"/>
  <c r="AC23" i="1"/>
  <c r="O20" i="4" s="1"/>
  <c r="AC24" i="1"/>
  <c r="O21" i="4" s="1"/>
  <c r="AC26" i="1"/>
  <c r="O23" i="4" s="1"/>
  <c r="AC27" i="1"/>
  <c r="O24" i="4" s="1"/>
  <c r="AC28" i="1"/>
  <c r="O25" i="4" s="1"/>
  <c r="AC29" i="1"/>
  <c r="O26" i="4" s="1"/>
  <c r="AC30" i="1"/>
  <c r="O27" i="4" s="1"/>
  <c r="AC31" i="1"/>
  <c r="O28" i="4" s="1"/>
  <c r="AC32" i="1"/>
  <c r="O29" i="4" s="1"/>
  <c r="AC34" i="1"/>
  <c r="O31" i="4" s="1"/>
  <c r="AC35" i="1"/>
  <c r="O32" i="4" s="1"/>
  <c r="AC37" i="1"/>
  <c r="O34" i="4" s="1"/>
  <c r="AC5" i="1"/>
  <c r="O2" i="4" s="1"/>
  <c r="AC120" i="1"/>
  <c r="O117" i="4" s="1"/>
  <c r="AC121" i="1"/>
  <c r="O118" i="4" s="1"/>
  <c r="AC122" i="1"/>
  <c r="O119" i="4" s="1"/>
  <c r="AC123" i="1"/>
  <c r="O120" i="4" s="1"/>
  <c r="AC124" i="1"/>
  <c r="O121" i="4" s="1"/>
  <c r="AC125" i="1"/>
  <c r="O122" i="4" s="1"/>
  <c r="AC126" i="1"/>
  <c r="O123" i="4" s="1"/>
  <c r="AC127" i="1"/>
  <c r="O124" i="4" s="1"/>
  <c r="AC128" i="1"/>
  <c r="O125" i="4" s="1"/>
  <c r="AC129" i="1"/>
  <c r="O126" i="4" s="1"/>
  <c r="AC131" i="1"/>
  <c r="O128" i="4" s="1"/>
  <c r="AC132" i="1"/>
  <c r="O129" i="4" s="1"/>
  <c r="AC133" i="1"/>
  <c r="O130" i="4" s="1"/>
  <c r="AC134" i="1"/>
  <c r="O131" i="4" s="1"/>
  <c r="AC135" i="1"/>
  <c r="O132" i="4" s="1"/>
  <c r="AC136" i="1"/>
  <c r="O133" i="4" s="1"/>
  <c r="AC137" i="1"/>
  <c r="O134" i="4" s="1"/>
  <c r="AC138" i="1"/>
  <c r="O135" i="4" s="1"/>
  <c r="AC141" i="1"/>
  <c r="O138" i="4" s="1"/>
  <c r="AC91" i="1"/>
  <c r="O88" i="4" s="1"/>
  <c r="AC94" i="1"/>
  <c r="O91" i="4" s="1"/>
  <c r="AC95" i="1"/>
  <c r="O92" i="4" s="1"/>
  <c r="AC101" i="1"/>
  <c r="O98" i="4" s="1"/>
  <c r="AC102" i="1"/>
  <c r="O99" i="4" s="1"/>
  <c r="AC103" i="1"/>
  <c r="O100" i="4" s="1"/>
  <c r="AC104" i="1"/>
  <c r="O101" i="4" s="1"/>
  <c r="AC105" i="1"/>
  <c r="O102" i="4" s="1"/>
  <c r="AC106" i="1"/>
  <c r="O103" i="4" s="1"/>
  <c r="AC107" i="1"/>
  <c r="O104" i="4" s="1"/>
  <c r="AC108" i="1"/>
  <c r="O105" i="4" s="1"/>
  <c r="AC109" i="1"/>
  <c r="O106" i="4" s="1"/>
  <c r="AC110" i="1"/>
  <c r="O107" i="4" s="1"/>
  <c r="AC112" i="1"/>
  <c r="O109" i="4" s="1"/>
  <c r="AC113" i="1"/>
  <c r="O110" i="4" s="1"/>
  <c r="AC114" i="1"/>
  <c r="O111" i="4" s="1"/>
  <c r="AC115" i="1"/>
  <c r="O112" i="4" s="1"/>
  <c r="AC116" i="1"/>
  <c r="O113" i="4" s="1"/>
  <c r="AC117" i="1"/>
  <c r="O114" i="4" s="1"/>
  <c r="AC118" i="1"/>
  <c r="O115" i="4" s="1"/>
  <c r="AC119" i="1"/>
  <c r="O116" i="4" s="1"/>
  <c r="AC72" i="1"/>
  <c r="O69" i="4" s="1"/>
  <c r="AC73" i="1"/>
  <c r="O70" i="4" s="1"/>
  <c r="AC74" i="1"/>
  <c r="O71" i="4" s="1"/>
  <c r="AC75" i="1"/>
  <c r="O72" i="4" s="1"/>
  <c r="AC76" i="1"/>
  <c r="O73" i="4" s="1"/>
  <c r="AC77" i="1"/>
  <c r="O74" i="4" s="1"/>
  <c r="AC78" i="1"/>
  <c r="O75" i="4" s="1"/>
  <c r="AC79" i="1"/>
  <c r="O76" i="4" s="1"/>
  <c r="AC81" i="1"/>
  <c r="O78" i="4" s="1"/>
  <c r="AC82" i="1"/>
  <c r="O79" i="4" s="1"/>
  <c r="AC83" i="1"/>
  <c r="O80" i="4" s="1"/>
  <c r="AC86" i="1"/>
  <c r="O83" i="4" s="1"/>
  <c r="AC87" i="1"/>
  <c r="O84" i="4" s="1"/>
  <c r="AC88" i="1"/>
  <c r="O85" i="4" s="1"/>
  <c r="AC89" i="1"/>
  <c r="O86" i="4" s="1"/>
  <c r="AC62" i="1"/>
  <c r="O59" i="4" s="1"/>
  <c r="AC63" i="1"/>
  <c r="O60" i="4" s="1"/>
  <c r="AC64" i="1"/>
  <c r="O61" i="4" s="1"/>
  <c r="AC65" i="1"/>
  <c r="O62" i="4" s="1"/>
  <c r="AC66" i="1"/>
  <c r="O63" i="4" s="1"/>
  <c r="AC67" i="1"/>
  <c r="O64" i="4" s="1"/>
  <c r="AC68" i="1"/>
  <c r="O65" i="4" s="1"/>
  <c r="AC69" i="1"/>
  <c r="O66" i="4" s="1"/>
  <c r="AC52" i="1"/>
  <c r="O49" i="4" s="1"/>
  <c r="AC53" i="1"/>
  <c r="O50" i="4" s="1"/>
  <c r="AC54" i="1"/>
  <c r="O51" i="4" s="1"/>
  <c r="AC56" i="1"/>
  <c r="O53" i="4" s="1"/>
  <c r="AC57" i="1"/>
  <c r="O54" i="4" s="1"/>
  <c r="AC51" i="1"/>
  <c r="O48" i="4" s="1"/>
  <c r="AC39" i="1"/>
  <c r="O36" i="4" s="1"/>
  <c r="AC40" i="1"/>
  <c r="O37" i="4" s="1"/>
  <c r="AC41" i="1"/>
  <c r="O38" i="4" s="1"/>
  <c r="AC42" i="1"/>
  <c r="O39" i="4" s="1"/>
  <c r="AC43" i="1"/>
  <c r="O40" i="4" s="1"/>
  <c r="AC44" i="1"/>
  <c r="O41" i="4" s="1"/>
  <c r="AC45" i="1"/>
  <c r="O42" i="4" s="1"/>
  <c r="AC46" i="1"/>
  <c r="O43" i="4" s="1"/>
  <c r="AC47" i="1"/>
  <c r="O44" i="4" s="1"/>
  <c r="AC48" i="1"/>
  <c r="O45" i="4" s="1"/>
  <c r="AC38" i="1"/>
  <c r="O35" i="4" s="1"/>
  <c r="AC60" i="1"/>
  <c r="O57" i="4" s="1"/>
  <c r="AZ38" i="1"/>
  <c r="Z35" i="4" s="1"/>
  <c r="AZ13" i="1"/>
  <c r="Z10" i="4" s="1"/>
  <c r="AZ14" i="1"/>
  <c r="Z11" i="4" s="1"/>
  <c r="AZ15" i="1"/>
  <c r="Z12" i="4" s="1"/>
  <c r="AZ16" i="1"/>
  <c r="Z13" i="4" s="1"/>
  <c r="AZ17" i="1"/>
  <c r="Z14" i="4" s="1"/>
  <c r="AZ18" i="1"/>
  <c r="Z15" i="4" s="1"/>
  <c r="AZ19" i="1"/>
  <c r="Z16" i="4" s="1"/>
  <c r="AZ20" i="1"/>
  <c r="Z17" i="4" s="1"/>
  <c r="AZ21" i="1"/>
  <c r="Z18" i="4" s="1"/>
  <c r="AZ22" i="1"/>
  <c r="Z19" i="4" s="1"/>
  <c r="AZ23" i="1"/>
  <c r="Z20" i="4" s="1"/>
  <c r="AZ24" i="1"/>
  <c r="Z21" i="4" s="1"/>
  <c r="AZ25" i="1"/>
  <c r="Z22" i="4" s="1"/>
  <c r="AZ26" i="1"/>
  <c r="Z23" i="4" s="1"/>
  <c r="AZ27" i="1"/>
  <c r="Z24" i="4" s="1"/>
  <c r="AZ28" i="1"/>
  <c r="Z25" i="4" s="1"/>
  <c r="AZ29" i="1"/>
  <c r="Z26" i="4" s="1"/>
  <c r="AZ30" i="1"/>
  <c r="Z27" i="4" s="1"/>
  <c r="AZ31" i="1"/>
  <c r="Z28" i="4" s="1"/>
  <c r="AZ32" i="1"/>
  <c r="Z29" i="4" s="1"/>
  <c r="AZ33" i="1"/>
  <c r="Z30" i="4" s="1"/>
  <c r="AZ34" i="1"/>
  <c r="Z31" i="4" s="1"/>
  <c r="AZ35" i="1"/>
  <c r="Z32" i="4" s="1"/>
  <c r="AZ36" i="1"/>
  <c r="Z33" i="4" s="1"/>
  <c r="AZ37" i="1"/>
  <c r="Z34" i="4" s="1"/>
  <c r="AZ39" i="1"/>
  <c r="Z36" i="4" s="1"/>
  <c r="AZ40" i="1"/>
  <c r="Z37" i="4" s="1"/>
  <c r="AZ41" i="1"/>
  <c r="Z38" i="4" s="1"/>
  <c r="AZ42" i="1"/>
  <c r="Z39" i="4" s="1"/>
  <c r="AZ43" i="1"/>
  <c r="Z40" i="4" s="1"/>
  <c r="AZ44" i="1"/>
  <c r="Z41" i="4" s="1"/>
  <c r="AZ45" i="1"/>
  <c r="Z42" i="4" s="1"/>
  <c r="AZ46" i="1"/>
  <c r="Z43" i="4" s="1"/>
  <c r="AZ47" i="1"/>
  <c r="Z44" i="4" s="1"/>
  <c r="AZ48" i="1"/>
  <c r="Z45" i="4" s="1"/>
  <c r="AZ51" i="1"/>
  <c r="Z48" i="4" s="1"/>
  <c r="AZ52" i="1"/>
  <c r="Z49" i="4" s="1"/>
  <c r="AZ53" i="1"/>
  <c r="Z50" i="4" s="1"/>
  <c r="AZ54" i="1"/>
  <c r="Z51" i="4" s="1"/>
  <c r="AZ55" i="1"/>
  <c r="Z52" i="4" s="1"/>
  <c r="AZ56" i="1"/>
  <c r="Z53" i="4" s="1"/>
  <c r="AZ57" i="1"/>
  <c r="Z54" i="4" s="1"/>
  <c r="AZ58" i="1"/>
  <c r="Z55" i="4" s="1"/>
  <c r="AZ59" i="1"/>
  <c r="Z56" i="4" s="1"/>
  <c r="AZ60" i="1"/>
  <c r="Z57" i="4" s="1"/>
  <c r="AZ61" i="1"/>
  <c r="Z58" i="4" s="1"/>
  <c r="AZ62" i="1"/>
  <c r="Z59" i="4" s="1"/>
  <c r="AZ63" i="1"/>
  <c r="Z60" i="4" s="1"/>
  <c r="AZ64" i="1"/>
  <c r="Z61" i="4" s="1"/>
  <c r="AZ65" i="1"/>
  <c r="Z62" i="4" s="1"/>
  <c r="AZ66" i="1"/>
  <c r="Z63" i="4" s="1"/>
  <c r="AZ67" i="1"/>
  <c r="Z64" i="4" s="1"/>
  <c r="AZ68" i="1"/>
  <c r="Z65" i="4" s="1"/>
  <c r="AZ69" i="1"/>
  <c r="Z66" i="4" s="1"/>
  <c r="AZ70" i="1"/>
  <c r="Z67" i="4" s="1"/>
  <c r="AZ71" i="1"/>
  <c r="Z68" i="4" s="1"/>
  <c r="AZ72" i="1"/>
  <c r="Z69" i="4" s="1"/>
  <c r="AZ73" i="1"/>
  <c r="Z70" i="4" s="1"/>
  <c r="AZ74" i="1"/>
  <c r="Z71" i="4" s="1"/>
  <c r="AZ75" i="1"/>
  <c r="Z72" i="4" s="1"/>
  <c r="AZ76" i="1"/>
  <c r="Z73" i="4" s="1"/>
  <c r="AZ77" i="1"/>
  <c r="Z74" i="4" s="1"/>
  <c r="AZ78" i="1"/>
  <c r="Z75" i="4" s="1"/>
  <c r="AZ79" i="1"/>
  <c r="Z76" i="4" s="1"/>
  <c r="AZ80" i="1"/>
  <c r="Z77" i="4" s="1"/>
  <c r="AZ81" i="1"/>
  <c r="Z78" i="4" s="1"/>
  <c r="AZ82" i="1"/>
  <c r="Z79" i="4" s="1"/>
  <c r="AZ83" i="1"/>
  <c r="Z80" i="4" s="1"/>
  <c r="AZ85" i="1"/>
  <c r="Z82" i="4" s="1"/>
  <c r="AZ86" i="1"/>
  <c r="Z83" i="4" s="1"/>
  <c r="AZ87" i="1"/>
  <c r="Z84" i="4" s="1"/>
  <c r="AZ88" i="1"/>
  <c r="Z85" i="4" s="1"/>
  <c r="AZ89" i="1"/>
  <c r="Z86" i="4" s="1"/>
  <c r="AZ90" i="1"/>
  <c r="Z87" i="4" s="1"/>
  <c r="AZ91" i="1"/>
  <c r="Z88" i="4" s="1"/>
  <c r="AZ92" i="1"/>
  <c r="Z89" i="4" s="1"/>
  <c r="AZ93" i="1"/>
  <c r="Z90" i="4" s="1"/>
  <c r="AZ94" i="1"/>
  <c r="Z91" i="4" s="1"/>
  <c r="AZ95" i="1"/>
  <c r="Z92" i="4" s="1"/>
  <c r="AZ96" i="1"/>
  <c r="Z93" i="4" s="1"/>
  <c r="AZ97" i="1"/>
  <c r="Z94" i="4" s="1"/>
  <c r="AZ98" i="1"/>
  <c r="Z95" i="4" s="1"/>
  <c r="AZ99" i="1"/>
  <c r="Z96" i="4" s="1"/>
  <c r="AZ100" i="1"/>
  <c r="Z97" i="4" s="1"/>
  <c r="AZ101" i="1"/>
  <c r="Z98" i="4" s="1"/>
  <c r="AZ102" i="1"/>
  <c r="Z99" i="4" s="1"/>
  <c r="AZ103" i="1"/>
  <c r="Z100" i="4" s="1"/>
  <c r="AZ104" i="1"/>
  <c r="Z101" i="4" s="1"/>
  <c r="AZ105" i="1"/>
  <c r="Z102" i="4" s="1"/>
  <c r="AZ106" i="1"/>
  <c r="Z103" i="4" s="1"/>
  <c r="AZ107" i="1"/>
  <c r="Z104" i="4" s="1"/>
  <c r="AZ108" i="1"/>
  <c r="Z105" i="4" s="1"/>
  <c r="AZ109" i="1"/>
  <c r="Z106" i="4" s="1"/>
  <c r="AZ110" i="1"/>
  <c r="Z107" i="4" s="1"/>
  <c r="AZ111" i="1"/>
  <c r="Z108" i="4" s="1"/>
  <c r="AZ112" i="1"/>
  <c r="Z109" i="4" s="1"/>
  <c r="AZ113" i="1"/>
  <c r="Z110" i="4" s="1"/>
  <c r="AZ114" i="1"/>
  <c r="Z111" i="4" s="1"/>
  <c r="AZ115" i="1"/>
  <c r="Z112" i="4" s="1"/>
  <c r="AZ116" i="1"/>
  <c r="Z113" i="4" s="1"/>
  <c r="AZ117" i="1"/>
  <c r="Z114" i="4" s="1"/>
  <c r="AZ118" i="1"/>
  <c r="Z115" i="4" s="1"/>
  <c r="AZ119" i="1"/>
  <c r="Z116" i="4" s="1"/>
  <c r="AZ120" i="1"/>
  <c r="Z117" i="4" s="1"/>
  <c r="AZ121" i="1"/>
  <c r="Z118" i="4" s="1"/>
  <c r="AZ122" i="1"/>
  <c r="Z119" i="4" s="1"/>
  <c r="AZ123" i="1"/>
  <c r="Z120" i="4" s="1"/>
  <c r="AZ124" i="1"/>
  <c r="Z121" i="4" s="1"/>
  <c r="AZ125" i="1"/>
  <c r="Z122" i="4" s="1"/>
  <c r="AZ126" i="1"/>
  <c r="Z123" i="4" s="1"/>
  <c r="AZ127" i="1"/>
  <c r="Z124" i="4" s="1"/>
  <c r="AZ128" i="1"/>
  <c r="Z125" i="4" s="1"/>
  <c r="AZ129" i="1"/>
  <c r="Z126" i="4" s="1"/>
  <c r="AZ130" i="1"/>
  <c r="Z127" i="4" s="1"/>
  <c r="AZ131" i="1"/>
  <c r="Z128" i="4" s="1"/>
  <c r="AZ132" i="1"/>
  <c r="Z129" i="4" s="1"/>
  <c r="AZ133" i="1"/>
  <c r="Z130" i="4" s="1"/>
  <c r="AZ134" i="1"/>
  <c r="Z131" i="4" s="1"/>
  <c r="AZ135" i="1"/>
  <c r="Z132" i="4" s="1"/>
  <c r="AZ136" i="1"/>
  <c r="Z133" i="4" s="1"/>
  <c r="AZ137" i="1"/>
  <c r="Z134" i="4" s="1"/>
  <c r="AZ138" i="1"/>
  <c r="Z135" i="4" s="1"/>
  <c r="AZ139" i="1"/>
  <c r="Z136" i="4" s="1"/>
  <c r="AZ140" i="1"/>
  <c r="Z137" i="4" s="1"/>
  <c r="AZ141" i="1"/>
  <c r="Z138" i="4" s="1"/>
  <c r="AZ6" i="1"/>
  <c r="Z3" i="4" s="1"/>
  <c r="AZ7" i="1"/>
  <c r="Z4" i="4" s="1"/>
  <c r="AZ8" i="1"/>
  <c r="Z5" i="4" s="1"/>
  <c r="AZ9" i="1"/>
  <c r="Z6" i="4" s="1"/>
  <c r="AZ10" i="1"/>
  <c r="Z7" i="4" s="1"/>
  <c r="AZ11" i="1"/>
  <c r="Z8" i="4" s="1"/>
  <c r="AZ12" i="1"/>
  <c r="Z9" i="4" s="1"/>
  <c r="AZ5" i="1"/>
  <c r="Z2" i="4" s="1"/>
  <c r="BI6" i="1"/>
  <c r="AE3" i="4" s="1"/>
  <c r="BI7" i="1"/>
  <c r="AE4" i="4" s="1"/>
  <c r="BI8" i="1"/>
  <c r="AE5" i="4" s="1"/>
  <c r="BI9" i="1"/>
  <c r="AE6" i="4" s="1"/>
  <c r="BI10" i="1"/>
  <c r="AE7" i="4" s="1"/>
  <c r="BI11" i="1"/>
  <c r="AE8" i="4" s="1"/>
  <c r="BI12" i="1"/>
  <c r="AE9" i="4" s="1"/>
  <c r="BI13" i="1"/>
  <c r="AE10" i="4" s="1"/>
  <c r="BI14" i="1"/>
  <c r="AE11" i="4" s="1"/>
  <c r="BI15" i="1"/>
  <c r="AE12" i="4" s="1"/>
  <c r="BI16" i="1"/>
  <c r="AE13" i="4" s="1"/>
  <c r="BI17" i="1"/>
  <c r="AE14" i="4" s="1"/>
  <c r="BI18" i="1"/>
  <c r="AE15" i="4" s="1"/>
  <c r="BI19" i="1"/>
  <c r="AE16" i="4" s="1"/>
  <c r="BI20" i="1"/>
  <c r="AE17" i="4" s="1"/>
  <c r="BI21" i="1"/>
  <c r="AE18" i="4" s="1"/>
  <c r="BI22" i="1"/>
  <c r="AE19" i="4" s="1"/>
  <c r="BI23" i="1"/>
  <c r="AE20" i="4" s="1"/>
  <c r="BI24" i="1"/>
  <c r="AE21" i="4" s="1"/>
  <c r="BI25" i="1"/>
  <c r="AE22" i="4" s="1"/>
  <c r="BI26" i="1"/>
  <c r="AE23" i="4" s="1"/>
  <c r="BI27" i="1"/>
  <c r="AE24" i="4" s="1"/>
  <c r="BI28" i="1"/>
  <c r="AE25" i="4" s="1"/>
  <c r="BI29" i="1"/>
  <c r="AE26" i="4" s="1"/>
  <c r="BI30" i="1"/>
  <c r="AE27" i="4" s="1"/>
  <c r="BI31" i="1"/>
  <c r="AE28" i="4" s="1"/>
  <c r="BI32" i="1"/>
  <c r="AE29" i="4" s="1"/>
  <c r="BI33" i="1"/>
  <c r="AE30" i="4" s="1"/>
  <c r="BI34" i="1"/>
  <c r="AE31" i="4" s="1"/>
  <c r="BI35" i="1"/>
  <c r="AE32" i="4" s="1"/>
  <c r="BI36" i="1"/>
  <c r="AE33" i="4" s="1"/>
  <c r="BI37" i="1"/>
  <c r="AE34" i="4" s="1"/>
  <c r="BI38" i="1"/>
  <c r="AE35" i="4" s="1"/>
  <c r="BI39" i="1"/>
  <c r="AE36" i="4" s="1"/>
  <c r="BI40" i="1"/>
  <c r="AE37" i="4" s="1"/>
  <c r="BI41" i="1"/>
  <c r="AE38" i="4" s="1"/>
  <c r="BI42" i="1"/>
  <c r="AE39" i="4" s="1"/>
  <c r="BI43" i="1"/>
  <c r="AE40" i="4" s="1"/>
  <c r="BI44" i="1"/>
  <c r="AE41" i="4" s="1"/>
  <c r="BI45" i="1"/>
  <c r="AE42" i="4" s="1"/>
  <c r="BI46" i="1"/>
  <c r="AE43" i="4" s="1"/>
  <c r="BI47" i="1"/>
  <c r="AE44" i="4" s="1"/>
  <c r="BI48" i="1"/>
  <c r="AE45" i="4" s="1"/>
  <c r="BI49" i="1"/>
  <c r="AE46" i="4" s="1"/>
  <c r="BI50" i="1"/>
  <c r="AE47" i="4" s="1"/>
  <c r="BI51" i="1"/>
  <c r="AE48" i="4" s="1"/>
  <c r="BI52" i="1"/>
  <c r="AE49" i="4" s="1"/>
  <c r="BI53" i="1"/>
  <c r="AE50" i="4" s="1"/>
  <c r="BI54" i="1"/>
  <c r="AE51" i="4" s="1"/>
  <c r="BI55" i="1"/>
  <c r="AE52" i="4" s="1"/>
  <c r="BI56" i="1"/>
  <c r="AE53" i="4" s="1"/>
  <c r="BI57" i="1"/>
  <c r="AE54" i="4" s="1"/>
  <c r="BI58" i="1"/>
  <c r="AE55" i="4" s="1"/>
  <c r="BI59" i="1"/>
  <c r="AE56" i="4" s="1"/>
  <c r="BI60" i="1"/>
  <c r="AE57" i="4" s="1"/>
  <c r="BI61" i="1"/>
  <c r="AE58" i="4" s="1"/>
  <c r="BI62" i="1"/>
  <c r="AE59" i="4" s="1"/>
  <c r="BI63" i="1"/>
  <c r="AE60" i="4" s="1"/>
  <c r="BI64" i="1"/>
  <c r="AE61" i="4" s="1"/>
  <c r="BI65" i="1"/>
  <c r="AE62" i="4" s="1"/>
  <c r="BI66" i="1"/>
  <c r="AE63" i="4" s="1"/>
  <c r="BI67" i="1"/>
  <c r="AE64" i="4" s="1"/>
  <c r="BI68" i="1"/>
  <c r="AE65" i="4" s="1"/>
  <c r="BI69" i="1"/>
  <c r="AE66" i="4" s="1"/>
  <c r="BI70" i="1"/>
  <c r="AE67" i="4" s="1"/>
  <c r="BI71" i="1"/>
  <c r="AE68" i="4" s="1"/>
  <c r="BI72" i="1"/>
  <c r="AE69" i="4" s="1"/>
  <c r="BI73" i="1"/>
  <c r="AE70" i="4" s="1"/>
  <c r="BI74" i="1"/>
  <c r="AE71" i="4" s="1"/>
  <c r="BI75" i="1"/>
  <c r="AE72" i="4" s="1"/>
  <c r="BI76" i="1"/>
  <c r="AE73" i="4" s="1"/>
  <c r="BI77" i="1"/>
  <c r="AE74" i="4" s="1"/>
  <c r="BI78" i="1"/>
  <c r="AE75" i="4" s="1"/>
  <c r="BI79" i="1"/>
  <c r="AE76" i="4" s="1"/>
  <c r="BI80" i="1"/>
  <c r="AE77" i="4" s="1"/>
  <c r="BI81" i="1"/>
  <c r="AE78" i="4" s="1"/>
  <c r="BI82" i="1"/>
  <c r="AE79" i="4" s="1"/>
  <c r="BI83" i="1"/>
  <c r="AE80" i="4" s="1"/>
  <c r="BI84" i="1"/>
  <c r="AE81" i="4" s="1"/>
  <c r="BI85" i="1"/>
  <c r="AE82" i="4" s="1"/>
  <c r="BI86" i="1"/>
  <c r="AE83" i="4" s="1"/>
  <c r="BI87" i="1"/>
  <c r="AE84" i="4" s="1"/>
  <c r="BI88" i="1"/>
  <c r="AE85" i="4" s="1"/>
  <c r="BI89" i="1"/>
  <c r="AE86" i="4" s="1"/>
  <c r="BI90" i="1"/>
  <c r="AE87" i="4" s="1"/>
  <c r="BI91" i="1"/>
  <c r="AE88" i="4" s="1"/>
  <c r="BI92" i="1"/>
  <c r="AE89" i="4" s="1"/>
  <c r="BI93" i="1"/>
  <c r="AE90" i="4" s="1"/>
  <c r="BI94" i="1"/>
  <c r="AE91" i="4" s="1"/>
  <c r="BI95" i="1"/>
  <c r="AE92" i="4" s="1"/>
  <c r="BI96" i="1"/>
  <c r="AE93" i="4" s="1"/>
  <c r="BI97" i="1"/>
  <c r="AE94" i="4" s="1"/>
  <c r="BI98" i="1"/>
  <c r="AE95" i="4" s="1"/>
  <c r="BI99" i="1"/>
  <c r="AE96" i="4" s="1"/>
  <c r="BI100" i="1"/>
  <c r="AE97" i="4" s="1"/>
  <c r="BI101" i="1"/>
  <c r="AE98" i="4" s="1"/>
  <c r="BI102" i="1"/>
  <c r="AE99" i="4" s="1"/>
  <c r="BI103" i="1"/>
  <c r="AE100" i="4" s="1"/>
  <c r="BI104" i="1"/>
  <c r="AE101" i="4" s="1"/>
  <c r="BI105" i="1"/>
  <c r="AE102" i="4" s="1"/>
  <c r="BI106" i="1"/>
  <c r="AE103" i="4" s="1"/>
  <c r="BI107" i="1"/>
  <c r="AE104" i="4" s="1"/>
  <c r="BI108" i="1"/>
  <c r="AE105" i="4" s="1"/>
  <c r="BI109" i="1"/>
  <c r="AE106" i="4" s="1"/>
  <c r="BI110" i="1"/>
  <c r="AE107" i="4" s="1"/>
  <c r="BI111" i="1"/>
  <c r="AE108" i="4" s="1"/>
  <c r="BI112" i="1"/>
  <c r="AE109" i="4" s="1"/>
  <c r="BI113" i="1"/>
  <c r="AE110" i="4" s="1"/>
  <c r="BI114" i="1"/>
  <c r="AE111" i="4" s="1"/>
  <c r="BI115" i="1"/>
  <c r="AE112" i="4" s="1"/>
  <c r="BI116" i="1"/>
  <c r="AE113" i="4" s="1"/>
  <c r="BI117" i="1"/>
  <c r="AE114" i="4" s="1"/>
  <c r="BI118" i="1"/>
  <c r="AE115" i="4" s="1"/>
  <c r="BI119" i="1"/>
  <c r="AE116" i="4" s="1"/>
  <c r="BI120" i="1"/>
  <c r="AE117" i="4" s="1"/>
  <c r="BI121" i="1"/>
  <c r="AE118" i="4" s="1"/>
  <c r="BI122" i="1"/>
  <c r="AE119" i="4" s="1"/>
  <c r="BI123" i="1"/>
  <c r="AE120" i="4" s="1"/>
  <c r="BI124" i="1"/>
  <c r="AE121" i="4" s="1"/>
  <c r="BI125" i="1"/>
  <c r="AE122" i="4" s="1"/>
  <c r="BI126" i="1"/>
  <c r="AE123" i="4" s="1"/>
  <c r="BI127" i="1"/>
  <c r="AE124" i="4" s="1"/>
  <c r="BI128" i="1"/>
  <c r="AE125" i="4" s="1"/>
  <c r="BI129" i="1"/>
  <c r="AE126" i="4" s="1"/>
  <c r="BI130" i="1"/>
  <c r="AE127" i="4" s="1"/>
  <c r="BI131" i="1"/>
  <c r="AE128" i="4" s="1"/>
  <c r="BI132" i="1"/>
  <c r="AE129" i="4" s="1"/>
  <c r="BI133" i="1"/>
  <c r="AE130" i="4" s="1"/>
  <c r="BI134" i="1"/>
  <c r="AE131" i="4" s="1"/>
  <c r="BI135" i="1"/>
  <c r="AE132" i="4" s="1"/>
  <c r="BI136" i="1"/>
  <c r="AE133" i="4" s="1"/>
  <c r="BI137" i="1"/>
  <c r="AE134" i="4" s="1"/>
  <c r="BI138" i="1"/>
  <c r="AE135" i="4" s="1"/>
  <c r="BI139" i="1"/>
  <c r="AE136" i="4" s="1"/>
  <c r="BI140" i="1"/>
  <c r="AE137" i="4" s="1"/>
  <c r="BI141" i="1"/>
  <c r="AE138" i="4" s="1"/>
  <c r="BI5" i="1"/>
  <c r="AE2" i="4" s="1"/>
  <c r="BT6" i="1"/>
  <c r="AK3" i="4" s="1"/>
  <c r="BT7" i="1"/>
  <c r="AK4" i="4" s="1"/>
  <c r="BT8" i="1"/>
  <c r="AK5" i="4" s="1"/>
  <c r="BT9" i="1"/>
  <c r="AK6" i="4" s="1"/>
  <c r="BT10" i="1"/>
  <c r="AK7" i="4" s="1"/>
  <c r="BT11" i="1"/>
  <c r="AK8" i="4" s="1"/>
  <c r="BT12" i="1"/>
  <c r="AK9" i="4" s="1"/>
  <c r="BT13" i="1"/>
  <c r="AK10" i="4" s="1"/>
  <c r="BT14" i="1"/>
  <c r="AK11" i="4" s="1"/>
  <c r="BT15" i="1"/>
  <c r="AK12" i="4" s="1"/>
  <c r="BT16" i="1"/>
  <c r="AK13" i="4" s="1"/>
  <c r="BT17" i="1"/>
  <c r="AK14" i="4" s="1"/>
  <c r="BT18" i="1"/>
  <c r="AK15" i="4" s="1"/>
  <c r="BT19" i="1"/>
  <c r="AK16" i="4" s="1"/>
  <c r="BT20" i="1"/>
  <c r="AK17" i="4" s="1"/>
  <c r="BT21" i="1"/>
  <c r="AK18" i="4" s="1"/>
  <c r="BT22" i="1"/>
  <c r="AK19" i="4" s="1"/>
  <c r="BT23" i="1"/>
  <c r="AK20" i="4" s="1"/>
  <c r="BT24" i="1"/>
  <c r="AK21" i="4" s="1"/>
  <c r="BT25" i="1"/>
  <c r="AK22" i="4" s="1"/>
  <c r="BT26" i="1"/>
  <c r="AK23" i="4" s="1"/>
  <c r="BT27" i="1"/>
  <c r="AK24" i="4" s="1"/>
  <c r="BT28" i="1"/>
  <c r="AK25" i="4" s="1"/>
  <c r="BT29" i="1"/>
  <c r="AK26" i="4" s="1"/>
  <c r="BT30" i="1"/>
  <c r="AK27" i="4" s="1"/>
  <c r="BT31" i="1"/>
  <c r="AK28" i="4" s="1"/>
  <c r="BT32" i="1"/>
  <c r="AK29" i="4" s="1"/>
  <c r="BT33" i="1"/>
  <c r="AK30" i="4" s="1"/>
  <c r="BT34" i="1"/>
  <c r="AK31" i="4" s="1"/>
  <c r="BT35" i="1"/>
  <c r="AK32" i="4" s="1"/>
  <c r="BT36" i="1"/>
  <c r="AK33" i="4" s="1"/>
  <c r="BT37" i="1"/>
  <c r="AK34" i="4" s="1"/>
  <c r="BT72" i="1"/>
  <c r="AK69" i="4" s="1"/>
  <c r="BT5" i="1"/>
  <c r="AK2" i="4" s="1"/>
  <c r="J18" i="4" l="1"/>
  <c r="J15" i="4"/>
  <c r="J14" i="4"/>
  <c r="J26" i="4"/>
  <c r="J8" i="4"/>
  <c r="J7" i="4"/>
  <c r="J20" i="4"/>
  <c r="J24" i="4"/>
  <c r="J16" i="4"/>
  <c r="J11" i="4"/>
  <c r="J9" i="4"/>
  <c r="J6" i="4"/>
  <c r="J23" i="4"/>
  <c r="J12" i="4"/>
  <c r="J5" i="4"/>
  <c r="J17" i="4"/>
  <c r="J32" i="4"/>
  <c r="J31" i="4"/>
  <c r="J25" i="4"/>
  <c r="J13" i="4"/>
  <c r="J4" i="4"/>
  <c r="J29" i="4"/>
  <c r="J19" i="4"/>
  <c r="J3" i="4"/>
  <c r="J28" i="4"/>
  <c r="J10" i="4"/>
  <c r="J21" i="4"/>
  <c r="J27" i="4"/>
  <c r="N45" i="4"/>
  <c r="K45" i="4"/>
  <c r="N20" i="4"/>
  <c r="K20" i="4"/>
  <c r="N28" i="4"/>
  <c r="K28" i="4"/>
  <c r="N11" i="4"/>
  <c r="K11" i="4"/>
  <c r="N111" i="4"/>
  <c r="K111" i="4"/>
  <c r="N76" i="4"/>
  <c r="K76" i="4"/>
  <c r="N49" i="4"/>
  <c r="K49" i="4"/>
  <c r="N59" i="4"/>
  <c r="K59" i="4"/>
  <c r="N39" i="4"/>
  <c r="K39" i="4"/>
  <c r="N133" i="4"/>
  <c r="K133" i="4"/>
  <c r="N112" i="4"/>
  <c r="K112" i="4"/>
  <c r="N79" i="4"/>
  <c r="K79" i="4"/>
  <c r="N91" i="4"/>
  <c r="K91" i="4"/>
  <c r="N7" i="4"/>
  <c r="K7" i="4"/>
  <c r="N110" i="4"/>
  <c r="K110" i="4"/>
  <c r="N24" i="4"/>
  <c r="K24" i="4"/>
  <c r="N114" i="4"/>
  <c r="K114" i="4"/>
  <c r="N121" i="4"/>
  <c r="K121" i="4"/>
  <c r="N34" i="4"/>
  <c r="K34" i="4"/>
  <c r="N135" i="4"/>
  <c r="K135" i="4"/>
  <c r="N53" i="4"/>
  <c r="K53" i="4"/>
  <c r="N54" i="4"/>
  <c r="K54" i="4"/>
  <c r="N63" i="4"/>
  <c r="K63" i="4"/>
  <c r="N131" i="4"/>
  <c r="K131" i="4"/>
  <c r="N86" i="4"/>
  <c r="K86" i="4"/>
  <c r="N88" i="4"/>
  <c r="K88" i="4"/>
  <c r="N31" i="4"/>
  <c r="K31" i="4"/>
  <c r="N100" i="4"/>
  <c r="K100" i="4"/>
  <c r="N107" i="4"/>
  <c r="K107" i="4"/>
  <c r="N57" i="4"/>
  <c r="K57" i="4"/>
  <c r="N8" i="4"/>
  <c r="K8" i="4"/>
  <c r="N98" i="4"/>
  <c r="K98" i="4"/>
  <c r="N125" i="4"/>
  <c r="K125" i="4"/>
  <c r="N44" i="4"/>
  <c r="K44" i="4"/>
  <c r="N126" i="4"/>
  <c r="K126" i="4"/>
  <c r="N12" i="4"/>
  <c r="K12" i="4"/>
  <c r="N123" i="4"/>
  <c r="K123" i="4"/>
  <c r="N102" i="4"/>
  <c r="K102" i="4"/>
  <c r="N134" i="4"/>
  <c r="K134" i="4"/>
  <c r="N128" i="4"/>
  <c r="K128" i="4"/>
  <c r="N21" i="4"/>
  <c r="K21" i="4"/>
  <c r="N6" i="4"/>
  <c r="K6" i="4"/>
  <c r="N103" i="4"/>
  <c r="K103" i="4"/>
  <c r="N132" i="4"/>
  <c r="K132" i="4"/>
  <c r="N129" i="4"/>
  <c r="K129" i="4"/>
  <c r="N50" i="4"/>
  <c r="K50" i="4"/>
  <c r="N32" i="4"/>
  <c r="K32" i="4"/>
  <c r="N106" i="4"/>
  <c r="K106" i="4"/>
  <c r="N17" i="4"/>
  <c r="K17" i="4"/>
  <c r="N104" i="4"/>
  <c r="K104" i="4"/>
  <c r="N80" i="4"/>
  <c r="K80" i="4"/>
  <c r="N62" i="4"/>
  <c r="K62" i="4"/>
  <c r="N14" i="4"/>
  <c r="K14" i="4"/>
  <c r="N36" i="4"/>
  <c r="K36" i="4"/>
  <c r="N70" i="4"/>
  <c r="K70" i="4"/>
  <c r="N52" i="4"/>
  <c r="K52" i="4"/>
  <c r="N99" i="4"/>
  <c r="K99" i="4"/>
  <c r="N41" i="4"/>
  <c r="K41" i="4"/>
  <c r="N9" i="4"/>
  <c r="K9" i="4"/>
  <c r="N13" i="4"/>
  <c r="K13" i="4"/>
  <c r="N117" i="4"/>
  <c r="K117" i="4"/>
  <c r="N124" i="4"/>
  <c r="K124" i="4"/>
  <c r="N72" i="4"/>
  <c r="K72" i="4"/>
  <c r="N65" i="4"/>
  <c r="K65" i="4"/>
  <c r="N19" i="4"/>
  <c r="K19" i="4"/>
  <c r="N85" i="4"/>
  <c r="K85" i="4"/>
  <c r="N101" i="4"/>
  <c r="K101" i="4"/>
  <c r="N15" i="4"/>
  <c r="K15" i="4"/>
  <c r="N75" i="4"/>
  <c r="K75" i="4"/>
  <c r="N115" i="4"/>
  <c r="K115" i="4"/>
  <c r="N119" i="4"/>
  <c r="K119" i="4"/>
  <c r="N10" i="4"/>
  <c r="K10" i="4"/>
  <c r="N42" i="4"/>
  <c r="K42" i="4"/>
  <c r="N84" i="4"/>
  <c r="K84" i="4"/>
  <c r="N37" i="4"/>
  <c r="K37" i="4"/>
  <c r="N66" i="4"/>
  <c r="K66" i="4"/>
  <c r="N73" i="4"/>
  <c r="K73" i="4"/>
  <c r="N25" i="4"/>
  <c r="K25" i="4"/>
  <c r="N130" i="4"/>
  <c r="K130" i="4"/>
  <c r="N69" i="4"/>
  <c r="K69" i="4"/>
  <c r="N16" i="4"/>
  <c r="K16" i="4"/>
  <c r="N118" i="4"/>
  <c r="K118" i="4"/>
  <c r="N105" i="4"/>
  <c r="K105" i="4"/>
  <c r="N71" i="4"/>
  <c r="K71" i="4"/>
  <c r="N43" i="4"/>
  <c r="K43" i="4"/>
  <c r="N26" i="4"/>
  <c r="K26" i="4"/>
  <c r="N23" i="4"/>
  <c r="K23" i="4"/>
  <c r="N74" i="4"/>
  <c r="K74" i="4"/>
  <c r="N27" i="4"/>
  <c r="K27" i="4"/>
  <c r="N51" i="4"/>
  <c r="K51" i="4"/>
  <c r="N29" i="4"/>
  <c r="K29" i="4"/>
  <c r="N120" i="4"/>
  <c r="K120" i="4"/>
  <c r="N83" i="4"/>
  <c r="K83" i="4"/>
  <c r="N60" i="4"/>
  <c r="K60" i="4"/>
  <c r="N48" i="4"/>
  <c r="K48" i="4"/>
  <c r="N64" i="4"/>
  <c r="K64" i="4"/>
  <c r="N116" i="4"/>
  <c r="K116" i="4"/>
  <c r="N92" i="4"/>
  <c r="K92" i="4"/>
  <c r="N78" i="4"/>
  <c r="K78" i="4"/>
  <c r="N38" i="4"/>
  <c r="K38" i="4"/>
  <c r="N35" i="4"/>
  <c r="K35" i="4"/>
  <c r="N122" i="4"/>
  <c r="K122" i="4"/>
  <c r="N113" i="4"/>
  <c r="K113" i="4"/>
  <c r="N18" i="4"/>
  <c r="K18" i="4"/>
  <c r="N40" i="4"/>
  <c r="K40" i="4"/>
  <c r="N61" i="4"/>
  <c r="K61" i="4"/>
  <c r="N109" i="4"/>
  <c r="K109" i="4"/>
  <c r="N4" i="4"/>
  <c r="N2" i="4"/>
  <c r="N5" i="4"/>
  <c r="N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 Lovejoy</author>
    <author>Charles Eley</author>
  </authors>
  <commentList>
    <comment ref="U2" authorId="0" shapeId="0" xr:uid="{D6E09627-52B1-4A50-BA01-781315BF985B}">
      <text>
        <r>
          <rPr>
            <b/>
            <sz val="9"/>
            <color indexed="81"/>
            <rFont val="Tahoma"/>
            <family val="2"/>
          </rPr>
          <t>Mike Lovejoy:</t>
        </r>
        <r>
          <rPr>
            <sz val="9"/>
            <color indexed="81"/>
            <rFont val="Tahoma"/>
            <family val="2"/>
          </rPr>
          <t xml:space="preserve">
Generated schedule is constant.</t>
        </r>
      </text>
    </comment>
    <comment ref="V2" authorId="0" shapeId="0" xr:uid="{300268E3-A43D-4507-8296-5996299FD5BA}">
      <text>
        <r>
          <rPr>
            <b/>
            <sz val="9"/>
            <color indexed="81"/>
            <rFont val="Tahoma"/>
            <family val="2"/>
          </rPr>
          <t>Mike Lovejoy:</t>
        </r>
        <r>
          <rPr>
            <sz val="9"/>
            <color indexed="81"/>
            <rFont val="Tahoma"/>
            <family val="2"/>
          </rPr>
          <t xml:space="preserve">
Generated schedule is constant.</t>
        </r>
      </text>
    </comment>
    <comment ref="W2" authorId="0" shapeId="0" xr:uid="{CA1C0585-E647-4ED0-A81B-2DEB8CE32D6E}">
      <text>
        <r>
          <rPr>
            <b/>
            <sz val="9"/>
            <color indexed="81"/>
            <rFont val="Tahoma"/>
            <family val="2"/>
          </rPr>
          <t>Mike Lovejoy:</t>
        </r>
        <r>
          <rPr>
            <sz val="9"/>
            <color indexed="81"/>
            <rFont val="Tahoma"/>
            <family val="2"/>
          </rPr>
          <t xml:space="preserve">
Generated schedule is constant.</t>
        </r>
      </text>
    </comment>
    <comment ref="Q3" authorId="1" shapeId="0" xr:uid="{2B99149F-CD43-4FE7-9A52-B05BA71CF7FC}">
      <text>
        <r>
          <rPr>
            <b/>
            <sz val="9"/>
            <color indexed="81"/>
            <rFont val="Tahoma"/>
            <family val="2"/>
          </rPr>
          <t>Charles Eley:</t>
        </r>
        <r>
          <rPr>
            <sz val="9"/>
            <color indexed="81"/>
            <rFont val="Tahoma"/>
            <family val="2"/>
          </rPr>
          <t xml:space="preserve">
Source SSPC 90.1 Envelope Trade-off Rules
</t>
        </r>
      </text>
    </comment>
    <comment ref="AR3" authorId="1" shapeId="0" xr:uid="{5DE2FF81-B53E-48B7-B302-1FE97CFDA19F}">
      <text>
        <r>
          <rPr>
            <sz val="9"/>
            <color indexed="81"/>
            <rFont val="Tahoma"/>
            <family val="2"/>
          </rPr>
          <t xml:space="preserve">Source: NREL 956 and Eley Analysis. See separate spreadsheet and documentation.
</t>
        </r>
      </text>
    </comment>
    <comment ref="BB3" authorId="1" shapeId="0" xr:uid="{3EEAB283-CD0D-468F-B8B8-39426CC2E055}">
      <text>
        <r>
          <rPr>
            <sz val="9"/>
            <color indexed="81"/>
            <rFont val="Tahoma"/>
            <family val="2"/>
          </rPr>
          <t xml:space="preserve">Source: NREL 956 and Eley Analysis. See separate spreadsheet and documentation.
</t>
        </r>
      </text>
    </comment>
    <comment ref="BK3" authorId="1" shapeId="0" xr:uid="{A7413EDC-8D18-4FBC-A20B-A3691AE9AD3F}">
      <text>
        <r>
          <rPr>
            <sz val="9"/>
            <color indexed="81"/>
            <rFont val="Tahoma"/>
            <family val="2"/>
          </rPr>
          <t>Source: CEUS</t>
        </r>
      </text>
    </comment>
  </commentList>
</comments>
</file>

<file path=xl/sharedStrings.xml><?xml version="1.0" encoding="utf-8"?>
<sst xmlns="http://schemas.openxmlformats.org/spreadsheetml/2006/main" count="24194" uniqueCount="2662">
  <si>
    <t>CATEGORY</t>
  </si>
  <si>
    <t>BA Automotive Facility</t>
  </si>
  <si>
    <t>BA Convention Center</t>
  </si>
  <si>
    <t>BA Courthouse</t>
  </si>
  <si>
    <t>BA Dining: Bar Lounge/Leisure</t>
  </si>
  <si>
    <t>BA Dining: Cafeteria/Fast Food</t>
  </si>
  <si>
    <t>BA Dining: Family</t>
  </si>
  <si>
    <t>BA Dormitory</t>
  </si>
  <si>
    <t>BA Exercise Center</t>
  </si>
  <si>
    <t>BA Fire Station</t>
  </si>
  <si>
    <t>BA Gymnasium</t>
  </si>
  <si>
    <t>BA Healthcare Clinic</t>
  </si>
  <si>
    <t>BA Hospital</t>
  </si>
  <si>
    <t>BA Hotel</t>
  </si>
  <si>
    <t>BA Library</t>
  </si>
  <si>
    <t>BA Manufacturing Facility</t>
  </si>
  <si>
    <t>BA Motel</t>
  </si>
  <si>
    <t>BA Motion Picture Theater</t>
  </si>
  <si>
    <t>BA Multifamily</t>
  </si>
  <si>
    <t>BA Museum</t>
  </si>
  <si>
    <t>BA Office</t>
  </si>
  <si>
    <t>BA Parking Garage</t>
  </si>
  <si>
    <t>BA Penitentiary</t>
  </si>
  <si>
    <t>BA Performing Arts Theater</t>
  </si>
  <si>
    <t>BA Police Station</t>
  </si>
  <si>
    <t>BA Post Office</t>
  </si>
  <si>
    <t>BA Religious Building</t>
  </si>
  <si>
    <t>BA Retail</t>
  </si>
  <si>
    <t>BA School/University</t>
  </si>
  <si>
    <t>BA Sports Arena</t>
  </si>
  <si>
    <t>BA Town Hall</t>
  </si>
  <si>
    <t>BA Transportation</t>
  </si>
  <si>
    <t>BA Warehouse</t>
  </si>
  <si>
    <t>BA Workshop</t>
  </si>
  <si>
    <t xml:space="preserve">PEOPLE OUTDOOR 
AIRFLOW RATE IN 
BREATHING ZONE Rp 
CFM/PERSON </t>
  </si>
  <si>
    <t xml:space="preserve">AREA OUTDOOR 
AIRFLOW RATE IN 
BREATHING ZONE Ra 
CFM/FT2a </t>
  </si>
  <si>
    <t xml:space="preserve">EXHAUST 
AIRFLOW RATE 
CFM/FT
2 </t>
  </si>
  <si>
    <t>Washington State Mechanical Code TABLE 403.3.1.1</t>
  </si>
  <si>
    <t>Storage_Repair garages_enclosed parking garage</t>
  </si>
  <si>
    <t>Education_Auditoriums</t>
  </si>
  <si>
    <t>Source_1</t>
  </si>
  <si>
    <t>Source_2</t>
  </si>
  <si>
    <t>Education_Multiuse assembly</t>
  </si>
  <si>
    <t>Sports and amusement_Spectator areas</t>
  </si>
  <si>
    <t>Transportation_Transportation waiting</t>
  </si>
  <si>
    <t>Correctional facilities_Booking_waiting</t>
  </si>
  <si>
    <t>Public spaces_Corridors other than Group R</t>
  </si>
  <si>
    <t xml:space="preserve">Public spaces_Museums/galleries </t>
  </si>
  <si>
    <t xml:space="preserve">Education_Lecture classroom </t>
  </si>
  <si>
    <t>Office_Conference rooms</t>
  </si>
  <si>
    <t>Correctional facilities_Cells With plumbing fixtures</t>
  </si>
  <si>
    <t xml:space="preserve">Workrooms_Copy_printing rooms </t>
  </si>
  <si>
    <t xml:space="preserve">Public spaces_Corridors serving Group R </t>
  </si>
  <si>
    <t>Public spaces_Courtrooms</t>
  </si>
  <si>
    <t>Workrooms_Computer without printing</t>
  </si>
  <si>
    <t>Food and beverage service_Bars_cocktail lounges</t>
  </si>
  <si>
    <t>Food and beverage service_Dining rooms</t>
  </si>
  <si>
    <t xml:space="preserve">Food and beverage service_Cafeteria_fast food </t>
  </si>
  <si>
    <t>Food and beverage service_Kitchens (cooking)</t>
  </si>
  <si>
    <t xml:space="preserve">Hotels,_motels_resorts_dormitories_Bedroom/living room </t>
  </si>
  <si>
    <t>Office_Office spaces</t>
  </si>
  <si>
    <t>Retail stores, sales floors, and showroom floors - Storage rooms</t>
  </si>
  <si>
    <t>Education - Science laboratories</t>
  </si>
  <si>
    <t>Dry cleaners, laundries - Commercial laundry</t>
  </si>
  <si>
    <t>Retail stores, sales floors, and showroom floors - Shipping and receiving</t>
  </si>
  <si>
    <t>Hotels, motels, resorts and dormitories - Lobbies/prefunction</t>
  </si>
  <si>
    <t>Public spaces - Corridors serving other than Group R occupancies</t>
  </si>
  <si>
    <t>Theaters - Lobbies</t>
  </si>
  <si>
    <t>Public spaces - Elevator lobbies in parking garage</t>
  </si>
  <si>
    <t>Education - Locker/dressing rooms</t>
  </si>
  <si>
    <t>Office - Office spaces</t>
  </si>
  <si>
    <t>Office - Kitchenettes</t>
  </si>
  <si>
    <t>Workrooms - Pharmacy (prep area)</t>
  </si>
  <si>
    <t>Retail stores, sales floors, and showroom floors - Sales</t>
  </si>
  <si>
    <t>Education - Wood/metal shops</t>
  </si>
  <si>
    <t>Public spaces - Places of religious worship</t>
  </si>
  <si>
    <t>Sports and amusement - Health club/aerobics room</t>
  </si>
  <si>
    <t>Public spaces - Museums/galleries</t>
  </si>
  <si>
    <t>Hotels, motels, resorts and dormitories - Dormitory sleeping area</t>
  </si>
  <si>
    <t>Sports and amusement - Gym, stadium, arena (play area)</t>
  </si>
  <si>
    <t>Public spaces - Libraries</t>
  </si>
  <si>
    <t>Retail stores, sales floors, and showroom floors - Dressing rooms</t>
  </si>
  <si>
    <t>Retail stores, sales floors, and showroom floors - Mall common areas</t>
  </si>
  <si>
    <t>Sports and amusement - Spectator areas</t>
  </si>
  <si>
    <t>Transportation - Transportation waiting</t>
  </si>
  <si>
    <t>Theaters - Ticket booths</t>
  </si>
  <si>
    <t>Retail stores, sales floors, and showroom floors - Warehouses (see Storage)</t>
  </si>
  <si>
    <t>Public spaces - Toilet rooms - Public</t>
  </si>
  <si>
    <t>Additional Info</t>
  </si>
  <si>
    <t>Hotels, motels, resorts and dormitories - Bathrooms/toilets - private</t>
  </si>
  <si>
    <t>Washington State Mechanical Code TABLE 403.3.1.6 - 25/50 per fixture</t>
  </si>
  <si>
    <t>Washington State Mechanical Code TABLE 403.3.1.6 - 50/70 per fixture</t>
  </si>
  <si>
    <t>Rule of Thumb</t>
  </si>
  <si>
    <t>Storage - Warehouses</t>
  </si>
  <si>
    <t>ASHRAE 62.1-2019</t>
  </si>
  <si>
    <t>Outpatient Health Care Facilities - Urgent care triage room</t>
  </si>
  <si>
    <t>Outpatient Health Care Facilities - Urgent care treatment room</t>
  </si>
  <si>
    <t>Outpatient Health Care Facilities - Urgent care observation room</t>
  </si>
  <si>
    <t>Outpatient Health Care Facilities - Physical therapy exercise area</t>
  </si>
  <si>
    <t>Outpatient Health Care Facilities - Dental operatory</t>
  </si>
  <si>
    <t>Public Assembly Spaces - Museums (children’s)</t>
  </si>
  <si>
    <t>Office Buildings - Telephone/data entry</t>
  </si>
  <si>
    <t>Miscellaneous Spaces - Sorting, packing, light assembly</t>
  </si>
  <si>
    <t>Miscellaneous Spaces - Manufacturing where hazardous materials are not used</t>
  </si>
  <si>
    <t>COMNET-REV9</t>
  </si>
  <si>
    <t>NREL 956/Eley Analysis</t>
  </si>
  <si>
    <t>Automotive facility</t>
  </si>
  <si>
    <t>Dormitory</t>
  </si>
  <si>
    <t>Fire station</t>
  </si>
  <si>
    <t>Gymnasium</t>
  </si>
  <si>
    <t>Hospital</t>
  </si>
  <si>
    <t>Hotel</t>
  </si>
  <si>
    <t>Library</t>
  </si>
  <si>
    <t>Manufacturing facility</t>
  </si>
  <si>
    <t>Museum</t>
  </si>
  <si>
    <t>Office</t>
  </si>
  <si>
    <t>Parking garage</t>
  </si>
  <si>
    <t>Penitentiary</t>
  </si>
  <si>
    <t>Police station</t>
  </si>
  <si>
    <t>Post office</t>
  </si>
  <si>
    <t>Retail</t>
  </si>
  <si>
    <t>School/university</t>
  </si>
  <si>
    <t>Sports arena</t>
  </si>
  <si>
    <t>Town hall</t>
  </si>
  <si>
    <t>Transportation</t>
  </si>
  <si>
    <t>Warehouse</t>
  </si>
  <si>
    <t>Workshop</t>
  </si>
  <si>
    <t>Courtroom</t>
  </si>
  <si>
    <t>Food preparation</t>
  </si>
  <si>
    <t>Locker room</t>
  </si>
  <si>
    <t>Sales area</t>
  </si>
  <si>
    <t>!- Name</t>
  </si>
  <si>
    <t>Requires engineering analysis per Section 403.3.1.1</t>
  </si>
  <si>
    <t>California Commercial End-Use Survey (CEUS)</t>
  </si>
  <si>
    <t>CS Audience Seating Area - Auditorium</t>
  </si>
  <si>
    <t>CS Audience Seating Area - Convention Center</t>
  </si>
  <si>
    <t>CS Audience Seating Area - Exercise Center</t>
  </si>
  <si>
    <t>CS Audience Seating Area - Gymnasium</t>
  </si>
  <si>
    <t>CS Audience Seating Area - Motion Picture Theater</t>
  </si>
  <si>
    <t>CS Audience Seating Area - Penitentiary</t>
  </si>
  <si>
    <t>CS Audience Seating Area - Performing Arts Theater</t>
  </si>
  <si>
    <t>CS Audience Seating Area - Religious Building</t>
  </si>
  <si>
    <t>CS Audience Seating Area - Sports Arena</t>
  </si>
  <si>
    <t>CS Audience Seating Area - Transportation Facility</t>
  </si>
  <si>
    <t>CS Audience Seating Area - Other</t>
  </si>
  <si>
    <t>CS Atrium - Less than or equal to 40 ft</t>
  </si>
  <si>
    <t>CS Atrium - More than 40 ft</t>
  </si>
  <si>
    <t>CS Classroom/Lecture/Training - Penitentiary</t>
  </si>
  <si>
    <t>CS Classroom/Lecture/Training - K-12 - laboratory and shops</t>
  </si>
  <si>
    <t>CS Classroom/Lecture/Training - Other</t>
  </si>
  <si>
    <t>CS Corridor - Assisted Living</t>
  </si>
  <si>
    <t>CS Corridor - Hospital</t>
  </si>
  <si>
    <t>CS Corridor - Manufacturing</t>
  </si>
  <si>
    <t>CS Corridor - Other</t>
  </si>
  <si>
    <t>CS Dining Area - Penitentiary</t>
  </si>
  <si>
    <t>CS Dining Area - Assisted Living</t>
  </si>
  <si>
    <t xml:space="preserve">CS Dining Area - Bar Lounge/Leisure   </t>
  </si>
  <si>
    <t xml:space="preserve">CS Dining Area - Cafeteria or Fast Food </t>
  </si>
  <si>
    <t xml:space="preserve">CS Dining Area - Family Dining  </t>
  </si>
  <si>
    <t>CS Dining Area - Other</t>
  </si>
  <si>
    <t xml:space="preserve">CS Laboratory - Classrooms  </t>
  </si>
  <si>
    <t>CS Laboratory - Other</t>
  </si>
  <si>
    <t>CS Lobby - Assisted Living</t>
  </si>
  <si>
    <t xml:space="preserve">CS Lobby - Elevator  </t>
  </si>
  <si>
    <t>CS Lobby - Hotel</t>
  </si>
  <si>
    <t xml:space="preserve">CS Lobby - Motion Picture Theater  </t>
  </si>
  <si>
    <t xml:space="preserve">CS Lobby - Performing Arts Theater  </t>
  </si>
  <si>
    <t>CS Lobby - Other</t>
  </si>
  <si>
    <t>CS Lounge/Break - Healthcare</t>
  </si>
  <si>
    <t>CS Lounge/Break - Other</t>
  </si>
  <si>
    <t>CS Office - Enclosed</t>
  </si>
  <si>
    <t>CS Office - Open Plan</t>
  </si>
  <si>
    <t>CS Storage - Hospital</t>
  </si>
  <si>
    <t>SS Assisted Living - Chapel</t>
  </si>
  <si>
    <t>SS Assisted Living - Recreation Room</t>
  </si>
  <si>
    <t xml:space="preserve">SS Convention Center - Exhibit Space  </t>
  </si>
  <si>
    <t xml:space="preserve">SS Dormitory - Living Quarters  </t>
  </si>
  <si>
    <t xml:space="preserve">SS Fire Station - Sleeping Quarters  </t>
  </si>
  <si>
    <t xml:space="preserve">SS Gymnasium/Fitness Center - Exercise Area  </t>
  </si>
  <si>
    <t xml:space="preserve">SS Gymnasium/Fitness Center - Playing Area  </t>
  </si>
  <si>
    <t>SS Healthcare - Emergency Room</t>
  </si>
  <si>
    <t xml:space="preserve">SS Healthcare - Exam/Treatment  </t>
  </si>
  <si>
    <t>SS Healthcare - Supply Room</t>
  </si>
  <si>
    <t xml:space="preserve">SS Healthcare - Nursery  </t>
  </si>
  <si>
    <t xml:space="preserve">SS Healthcare - Nurses’ Station  </t>
  </si>
  <si>
    <t xml:space="preserve">SS Healthcare - Operating Room  </t>
  </si>
  <si>
    <t xml:space="preserve">SS Healthcare - Patient Room  </t>
  </si>
  <si>
    <t xml:space="preserve">SS Healthcare - Physical Therapy  </t>
  </si>
  <si>
    <t>SS Healthcare - Recovery Room</t>
  </si>
  <si>
    <t xml:space="preserve">SS Library - Reading Area  </t>
  </si>
  <si>
    <t xml:space="preserve">SS Library - Stacks  </t>
  </si>
  <si>
    <t xml:space="preserve">SS Manufacturing Facility - Detailed Manufacturing  </t>
  </si>
  <si>
    <t xml:space="preserve">SS Manufacturing Facility - Equipment Room  </t>
  </si>
  <si>
    <t xml:space="preserve">SS Manufacturing Facility - Extra High Bay (&gt;50 ft Floor to Ceiling Height)  </t>
  </si>
  <si>
    <t xml:space="preserve">SS Manufacturing Facility - High Bay  (25–50 ft Floor to Ceiling  Height)  </t>
  </si>
  <si>
    <t xml:space="preserve">SS Manufacturing Facility - Low Bay (&lt;25 ft Floor to Ceiling Height)  </t>
  </si>
  <si>
    <t xml:space="preserve">SS Museum - General Exhibition  </t>
  </si>
  <si>
    <t xml:space="preserve">SS Museum - Restoration  </t>
  </si>
  <si>
    <t xml:space="preserve">SS Post Office - Sorting Area  </t>
  </si>
  <si>
    <t>SS Religious Building - Fellowship Hall</t>
  </si>
  <si>
    <t>SS Religious Building - Worship/Pulpit/Choir</t>
  </si>
  <si>
    <t xml:space="preserve">SS Retail - Dressing/Fitting Room  </t>
  </si>
  <si>
    <t xml:space="preserve">SS Retail - Mall Concourse  </t>
  </si>
  <si>
    <t xml:space="preserve">SS Sports Arena Playing Area - Class I </t>
  </si>
  <si>
    <t xml:space="preserve">SS Sports Arena Playing Area - Class II </t>
  </si>
  <si>
    <t xml:space="preserve">SS Sports Arena Playing Area - Class III </t>
  </si>
  <si>
    <t>SS Sports Arena Playing Area - Class IV</t>
  </si>
  <si>
    <t xml:space="preserve">SS Transportation - Baggage/Carousel Area  </t>
  </si>
  <si>
    <t>SS Transportation - Concourse</t>
  </si>
  <si>
    <t>SS Transportation - Ticket Counter</t>
  </si>
  <si>
    <t>SS Warehouse - Medium/Bulky Items on Pallets</t>
  </si>
  <si>
    <t>SS Warehouse - Smaller Hand Carried Items</t>
  </si>
  <si>
    <t>Default  Power Density (W/ft2)</t>
  </si>
  <si>
    <t xml:space="preserve">CS Storage - &gt;= 50 ft2 </t>
  </si>
  <si>
    <t xml:space="preserve">CS Storage - &lt; 50 ft2 </t>
  </si>
  <si>
    <t>CS Banking Activity Area</t>
  </si>
  <si>
    <t>CS Conference/Meeting/Multipurpose</t>
  </si>
  <si>
    <t>CS Confinment Cells</t>
  </si>
  <si>
    <t>CS Copy/Print Room</t>
  </si>
  <si>
    <t>CS Courtroom</t>
  </si>
  <si>
    <t>CS Computer Room</t>
  </si>
  <si>
    <t>CS Electrical/Mechanical</t>
  </si>
  <si>
    <t>CS Emergency Vehicle Garage</t>
  </si>
  <si>
    <t>CS Guest Room</t>
  </si>
  <si>
    <t>CS Judges Chambers</t>
  </si>
  <si>
    <t>CS Laundry/Washing Area</t>
  </si>
  <si>
    <t>CS Loading Dock - Interior</t>
  </si>
  <si>
    <t>CS Locker Room</t>
  </si>
  <si>
    <t>CS Parking Area - Interior</t>
  </si>
  <si>
    <t>CS Pharmacy Area</t>
  </si>
  <si>
    <t>CS Restrooms - Assisted Living</t>
  </si>
  <si>
    <t>CS Restrooms - Other</t>
  </si>
  <si>
    <t>CS Sales Area</t>
  </si>
  <si>
    <t>CS Seating Area General</t>
  </si>
  <si>
    <t>CS Stairway</t>
  </si>
  <si>
    <t>CS Vehicular Maintenance</t>
  </si>
  <si>
    <t>CS Workshop</t>
  </si>
  <si>
    <t>Interior Gas Appliance Power Density       (W/ft2)</t>
  </si>
  <si>
    <t>CS Food Preparation - Gas Cooking</t>
  </si>
  <si>
    <t>CS Food Preparation - Electric Cooking</t>
  </si>
  <si>
    <t>WholeBuilding</t>
  </si>
  <si>
    <t>OCCUPANT DENSITY #/1000 FT2</t>
  </si>
  <si>
    <t>Sensible Heat Gain (Btu/h-person)</t>
  </si>
  <si>
    <t>Latent Heat Gain  (Btu/h-person)</t>
  </si>
  <si>
    <t>Additional Info_1</t>
  </si>
  <si>
    <t>OCCUPANT DENSITY FT2/person</t>
  </si>
  <si>
    <t>Additional Info_2</t>
  </si>
  <si>
    <t>ACH</t>
  </si>
  <si>
    <t>Building Type</t>
  </si>
  <si>
    <t>Space Type</t>
  </si>
  <si>
    <t>Space Function</t>
  </si>
  <si>
    <t>Convention centre</t>
  </si>
  <si>
    <t>Courthouse</t>
  </si>
  <si>
    <t>Dining - bar/lounge</t>
  </si>
  <si>
    <t>Dining - cafeteria</t>
  </si>
  <si>
    <t>Dining - family</t>
  </si>
  <si>
    <t>Exercise centre</t>
  </si>
  <si>
    <t>Health-care clinic</t>
  </si>
  <si>
    <t>Motel</t>
  </si>
  <si>
    <t>Motion picture theatre</t>
  </si>
  <si>
    <t>Multi-unit residential</t>
  </si>
  <si>
    <t>Performing arts theatre</t>
  </si>
  <si>
    <t>Religious</t>
  </si>
  <si>
    <t>Infiltration per Exterior Area (ft^3/min*ft^2 ext)</t>
  </si>
  <si>
    <t>Infiltration Schedule</t>
  </si>
  <si>
    <t>SchoolSecondary INFIL_SCH_PNNL</t>
  </si>
  <si>
    <t>Always On</t>
  </si>
  <si>
    <t>Transp. seating</t>
  </si>
  <si>
    <t>Gym</t>
  </si>
  <si>
    <t>Auditorium</t>
  </si>
  <si>
    <t>Audience - motion picture</t>
  </si>
  <si>
    <t>Courthouse - cell</t>
  </si>
  <si>
    <t>Penitentiary - audience</t>
  </si>
  <si>
    <t>Religious - audience</t>
  </si>
  <si>
    <t>Sports arena - audience</t>
  </si>
  <si>
    <t>Convention centre - audience</t>
  </si>
  <si>
    <t>Audience - auditorium</t>
  </si>
  <si>
    <t>Convention centre - exhibit</t>
  </si>
  <si>
    <t>Bank - banking and offices</t>
  </si>
  <si>
    <t>Classroom/lecture/training</t>
  </si>
  <si>
    <t>Conf./meet./multi-purpose</t>
  </si>
  <si>
    <t>Conference</t>
  </si>
  <si>
    <t>PrintRoom</t>
  </si>
  <si>
    <t>Corridor</t>
  </si>
  <si>
    <t>Courthouse - courtroom</t>
  </si>
  <si>
    <t>Penitentiary - dining</t>
  </si>
  <si>
    <t>Dining - bar lounge/leisure</t>
  </si>
  <si>
    <t>Dining - other</t>
  </si>
  <si>
    <t>Electrical/Mechanical</t>
  </si>
  <si>
    <t>Hospital - emergency</t>
  </si>
  <si>
    <t>GuestRoom</t>
  </si>
  <si>
    <t>Courthouse - chambers</t>
  </si>
  <si>
    <t>Lab - classrooms</t>
  </si>
  <si>
    <t>Lobby - other</t>
  </si>
  <si>
    <t>Hospital - laundry/washing</t>
  </si>
  <si>
    <t>Lobby - elevator</t>
  </si>
  <si>
    <t>Lobby - motion picture</t>
  </si>
  <si>
    <t>Lobby - performance arts</t>
  </si>
  <si>
    <t>Hospital - pharmacy</t>
  </si>
  <si>
    <t>Restroom</t>
  </si>
  <si>
    <t>Parking garage space</t>
  </si>
  <si>
    <t>Stairway</t>
  </si>
  <si>
    <t>Storage area</t>
  </si>
  <si>
    <t>Storage4Front</t>
  </si>
  <si>
    <t>Workshop space</t>
  </si>
  <si>
    <t>Dormitory - living quarters</t>
  </si>
  <si>
    <t>Fire station - quarters</t>
  </si>
  <si>
    <t>Library - reading</t>
  </si>
  <si>
    <t>Library - stacks</t>
  </si>
  <si>
    <t>Museum - exhibition</t>
  </si>
  <si>
    <t>Museum - restoration</t>
  </si>
  <si>
    <t>Post office sorting</t>
  </si>
  <si>
    <t>Religious - fellowship hall</t>
  </si>
  <si>
    <t>Religious - pulpit/choir</t>
  </si>
  <si>
    <t>Retail - dressing/fitting</t>
  </si>
  <si>
    <t>Retail - mall concourse</t>
  </si>
  <si>
    <t>Transp. baggage</t>
  </si>
  <si>
    <t>Transp. concourse</t>
  </si>
  <si>
    <t>Transp. counter</t>
  </si>
  <si>
    <t>Warehouse - med/blk</t>
  </si>
  <si>
    <t>OfficeMedium INFIL_SCH_PNNL</t>
  </si>
  <si>
    <t>HotelLarge INFIL_QUARTER_ON_SCH</t>
  </si>
  <si>
    <t>LargeHotel</t>
  </si>
  <si>
    <t>SecondarySchool</t>
  </si>
  <si>
    <t>SmallHotel</t>
  </si>
  <si>
    <t>Gas Equipment Schedule</t>
  </si>
  <si>
    <t>RestaurantFastFood FF_GAS_EQUIP_SCH</t>
  </si>
  <si>
    <t>93%ThermEffRadiant</t>
  </si>
  <si>
    <t>HotelLarge BLDG_EQUIP_SCH</t>
  </si>
  <si>
    <t>Hospital BLDG_EQUIP_SCH</t>
  </si>
  <si>
    <t>Outpatient Bldg Equip</t>
  </si>
  <si>
    <t>SuperMarket Bldg Equip</t>
  </si>
  <si>
    <t>Retail Bldg Equip</t>
  </si>
  <si>
    <t>60%ThermEffProcess</t>
  </si>
  <si>
    <t>DOEPrototype</t>
  </si>
  <si>
    <t>NECB-E-Electric-Equipment</t>
  </si>
  <si>
    <t>NECB-C-Electric-Equipment</t>
  </si>
  <si>
    <t>NECB-A-Electric-Equipment</t>
  </si>
  <si>
    <t>NECB-B-Electric-Equipment</t>
  </si>
  <si>
    <t>NECB-G-Electric-Equipment</t>
  </si>
  <si>
    <t>NECB-F-Electric-Equipment</t>
  </si>
  <si>
    <t>NECB-H-Electric-Equipment</t>
  </si>
  <si>
    <t>NECB-I-Electric-Equipment</t>
  </si>
  <si>
    <t>RetailStandalone BLDG_EQUIP_SCH</t>
  </si>
  <si>
    <t>OfficeMedium BLDG_EQUIP_SCH</t>
  </si>
  <si>
    <t>OutPatientHealthCare BLDG_EQUIP_SCH_BASE</t>
  </si>
  <si>
    <t>SchoolSecondary BLDG_EQUIP_SCH</t>
  </si>
  <si>
    <t>RestaurantFastFood BLDG_EQUIP_SCH</t>
  </si>
  <si>
    <t>RestaurantSitDown BLDG_EQUIP_SCH</t>
  </si>
  <si>
    <t>ApartmentMidRise EQP_APT_SCH</t>
  </si>
  <si>
    <t>HotelSmall ExerciseCenter_Eqp_Sch</t>
  </si>
  <si>
    <t>NECB-D-Electric-Equipment</t>
  </si>
  <si>
    <t>NECB-E-Occupancy</t>
  </si>
  <si>
    <t>NECB-C-Occupancy</t>
  </si>
  <si>
    <t>NECB-A-Occupancy</t>
  </si>
  <si>
    <t>NECB-B-Occupancy</t>
  </si>
  <si>
    <t>NECB-G-Occupancy</t>
  </si>
  <si>
    <t>NECB-F-Occupancy</t>
  </si>
  <si>
    <t>NECB-H-Occupancy</t>
  </si>
  <si>
    <t>NECB-I-Occupancy</t>
  </si>
  <si>
    <t>NECB-D-Occupancy</t>
  </si>
  <si>
    <t>Estimate</t>
  </si>
  <si>
    <t>Electric Equipment Schedule</t>
  </si>
  <si>
    <t>Lighting Schedule</t>
  </si>
  <si>
    <t>NECB-E-Lighting</t>
  </si>
  <si>
    <t>NECB-C-Lighting</t>
  </si>
  <si>
    <t>NECB-A-Lighting</t>
  </si>
  <si>
    <t>NECB-B-Lighting</t>
  </si>
  <si>
    <t>NECB-G-Lighting</t>
  </si>
  <si>
    <t>NECB-F-Lighting</t>
  </si>
  <si>
    <t>NECB-H-Lighting</t>
  </si>
  <si>
    <t>NECB-I-Lighting</t>
  </si>
  <si>
    <t>NECB-D-Lighting</t>
  </si>
  <si>
    <t>Each row represents the efficiency standards for a specificy type of chiller</t>
  </si>
  <si>
    <t>Day Type choices: Default, Wkdy, Wknd, Mon, Tue, Wed, Thu, Fri, Sat, Sun, WntrDsn, SmrDsn, Hol</t>
  </si>
  <si>
    <t>Name</t>
  </si>
  <si>
    <t>Category</t>
  </si>
  <si>
    <t>Units</t>
  </si>
  <si>
    <t>Day Types</t>
  </si>
  <si>
    <t>Start Date</t>
  </si>
  <si>
    <t>End Date</t>
  </si>
  <si>
    <t>Type</t>
  </si>
  <si>
    <t>Hr 1</t>
  </si>
  <si>
    <t>Hr 2</t>
  </si>
  <si>
    <t>Hr 3</t>
  </si>
  <si>
    <t>Hr 4</t>
  </si>
  <si>
    <t>Hr 5</t>
  </si>
  <si>
    <t>Hr 6</t>
  </si>
  <si>
    <t>Hr 7</t>
  </si>
  <si>
    <t>Hr 8</t>
  </si>
  <si>
    <t>Hr 9</t>
  </si>
  <si>
    <t>Hr 10</t>
  </si>
  <si>
    <t>Hr 11</t>
  </si>
  <si>
    <t>Hr 12</t>
  </si>
  <si>
    <t>Hr 13</t>
  </si>
  <si>
    <t>Hr 14</t>
  </si>
  <si>
    <t>Hr 15</t>
  </si>
  <si>
    <t>Hr 16</t>
  </si>
  <si>
    <t>Hr 17</t>
  </si>
  <si>
    <t>Hr 18</t>
  </si>
  <si>
    <t>Hr 19</t>
  </si>
  <si>
    <t>Hr 20</t>
  </si>
  <si>
    <t>Hr 21</t>
  </si>
  <si>
    <t>Hr 22</t>
  </si>
  <si>
    <t>Hr 23</t>
  </si>
  <si>
    <t>Hr 24</t>
  </si>
  <si>
    <t>Notes</t>
  </si>
  <si>
    <t>Always Off</t>
  </si>
  <si>
    <t>Unknown</t>
  </si>
  <si>
    <t>Default|WntrDsn|SmrDsn</t>
  </si>
  <si>
    <t>Constant</t>
  </si>
  <si>
    <t xml:space="preserve">From DOE Reference Buildings </t>
  </si>
  <si>
    <t>W</t>
  </si>
  <si>
    <t>From DOE Prototype Buildings</t>
  </si>
  <si>
    <t>C</t>
  </si>
  <si>
    <t>Hourly</t>
  </si>
  <si>
    <t>Elevator</t>
  </si>
  <si>
    <t>Default</t>
  </si>
  <si>
    <t>WntrDsn</t>
  </si>
  <si>
    <t>SmrDsn</t>
  </si>
  <si>
    <t>Thermostat Setpoint</t>
  </si>
  <si>
    <t>WntrDsn|SmrDsn</t>
  </si>
  <si>
    <t>ApartmentHighRise COMPACT HVAC-ALWAYS 4</t>
  </si>
  <si>
    <t>ApartmentHighRise ELEV_LIGHT_FAN_SCH_24_7</t>
  </si>
  <si>
    <t>Lighting</t>
  </si>
  <si>
    <t>ApartmentHighRise ELEV_LIGHT_FAN_SCH_ADD_DF</t>
  </si>
  <si>
    <t>ApartmentHighRise EQP_APT_SCH</t>
  </si>
  <si>
    <t>Equipment</t>
  </si>
  <si>
    <t>ApartmentHighRise EQP_OFF_SCH</t>
  </si>
  <si>
    <t>Wkdy</t>
  </si>
  <si>
    <t>ApartmentHighRise Exterior_Lgt_ALWAYS_ON</t>
  </si>
  <si>
    <t>ApartmentHighRise Exterior_Ltg_Sch</t>
  </si>
  <si>
    <t>ApartmentHighRise HTGSETP_APT_SCH</t>
  </si>
  <si>
    <t>ApartmentHighRise HTGSETP_DESIGN_OFF_SCH</t>
  </si>
  <si>
    <t>ApartmentHighRise HTGSETP_OFF_SCH_No_Optimum</t>
  </si>
  <si>
    <t>ApartmentHighRise HTGSETP_OFF_SCH_Yes_Optimum</t>
  </si>
  <si>
    <t>ApartmentHighRise HTGSETP_OFF_SCH_Yes_Optimum_Original</t>
  </si>
  <si>
    <t>ApartmentHighRise INF_APT_SCH</t>
  </si>
  <si>
    <t>ApartmentHighRise INF_COR_SCH</t>
  </si>
  <si>
    <t>ApartmentHighRise INF_OFF_SCH</t>
  </si>
  <si>
    <t>ApartmentHighRise INFIL_Door_Opening_SCH</t>
  </si>
  <si>
    <t>Infiltration</t>
  </si>
  <si>
    <t>ApartmentHighRise LTG_APT_SCH</t>
  </si>
  <si>
    <t>ApartmentHighRise LTG_COR_SCH</t>
  </si>
  <si>
    <t>ApartmentHighRise LTG_OFF_SCH</t>
  </si>
  <si>
    <t>ApartmentHighRise N CLGSETP_APT_SCH</t>
  </si>
  <si>
    <t>ApartmentHighRise N HTGSETP_APT_SCH</t>
  </si>
  <si>
    <t>ApartmentHighRise OCC_APT_SCH</t>
  </si>
  <si>
    <t>Occupancy</t>
  </si>
  <si>
    <t>ApartmentHighRise OCC_OFF_SCH</t>
  </si>
  <si>
    <t>ApartmentHighRise PLANT LOOP HIGH TEMP SCHEDULE</t>
  </si>
  <si>
    <t>ApartmentHighRise PLANT LOOP LOW TEMP SCHEDULE</t>
  </si>
  <si>
    <t>ApartmentHighRise PLANTCOOLINGONSCHED</t>
  </si>
  <si>
    <t>Default|SmrDsn</t>
  </si>
  <si>
    <t>Wknd|Wkdy</t>
  </si>
  <si>
    <t>ApartmentHighRise PLANTHEATINGONSCHED</t>
  </si>
  <si>
    <t>ApartmentHighRise PlantOnSched</t>
  </si>
  <si>
    <t>ApartmentHighRise S CLGSETP_APT_SCH</t>
  </si>
  <si>
    <t>ApartmentHighRise S HTGSETP_APT_SCH</t>
  </si>
  <si>
    <t>ApartmentHighRise SHW Latent fract sched</t>
  </si>
  <si>
    <t>Service Water Heating</t>
  </si>
  <si>
    <t>ApartmentHighRise SHW Sensible fract sched</t>
  </si>
  <si>
    <t>ApartmentHighRise SHW SUPPLY TEMP SCHED</t>
  </si>
  <si>
    <t>ApartmentHighRise SHW TARGET TEMP SCHED</t>
  </si>
  <si>
    <t>ApartmentHighRise SHWSys1 Water Heater Ambient Temperature Schedule</t>
  </si>
  <si>
    <t>ApartmentHighRise SHWSys1 Water Heater Setpoint Temperature Schedule</t>
  </si>
  <si>
    <t>ApartmentHighRise SHWSys1-Loop-Temp-Schedule</t>
  </si>
  <si>
    <t>ApartmentHighRise Sliding_Doors_Ventilation_Availability_SCH</t>
  </si>
  <si>
    <t>ApartmentHighRise SupplyFanSch</t>
  </si>
  <si>
    <t>ApartmentHighRise ZONE CONTROL TYPE SCHED</t>
  </si>
  <si>
    <t>ApartmentMidRise All Off</t>
  </si>
  <si>
    <t>ApartmentMidRise All On</t>
  </si>
  <si>
    <t>ApartmentMidRise APT_DHW_SCH</t>
  </si>
  <si>
    <t>ApartmentMidRise BLDG_ELEVATORS</t>
  </si>
  <si>
    <t>ApartmentMidRise CLGSETP_APT_SCH</t>
  </si>
  <si>
    <t>ApartmentMidRise CLGSETP_OFF_SCH_NO_OPTIMUM</t>
  </si>
  <si>
    <t>Default|WntrDsn</t>
  </si>
  <si>
    <t>ApartmentMidRise CLGSETP_OFF_SCH_No_Setback</t>
  </si>
  <si>
    <t>ApartmentMidRise CLGSETP_OFF_SCH_YES_OPTIMUM</t>
  </si>
  <si>
    <t>ApartmentMidRise COMPACT HVAC-ALWAYS 0</t>
  </si>
  <si>
    <t>ApartmentMidRise COMPACT HVAC-ALWAYS 1</t>
  </si>
  <si>
    <t>ApartmentMidRise COMPACT HVAC-ALWAYS 18.3333338190008</t>
  </si>
  <si>
    <t>ApartmentMidRise COMPACT HVAC-ALWAYS 4</t>
  </si>
  <si>
    <t>ApartmentMidRise Constant Mains Temp Schedule</t>
  </si>
  <si>
    <t>ApartmentMidRise ELEV_LIGHT_FAN_SCH_24_7</t>
  </si>
  <si>
    <t>ApartmentMidRise ELEV_LIGHT_FAN_SCH_ADD_DF</t>
  </si>
  <si>
    <t>ApartmentMidRise EQP_OFF_SCH</t>
  </si>
  <si>
    <t>ApartmentMidRise Exterior_Lgt_ALWAYS_ON</t>
  </si>
  <si>
    <t>ApartmentMidRise Exterior_Ltg_Sch</t>
  </si>
  <si>
    <t>ApartmentMidRise Hot Water Setpoint Temp Schedule</t>
  </si>
  <si>
    <t>ApartmentMidRise HTGSETP_APT_SCH</t>
  </si>
  <si>
    <t>ApartmentMidRise HTGSETP_OFF_SCH_NO_OPTIMUM</t>
  </si>
  <si>
    <t>ApartmentMidRise HTGSETP_OFF_SCH_YES_OPTIMUM</t>
  </si>
  <si>
    <t>ApartmentMidRise INF_APT_SCH</t>
  </si>
  <si>
    <t>ApartmentMidRise INF_COR_SCH</t>
  </si>
  <si>
    <t>ApartmentMidRise INF_OFF_SCH</t>
  </si>
  <si>
    <t>ApartmentMidRise INFIL_Door_Opening_SCH</t>
  </si>
  <si>
    <t>ApartmentMidRise LTG_APT_SCH</t>
  </si>
  <si>
    <t>ApartmentMidRise LTG_COR_SCH</t>
  </si>
  <si>
    <t>ApartmentMidRise LTG_OFF_SCH</t>
  </si>
  <si>
    <t>ApartmentMidRise N CLGSETP_APT_SCH</t>
  </si>
  <si>
    <t>ApartmentMidRise N HTGSETP_APT_SCH</t>
  </si>
  <si>
    <t>ApartmentMidRise OCC_APT_SCH</t>
  </si>
  <si>
    <t>ApartmentMidRise OCC_OFF_SCH</t>
  </si>
  <si>
    <t>ApartmentMidRise S CLGSETP_APT_SCH</t>
  </si>
  <si>
    <t>ApartmentMidRise S HTGSETP_APT_SCH</t>
  </si>
  <si>
    <t>ApartmentMidRise Sliding_Doors_Ventilation_Availability_SCH</t>
  </si>
  <si>
    <t>FullServiceRestaurant Bldg Equip</t>
  </si>
  <si>
    <t>Default|Sun|Wkdy</t>
  </si>
  <si>
    <t>FullServiceRestaurant Bldg Light</t>
  </si>
  <si>
    <t>FullServiceRestaurant Bldg Occ</t>
  </si>
  <si>
    <t>Sun</t>
  </si>
  <si>
    <t>Sat</t>
  </si>
  <si>
    <t>FullServiceRestaurant Bldg Swh</t>
  </si>
  <si>
    <t>WntrDsn|Sat</t>
  </si>
  <si>
    <t>FullServiceRestaurant ClgSetp</t>
  </si>
  <si>
    <t>FullServiceRestaurant ClgSetp Kitchen</t>
  </si>
  <si>
    <t>FullServiceRestaurant Clothing</t>
  </si>
  <si>
    <t>Clothing</t>
  </si>
  <si>
    <t>FullServiceRestaurant Gas Equip</t>
  </si>
  <si>
    <t>Default|Sun</t>
  </si>
  <si>
    <t>FullServiceRestaurant HtgSetp</t>
  </si>
  <si>
    <t>FullServiceRestaurant HtgSetp Kitchen</t>
  </si>
  <si>
    <t>FullServiceRestaurant Infil Half On</t>
  </si>
  <si>
    <t>Default|WntrDsn|SmrDsn|Sun|Sat</t>
  </si>
  <si>
    <t>FullServiceRestaurant Work Eff</t>
  </si>
  <si>
    <t>Hospital AIR_VELO_SCH</t>
  </si>
  <si>
    <t>Hospital ALWAYS_OFF</t>
  </si>
  <si>
    <t>Hospital ALWAYS_ON</t>
  </si>
  <si>
    <t>Hospital Bldg ClgSetp</t>
  </si>
  <si>
    <t>Wknd</t>
  </si>
  <si>
    <t>Hospital BLDG ELEVATORS</t>
  </si>
  <si>
    <t>Hospital Bldg Equip</t>
  </si>
  <si>
    <t>Hospital Bldg HtgSetp</t>
  </si>
  <si>
    <t>Hospital Bldg Light</t>
  </si>
  <si>
    <t>Hospital Bldg Occ</t>
  </si>
  <si>
    <t>Hospital BLDG_ELEVATORS</t>
  </si>
  <si>
    <t>Hospital BLDG_EQUIP_EXTD_SCH</t>
  </si>
  <si>
    <t>Hospital BLDG_LIGHT_CORRIDOR_SCH</t>
  </si>
  <si>
    <t>Hospital BLDG_LIGHT_EXAM_SCH</t>
  </si>
  <si>
    <t>Hospital BLDG_LIGHT_EXTD_SCH</t>
  </si>
  <si>
    <t>Hospital BLDG_LIGHT_LOBBYFLR1_SCH</t>
  </si>
  <si>
    <t>Hospital BLDG_LIGHT_LOBBYFLR5_SCH</t>
  </si>
  <si>
    <t>Hospital BLDG_LIGHT_NURSEFLR1_SCH</t>
  </si>
  <si>
    <t>Hospital BLDG_LIGHT_NURSEFLR234_SCH</t>
  </si>
  <si>
    <t>Hospital BLDG_LIGHT_OFFICE_BSMT_SCH</t>
  </si>
  <si>
    <t>Hospital BLDG_LIGHT_OFFICE_SCH</t>
  </si>
  <si>
    <t>Hospital BLDG_LIGHT_RADIOLOGY_SCH</t>
  </si>
  <si>
    <t>Hospital BLDG_LIGHT_SCH</t>
  </si>
  <si>
    <t>Hospital BLDG_OA_FRAC_SCH</t>
  </si>
  <si>
    <t>OA Air</t>
  </si>
  <si>
    <t>WntrDsn|SmrDsn|Sat|Wkdy</t>
  </si>
  <si>
    <t>Hospital BLDG_OCC_EXTD_SCH</t>
  </si>
  <si>
    <t>Hospital BLDG_OCC_SCH</t>
  </si>
  <si>
    <t>Hospital BLDG_SWH_EXTD_SCH</t>
  </si>
  <si>
    <t>Default|WntrDsn|Sat</t>
  </si>
  <si>
    <t>SmrDsn|Wkdy</t>
  </si>
  <si>
    <t>Hospital BLDG_SWH_SCH</t>
  </si>
  <si>
    <t>Hospital CLGSETP_SCH</t>
  </si>
  <si>
    <t>Hospital Clothing</t>
  </si>
  <si>
    <t>Hospital CLOTHING_SCH</t>
  </si>
  <si>
    <t>Hospital Cool-Supply-Air-Temp-Sch</t>
  </si>
  <si>
    <t>Hospital CoolingCoilAvailSched</t>
  </si>
  <si>
    <t>Hospital Critical ClgSetp</t>
  </si>
  <si>
    <t>Hospital Critical Equip</t>
  </si>
  <si>
    <t>Default|SmrDsn|Sun|Sat</t>
  </si>
  <si>
    <t>Hospital Critical HtgSetp</t>
  </si>
  <si>
    <t>Hospital Critical Light</t>
  </si>
  <si>
    <t>Hospital Critical Occ</t>
  </si>
  <si>
    <t>Hospital CW-Loop-Temp-Schedule</t>
  </si>
  <si>
    <t>Hospital Dishwashing Booster Setpoint Temp Schedule</t>
  </si>
  <si>
    <t>Hospital Dishwashing Booster Water Inlet Temp Schedule</t>
  </si>
  <si>
    <t>Hospital Dual Zone Control Type Sched</t>
  </si>
  <si>
    <t>Hospital ELEV_LIGHT_FAN_SCH_24_7</t>
  </si>
  <si>
    <t>Hospital ELEV_LIGHT_FAN_SCH_ADD_DF</t>
  </si>
  <si>
    <t>Hospital ER_Exam1_Mult4_Flr_1 sub cat Latent fract sched</t>
  </si>
  <si>
    <t>Hospital ER_Exam1_Mult4_Flr_1 sub cat Sensible fract sched</t>
  </si>
  <si>
    <t>Hospital ER_Exam1_Mult4_Flr_1 sub cat Temp Sched</t>
  </si>
  <si>
    <t>Hospital ER_Exam1_Mult4_Flr_1 sub catHot Supply Temp Sched</t>
  </si>
  <si>
    <t>Hospital ER_Exam3_Mult4_Flr_1 sub cat Latent fract sched</t>
  </si>
  <si>
    <t>Hospital ER_Exam3_Mult4_Flr_1 sub cat Sensible fract sched</t>
  </si>
  <si>
    <t>Hospital ER_Exam3_Mult4_Flr_1 sub cat Temp Sched</t>
  </si>
  <si>
    <t>Hospital ER_Exam3_Mult4_Flr_1 sub catHot Supply Temp Sched</t>
  </si>
  <si>
    <t>Hospital ER_ExtraElecHeatC_Sch</t>
  </si>
  <si>
    <t>Hospital ER_ExtraWaterHeatC_Sch</t>
  </si>
  <si>
    <t>Hospital ER_Trauma1_Flr_1 sub cat Latent fract sched</t>
  </si>
  <si>
    <t>Hospital ER_Trauma1_Flr_1 sub cat Sensible fract sched</t>
  </si>
  <si>
    <t>Hospital ER_Trauma1_Flr_1 sub cat Temp Sched</t>
  </si>
  <si>
    <t>Hospital ER_Trauma1_Flr_1 sub catHot Supply Temp Sched</t>
  </si>
  <si>
    <t>Hospital ER_Trauma2_Flr_1 sub cat Latent fract sched</t>
  </si>
  <si>
    <t>Hospital ER_Trauma2_Flr_1 sub cat Sensible fract sched</t>
  </si>
  <si>
    <t>Hospital ER_Trauma2_Flr_1 sub cat Temp Sched</t>
  </si>
  <si>
    <t>Hospital ER_Trauma2_Flr_1 sub catHot Supply Temp Sched</t>
  </si>
  <si>
    <t>Hospital ER_Triage_Mult4_Flr_1 sub cat Latent fract sched</t>
  </si>
  <si>
    <t>Hospital ER_Triage_Mult4_Flr_1 sub cat Sensible fract sched</t>
  </si>
  <si>
    <t>Hospital ER_Triage_Mult4_Flr_1 sub cat Temp Sched</t>
  </si>
  <si>
    <t>Hospital ER_Triage_Mult4_Flr_1 sub catHot Supply Temp Sched</t>
  </si>
  <si>
    <t>Hospital Exterior_Lgt_ALWAYS_ON</t>
  </si>
  <si>
    <t>Hospital Heat-Supply-Air-Temp-Sch</t>
  </si>
  <si>
    <t>Hospital Hours_of_operation</t>
  </si>
  <si>
    <t>Operation</t>
  </si>
  <si>
    <t>Hospital HTGSETP_SCH</t>
  </si>
  <si>
    <t>Hospital Humidity Setpoint Schedule</t>
  </si>
  <si>
    <t>Default|WntrDsn|SmrDsn|Sat|Wkdy</t>
  </si>
  <si>
    <t>Hospital HVACOperationSchd</t>
  </si>
  <si>
    <t>Hospital HW-Loop-Temp-Schedule</t>
  </si>
  <si>
    <t>Hospital ICU_ExtraElecHeatC_Sch</t>
  </si>
  <si>
    <t>Hospital ICU_ExtraWaterHeatC_Sch</t>
  </si>
  <si>
    <t>Hospital Infil Quarter On</t>
  </si>
  <si>
    <t>Default|Sun|Sat</t>
  </si>
  <si>
    <t>Hospital INFIL_SCH_PNNL</t>
  </si>
  <si>
    <t>Hospital Kitchen ClgSetp</t>
  </si>
  <si>
    <t>Hospital Kitchen Exhaust</t>
  </si>
  <si>
    <t>Hospital Kitchen Exhaust Fan Balanced Exhaust Fraction Schedule</t>
  </si>
  <si>
    <t>Hospital Kitchen Gas</t>
  </si>
  <si>
    <t>Hospital Kitchen HtgSetp</t>
  </si>
  <si>
    <t>Hospital Kitchen_Exhaust_SCH</t>
  </si>
  <si>
    <t>Hospital Kitchen_Flr_5 sub cat Latent fract sched</t>
  </si>
  <si>
    <t>Hospital Kitchen_Flr_5 sub cat Sensible fract sched</t>
  </si>
  <si>
    <t>Hospital Kitchen_Flr_5 sub cat Temp Sched</t>
  </si>
  <si>
    <t>Hospital Kitchen_Flr_5 sub catHot Supply Temp Sched</t>
  </si>
  <si>
    <t>Hospital Kitchen_Flr_5_Case:1_WALKINFREEZER_WalkInStockingSched</t>
  </si>
  <si>
    <t>WntrDsn|SmrDsn|Wknd|Mon|Wed|Thu</t>
  </si>
  <si>
    <t>Hospital Kitchen_Flr_5_Case:2_SELFCONTAINEDDISPLAYCASE_CaseStockingSched</t>
  </si>
  <si>
    <t>Hospital Kitchen_SAT_SCH</t>
  </si>
  <si>
    <t>Hospital Lab_Flr_3 sub cat Latent fract sched</t>
  </si>
  <si>
    <t>Hospital Lab_Flr_3 sub cat Sensible fract sched</t>
  </si>
  <si>
    <t>Hospital Lab_Flr_3 sub cat Temp Sched</t>
  </si>
  <si>
    <t>Hospital Lab_Flr_3 sub catHot Supply Temp Sched</t>
  </si>
  <si>
    <t>Hospital Lab_Flr_4 sub cat Latent fract sched</t>
  </si>
  <si>
    <t>Hospital Lab_Flr_4 sub cat Sensible fract sched</t>
  </si>
  <si>
    <t>Hospital Lab_Flr_4 sub cat Temp Sched</t>
  </si>
  <si>
    <t>Hospital Lab_Flr_4 sub catHot Supply Temp Sched</t>
  </si>
  <si>
    <t>Hospital Labs_ExtraElecHeatC_Sch</t>
  </si>
  <si>
    <t>Hospital Labs_ExtraWaterHeatC_Sch</t>
  </si>
  <si>
    <t>Hospital Laundry Setpoint Temp Schedule</t>
  </si>
  <si>
    <t>Hospital LAUNDRY_SWH_SCH</t>
  </si>
  <si>
    <t>Hospital MaxRelHumSetSch</t>
  </si>
  <si>
    <t>Hospital MinOA_Sched</t>
  </si>
  <si>
    <t>Hospital MinRelHumSetSch</t>
  </si>
  <si>
    <t>Hospital MinRelHumSetSch_addDI</t>
  </si>
  <si>
    <t>Hospital MinRelHumSetSch_addDI_ICU</t>
  </si>
  <si>
    <t>Hospital OR ClgSetp</t>
  </si>
  <si>
    <t>Hospital OR HtgSetp</t>
  </si>
  <si>
    <t>Hospital OR_ExtraElecHeatC_Sch</t>
  </si>
  <si>
    <t>Hospital OR_ExtraWaterHeatC_Sch</t>
  </si>
  <si>
    <t>Hospital OR_MinSA_Sched</t>
  </si>
  <si>
    <t>Hospital OR1_Flr_2 sub cat Latent fract sched</t>
  </si>
  <si>
    <t>Hospital OR1_Flr_2 sub cat Sensible fract sched</t>
  </si>
  <si>
    <t>Hospital OR1_Flr_2 sub cat Temp Sched</t>
  </si>
  <si>
    <t>Hospital OR1_Flr_2 sub catHot Supply Temp Sched</t>
  </si>
  <si>
    <t>Hospital OR2_Mult5_Flr_2 sub cat Latent fract sched</t>
  </si>
  <si>
    <t>Hospital OR2_Mult5_Flr_2 sub cat Sensible fract sched</t>
  </si>
  <si>
    <t>Hospital OR2_Mult5_Flr_2 sub cat Temp Sched</t>
  </si>
  <si>
    <t>Hospital OR2_Mult5_Flr_2 sub catHot Supply Temp Sched</t>
  </si>
  <si>
    <t>Hospital OR3_Flr_2 sub cat Latent fract sched</t>
  </si>
  <si>
    <t>Hospital OR3_Flr_2 sub cat Sensible fract sched</t>
  </si>
  <si>
    <t>Hospital OR3_Flr_2 sub cat Temp Sched</t>
  </si>
  <si>
    <t>Hospital OR3_Flr_2 sub catHot Supply Temp Sched</t>
  </si>
  <si>
    <t>Hospital OR4_Flr_2 sub cat Latent fract sched</t>
  </si>
  <si>
    <t>Hospital OR4_Flr_2 sub cat Sensible fract sched</t>
  </si>
  <si>
    <t>Hospital OR4_Flr_2 sub cat Temp Sched</t>
  </si>
  <si>
    <t>Hospital OR4_Flr_2 sub catHot Supply Temp Sched</t>
  </si>
  <si>
    <t>Hospital Patrms_ExtraElecHeatC_Sch</t>
  </si>
  <si>
    <t>Hospital Patrms_ExtraWaterHeatC_Sch</t>
  </si>
  <si>
    <t>Hospital PatRoom1_Mult10_Flr_3 sub cat Latent fract sched</t>
  </si>
  <si>
    <t>Hospital PatRoom1_Mult10_Flr_3 sub cat Sensible fract sched</t>
  </si>
  <si>
    <t>Hospital PatRoom1_Mult10_Flr_3 sub cat Temp Sched</t>
  </si>
  <si>
    <t>Hospital PatRoom1_Mult10_Flr_3 sub catHot Supply Temp Sched</t>
  </si>
  <si>
    <t>Hospital PatRoom1_Mult10_Flr_4 sub cat Latent fract sched</t>
  </si>
  <si>
    <t>Hospital PatRoom1_Mult10_Flr_4 sub cat Sensible fract sched</t>
  </si>
  <si>
    <t>Hospital PatRoom1_Mult10_Flr_4 sub cat Temp Sched</t>
  </si>
  <si>
    <t>Hospital PatRoom1_Mult10_Flr_4 sub catHot Supply Temp Sched</t>
  </si>
  <si>
    <t>Hospital PatRoom2_Flr_3 sub cat Latent fract sched</t>
  </si>
  <si>
    <t>Hospital PatRoom2_Flr_3 sub cat Sensible fract sched</t>
  </si>
  <si>
    <t>Hospital PatRoom2_Flr_3 sub cat Temp Sched</t>
  </si>
  <si>
    <t>Hospital PatRoom2_Flr_3 sub catHot Supply Temp Sched</t>
  </si>
  <si>
    <t>Hospital PatRoom2_Flr_4 sub cat Latent fract sched</t>
  </si>
  <si>
    <t>Hospital PatRoom2_Flr_4 sub cat Sensible fract sched</t>
  </si>
  <si>
    <t>Hospital PatRoom2_Flr_4 sub cat Temp Sched</t>
  </si>
  <si>
    <t>Hospital PatRoom2_Flr_4 sub catHot Supply Temp Sched</t>
  </si>
  <si>
    <t>Hospital PatRoom3_Mult10_Flr_3 sub cat Latent fract sched</t>
  </si>
  <si>
    <t>Hospital PatRoom3_Mult10_Flr_3 sub cat Sensible fract sched</t>
  </si>
  <si>
    <t>Hospital PatRoom3_Mult10_Flr_3 sub cat Temp Sched</t>
  </si>
  <si>
    <t>Hospital PatRoom3_Mult10_Flr_3 sub catHot Supply Temp Sched</t>
  </si>
  <si>
    <t>Hospital PatRoom3_Mult10_Flr_4 sub cat Latent fract sched</t>
  </si>
  <si>
    <t>Hospital PatRoom3_Mult10_Flr_4 sub cat Sensible fract sched</t>
  </si>
  <si>
    <t>Hospital PatRoom3_Mult10_Flr_4 sub cat Temp Sched</t>
  </si>
  <si>
    <t>Hospital PatRoom3_Mult10_Flr_4 sub catHot Supply Temp Sched</t>
  </si>
  <si>
    <t>Hospital PatRoom4_Flr_3 sub cat Latent fract sched</t>
  </si>
  <si>
    <t>Hospital PatRoom4_Flr_3 sub cat Sensible fract sched</t>
  </si>
  <si>
    <t>Hospital PatRoom4_Flr_3 sub cat Temp Sched</t>
  </si>
  <si>
    <t>Hospital PatRoom4_Flr_3 sub catHot Supply Temp Sched</t>
  </si>
  <si>
    <t>Hospital PatRoom4_Flr_4 sub cat Latent fract sched</t>
  </si>
  <si>
    <t>Hospital PatRoom4_Flr_4 sub cat Sensible fract sched</t>
  </si>
  <si>
    <t>Hospital PatRoom4_Flr_4 sub cat Temp Sched</t>
  </si>
  <si>
    <t>Hospital PatRoom4_Flr_4 sub catHot Supply Temp Sched</t>
  </si>
  <si>
    <t>Hospital PatRoom5_Mult10_Flr_3 sub cat Latent fract sched</t>
  </si>
  <si>
    <t>Hospital PatRoom5_Mult10_Flr_3 sub cat Sensible fract sched</t>
  </si>
  <si>
    <t>Hospital PatRoom5_Mult10_Flr_3 sub cat Temp Sched</t>
  </si>
  <si>
    <t>Hospital PatRoom5_Mult10_Flr_3 sub catHot Supply Temp Sched</t>
  </si>
  <si>
    <t>Hospital PatRoom5_Mult10_Flr_4 sub cat Latent fract sched</t>
  </si>
  <si>
    <t>Hospital PatRoom5_Mult10_Flr_4 sub cat Sensible fract sched</t>
  </si>
  <si>
    <t>Hospital PatRoom5_Mult10_Flr_4 sub cat Temp Sched</t>
  </si>
  <si>
    <t>Hospital PatRoom5_Mult10_Flr_4 sub catHot Supply Temp Sched</t>
  </si>
  <si>
    <t>Hospital PatRoom6_Flr_3 sub cat Latent fract sched</t>
  </si>
  <si>
    <t>Hospital PatRoom6_Flr_3 sub cat Sensible fract sched</t>
  </si>
  <si>
    <t>Hospital PatRoom6_Flr_3 sub cat Temp Sched</t>
  </si>
  <si>
    <t>Hospital PatRoom6_Flr_3 sub catHot Supply Temp Sched</t>
  </si>
  <si>
    <t>Hospital PatRoom6_Flr_4 sub cat Latent fract sched</t>
  </si>
  <si>
    <t>Hospital PatRoom6_Flr_4 sub cat Sensible fract sched</t>
  </si>
  <si>
    <t>Hospital PatRoom6_Flr_4 sub cat Temp Sched</t>
  </si>
  <si>
    <t>Hospital PatRoom6_Flr_4 sub catHot Supply Temp Sched</t>
  </si>
  <si>
    <t>Hospital PatRoom7_Mult10_Flr_3 sub cat Latent fract sched</t>
  </si>
  <si>
    <t>Hospital PatRoom7_Mult10_Flr_3 sub cat Sensible fract sched</t>
  </si>
  <si>
    <t>Hospital PatRoom7_Mult10_Flr_3 sub cat Temp Sched</t>
  </si>
  <si>
    <t>Hospital PatRoom7_Mult10_Flr_3 sub catHot Supply Temp Sched</t>
  </si>
  <si>
    <t>Hospital PatRoom7_Mult10_Flr_4 sub cat Latent fract sched</t>
  </si>
  <si>
    <t>Hospital PatRoom7_Mult10_Flr_4 sub cat Sensible fract sched</t>
  </si>
  <si>
    <t>Hospital PatRoom7_Mult10_Flr_4 sub cat Temp Sched</t>
  </si>
  <si>
    <t>Hospital PatRoom7_Mult10_Flr_4 sub catHot Supply Temp Sched</t>
  </si>
  <si>
    <t>Hospital PatRoom8_Flr_3 sub cat Latent fract sched</t>
  </si>
  <si>
    <t>Hospital PatRoom8_Flr_3 sub cat Sensible fract sched</t>
  </si>
  <si>
    <t>Hospital PatRoom8_Flr_3 sub cat Temp Sched</t>
  </si>
  <si>
    <t>Hospital PatRoom8_Flr_3 sub catHot Supply Temp Sched</t>
  </si>
  <si>
    <t>Hospital PatRoom8_Flr_4 sub cat Latent fract sched</t>
  </si>
  <si>
    <t>Hospital PatRoom8_Flr_4 sub cat Sensible fract sched</t>
  </si>
  <si>
    <t>Hospital PatRoom8_Flr_4 sub cat Temp Sched</t>
  </si>
  <si>
    <t>Hospital PatRoom8_Flr_4 sub catHot Supply Temp Sched</t>
  </si>
  <si>
    <t>Hospital PhysTherapy_Flr_3 sub cat Latent fract sched</t>
  </si>
  <si>
    <t>Hospital PhysTherapy_Flr_3 sub cat Sensible fract sched</t>
  </si>
  <si>
    <t>Hospital PhysTherapy_Flr_3 sub cat Temp Sched</t>
  </si>
  <si>
    <t>Hospital PhysTherapy_Flr_3 sub catHot Supply Temp Sched</t>
  </si>
  <si>
    <t>Hospital PlantOnSched</t>
  </si>
  <si>
    <t>Hospital Radiology_Flr_4 sub cat Latent fract sched</t>
  </si>
  <si>
    <t>Hospital Radiology_Flr_4 sub cat Sensible fract sched</t>
  </si>
  <si>
    <t>Hospital Radiology_Flr_4 sub cat Temp Sched</t>
  </si>
  <si>
    <t>Hospital Radiology_Flr_4 sub catHot Supply Temp Sched</t>
  </si>
  <si>
    <t>Hospital ReheatCoilAvailSched</t>
  </si>
  <si>
    <t>Hospital scheduleOSCBasementFloorTemp</t>
  </si>
  <si>
    <t>Hospital scheduleOSCBasementLowerWallTemp</t>
  </si>
  <si>
    <t>Hospital scheduleOSCBasementUpperWallTemp</t>
  </si>
  <si>
    <t>Hospital scheduleOSCBasementWallSurfaceTemp</t>
  </si>
  <si>
    <t>Hospital SHADING_SCH</t>
  </si>
  <si>
    <t>Hospital SHWSys1 Water Heater Ambient Temperature Schedule</t>
  </si>
  <si>
    <t>Hospital SHWSys1 Water Heater Setpoint Temperature Schedule</t>
  </si>
  <si>
    <t>Hospital SHWSys1-Loop-Temp-Schedule</t>
  </si>
  <si>
    <t>Hospital Tower-Loop-Temp-Schedule</t>
  </si>
  <si>
    <t>Hospital VAV_ER_OAminOAFracSchedule</t>
  </si>
  <si>
    <t>Hospital VAV_ICU_OAminOAFracSchedule</t>
  </si>
  <si>
    <t>Hospital VAV_LABS_OAminOAFracSchedule</t>
  </si>
  <si>
    <t>Hospital VAV_OR_OAminOAFracSchedule</t>
  </si>
  <si>
    <t>Hospital VAV_PATRMS_OAminOAFracSchedule</t>
  </si>
  <si>
    <t>Hospital VAV_SAT_SCH</t>
  </si>
  <si>
    <t>Hospital walkin_occ_lght_SCH</t>
  </si>
  <si>
    <t>Hospital Work Eff</t>
  </si>
  <si>
    <t>Hospital WORK_EFF_SCH</t>
  </si>
  <si>
    <t>HotelLarge Adva_OccGuestRoom_ClgSP_Sch</t>
  </si>
  <si>
    <t>HotelLarge Adva_OccGuestRoom_HtgSP_Sch</t>
  </si>
  <si>
    <t>HotelLarge Adva5F_OccGuestRoom_ClgSP_Sch</t>
  </si>
  <si>
    <t>HotelLarge Adva5F_OccGuestRoom_HtgSP_Sch</t>
  </si>
  <si>
    <t>HotelLarge AIR_VELO_SCH</t>
  </si>
  <si>
    <t>HotelLarge ALWAYS_OFF</t>
  </si>
  <si>
    <t>HotelLarge ALWAYS_ON</t>
  </si>
  <si>
    <t>HotelLarge Base_OccGuestRoom_ClgSP_Sch</t>
  </si>
  <si>
    <t>HotelLarge Base_OccGuestRoom_HtgSP_Sch</t>
  </si>
  <si>
    <t>HotelLarge BASEMENT_EQUIP_SCH</t>
  </si>
  <si>
    <t>HotelLarge BASEMENT_EQUIP_SCH_2010</t>
  </si>
  <si>
    <t>HotelLarge BLDG_ELEVATORS</t>
  </si>
  <si>
    <t>HotelLarge BLDG_LIGHT_CORRIDOR_SCH</t>
  </si>
  <si>
    <t>HotelLarge BLDG_LIGHT_CORRIDOR_SCH_2010</t>
  </si>
  <si>
    <t>HotelLarge BLDG_LIGHT_GUESTROOM_SCH</t>
  </si>
  <si>
    <t>HotelLarge BLDG_LIGHT_GUESTROOM_SCH_2010</t>
  </si>
  <si>
    <t>HotelLarge BLDG_LIGHT_OFFICE_BSMT_SCH</t>
  </si>
  <si>
    <t>HotelLarge BLDG_LIGHT_OFFICE_BSMT_SCH_2010</t>
  </si>
  <si>
    <t>HotelLarge BLDG_LIGHT_SCH</t>
  </si>
  <si>
    <t>HotelLarge BLDG_LIGHT_STORAGE_SCH</t>
  </si>
  <si>
    <t>HotelLarge BLDG_LIGHT_STORAGE_SCH_2010</t>
  </si>
  <si>
    <t>HotelLarge BLDG_OCC_SCH</t>
  </si>
  <si>
    <t>HotelLarge BLDG_SWH_SCH</t>
  </si>
  <si>
    <t>HotelLarge Booster Water Inlet Temp Schedule</t>
  </si>
  <si>
    <t>HotelLarge Booster Water Setpoint Temp Schedule</t>
  </si>
  <si>
    <t>HotelLarge CLGSETP_SCH</t>
  </si>
  <si>
    <t>HotelLarge CLOTHING_SCH</t>
  </si>
  <si>
    <t>HotelLarge Cool-Supply-Air-Temp-Sch</t>
  </si>
  <si>
    <t>HotelLarge CoolingCoilAvailSched</t>
  </si>
  <si>
    <t>HotelLarge CW-Loop-Temp-Schedule</t>
  </si>
  <si>
    <t>HotelLarge Dual Zone Control Type Sched</t>
  </si>
  <si>
    <t>HotelLarge ELEV_LIGHT_FAN_SCH_24_7</t>
  </si>
  <si>
    <t>HotelLarge ELEV_LIGHT_FAN_SCH_ADD_DF</t>
  </si>
  <si>
    <t>HotelLarge EmployeeLounge_Eqp_Sch</t>
  </si>
  <si>
    <t>Default|Wkdy</t>
  </si>
  <si>
    <t>HotelLarge EmployeeLounge_Occ_Sch</t>
  </si>
  <si>
    <t>HotelLarge ExerciseRoom_Eqp_Sch</t>
  </si>
  <si>
    <t>HotelLarge ExerciseRoom_Occ_Sch</t>
  </si>
  <si>
    <t>HotelLarge Exterior_Lgt_ALWAYS_ON</t>
  </si>
  <si>
    <t>HotelLarge Exterior_Ltg_Sch</t>
  </si>
  <si>
    <t>HotelLarge FAN_SCH</t>
  </si>
  <si>
    <t>HotelLarge FLR_3_DOAS_OAminOAFracSchedule</t>
  </si>
  <si>
    <t>HotelLarge GuestRoom_Eqp_Sch_Adva</t>
  </si>
  <si>
    <t>HotelLarge GuestRoom_Eqp_Sch_Base</t>
  </si>
  <si>
    <t>HotelLarge GuestRoom_Occ_Sch</t>
  </si>
  <si>
    <t>HotelLarge GuestRoom_SWH_Sch</t>
  </si>
  <si>
    <t>HotelLarge Heating-Supply-Air-Temp-Sch</t>
  </si>
  <si>
    <t>HotelLarge Hours_of_operation</t>
  </si>
  <si>
    <t>HotelLarge HTGSETP_SCH</t>
  </si>
  <si>
    <t>HotelLarge Humidity Setpoint Schedule</t>
  </si>
  <si>
    <t>HotelLarge HVACOperationSchd</t>
  </si>
  <si>
    <t>HotelLarge HW-Loop-Temp-Schedule</t>
  </si>
  <si>
    <t>HotelLarge INFIL_HALF_ON_SCH</t>
  </si>
  <si>
    <t>HotelLarge INFIL_SCH</t>
  </si>
  <si>
    <t>HotelLarge Kitchen Exhaust Fan Balanced Exhaust Fraction Schedule</t>
  </si>
  <si>
    <t>HotelLarge Kitchen_Elec_Equip_SCH</t>
  </si>
  <si>
    <t>HotelLarge Kitchen_Exhaust_SCH</t>
  </si>
  <si>
    <t>HotelLarge Kitchen_Flr_6 Water Equipment Hot Supply Temp Sched</t>
  </si>
  <si>
    <t>HotelLarge Kitchen_Flr_6 Water Equipment Latent fract sched</t>
  </si>
  <si>
    <t>HotelLarge Kitchen_Flr_6 Water Equipment Sensible fract sched</t>
  </si>
  <si>
    <t>HotelLarge Kitchen_Flr_6 Water Equipment Temp Sched</t>
  </si>
  <si>
    <t>HotelLarge Kitchen_Flr_6_Case:1_WALKINFREEZER_WalkInStockingSched</t>
  </si>
  <si>
    <t>HotelLarge Kitchen_Flr_6_Case:2_SELFCONTAINEDDISPLAYCASE_CaseStockingSched</t>
  </si>
  <si>
    <t>HotelLarge Kitchen_Gas_Equip_SCH</t>
  </si>
  <si>
    <t>Default|Sat|Wkdy</t>
  </si>
  <si>
    <t>HotelLarge Laundry Setpoint Temp Schedule</t>
  </si>
  <si>
    <t>HotelLarge LAUNDRY_SWH_SCH</t>
  </si>
  <si>
    <t>HotelLarge LaundryRoom_Eqp_Elec_Sch</t>
  </si>
  <si>
    <t>HotelLarge LaundryRoom_Eqp_Gas_Sch</t>
  </si>
  <si>
    <t>HotelLarge LaundryRoom_Occ_Sch</t>
  </si>
  <si>
    <t>HotelLarge LaundryRoom_SWH_Sch</t>
  </si>
  <si>
    <t>HotelLarge Lobby_Eqp_Sch</t>
  </si>
  <si>
    <t>HotelLarge Lobby_Occ_Sch</t>
  </si>
  <si>
    <t>HotelLarge MaxRelHumSetSch</t>
  </si>
  <si>
    <t>HotelLarge MeetingRoom_Eqp_Sch</t>
  </si>
  <si>
    <t>HotelLarge MeetingRoom_Occ_Sch</t>
  </si>
  <si>
    <t>HotelLarge MinOA_MotorizedDamper_Sched</t>
  </si>
  <si>
    <t>HotelLarge MinOA_Sched</t>
  </si>
  <si>
    <t>HotelLarge MinRelHumSetSch</t>
  </si>
  <si>
    <t>HotelLarge N Adva_OccGuestRoom_ClgSP_Sch</t>
  </si>
  <si>
    <t>HotelLarge N Adva_OccGuestRoom_HtgSP_Sch</t>
  </si>
  <si>
    <t>HotelLarge Off During Unoccupied Period</t>
  </si>
  <si>
    <t>HotelLarge Office_Eqp_Sch</t>
  </si>
  <si>
    <t>HotelLarge Office_Occ_Sch</t>
  </si>
  <si>
    <t>HotelLarge PlantOnSched</t>
  </si>
  <si>
    <t>HotelLarge ReheatCoilAvailSched</t>
  </si>
  <si>
    <t>HotelLarge Room_1_Flr_3 Water Equipment Hot Supply Temp Sched</t>
  </si>
  <si>
    <t>HotelLarge Room_1_Flr_3 Water Equipment Latent fract sched</t>
  </si>
  <si>
    <t>HotelLarge Room_1_Flr_3 Water Equipment Sensible fract sched</t>
  </si>
  <si>
    <t>HotelLarge Room_1_Flr_3 Water Equipment Temp Sched</t>
  </si>
  <si>
    <t>HotelLarge Room_1_Flr_6 Water Equipment Hot Supply Temp Sched</t>
  </si>
  <si>
    <t>HotelLarge Room_1_Flr_6 Water Equipment Latent fract sched</t>
  </si>
  <si>
    <t>HotelLarge Room_1_Flr_6 Water Equipment Sensible fract sched</t>
  </si>
  <si>
    <t>HotelLarge Room_1_Flr_6 Water Equipment Temp Sched</t>
  </si>
  <si>
    <t>HotelLarge Room_2_Flr_3 Water Equipment Hot Supply Temp Sched</t>
  </si>
  <si>
    <t>HotelLarge Room_2_Flr_3 Water Equipment Latent fract sched</t>
  </si>
  <si>
    <t>HotelLarge Room_2_Flr_3 Water Equipment Sensible fract sched</t>
  </si>
  <si>
    <t>HotelLarge Room_2_Flr_3 Water Equipment Temp Sched</t>
  </si>
  <si>
    <t>HotelLarge Room_2_Flr_6 Water Equipment Hot Supply Temp Sched</t>
  </si>
  <si>
    <t>HotelLarge Room_2_Flr_6 Water Equipment Latent fract sched</t>
  </si>
  <si>
    <t>HotelLarge Room_2_Flr_6 Water Equipment Sensible fract sched</t>
  </si>
  <si>
    <t>HotelLarge Room_2_Flr_6 Water Equipment Temp Sched</t>
  </si>
  <si>
    <t>HotelLarge Room_3_Mult19_Flr_3 Water Equipment Hot Supply Temp Sched</t>
  </si>
  <si>
    <t>HotelLarge Room_3_Mult19_Flr_3 Water Equipment Latent fract sched</t>
  </si>
  <si>
    <t>HotelLarge Room_3_Mult19_Flr_3 Water Equipment Sensible fract sched</t>
  </si>
  <si>
    <t>HotelLarge Room_3_Mult19_Flr_3 Water Equipment Temp Sched</t>
  </si>
  <si>
    <t>HotelLarge Room_3_Mult9_Flr_6 Water Equipment Hot Supply Temp Sched</t>
  </si>
  <si>
    <t>HotelLarge Room_3_Mult9_Flr_6 Water Equipment Latent fract sched</t>
  </si>
  <si>
    <t>HotelLarge Room_3_Mult9_Flr_6 Water Equipment Sensible fract sched</t>
  </si>
  <si>
    <t>HotelLarge Room_3_Mult9_Flr_6 Water Equipment Temp Sched</t>
  </si>
  <si>
    <t>HotelLarge Room_4_Mult19_Flr_3 Water Equipment Hot Supply Temp Sched</t>
  </si>
  <si>
    <t>HotelLarge Room_4_Mult19_Flr_3 Water Equipment Latent fract sched</t>
  </si>
  <si>
    <t>HotelLarge Room_4_Mult19_Flr_3 Water Equipment Sensible fract sched</t>
  </si>
  <si>
    <t>HotelLarge Room_4_Mult19_Flr_3 Water Equipment Temp Sched</t>
  </si>
  <si>
    <t>HotelLarge Room_5_Flr_3 Water Equipment Hot Supply Temp Sched</t>
  </si>
  <si>
    <t>HotelLarge Room_5_Flr_3 Water Equipment Latent fract sched</t>
  </si>
  <si>
    <t>HotelLarge Room_5_Flr_3 Water Equipment Sensible fract sched</t>
  </si>
  <si>
    <t>HotelLarge Room_5_Flr_3 Water Equipment Temp Sched</t>
  </si>
  <si>
    <t>HotelLarge Room_6_Flr_3 Water Equipment Hot Supply Temp Sched</t>
  </si>
  <si>
    <t>HotelLarge Room_6_Flr_3 Water Equipment Latent fract sched</t>
  </si>
  <si>
    <t>HotelLarge Room_6_Flr_3 Water Equipment Sensible fract sched</t>
  </si>
  <si>
    <t>HotelLarge Room_6_Flr_3 Water Equipment Temp Sched</t>
  </si>
  <si>
    <t>HotelLarge S Adva_OccGuestRoom_ClgSP_Sch</t>
  </si>
  <si>
    <t>HotelLarge S Adva_OccGuestRoom_HtgSP_Sch</t>
  </si>
  <si>
    <t>HotelLarge scheduleOSCBasementFloorTemp</t>
  </si>
  <si>
    <t>HotelLarge scheduleOSCBasementLowerWallTemp</t>
  </si>
  <si>
    <t>HotelLarge scheduleOSCBasementUpperWallTemp</t>
  </si>
  <si>
    <t>HotelLarge scheduleOSCBasementWallSurfaceTemp</t>
  </si>
  <si>
    <t>HotelLarge Seasonal-Reset-Supply-Air-Temp-Sch</t>
  </si>
  <si>
    <t>HotelLarge SHADING_SCH</t>
  </si>
  <si>
    <t>HotelLarge Sliding_Doors_Ventilation_Availability_SCH</t>
  </si>
  <si>
    <t>HotelLarge SWHSys1 Water Heater Ambient Temperature Schedule Name</t>
  </si>
  <si>
    <t>HotelLarge SWHSys1 Water Heater Setpoint Temperature Schedule Name</t>
  </si>
  <si>
    <t>HotelLarge SWHSys1-Loop-Temp-Schedule</t>
  </si>
  <si>
    <t>HotelLarge walkin_occ_lght_SCH</t>
  </si>
  <si>
    <t>HotelLarge WORK_EFF_SCH</t>
  </si>
  <si>
    <t>HotelSmall Adva_EmployeeLounge_ClgSP_Sch</t>
  </si>
  <si>
    <t>HotelSmall Adva_EmployeeLounge_HtgSP_Sch</t>
  </si>
  <si>
    <t>HotelSmall Adva_ExerciseCenter_ClgSP_Sch</t>
  </si>
  <si>
    <t>HotelSmall Adva_ExerciseCenter_HtgSP_Sch</t>
  </si>
  <si>
    <t>HotelSmall Adva_MeetingRoom_ClgSP_Sch</t>
  </si>
  <si>
    <t>HotelSmall Adva_MeetingRoom_HtgSP_Sch</t>
  </si>
  <si>
    <t>HotelSmall Adva_OccGuestRoom_ClgSP_Sch</t>
  </si>
  <si>
    <t>HotelSmall Adva_OccGuestRoom_HtgSP_Sch</t>
  </si>
  <si>
    <t>HotelSmall Adva5F_OccGuestRoom_ClgSP_Sch</t>
  </si>
  <si>
    <t>HotelSmall Adva5F_OccGuestRoom_HtgSP_Sch</t>
  </si>
  <si>
    <t>HotelSmall AlwaysOff</t>
  </si>
  <si>
    <t>HotelSmall AlwaysOff_SCH</t>
  </si>
  <si>
    <t>HotelSmall AlwaysOn</t>
  </si>
  <si>
    <t>HotelSmall AlwaysOn_SCH</t>
  </si>
  <si>
    <t>HotelSmall Base_OccGuestRoom_ClgSP_Sch</t>
  </si>
  <si>
    <t>HotelSmall Base_OccGuestRoom_HtgSP_Sch</t>
  </si>
  <si>
    <t>HotelSmall BLDG_ELEVATORS</t>
  </si>
  <si>
    <t>HotelSmall BLDG_LIGHT_CORRIDOR_SCH</t>
  </si>
  <si>
    <t>HotelSmall BLDG_LIGHT_CORRIDOR_SCH_2013</t>
  </si>
  <si>
    <t>HotelSmall BLDG_LIGHT_EMPLOYEELOUNGE_SCH</t>
  </si>
  <si>
    <t>HotelSmall BLDG_LIGHT_EXERCENTER_SCH</t>
  </si>
  <si>
    <t>HotelSmall BLDG_LIGHT_FRONTLOUNGE_SCH</t>
  </si>
  <si>
    <t>HotelSmall BLDG_LIGHT_GUESTROOM_SCH_2010</t>
  </si>
  <si>
    <t>HotelSmall BLDG_LIGHT_GUESTROOM_SCH_2013</t>
  </si>
  <si>
    <t>HotelSmall BLDG_LIGHT_LAUNDRY_SCH</t>
  </si>
  <si>
    <t>HotelSmall BLDG_LIGHT_MECHROOM_SCH</t>
  </si>
  <si>
    <t>HotelSmall BLDG_LIGHT_MEETINGROOM_SCH</t>
  </si>
  <si>
    <t>HotelSmall BLDG_LIGHT_OFFICE_SCH</t>
  </si>
  <si>
    <t>HotelSmall BLDG_LIGHT_RESTROOM_SCH</t>
  </si>
  <si>
    <t>HotelSmall BLDG_LIGHT_STAIR_SCH</t>
  </si>
  <si>
    <t>HotelSmall BLDG_LIGHT_STORAGE_SCH</t>
  </si>
  <si>
    <t>HotelSmall CommonArea_ClgSP_Sch</t>
  </si>
  <si>
    <t>HotelSmall CommonArea_HtgSP_Sch</t>
  </si>
  <si>
    <t>HotelSmall CommonArea_Infil_Sch</t>
  </si>
  <si>
    <t>HotelSmall COMPACT HVAC-ALWAYS 0</t>
  </si>
  <si>
    <t>HotelSmall COMPACT HVAC-ALWAYS 1</t>
  </si>
  <si>
    <t>HotelSmall COMPACT HVAC-ALWAYS 4</t>
  </si>
  <si>
    <t>HotelSmall ELEV_LIGHT_FAN_SCH_24_7</t>
  </si>
  <si>
    <t>HotelSmall ELEV_LIGHT_FAN_SCH_ADD_DF</t>
  </si>
  <si>
    <t>HotelSmall EmployeeLounge_Eqp_Sch</t>
  </si>
  <si>
    <t>HotelSmall EmployeeLounge_Occ_Sch</t>
  </si>
  <si>
    <t>HotelSmall ExerciseCenter_Occ_Sch</t>
  </si>
  <si>
    <t>HotelSmall Exterior_Lgt_ALWAYS_ON</t>
  </si>
  <si>
    <t>HotelSmall Exterior_Ltg_Sch</t>
  </si>
  <si>
    <t>HotelSmall GuestRoom_Eqp_Sch_Adva</t>
  </si>
  <si>
    <t>HotelSmall GuestRoom_Eqp_Sch_Base</t>
  </si>
  <si>
    <t>HotelSmall GuestRoom_Infil_Sch</t>
  </si>
  <si>
    <t>HotelSmall GuestRoom_Occ_Sch</t>
  </si>
  <si>
    <t>HotelSmall GuestRoom_SHW_Sch</t>
  </si>
  <si>
    <t>HotelSmall Heat Exchanger Supply Air Temp Sch</t>
  </si>
  <si>
    <t>HotelSmall INFIL_Door_Opening_SCH</t>
  </si>
  <si>
    <t>HotelSmall LaundryRoom_Eqp_Elec_Sch</t>
  </si>
  <si>
    <t>HotelSmall LaundryRoom_Eqp_Gas_Sch</t>
  </si>
  <si>
    <t>HotelSmall LaundryRoom_Occ_Sch</t>
  </si>
  <si>
    <t>HotelSmall LaundryRoom_SHW_Sch</t>
  </si>
  <si>
    <t>HotelSmall Lobby_Eqp_Sch</t>
  </si>
  <si>
    <t>HotelSmall Lobby_Occ_Sch</t>
  </si>
  <si>
    <t>HotelSmall MeetingRoom_Eqp_Sch</t>
  </si>
  <si>
    <t>HotelSmall MeetingRoom_Occ_Sch</t>
  </si>
  <si>
    <t>HotelSmall MinOA_MotorizedDamper_Sched</t>
  </si>
  <si>
    <t>HotelSmall N Adva_OccGuestRoom_ClgSP_Sch</t>
  </si>
  <si>
    <t>HotelSmall N Adva_OccGuestRoom_HtgSP_Sch</t>
  </si>
  <si>
    <t>HotelSmall Off During Unoccupied Period</t>
  </si>
  <si>
    <t>HotelSmall OFF_EQUIP_SCH</t>
  </si>
  <si>
    <t>HotelSmall Office_Occ_Sch</t>
  </si>
  <si>
    <t>HotelSmall PlantOnSched</t>
  </si>
  <si>
    <t>HotelSmall S Adva_OccGuestRoom_ClgSP_Sch</t>
  </si>
  <si>
    <t>HotelSmall S Adva_OccGuestRoom_HtgSP_Sch</t>
  </si>
  <si>
    <t>HotelSmall SAC_Econ_MaxOAFrac_Sch</t>
  </si>
  <si>
    <t>HotelSmall SemiHeated_HtgSP_Sch</t>
  </si>
  <si>
    <t>HotelSmall SHW Latent fract sched</t>
  </si>
  <si>
    <t>HotelSmall SHW Laundry Temp Sched</t>
  </si>
  <si>
    <t>HotelSmall SHW Sensible fract sched</t>
  </si>
  <si>
    <t>HotelSmall SHW Shower Temp Sched</t>
  </si>
  <si>
    <t>HotelSmall SHWSys Water Heater Ambient Temperature Schedule</t>
  </si>
  <si>
    <t>HotelSmall SHWSysLaundry Water Heater Setpoint Temperature Schedule</t>
  </si>
  <si>
    <t>HotelSmall SHWSysLaundry-Loop-Temp-Schedule</t>
  </si>
  <si>
    <t>HotelSmall SHWSysShower Water Heater Setpoint Temperature Schedule</t>
  </si>
  <si>
    <t>HotelSmall SHWSysShower-Loop-Temp-Schedule</t>
  </si>
  <si>
    <t>HotelSmall Sliding_Doors_Ventilation_Availability_SCH</t>
  </si>
  <si>
    <t>HotelSmall VacGuestRoom_ClgSP_Sch</t>
  </si>
  <si>
    <t>HotelSmall VacGuestRoom_HtgSP_Sch</t>
  </si>
  <si>
    <t>Large Office BLDG ELEVATORS</t>
  </si>
  <si>
    <t>Large Office Bldg Equip</t>
  </si>
  <si>
    <t>Large Office Bldg Light</t>
  </si>
  <si>
    <t>Large Office Bldg Occ</t>
  </si>
  <si>
    <t>WntrDsn|Sun</t>
  </si>
  <si>
    <t>Large Office ClgSetp</t>
  </si>
  <si>
    <t>Large Office Clothing</t>
  </si>
  <si>
    <t>Large Office HtgSetp</t>
  </si>
  <si>
    <t>SmrDsn|Sun</t>
  </si>
  <si>
    <t>Large Office Infil Quarter On</t>
  </si>
  <si>
    <t>Large Office Work Eff</t>
  </si>
  <si>
    <t>LargeHotel BLDG ELEVATORS</t>
  </si>
  <si>
    <t>LargeHotel Bldg Equip</t>
  </si>
  <si>
    <t>LargeHotel Bldg Light</t>
  </si>
  <si>
    <t>LargeHotel Bldg Occ</t>
  </si>
  <si>
    <t>LargeHotel ClgSetp</t>
  </si>
  <si>
    <t>LargeHotel Clothing</t>
  </si>
  <si>
    <t>LargeHotel Common Occ</t>
  </si>
  <si>
    <t>LargeHotel Corridor ClgSetp</t>
  </si>
  <si>
    <t>LargeHotel Corridor HtgSetp</t>
  </si>
  <si>
    <t>LargeHotel GuestRoom ClgSetp</t>
  </si>
  <si>
    <t>LargeHotel GuestRoom Equip</t>
  </si>
  <si>
    <t>LargeHotel GuestRoom HtgSetp</t>
  </si>
  <si>
    <t>LargeHotel GuestRoom Occ</t>
  </si>
  <si>
    <t>LargeHotel GuestRoom_Ltg_Sch_Base</t>
  </si>
  <si>
    <t>LargeHotel HtgSetp</t>
  </si>
  <si>
    <t>LargeHotel Infil Quarter On</t>
  </si>
  <si>
    <t>LargeHotel Kitchen ClgSetp</t>
  </si>
  <si>
    <t>LargeHotel Kitchen Equip</t>
  </si>
  <si>
    <t>LargeHotel Kitchen Exhaust</t>
  </si>
  <si>
    <t>LargeHotel Kitchen Gas</t>
  </si>
  <si>
    <t>LargeHotel Kitchen HtgSetp</t>
  </si>
  <si>
    <t>LargeHotel Kitchen_Elec_Equip_SCH</t>
  </si>
  <si>
    <t>Default|Wkdy|Sat</t>
  </si>
  <si>
    <t>LargeHotel LaundryRoom Equip</t>
  </si>
  <si>
    <t>LargeHotel LaundryRoom Gas</t>
  </si>
  <si>
    <t>LargeHotel Lobby Occ</t>
  </si>
  <si>
    <t>LargeHotel Work Eff</t>
  </si>
  <si>
    <t>Medium Office BLDG ELEVATORS</t>
  </si>
  <si>
    <t>Wkdy|SmrDsn</t>
  </si>
  <si>
    <t>Medium Office Bldg Equip</t>
  </si>
  <si>
    <t>Medium Office Bldg Light</t>
  </si>
  <si>
    <t>Medium Office Bldg Occ</t>
  </si>
  <si>
    <t>Medium Office Bldg Swh</t>
  </si>
  <si>
    <t>Medium Office ClgSetp</t>
  </si>
  <si>
    <t>Medium Office Clothing</t>
  </si>
  <si>
    <t>Medium Office HtgSetp</t>
  </si>
  <si>
    <t>Medium Office Infil Quarter On</t>
  </si>
  <si>
    <t>Medium Office Work Eff</t>
  </si>
  <si>
    <t>MidriseApartment Apartment ClgSetp</t>
  </si>
  <si>
    <t>MidriseApartment Apartment DHW</t>
  </si>
  <si>
    <t>MidriseApartment Apartment Equip</t>
  </si>
  <si>
    <t>MidriseApartment Apartment HtgSetp</t>
  </si>
  <si>
    <t>MidriseApartment Apartment Light</t>
  </si>
  <si>
    <t>MidriseApartment Apartment Occ</t>
  </si>
  <si>
    <t>MidriseApartment Apartment Operation</t>
  </si>
  <si>
    <t>MidriseApartment BLDG ELEVATORS</t>
  </si>
  <si>
    <t>MidriseApartment Clothing</t>
  </si>
  <si>
    <t>MidriseApartment Corridor ClgSetp</t>
  </si>
  <si>
    <t>MidriseApartment Corridor HtgSetp</t>
  </si>
  <si>
    <t>MidriseApartment Corridor Light</t>
  </si>
  <si>
    <t>MidriseApartment Infil</t>
  </si>
  <si>
    <t>MidriseApartment Office ClgSetp</t>
  </si>
  <si>
    <t>MidriseApartment Office Equip</t>
  </si>
  <si>
    <t>WntrDsn|Wknd</t>
  </si>
  <si>
    <t>MidriseApartment Office HtgSetp</t>
  </si>
  <si>
    <t>MidriseApartment OFFICE Infil</t>
  </si>
  <si>
    <t>WntrDsn|SmrDsn|Wknd</t>
  </si>
  <si>
    <t>MidriseApartment Office Light</t>
  </si>
  <si>
    <t>MidriseApartment Office Occ</t>
  </si>
  <si>
    <t>MidriseApartment Office Operation</t>
  </si>
  <si>
    <t>MidriseApartment UnitHeater ClgSP Sch</t>
  </si>
  <si>
    <t>MidriseApartment UnitHeater HtgSP Sch</t>
  </si>
  <si>
    <t>MidriseApartment Work Eff</t>
  </si>
  <si>
    <t>FRACTION</t>
  </si>
  <si>
    <t>Sun|Hol</t>
  </si>
  <si>
    <t>NECB-A-Fan</t>
  </si>
  <si>
    <t>Fan</t>
  </si>
  <si>
    <t>ON_OFF</t>
  </si>
  <si>
    <t>NECB-A-Processes</t>
  </si>
  <si>
    <t>Processes</t>
  </si>
  <si>
    <t>NECB-A-Service Water Heating</t>
  </si>
  <si>
    <t>NECB-A-Thermostat Setpoint-Cooling</t>
  </si>
  <si>
    <t>TEMPERATURE</t>
  </si>
  <si>
    <t>NECB-A-Thermostat Setpoint-Heating</t>
  </si>
  <si>
    <t>NECB-B-Fan</t>
  </si>
  <si>
    <t>NECB-B-Processes</t>
  </si>
  <si>
    <t>NECB-B-Service Water Heating</t>
  </si>
  <si>
    <t>NECB-B-Thermostat Setpoint-Cooling</t>
  </si>
  <si>
    <t>NECB-B-Thermostat Setpoint-Heating</t>
  </si>
  <si>
    <t>NECB-C-Fan</t>
  </si>
  <si>
    <t>NECB-C-Processes</t>
  </si>
  <si>
    <t>NECB-C-Service Water Heating</t>
  </si>
  <si>
    <t>NECB-C-Thermostat Setpoint-Cooling</t>
  </si>
  <si>
    <t>NECB-C-Thermostat Setpoint-Heating</t>
  </si>
  <si>
    <t>NECB-D-Fan</t>
  </si>
  <si>
    <t>NECB-D-Processes</t>
  </si>
  <si>
    <t>NECB-D-Service Water Heating</t>
  </si>
  <si>
    <t>NECB-D-Thermostat Setpoint-Cooling</t>
  </si>
  <si>
    <t>NECB-D-Thermostat Setpoint-Heating</t>
  </si>
  <si>
    <t>NECB-E-Fan</t>
  </si>
  <si>
    <t>NECB-E-Processes</t>
  </si>
  <si>
    <t>NECB-E-Service Water Heating</t>
  </si>
  <si>
    <t>NECB-E-Thermostat Setpoint-Cooling</t>
  </si>
  <si>
    <t>NECB-E-Thermostat Setpoint-Heating</t>
  </si>
  <si>
    <t>NECB-F-Fan</t>
  </si>
  <si>
    <t>NECB-F-Processes</t>
  </si>
  <si>
    <t>NECB-F-Service Water Heating</t>
  </si>
  <si>
    <t>NECB-F-Thermostat Setpoint-Cooling</t>
  </si>
  <si>
    <t>NECB-F-Thermostat Setpoint-Heating</t>
  </si>
  <si>
    <t>NECB-G-Fan</t>
  </si>
  <si>
    <t>NECB-G-Processes</t>
  </si>
  <si>
    <t>NECB-G-Service Water Heating</t>
  </si>
  <si>
    <t>NECB-G-Thermostat Setpoint-Cooling</t>
  </si>
  <si>
    <t>NECB-G-Thermostat Setpoint-Heating</t>
  </si>
  <si>
    <t>NECB-H-Fan</t>
  </si>
  <si>
    <t>NECB-H-Processes</t>
  </si>
  <si>
    <t>NECB-H-Service Water Heating</t>
  </si>
  <si>
    <t>NECB-H-Thermostat Setpoint-Cooling</t>
  </si>
  <si>
    <t>NECB-H-Thermostat Setpoint-Heating</t>
  </si>
  <si>
    <t>NECB-I-Fan</t>
  </si>
  <si>
    <t>NECB-I-Processes</t>
  </si>
  <si>
    <t>NECB-I-Service Water Heating</t>
  </si>
  <si>
    <t>NECB-I-Thermostat Setpoint-Cooling</t>
  </si>
  <si>
    <t>NECB-I-Thermostat Setpoint-Heating</t>
  </si>
  <si>
    <t>Office Bldg Equip</t>
  </si>
  <si>
    <t>Office Bldg Light</t>
  </si>
  <si>
    <t>Office Infil Quarter On</t>
  </si>
  <si>
    <t>Office Misc Occ</t>
  </si>
  <si>
    <t>Office Work Occ</t>
  </si>
  <si>
    <t>OfficeLarge AIR_VELO_SCH</t>
  </si>
  <si>
    <t>OfficeLarge ALWAYS_OFF</t>
  </si>
  <si>
    <t>OfficeLarge ALWAYS_ON</t>
  </si>
  <si>
    <t>OfficeLarge BLDG_ELEVATORS</t>
  </si>
  <si>
    <t>OfficeLarge BLDG_EQUIP_SCH</t>
  </si>
  <si>
    <t>OfficeLarge BLDG_LIGHT_SCH</t>
  </si>
  <si>
    <t>OfficeLarge BLDG_OCC_SCH</t>
  </si>
  <si>
    <t>OfficeLarge BLDG_SWH_SCH</t>
  </si>
  <si>
    <t>OfficeLarge CLGSETP_DC_SCH</t>
  </si>
  <si>
    <t>OfficeLarge CLGSETP_SCH_CAV_bas</t>
  </si>
  <si>
    <t>OfficeLarge CLGSETP_SCH_NO_OPTIMUM</t>
  </si>
  <si>
    <t>OfficeLarge CLGSETP_SCH_NO_SETBACK</t>
  </si>
  <si>
    <t>Default|WntrDsn|Sat|Wkdy</t>
  </si>
  <si>
    <t>OfficeLarge CLGSETP_SCH_YES_OPTIMUM</t>
  </si>
  <si>
    <t>OfficeLarge CLGSETP_SCH_YES_OPTIMUM_original</t>
  </si>
  <si>
    <t>OfficeLarge CLOTHING_SCH</t>
  </si>
  <si>
    <t>OfficeLarge Cool-Supply-Air-Temp-Sch</t>
  </si>
  <si>
    <t>OfficeLarge CoolingCoilAvailSched</t>
  </si>
  <si>
    <t>OfficeLarge Core_bottom sub cat Latent fract sched</t>
  </si>
  <si>
    <t>OfficeLarge Core_bottom sub cat Sensible fract sched</t>
  </si>
  <si>
    <t>OfficeLarge Core_bottom sub cat Temp Sched</t>
  </si>
  <si>
    <t>OfficeLarge Core_bottom sub catHot Supply Temp Sched</t>
  </si>
  <si>
    <t>OfficeLarge Core_mid sub cat Latent fract sched</t>
  </si>
  <si>
    <t>OfficeLarge Core_mid sub cat Sensible fract sched</t>
  </si>
  <si>
    <t>OfficeLarge Core_mid sub cat Temp Sched</t>
  </si>
  <si>
    <t>OfficeLarge Core_mid sub catHot Supply Temp Sched</t>
  </si>
  <si>
    <t>OfficeLarge Core_top sub cat Latent fract sched</t>
  </si>
  <si>
    <t>OfficeLarge Core_top sub cat Sensible fract sched</t>
  </si>
  <si>
    <t>OfficeLarge Core_top sub cat Temp Sched</t>
  </si>
  <si>
    <t>OfficeLarge Core_top sub catHot Supply Temp Sched</t>
  </si>
  <si>
    <t>OfficeLarge CW-Loop-Temp-Schedule</t>
  </si>
  <si>
    <t>OfficeLarge DataCenter_ExtraElecHeatC_Sch</t>
  </si>
  <si>
    <t>OfficeLarge DataCenter_ExtraWaterHeatC_Sch</t>
  </si>
  <si>
    <t>OfficeLarge DC_MinRelHumSetSch</t>
  </si>
  <si>
    <t>OfficeLarge Dual Zone Control Type Sched</t>
  </si>
  <si>
    <t>OfficeLarge ELEV_LIGHT_FAN_SCH_24_7</t>
  </si>
  <si>
    <t>OfficeLarge ELEV_LIGHT_FAN_SCH_ADD_DF</t>
  </si>
  <si>
    <t>OfficeLarge Exterior_Lgt_189_1</t>
  </si>
  <si>
    <t>OfficeLarge Exterior_Lgt_ALWAYS_ON</t>
  </si>
  <si>
    <t>OfficeLarge EXTERIOR_LIGHT_SCH</t>
  </si>
  <si>
    <t>OfficeLarge Exterior_lighting_schedule_a</t>
  </si>
  <si>
    <t>OfficeLarge Exterior_lighting_schedule_b</t>
  </si>
  <si>
    <t>OfficeLarge FAN_SCH</t>
  </si>
  <si>
    <t>OfficeLarge Heat-Supply-Air-Temp-Sch</t>
  </si>
  <si>
    <t>OfficeLarge Hours_of_operation</t>
  </si>
  <si>
    <t>OfficeLarge HTGSETP_DC_SCH</t>
  </si>
  <si>
    <t>OfficeLarge HTGSETP_SCH_CAV_bas</t>
  </si>
  <si>
    <t>OfficeLarge HTGSETP_SCH_NO_OPTIMUM</t>
  </si>
  <si>
    <t>OfficeLarge HTGSETP_SCH_YES_OPTIMUM</t>
  </si>
  <si>
    <t>OfficeLarge HTGSETP_SCH_YES_OPTIMUM_original</t>
  </si>
  <si>
    <t>OfficeLarge HVACOperationSchd</t>
  </si>
  <si>
    <t>OfficeLarge HW-Loop-Temp-Schedule</t>
  </si>
  <si>
    <t>OfficeLarge INFIL_HALF_ON_SCH</t>
  </si>
  <si>
    <t>OfficeLarge INFIL_SCH</t>
  </si>
  <si>
    <t>OfficeLarge INFIL_SCH_PNNL</t>
  </si>
  <si>
    <t>OfficeLarge MinOA_MotorizedDamper_Sched</t>
  </si>
  <si>
    <t>OfficeLarge MinOA_Sched</t>
  </si>
  <si>
    <t>OfficeLarge PLANT LOOP HIGH TEMP SCHEDULE</t>
  </si>
  <si>
    <t>OfficeLarge PLANT LOOP LOW TEMP SCHEDULE</t>
  </si>
  <si>
    <t>OfficeLarge PlantOnSched</t>
  </si>
  <si>
    <t>OfficeLarge ReheatCoilAvailSched</t>
  </si>
  <si>
    <t>OfficeLarge scheduleOSCBasementFloorTemp</t>
  </si>
  <si>
    <t>OfficeLarge scheduleOSCBasementLowerWallTemp</t>
  </si>
  <si>
    <t>OfficeLarge scheduleOSCBasementUpperWallTemp</t>
  </si>
  <si>
    <t>OfficeLarge scheduleOSCBasementWallSurfaceTemp</t>
  </si>
  <si>
    <t>OfficeLarge SHADING_SCH</t>
  </si>
  <si>
    <t>OfficeLarge SHWSys1 Water Heater Ambient Temperature Schedule</t>
  </si>
  <si>
    <t>OfficeLarge SHWSys1 Water Heater Setpoint Temperature Schedule</t>
  </si>
  <si>
    <t>OfficeLarge SHWSys1-Loop-Temp-Schedule</t>
  </si>
  <si>
    <t>OfficeLarge SupplyFanSch</t>
  </si>
  <si>
    <t>OfficeLarge Tower-Loop-Temp-Schedule</t>
  </si>
  <si>
    <t>OfficeLarge WORK_EFF_SCH</t>
  </si>
  <si>
    <t>OfficeMedium AIR_VELO_SCH</t>
  </si>
  <si>
    <t>OfficeMedium ALWAYS_OFF</t>
  </si>
  <si>
    <t>OfficeMedium ALWAYS_ON</t>
  </si>
  <si>
    <t>OfficeMedium BLDG_ELEVATORS</t>
  </si>
  <si>
    <t>Sun|WntrDsn</t>
  </si>
  <si>
    <t>OfficeMedium BLDG_EQUIP_SCH_2004</t>
  </si>
  <si>
    <t>OfficeMedium BLDG_EQUIP_SCH_2010</t>
  </si>
  <si>
    <t>OfficeMedium BLDG_EQUIP_SCH_2013</t>
  </si>
  <si>
    <t>OfficeMedium BLDG_LIGHT_SCH_2004</t>
  </si>
  <si>
    <t>OfficeMedium BLDG_LIGHT_SCH_2010</t>
  </si>
  <si>
    <t>OfficeMedium BLDG_LIGHT_SCH_2013</t>
  </si>
  <si>
    <t>OfficeMedium BLDG_OCC_SCH</t>
  </si>
  <si>
    <t>OfficeMedium BLDG_SWH_SCH</t>
  </si>
  <si>
    <t>OfficeMedium CLGSETP_SCH_NO_OPTIMUM</t>
  </si>
  <si>
    <t>OfficeMedium CLGSETP_SCH_NO_SETBACK</t>
  </si>
  <si>
    <t>OfficeMedium CLGSETP_SCH_PACU_VAV_bot</t>
  </si>
  <si>
    <t>OfficeMedium CLGSETP_SCH_PACU_VAV_mid</t>
  </si>
  <si>
    <t>OfficeMedium CLGSETP_SCH_PACU_VAV_top</t>
  </si>
  <si>
    <t>OfficeMedium CLGSETP_SCH_YES_OPTIMUM</t>
  </si>
  <si>
    <t>OfficeMedium CLGSETP_SCH_YES_OPTIMUM_ORIGINAL</t>
  </si>
  <si>
    <t>OfficeMedium CLOTHING_SCH</t>
  </si>
  <si>
    <t>OfficeMedium Cool-Supply-Air-Temp-Sch</t>
  </si>
  <si>
    <t>OfficeMedium CoolingCoilAvailSched</t>
  </si>
  <si>
    <t>OfficeMedium Core_bottom sub cat Latent fract sched</t>
  </si>
  <si>
    <t>OfficeMedium Core_bottom sub cat Sensible fract sched</t>
  </si>
  <si>
    <t>OfficeMedium Core_bottom sub cat Temp Sched</t>
  </si>
  <si>
    <t>OfficeMedium Core_bottom sub catHot Supply Temp Sched</t>
  </si>
  <si>
    <t>OfficeMedium Core_mid sub cat Latent fract sched</t>
  </si>
  <si>
    <t>OfficeMedium Core_mid sub cat Sensible fract sched</t>
  </si>
  <si>
    <t>OfficeMedium Core_mid sub cat Temp Sched</t>
  </si>
  <si>
    <t>OfficeMedium Core_mid sub catHot Supply Temp Sched</t>
  </si>
  <si>
    <t>OfficeMedium Core_top sub cat Latent fract sched</t>
  </si>
  <si>
    <t>OfficeMedium Core_top sub cat Sensible fract sched</t>
  </si>
  <si>
    <t>OfficeMedium Core_top sub cat Temp Sched</t>
  </si>
  <si>
    <t>OfficeMedium Core_top sub catHot Supply Temp Sched</t>
  </si>
  <si>
    <t>OfficeMedium CW-Loop-Temp-Schedule</t>
  </si>
  <si>
    <t>OfficeMedium Dual Zone Control Type Sched</t>
  </si>
  <si>
    <t>OfficeMedium ELEV_LIGHT_FAN_SCH_24_7</t>
  </si>
  <si>
    <t>OfficeMedium ELEV_LIGHT_FAN_SCH_ADD_DF</t>
  </si>
  <si>
    <t>OfficeMedium Exterior_Lgt_189_1</t>
  </si>
  <si>
    <t>OfficeMedium Exterior_Lgt_ALWAYS_ON</t>
  </si>
  <si>
    <t>OfficeMedium Exterior_lighting_schedule_a</t>
  </si>
  <si>
    <t>OfficeMedium Exterior_lighting_schedule_b</t>
  </si>
  <si>
    <t>OfficeMedium FAN_SCH</t>
  </si>
  <si>
    <t>OfficeMedium Heat-Supply-Air-Temp-Sch</t>
  </si>
  <si>
    <t>OfficeMedium Hours_of_operation</t>
  </si>
  <si>
    <t>OfficeMedium HTGSETP_SCH_NO_OPTIMUM</t>
  </si>
  <si>
    <t>OfficeMedium HTGSETP_SCH_PACU_VAV_bot</t>
  </si>
  <si>
    <t>OfficeMedium HTGSETP_SCH_PACU_VAV_mid</t>
  </si>
  <si>
    <t>OfficeMedium HTGSETP_SCH_PACU_VAV_top</t>
  </si>
  <si>
    <t>OfficeMedium HTGSETP_SCH_YES_OPTIMUM</t>
  </si>
  <si>
    <t>OfficeMedium HTGSETP_SCH_YES_OPTIMUM_ORIGINAL</t>
  </si>
  <si>
    <t>OfficeMedium Humidity Setpoint Schedule</t>
  </si>
  <si>
    <t>OfficeMedium HVACOperationSchd</t>
  </si>
  <si>
    <t>OfficeMedium HW-Loop-Temp-Schedule</t>
  </si>
  <si>
    <t>OfficeMedium INFIL_Door_Opening_SCH</t>
  </si>
  <si>
    <t>OfficeMedium MinOA_MotorizedDamper_Sched</t>
  </si>
  <si>
    <t>OfficeMedium MinOA_Sched</t>
  </si>
  <si>
    <t>OfficeMedium Perimeter_bot_ZN_1 sub cat Latent fract sched</t>
  </si>
  <si>
    <t>OfficeMedium Perimeter_bot_ZN_1 sub cat Sensible fract sched</t>
  </si>
  <si>
    <t>OfficeMedium Perimeter_bot_ZN_1 sub cat Temp Sched</t>
  </si>
  <si>
    <t>OfficeMedium Perimeter_bot_ZN_1 sub catHot Supply Temp Sched</t>
  </si>
  <si>
    <t>OfficeMedium Perimeter_bot_ZN_2 sub cat Latent fract sched</t>
  </si>
  <si>
    <t>OfficeMedium Perimeter_bot_ZN_2 sub cat Sensible fract sched</t>
  </si>
  <si>
    <t>OfficeMedium Perimeter_bot_ZN_2 sub cat Temp Sched</t>
  </si>
  <si>
    <t>OfficeMedium Perimeter_bot_ZN_2 sub catHot Supply Temp Sched</t>
  </si>
  <si>
    <t>OfficeMedium Perimeter_bot_ZN_3 sub cat Latent fract sched</t>
  </si>
  <si>
    <t>OfficeMedium Perimeter_bot_ZN_3 sub cat Sensible fract sched</t>
  </si>
  <si>
    <t>OfficeMedium Perimeter_bot_ZN_3 sub cat Temp Sched</t>
  </si>
  <si>
    <t>OfficeMedium Perimeter_bot_ZN_3 sub catHot Supply Temp Sched</t>
  </si>
  <si>
    <t>OfficeMedium Perimeter_bot_ZN_4 sub cat Latent fract sched</t>
  </si>
  <si>
    <t>OfficeMedium Perimeter_bot_ZN_4 sub cat Sensible fract sched</t>
  </si>
  <si>
    <t>OfficeMedium Perimeter_bot_ZN_4 sub cat Temp Sched</t>
  </si>
  <si>
    <t>OfficeMedium Perimeter_bot_ZN_4 sub catHot Supply Temp Sched</t>
  </si>
  <si>
    <t>OfficeMedium Perimeter_mid_ZN_1 sub cat Latent fract sched</t>
  </si>
  <si>
    <t>OfficeMedium Perimeter_mid_ZN_1 sub cat Sensible fract sched</t>
  </si>
  <si>
    <t>OfficeMedium Perimeter_mid_ZN_1 sub cat Temp Sched</t>
  </si>
  <si>
    <t>OfficeMedium Perimeter_mid_ZN_1 sub catHot Supply Temp Sched</t>
  </si>
  <si>
    <t>OfficeMedium Perimeter_mid_ZN_2 sub cat Latent fract sched</t>
  </si>
  <si>
    <t>OfficeMedium Perimeter_mid_ZN_2 sub cat Sensible fract sched</t>
  </si>
  <si>
    <t>OfficeMedium Perimeter_mid_ZN_2 sub cat Temp Sched</t>
  </si>
  <si>
    <t>OfficeMedium Perimeter_mid_ZN_2 sub catHot Supply Temp Sched</t>
  </si>
  <si>
    <t>OfficeMedium Perimeter_mid_ZN_3 sub cat Latent fract sched</t>
  </si>
  <si>
    <t>OfficeMedium Perimeter_mid_ZN_3 sub cat Sensible fract sched</t>
  </si>
  <si>
    <t>OfficeMedium Perimeter_mid_ZN_3 sub cat Temp Sched</t>
  </si>
  <si>
    <t>OfficeMedium Perimeter_mid_ZN_3 sub catHot Supply Temp Sched</t>
  </si>
  <si>
    <t>OfficeMedium Perimeter_mid_ZN_4 sub cat Latent fract sched</t>
  </si>
  <si>
    <t>OfficeMedium Perimeter_mid_ZN_4 sub cat Sensible fract sched</t>
  </si>
  <si>
    <t>OfficeMedium Perimeter_mid_ZN_4 sub cat Temp Sched</t>
  </si>
  <si>
    <t>OfficeMedium Perimeter_mid_ZN_4 sub catHot Supply Temp Sched</t>
  </si>
  <si>
    <t>OfficeMedium Perimeter_top_ZN_1 sub cat Latent fract sched</t>
  </si>
  <si>
    <t>OfficeMedium Perimeter_top_ZN_1 sub cat Sensible fract sched</t>
  </si>
  <si>
    <t>OfficeMedium Perimeter_top_ZN_1 sub cat Temp Sched</t>
  </si>
  <si>
    <t>OfficeMedium Perimeter_top_ZN_1 sub catHot Supply Temp Sched</t>
  </si>
  <si>
    <t>OfficeMedium Perimeter_top_ZN_2 sub cat Latent fract sched</t>
  </si>
  <si>
    <t>OfficeMedium Perimeter_top_ZN_2 sub cat Sensible fract sched</t>
  </si>
  <si>
    <t>OfficeMedium Perimeter_top_ZN_2 sub cat Temp Sched</t>
  </si>
  <si>
    <t>OfficeMedium Perimeter_top_ZN_2 sub catHot Supply Temp Sched</t>
  </si>
  <si>
    <t>OfficeMedium Perimeter_top_ZN_3 sub cat Latent fract sched</t>
  </si>
  <si>
    <t>OfficeMedium Perimeter_top_ZN_3 sub cat Sensible fract sched</t>
  </si>
  <si>
    <t>OfficeMedium Perimeter_top_ZN_3 sub cat Temp Sched</t>
  </si>
  <si>
    <t>OfficeMedium Perimeter_top_ZN_3 sub catHot Supply Temp Sched</t>
  </si>
  <si>
    <t>OfficeMedium Perimeter_top_ZN_4 sub cat Latent fract sched</t>
  </si>
  <si>
    <t>OfficeMedium Perimeter_top_ZN_4 sub cat Sensible fract sched</t>
  </si>
  <si>
    <t>OfficeMedium Perimeter_top_ZN_4 sub cat Temp Sched</t>
  </si>
  <si>
    <t>OfficeMedium Perimeter_top_ZN_4 sub catHot Supply Temp Sched</t>
  </si>
  <si>
    <t>OfficeMedium PlantOnSched</t>
  </si>
  <si>
    <t>OfficeMedium ReheatCoilAvailSched</t>
  </si>
  <si>
    <t>OfficeMedium SHADING_SCH</t>
  </si>
  <si>
    <t>OfficeMedium SHWSys1 Water Heater Ambient Temperature Schedule</t>
  </si>
  <si>
    <t>OfficeMedium SHWSys1 Water Heater Setpoint Temperature Schedule</t>
  </si>
  <si>
    <t>OfficeMedium SHWSys1-Loop-Temp-Schedule</t>
  </si>
  <si>
    <t>OfficeMedium VAV OA Damper</t>
  </si>
  <si>
    <t>Dimensionless</t>
  </si>
  <si>
    <t>Sat|Sun|WntrDsn</t>
  </si>
  <si>
    <t>OfficeMedium VAV Operation</t>
  </si>
  <si>
    <t>OfficeMedium WORK_EFF_SCH</t>
  </si>
  <si>
    <t>OfficeSmall AIR_VELO_SCH</t>
  </si>
  <si>
    <t>OfficeSmall ALWAYS_OFF</t>
  </si>
  <si>
    <t>OfficeSmall ALWAYS_ON</t>
  </si>
  <si>
    <t>OfficeSmall BLDG_EQUIP_SCH</t>
  </si>
  <si>
    <t>OfficeSmall BLDG_LIGHT_SCH</t>
  </si>
  <si>
    <t>OfficeSmall BLDG_OCC_SCH</t>
  </si>
  <si>
    <t>OfficeSmall BLDG_SWH_SCH</t>
  </si>
  <si>
    <t>WntrDsn|SmrDsn|Wkdy</t>
  </si>
  <si>
    <t>OfficeSmall CLGSETP_SCH_NO_OPTIMUM</t>
  </si>
  <si>
    <t>OfficeSmall CLGSETP_SCH_NO_SETBACK</t>
  </si>
  <si>
    <t>OfficeSmall CLGSETP_SCH_YES_OPTIMUM</t>
  </si>
  <si>
    <t>OfficeSmall CLOTHING_SCH</t>
  </si>
  <si>
    <t>OfficeSmall CoolingCoilAvailSched</t>
  </si>
  <si>
    <t>OfficeSmall Core_ZN Water Equipment Hot Supply Temp Sched</t>
  </si>
  <si>
    <t>OfficeSmall Core_ZN Water Equipment Latent fract sched</t>
  </si>
  <si>
    <t>OfficeSmall Core_ZN Water Equipment Sensible fract sched</t>
  </si>
  <si>
    <t>OfficeSmall Core_ZN Water Equipment Temp Sched</t>
  </si>
  <si>
    <t>OfficeSmall CW-Loop-Temp-Schedule</t>
  </si>
  <si>
    <t>OfficeSmall Dual Zone Control Type Sched</t>
  </si>
  <si>
    <t>OfficeSmall Exterior_Lgt_189_1</t>
  </si>
  <si>
    <t>OfficeSmall Exterior_Lgt_ALWAYS_ON</t>
  </si>
  <si>
    <t>OfficeSmall Exterior_lighting_schedule_a</t>
  </si>
  <si>
    <t>OfficeSmall Exterior_lighting_schedule_b</t>
  </si>
  <si>
    <t>OfficeSmall Heating-Supply-Air-Temp-Sch</t>
  </si>
  <si>
    <t>OfficeSmall HTGSETP_SCH_NO_OPTIMUM</t>
  </si>
  <si>
    <t>OfficeSmall HTGSETP_SCH_YES_OPTIMUM</t>
  </si>
  <si>
    <t>OfficeSmall Humidity Setpoint Schedule</t>
  </si>
  <si>
    <t>OfficeSmall HVACOperationSchd</t>
  </si>
  <si>
    <t>OfficeSmall HW-Loop-Temp-Schedule</t>
  </si>
  <si>
    <t>OfficeSmall INFIL_Door_Opening_SCH</t>
  </si>
  <si>
    <t>OfficeSmall INFIL_QUARTER_ON_SCH</t>
  </si>
  <si>
    <t>OfficeSmall MinOA_MotorizedDamper_Sched</t>
  </si>
  <si>
    <t>OfficeSmall MinOA_Sched</t>
  </si>
  <si>
    <t>OfficeSmall PlantOnSched</t>
  </si>
  <si>
    <t>OfficeSmall ReheatCoilAvailSched</t>
  </si>
  <si>
    <t>OfficeSmall Seasonal-Reset-Supply-Air-Temp-Sch</t>
  </si>
  <si>
    <t>OfficeSmall SHADING_SCH</t>
  </si>
  <si>
    <t>OfficeSmall SHWSys1 Water Heater Ambient Temperature Schedule</t>
  </si>
  <si>
    <t>OfficeSmall SHWSys1 Water Heater Setpoint Temperature Schedule</t>
  </si>
  <si>
    <t>OfficeSmall SHWSys1-Loop-Temp-Schedule</t>
  </si>
  <si>
    <t>OfficeSmall WORK_EFF_SCH</t>
  </si>
  <si>
    <t>Outpatient BLDG ELEVATORS</t>
  </si>
  <si>
    <t>Outpatient Bldg Light</t>
  </si>
  <si>
    <t>Outpatient Bldg Occ</t>
  </si>
  <si>
    <t>Outpatient ClgSetp</t>
  </si>
  <si>
    <t>Outpatient Clothing</t>
  </si>
  <si>
    <t>Outpatient HtgSetp</t>
  </si>
  <si>
    <t>Outpatient Infil</t>
  </si>
  <si>
    <t>Outpatient OR ClgSetp</t>
  </si>
  <si>
    <t>Outpatient OR HtgSetp</t>
  </si>
  <si>
    <t>Outpatient Radiology Equip</t>
  </si>
  <si>
    <t>Outpatient Work Eff</t>
  </si>
  <si>
    <t>OutPatientHealthCare AHU-1_ExtraElecHeatC_Sch</t>
  </si>
  <si>
    <t>OutPatientHealthCare AHU-1_ExtraWaterHeatC_Sch</t>
  </si>
  <si>
    <t>OutPatientHealthCare AHU-1_OAminOAFracSchedule</t>
  </si>
  <si>
    <t>OutPatientHealthCare AIR_VELO_SCH</t>
  </si>
  <si>
    <t>OutPatientHealthCare ALWAYS_OFF</t>
  </si>
  <si>
    <t>OutPatientHealthCare ALWAYS_ON</t>
  </si>
  <si>
    <t>OutPatientHealthCare BLDG_CAV_SCH</t>
  </si>
  <si>
    <t>OutPatientHealthCare BLDG_CAV_SCH_HUMID</t>
  </si>
  <si>
    <t>OutPatientHealthCare BLDG_ELEVATORS</t>
  </si>
  <si>
    <t>OutPatientHealthCare BLDG_EQUIP_SCH</t>
  </si>
  <si>
    <t>OutPatientHealthCare BLDG_LIGHT_CORRIDOR_SCH</t>
  </si>
  <si>
    <t>OutPatientHealthCare BLDG_LIGHT_EXAM_SCH</t>
  </si>
  <si>
    <t>OutPatientHealthCare BLDG_LIGHT_LOBBYFLR1_SCH</t>
  </si>
  <si>
    <t>OutPatientHealthCare BLDG_LIGHT_OFFICE_SCH</t>
  </si>
  <si>
    <t>OutPatientHealthCare BLDG_LIGHT_SCH</t>
  </si>
  <si>
    <t>OutPatientHealthCare BLDG_LIGHT_STORAGE_SCH</t>
  </si>
  <si>
    <t>OutPatientHealthCare BLDG_LIGHT_TOILET_SCH</t>
  </si>
  <si>
    <t>OutPatientHealthCare BLDG_OA_FRAC_SCH</t>
  </si>
  <si>
    <t>OutPatientHealthCare BLDG_OA_SCH</t>
  </si>
  <si>
    <t>OutPatientHealthCare BLDG_OCC_SCH</t>
  </si>
  <si>
    <t>OutPatientHealthCare BLDG_SWH_SCH</t>
  </si>
  <si>
    <t>OutPatientHealthCare CAV_SAT_SCH</t>
  </si>
  <si>
    <t>OutPatientHealthCare CLGSETP_SCH_NO_OPTIMUM</t>
  </si>
  <si>
    <t>OutPatientHealthCare CLGSETP_SCH_NO_SETBACK</t>
  </si>
  <si>
    <t>OutPatientHealthCare CLGSETP_SCH_YES_OPTIMUM</t>
  </si>
  <si>
    <t>OutPatientHealthCare CLGSETP_SCH_YES_OPTIMUM_ORIGINAL</t>
  </si>
  <si>
    <t>OutPatientHealthCare CLOTHING_SCH</t>
  </si>
  <si>
    <t>OutPatientHealthCare CoolingCoilAvailSched</t>
  </si>
  <si>
    <t>OutPatientHealthCare CW-Loop-Temp-Schedule</t>
  </si>
  <si>
    <t>OutPatientHealthCare Dual Zone Control Type Sched</t>
  </si>
  <si>
    <t>OutPatientHealthCare ELEV_LIGHT_FAN_SCH_24_7</t>
  </si>
  <si>
    <t>OutPatientHealthCare ELEV_LIGHT_FAN_SCH_ADD_DF</t>
  </si>
  <si>
    <t>OutPatientHealthCare Exterior_Lgt_189_1</t>
  </si>
  <si>
    <t>OutPatientHealthCare Exterior_Lgt_ALWAYS_ON</t>
  </si>
  <si>
    <t>OutPatientHealthCare Exterior_lighting_schedule_a</t>
  </si>
  <si>
    <t>OutPatientHealthCare Exterior_lighting_schedule_b</t>
  </si>
  <si>
    <t>OutPatientHealthCare FAN_SCH</t>
  </si>
  <si>
    <t>OutPatientHealthCare Floor 1 Anesthesia Water Equipment Hot Supply Temp Sched</t>
  </si>
  <si>
    <t>OutPatientHealthCare Floor 1 Anesthesia Water Equipment Latent fract sched</t>
  </si>
  <si>
    <t>OutPatientHealthCare Floor 1 Anesthesia Water Equipment Sensible fract sched</t>
  </si>
  <si>
    <t>OutPatientHealthCare Floor 1 Anesthesia Water Equipment Temp Sched</t>
  </si>
  <si>
    <t>OutPatientHealthCare Floor 1 MRI Control Room Water Equipment Hot Supply Temp Sched</t>
  </si>
  <si>
    <t>OutPatientHealthCare Floor 1 MRI Control Room Water Equipment Latent fract sched</t>
  </si>
  <si>
    <t>OutPatientHealthCare Floor 1 MRI Control Room Water Equipment Sensible fract sched</t>
  </si>
  <si>
    <t>OutPatientHealthCare Floor 1 MRI Control Room Water Equipment Temp Sched</t>
  </si>
  <si>
    <t>OutPatientHealthCare Floor 1 MRI Room Water Equipment Hot Supply Temp Sched</t>
  </si>
  <si>
    <t>OutPatientHealthCare Floor 1 MRI Room Water Equipment Latent fract sched</t>
  </si>
  <si>
    <t>OutPatientHealthCare Floor 1 MRI Room Water Equipment Sensible fract sched</t>
  </si>
  <si>
    <t>OutPatientHealthCare Floor 1 MRI Room Water Equipment Temp Sched</t>
  </si>
  <si>
    <t>OutPatientHealthCare Floor 1 Operating Room 1 humidity sched</t>
  </si>
  <si>
    <t>OutPatientHealthCare Floor 1 Operating Room 1 Water Equipment Hot Supply Temp Sched</t>
  </si>
  <si>
    <t>OutPatientHealthCare Floor 1 Operating Room 1 Water Equipment Latent fract sched</t>
  </si>
  <si>
    <t>OutPatientHealthCare Floor 1 Operating Room 1 Water Equipment Sensible fract sched</t>
  </si>
  <si>
    <t>OutPatientHealthCare Floor 1 Operating Room 1 Water Equipment Temp Sched</t>
  </si>
  <si>
    <t>OutPatientHealthCare Floor 1 Operating Room 2 Water Equipment Hot Supply Temp Sched</t>
  </si>
  <si>
    <t>OutPatientHealthCare Floor 1 Operating Room 2 Water Equipment Latent fract sched</t>
  </si>
  <si>
    <t>OutPatientHealthCare Floor 1 Operating Room 2 Water Equipment Sensible fract sched</t>
  </si>
  <si>
    <t>OutPatientHealthCare Floor 1 Operating Room 2 Water Equipment Temp Sched</t>
  </si>
  <si>
    <t>OutPatientHealthCare Floor 1 Operating Room 3 Water Equipment Hot Supply Temp Sched</t>
  </si>
  <si>
    <t>OutPatientHealthCare Floor 1 Operating Room 3 Water Equipment Latent fract sched</t>
  </si>
  <si>
    <t>OutPatientHealthCare Floor 1 Operating Room 3 Water Equipment Sensible fract sched</t>
  </si>
  <si>
    <t>OutPatientHealthCare Floor 1 Operating Room 3 Water Equipment Temp Sched</t>
  </si>
  <si>
    <t>OutPatientHealthCare Floor 1 PACU Water Equipment Hot Supply Temp Sched</t>
  </si>
  <si>
    <t>OutPatientHealthCare Floor 1 PACU Water Equipment Latent fract sched</t>
  </si>
  <si>
    <t>OutPatientHealthCare Floor 1 PACU Water Equipment Sensible fract sched</t>
  </si>
  <si>
    <t>OutPatientHealthCare Floor 1 PACU Water Equipment Temp Sched</t>
  </si>
  <si>
    <t>OutPatientHealthCare Floor 1 Pre-Op Room 1 Water Equipment Hot Supply Temp Sched</t>
  </si>
  <si>
    <t>OutPatientHealthCare Floor 1 Pre-Op Room 1 Water Equipment Latent fract sched</t>
  </si>
  <si>
    <t>OutPatientHealthCare Floor 1 Pre-Op Room 1 Water Equipment Sensible fract sched</t>
  </si>
  <si>
    <t>OutPatientHealthCare Floor 1 Pre-Op Room 1 Water Equipment Temp Sched</t>
  </si>
  <si>
    <t>OutPatientHealthCare Floor 1 Pre-Op Room 2 Water Equipment Hot Supply Temp Sched</t>
  </si>
  <si>
    <t>OutPatientHealthCare Floor 1 Pre-Op Room 2 Water Equipment Latent fract sched</t>
  </si>
  <si>
    <t>OutPatientHealthCare Floor 1 Pre-Op Room 2 Water Equipment Sensible fract sched</t>
  </si>
  <si>
    <t>OutPatientHealthCare Floor 1 Pre-Op Room 2 Water Equipment Temp Sched</t>
  </si>
  <si>
    <t>OutPatientHealthCare Floor 1 Procedure Room Water Equipment Hot Supply Temp Sched</t>
  </si>
  <si>
    <t>OutPatientHealthCare Floor 1 Procedure Room Water Equipment Latent fract sched</t>
  </si>
  <si>
    <t>OutPatientHealthCare Floor 1 Procedure Room Water Equipment Sensible fract sched</t>
  </si>
  <si>
    <t>OutPatientHealthCare Floor 1 Procedure Room Water Equipment Temp Sched</t>
  </si>
  <si>
    <t>OutPatientHealthCare Floor 1 Recovery Room Water Equipment Hot Supply Temp Sched</t>
  </si>
  <si>
    <t>OutPatientHealthCare Floor 1 Recovery Room Water Equipment Latent fract sched</t>
  </si>
  <si>
    <t>OutPatientHealthCare Floor 1 Recovery Room Water Equipment Sensible fract sched</t>
  </si>
  <si>
    <t>OutPatientHealthCare Floor 1 Recovery Room Water Equipment Temp Sched</t>
  </si>
  <si>
    <t>OutPatientHealthCare Floor 1 Step Down Water Equipment Hot Supply Temp Sched</t>
  </si>
  <si>
    <t>OutPatientHealthCare Floor 1 Step Down Water Equipment Latent fract sched</t>
  </si>
  <si>
    <t>OutPatientHealthCare Floor 1 Step Down Water Equipment Sensible fract sched</t>
  </si>
  <si>
    <t>OutPatientHealthCare Floor 1 Step Down Water Equipment Temp Sched</t>
  </si>
  <si>
    <t>OutPatientHealthCare Floor 2 X-Ray Water Equipment Hot Supply Temp Sched</t>
  </si>
  <si>
    <t>OutPatientHealthCare Floor 2 X-Ray Water Equipment Latent fract sched</t>
  </si>
  <si>
    <t>OutPatientHealthCare Floor 2 X-Ray Water Equipment Sensible fract sched</t>
  </si>
  <si>
    <t>OutPatientHealthCare Floor 2 X-Ray Water Equipment Temp Sched</t>
  </si>
  <si>
    <t>OutPatientHealthCare Floor 3 Physical Therapy 1 Water Equipment Hot Supply Temp Sched</t>
  </si>
  <si>
    <t>OutPatientHealthCare Floor 3 Physical Therapy 1 Water Equipment Latent fract sched</t>
  </si>
  <si>
    <t>OutPatientHealthCare Floor 3 Physical Therapy 1 Water Equipment Sensible fract sched</t>
  </si>
  <si>
    <t>OutPatientHealthCare Floor 3 Physical Therapy 1 Water Equipment Temp Sched</t>
  </si>
  <si>
    <t>OutPatientHealthCare Floor 3 Physical Therapy 2 Water Equipment Hot Supply Temp Sched</t>
  </si>
  <si>
    <t>OutPatientHealthCare Floor 3 Physical Therapy 2 Water Equipment Latent fract sched</t>
  </si>
  <si>
    <t>OutPatientHealthCare Floor 3 Physical Therapy 2 Water Equipment Sensible fract sched</t>
  </si>
  <si>
    <t>OutPatientHealthCare Floor 3 Physical Therapy 2 Water Equipment Temp Sched</t>
  </si>
  <si>
    <t>OutPatientHealthCare Heating-Supply-Air-Temp-Sch</t>
  </si>
  <si>
    <t>OutPatientHealthCare HeatSys1 Loop Setpoint Sched</t>
  </si>
  <si>
    <t>OutPatientHealthCare Hours_of_operation</t>
  </si>
  <si>
    <t>OutPatientHealthCare HTGSETP_SCH_NO_OPTIMUM</t>
  </si>
  <si>
    <t>OutPatientHealthCare HTGSETP_SCH_YES_OPTIMUM</t>
  </si>
  <si>
    <t>OutPatientHealthCare Humidity Setpoint Schedule</t>
  </si>
  <si>
    <t>OutPatientHealthCare HVACOperationSchd</t>
  </si>
  <si>
    <t>OutPatientHealthCare HW-Loop-Temp-Schedule</t>
  </si>
  <si>
    <t>OutPatientHealthCare INFIL_Door_Opening_SCH</t>
  </si>
  <si>
    <t>OutPatientHealthCare INFIL_HALF_ON_SCH</t>
  </si>
  <si>
    <t>OutPatientHealthCare INFIL_SCH</t>
  </si>
  <si>
    <t>OutPatientHealthCare MaxRelHumSetSch</t>
  </si>
  <si>
    <t>OutPatientHealthCare MinOA_MotorizedDamper_Sched</t>
  </si>
  <si>
    <t>OutPatientHealthCare MinOA_Sched</t>
  </si>
  <si>
    <t>OutPatientHealthCare MinRelHumSetSch</t>
  </si>
  <si>
    <t>OutPatientHealthCare MinRelHumSetSch_addDI</t>
  </si>
  <si>
    <t>OutPatientHealthCare OR_CLGSETP_SCH</t>
  </si>
  <si>
    <t>OutPatientHealthCare OR_HTGSETP_SCH</t>
  </si>
  <si>
    <t>OutPatientHealthCare OR_MinSA_Sched</t>
  </si>
  <si>
    <t>Sat|Wkdy</t>
  </si>
  <si>
    <t>OutPatientHealthCare PlantOnSched</t>
  </si>
  <si>
    <t>OutPatientHealthCare ReheatCoilAvailSched</t>
  </si>
  <si>
    <t>OutPatientHealthCare Seasonal-Reset-Supply-Air-Temp-Sch</t>
  </si>
  <si>
    <t>OutPatientHealthCare SHADING_SCH</t>
  </si>
  <si>
    <t>OutPatientHealthCare SWHSys1 Water Heater Ambient Temperature Schedule Name</t>
  </si>
  <si>
    <t>OutPatientHealthCare SWHSys1 Water Heater Setpoint Temperature Schedule Name</t>
  </si>
  <si>
    <t>OutPatientHealthCare SWHSys1-Loop-Temp-Schedule</t>
  </si>
  <si>
    <t>OutPatientHealthCare VAV_SAT_SCH</t>
  </si>
  <si>
    <t>OutPatientHealthCare WORK_EFF_SCH</t>
  </si>
  <si>
    <t>PrimarySchool BathCorrMechKitchen ClgSetp</t>
  </si>
  <si>
    <t>PrimarySchool BathCorrMechKitchen HtgSetp</t>
  </si>
  <si>
    <t>PrimarySchool Bldg Equip</t>
  </si>
  <si>
    <t>PrimarySchool Bldg Light</t>
  </si>
  <si>
    <t>PrimarySchool Bldg Occ</t>
  </si>
  <si>
    <t>PrimarySchool Cafeteria Occ</t>
  </si>
  <si>
    <t>PrimarySchool ClgSetp</t>
  </si>
  <si>
    <t>PrimarySchool Clothing</t>
  </si>
  <si>
    <t>PrimarySchool Exterior Lights</t>
  </si>
  <si>
    <t>PrimarySchool Exterior Lights Always On</t>
  </si>
  <si>
    <t>PrimarySchool Gym Occ</t>
  </si>
  <si>
    <t>PrimarySchool HtgSetp</t>
  </si>
  <si>
    <t>PrimarySchool Infil</t>
  </si>
  <si>
    <t>PrimarySchool Kitchen Equip</t>
  </si>
  <si>
    <t>PrimarySchool Kitchen Exhaust</t>
  </si>
  <si>
    <t>PrimarySchool Kitchen Gas</t>
  </si>
  <si>
    <t>PrimarySchool Offices Occ</t>
  </si>
  <si>
    <t>PrimarySchool PSZ-AC OA Damper</t>
  </si>
  <si>
    <t>PrimarySchool PSZ-AC Operation</t>
  </si>
  <si>
    <t>PrimarySchool VAV OA Damper</t>
  </si>
  <si>
    <t>PrimarySchool VAV Operation</t>
  </si>
  <si>
    <t>PrimarySchool Work Eff</t>
  </si>
  <si>
    <t>QuickServiceRestaurant Bldg Equip</t>
  </si>
  <si>
    <t>QuickServiceRestaurant Bldg Light</t>
  </si>
  <si>
    <t>QuickServiceRestaurant Bldg Occ</t>
  </si>
  <si>
    <t>QuickServiceRestaurant Bldg Swh</t>
  </si>
  <si>
    <t>QuickServiceRestaurant ClgSetp</t>
  </si>
  <si>
    <t>QuickServiceRestaurant ClgSetp Kitchen</t>
  </si>
  <si>
    <t>QuickServiceRestaurant Clothing</t>
  </si>
  <si>
    <t>QuickServiceRestaurant Gas Equip</t>
  </si>
  <si>
    <t>QuickServiceRestaurant HtgSetp</t>
  </si>
  <si>
    <t>QuickServiceRestaurant HtgSetp Kitchen</t>
  </si>
  <si>
    <t>QuickServiceRestaurant Infil Half On</t>
  </si>
  <si>
    <t>QuickServiceRestaurant Kitchen Exhaust</t>
  </si>
  <si>
    <t>QuickServiceRestaurant Work Eff</t>
  </si>
  <si>
    <t>RestaurantFastFood AIR_VELO_SCH</t>
  </si>
  <si>
    <t>RestaurantFastFood ALWAYS_OFF</t>
  </si>
  <si>
    <t>RestaurantFastFood ALWAYS_ON</t>
  </si>
  <si>
    <t>RestaurantFastFood BLDG_LIGHT_DINING_SCH_2004_2007</t>
  </si>
  <si>
    <t>RestaurantFastFood BLDG_LIGHT_DINING_SCH_2010</t>
  </si>
  <si>
    <t>RestaurantFastFood BLDG_LIGHT_DINING_SCH_2013</t>
  </si>
  <si>
    <t>RestaurantFastFood BLDG_LIGHT_KITCHEN_SCH_2004_2007</t>
  </si>
  <si>
    <t>RestaurantFastFood BLDG_LIGHT_KITCHEN_SCH_2010_2013</t>
  </si>
  <si>
    <t>RestaurantFastFood BLDG_LIGHT_SCH</t>
  </si>
  <si>
    <t>Sun|Wkdy</t>
  </si>
  <si>
    <t>RestaurantFastFood BLDG_OCC_SCH</t>
  </si>
  <si>
    <t>RestaurantFastFood BLDG_SWH_SCH</t>
  </si>
  <si>
    <t>RestaurantFastFood CLGSETP_KITCHEN_SCH_NO_OPTIMUM</t>
  </si>
  <si>
    <t>RestaurantFastFood CLGSETP_KITCHEN_SCH_NO_SETBACK</t>
  </si>
  <si>
    <t>RestaurantFastFood CLGSETP_KITCHEN_SCH_YES_OPTIMUM</t>
  </si>
  <si>
    <t>RestaurantFastFood CLGSETP_SCH_NO_OPTIMUM</t>
  </si>
  <si>
    <t>RestaurantFastFood CLGSETP_SCH_NO_SETBACK</t>
  </si>
  <si>
    <t>RestaurantFastFood CLGSETP_SCH_YES_OPTIMUM</t>
  </si>
  <si>
    <t>RestaurantFastFood CLOTHING_SCH</t>
  </si>
  <si>
    <t>RestaurantFastFood DOOR_INFIL_SCH</t>
  </si>
  <si>
    <t>RestaurantFastFood Dual Zone Control Type Sched</t>
  </si>
  <si>
    <t>RestaurantFastFood Exterior_Lgt_189_1</t>
  </si>
  <si>
    <t>RestaurantFastFood Exterior_Lgt_ALWAYS_ON</t>
  </si>
  <si>
    <t>RestaurantFastFood Exterior_lighting_schedule_a</t>
  </si>
  <si>
    <t>RestaurantFastFood Exterior_lighting_schedule_b</t>
  </si>
  <si>
    <t>RestaurantFastFood FAN_SCH</t>
  </si>
  <si>
    <t>RestaurantFastFood Hours_of_operation</t>
  </si>
  <si>
    <t>Default|WntrDsn|SmrDsn|Sun|Wkdy</t>
  </si>
  <si>
    <t>RestaurantFastFood HTGSETP_KITCHEN_SCH_NO_OPTIMUM</t>
  </si>
  <si>
    <t>RestaurantFastFood HTGSETP_KITCHEN_SCH_YES_OPTIMUM</t>
  </si>
  <si>
    <t>RestaurantFastFood HTGSETP_SCH_NO_OPTIMUM</t>
  </si>
  <si>
    <t>RestaurantFastFood HTGSETP_SCH_YES_OPTIMUM</t>
  </si>
  <si>
    <t>RestaurantFastFood HVACOperationSchd</t>
  </si>
  <si>
    <t>RestaurantFastFood INFIL_SCH_PNNL</t>
  </si>
  <si>
    <t>RestaurantFastFood Kitchen Exhaust Fan Balanced Exhaust Fraction Schedule_2004</t>
  </si>
  <si>
    <t>RestaurantFastFood Kitchen Exhaust Fan Balanced Exhaust Fraction Schedule_2007_2010_2013</t>
  </si>
  <si>
    <t>RestaurantFastFood Kitchen Water Equipment Hot Supply Temp Sched</t>
  </si>
  <si>
    <t>RestaurantFastFood Kitchen Water Equipment Latent fract sched</t>
  </si>
  <si>
    <t>RestaurantFastFood Kitchen Water Equipment Sensible fract sched</t>
  </si>
  <si>
    <t>RestaurantFastFood Kitchen Water Equipment Temp Sched</t>
  </si>
  <si>
    <t>RestaurantFastFood Kitchen_Case:1_WALKINFREEZER_WalkInStockingSched</t>
  </si>
  <si>
    <t>RestaurantFastFood Kitchen_Case:2_SELFCONTAINEDDISPLAYCASE_CaseStockingSched</t>
  </si>
  <si>
    <t>RestaurantFastFood Kitchen_Exhaust_SCH</t>
  </si>
  <si>
    <t>RestaurantFastFood MinOA_FFKitch_Sched</t>
  </si>
  <si>
    <t>Default|SmrDsn|Sat|Wkdy</t>
  </si>
  <si>
    <t>RestaurantFastFood MinOA_MotorizedDamper_Sched</t>
  </si>
  <si>
    <t>RestaurantFastFood MinOA_Sched</t>
  </si>
  <si>
    <t>RestaurantFastFood PlantOnSched</t>
  </si>
  <si>
    <t>RestaurantFastFood SHADING_SCH</t>
  </si>
  <si>
    <t>RestaurantFastFood SHWSys1 Water Heater Ambient Temperature Schedule Name</t>
  </si>
  <si>
    <t>RestaurantFastFood SHWSys1 Water Heater Setpoint Temperature Schedule Name</t>
  </si>
  <si>
    <t>RestaurantFastFood SHWSys1-Loop-Temp-Schedule</t>
  </si>
  <si>
    <t>RestaurantFastFood VESTIBULE_DOOR_INFIL_SCH</t>
  </si>
  <si>
    <t>RestaurantFastFood walkin_occ_lght_SCH</t>
  </si>
  <si>
    <t>RestaurantFastFood WORK_EFF_SCH</t>
  </si>
  <si>
    <t>RestaurantSitDown AIR_VELO_SCH</t>
  </si>
  <si>
    <t>RestaurantSitDown ALWAYS_OFF</t>
  </si>
  <si>
    <t>RestaurantSitDown ALWAYS_ON</t>
  </si>
  <si>
    <t>RestaurantSitDown BLDG_LIGHT_DINING_SCH</t>
  </si>
  <si>
    <t>RestaurantSitDown BLDG_LIGHT_KITCHEN_SCH</t>
  </si>
  <si>
    <t>RestaurantSitDown BLDG_LIGHT_SCH</t>
  </si>
  <si>
    <t>RestaurantSitDown BLDG_OCC_SCH</t>
  </si>
  <si>
    <t>RestaurantSitDown BLDG_SWH_SCH</t>
  </si>
  <si>
    <t>RestaurantSitDown Booster Water Inlet Temp Schedule</t>
  </si>
  <si>
    <t>RestaurantSitDown Booster Water Setpoint Temp Schedule</t>
  </si>
  <si>
    <t>RestaurantSitDown CLGSETP_KITCHEN_SCH_NO_OPTIMUM</t>
  </si>
  <si>
    <t>RestaurantSitDown CLGSETP_KITCHEN_SCH_NO_SETBACK</t>
  </si>
  <si>
    <t>RestaurantSitDown CLGSETP_KITCHEN_SCH_YES_OPTIMUM</t>
  </si>
  <si>
    <t>RestaurantSitDown CLGSETP_SCH_NO_OPTIMUM</t>
  </si>
  <si>
    <t>RestaurantSitDown CLGSETP_SCH_NO_SETBACK</t>
  </si>
  <si>
    <t>RestaurantSitDown CLGSETP_SCH_YES_OPTIMUM</t>
  </si>
  <si>
    <t>RestaurantSitDown CLOTHING_SCH</t>
  </si>
  <si>
    <t>RestaurantSitDown CoolingCoilAvailSched</t>
  </si>
  <si>
    <t>RestaurantSitDown DOOR_INFIL_SCH</t>
  </si>
  <si>
    <t>RestaurantSitDown Dual Zone Control Type Sched</t>
  </si>
  <si>
    <t>RestaurantSitDown Exterior_Lgt_189_1</t>
  </si>
  <si>
    <t>RestaurantSitDown Exterior_Lgt_ALWAYS_ON</t>
  </si>
  <si>
    <t>RestaurantSitDown Exterior_lighting_schedule_a</t>
  </si>
  <si>
    <t>RestaurantSitDown Exterior_lighting_schedule_b</t>
  </si>
  <si>
    <t>RestaurantSitDown FAN_SCH</t>
  </si>
  <si>
    <t>RestaurantSitDown Heating-Supply-Air-Temp-Sch</t>
  </si>
  <si>
    <t>RestaurantSitDown Hours_of_operation</t>
  </si>
  <si>
    <t>RestaurantSitDown HTGSETP_KITCHEN_SCH_NO_OPTIMUM</t>
  </si>
  <si>
    <t>RestaurantSitDown HTGSETP_KITCHEN_SCH_YES_OPTIMUM</t>
  </si>
  <si>
    <t>RestaurantSitDown HTGSETP_SCH_NO_OPTIMUM</t>
  </si>
  <si>
    <t>RestaurantSitDown HTGSETP_SCH_YES_OPTIMUM</t>
  </si>
  <si>
    <t>RestaurantSitDown Humidity Setpoint Schedule</t>
  </si>
  <si>
    <t>RestaurantSitDown HVACOperationSchd</t>
  </si>
  <si>
    <t>RestaurantSitDown INFIL_HALF_ON_SCH</t>
  </si>
  <si>
    <t>RestaurantSitDown INFIL_SCH_PNNL</t>
  </si>
  <si>
    <t>RestaurantSitDown Kitchen Exhaust Fan Balanced Exhaust Fraction Schedule</t>
  </si>
  <si>
    <t>RestaurantSitDown Kitchen Water Equipment Hot Supply Temp Sched</t>
  </si>
  <si>
    <t>RestaurantSitDown Kitchen Water Equipment Latent fract sched</t>
  </si>
  <si>
    <t>RestaurantSitDown Kitchen Water Equipment Sensible fract sched</t>
  </si>
  <si>
    <t>RestaurantSitDown Kitchen Water Equipment Temp Sched</t>
  </si>
  <si>
    <t>RestaurantSitDown Kitchen_Case:1_WALKINFREEZER_WalkInStockingSched</t>
  </si>
  <si>
    <t>RestaurantSitDown Kitchen_Case:2_SELFCONTAINEDDISPLAYCASE_CaseStockingSched</t>
  </si>
  <si>
    <t>RestaurantSitDown Kitchen_Exhaust_SCH</t>
  </si>
  <si>
    <t>RestaurantSitDown MaxRelHumSetSch</t>
  </si>
  <si>
    <t>RestaurantSitDown MinOA_FFKitch_Sched</t>
  </si>
  <si>
    <t>RestaurantSitDown MinOA_MotorizedDamper_Sched</t>
  </si>
  <si>
    <t>RestaurantSitDown MinOA_Sched</t>
  </si>
  <si>
    <t>RestaurantSitDown MinOA_SDKitch_Sched</t>
  </si>
  <si>
    <t>RestaurantSitDown MinRelHumSetSch</t>
  </si>
  <si>
    <t>RestaurantSitDown PlantOnSched</t>
  </si>
  <si>
    <t>RestaurantSitDown Rest_GAS_EQUIP_SCH</t>
  </si>
  <si>
    <t>RestaurantSitDown Seasonal-Reset-Supply-Air-Temp-Sch</t>
  </si>
  <si>
    <t>RestaurantSitDown SHADING_SCH</t>
  </si>
  <si>
    <t>RestaurantSitDown SWHSys1 Water Heater Ambient Temperature Schedule Name</t>
  </si>
  <si>
    <t>RestaurantSitDown SWHSys1 Water Heater Setpoint Temperature Schedule Name</t>
  </si>
  <si>
    <t>RestaurantSitDown SWHSys1-Loop-Temp-Schedule</t>
  </si>
  <si>
    <t>RestaurantSitDown VESTIBULE_DOOR_INFIL_SCH</t>
  </si>
  <si>
    <t>RestaurantSitDown walkin_occ_lght_SCH</t>
  </si>
  <si>
    <t>RestaurantSitDown WORK_EFF_SCH</t>
  </si>
  <si>
    <t>Retail Bldg Light</t>
  </si>
  <si>
    <t>Retail Bldg Occ</t>
  </si>
  <si>
    <t>Retail ClgSetp</t>
  </si>
  <si>
    <t>Retail Clothing</t>
  </si>
  <si>
    <t>Retail FRONT ENTRY COOLING</t>
  </si>
  <si>
    <t>Retail HtgSetp</t>
  </si>
  <si>
    <t>Retail INFIL FRONT</t>
  </si>
  <si>
    <t>Retail Infil Half On</t>
  </si>
  <si>
    <t>Retail Work Eff</t>
  </si>
  <si>
    <t>RetailStandalone AIR_VELO_SCH</t>
  </si>
  <si>
    <t>RetailStandalone ALWAYS_OFF</t>
  </si>
  <si>
    <t>RetailStandalone ALWAYS_ON</t>
  </si>
  <si>
    <t>RetailStandalone BLDG_ELEVATORS</t>
  </si>
  <si>
    <t>RetailStandalone BLDG_LIGHT_BACK_SCH</t>
  </si>
  <si>
    <t>RetailStandalone BLDG_LIGHT_ENTRY_SCH</t>
  </si>
  <si>
    <t>RetailStandalone BLDG_LIGHT_FRONT_SCH</t>
  </si>
  <si>
    <t>RetailStandalone BLDG_LIGHT_SCH</t>
  </si>
  <si>
    <t>RetailStandalone BLDG_OCC_SCH</t>
  </si>
  <si>
    <t>RetailStandalone BLDG_OCC_SCH_2010</t>
  </si>
  <si>
    <t>RetailStandalone BLDG_SWH_SCH</t>
  </si>
  <si>
    <t>RetailStandalone CLGSETP_SCH_NO_OPTIMUM</t>
  </si>
  <si>
    <t>RetailStandalone CLGSETP_SCH_NO_SETBACK</t>
  </si>
  <si>
    <t>RetailStandalone CLGSETP_SCH_PSZ_AC_2</t>
  </si>
  <si>
    <t>RetailStandalone CLGSETP_SCH_YES_OPTIMUM</t>
  </si>
  <si>
    <t>RetailStandalone CLGSETP_SCH_YES_OPTIMUM_ORIGINAL</t>
  </si>
  <si>
    <t>RetailStandalone CLOTHING_SCH</t>
  </si>
  <si>
    <t>RetailStandalone CoolingCoilAvailSched</t>
  </si>
  <si>
    <t>RetailStandalone CW-Loop-Temp-Schedule</t>
  </si>
  <si>
    <t>RetailStandalone Dual Zone Control Type Sched</t>
  </si>
  <si>
    <t>RetailStandalone Exterior_Lgt_189_1</t>
  </si>
  <si>
    <t>RetailStandalone Exterior_Lgt_ALWAYS_ON</t>
  </si>
  <si>
    <t>RetailStandalone Exterior_lighting_schedule_a</t>
  </si>
  <si>
    <t>RetailStandalone Exterior_lighting_schedule_b</t>
  </si>
  <si>
    <t>RetailStandalone FAN_SCH</t>
  </si>
  <si>
    <t>RetailStandalone FRONT_ENTRY_COOLING</t>
  </si>
  <si>
    <t>RetailStandalone FrontEntry_CoilSched</t>
  </si>
  <si>
    <t>RetailStandalone FrontEntry_FanSched</t>
  </si>
  <si>
    <t>RetailStandalone Heating-Supply-Air-Temp-Sch</t>
  </si>
  <si>
    <t>RetailStandalone Hot Water Setpoint Temp Schedule</t>
  </si>
  <si>
    <t>RetailStandalone Hours_of_operation</t>
  </si>
  <si>
    <t>RetailStandalone HTGSETP_SCH_FrontEntry_STD2013</t>
  </si>
  <si>
    <t>WntrDsn|Wkdy</t>
  </si>
  <si>
    <t>RetailStandalone HTGSETP_SCH_NO_OPTIMUM</t>
  </si>
  <si>
    <t>RetailStandalone HTGSETP_SCH_PSZ_AC_2</t>
  </si>
  <si>
    <t>RetailStandalone HTGSETP_SCH_YES_OPTIMUM</t>
  </si>
  <si>
    <t>RetailStandalone HTGSETP_SCH_YES_OPTIMUM_ORIGINAL</t>
  </si>
  <si>
    <t>RetailStandalone Humidity Setpoint Schedule</t>
  </si>
  <si>
    <t>RetailStandalone HVACOperationSchd</t>
  </si>
  <si>
    <t>RetailStandalone HW-Loop-Temp-Schedule</t>
  </si>
  <si>
    <t>RetailStandalone INFIL_Door_Opening_SCH</t>
  </si>
  <si>
    <t>RetailStandalone INFIL_HALF_ON_SCH</t>
  </si>
  <si>
    <t>RetailStandalone INFIL_SCH</t>
  </si>
  <si>
    <t>RetailStandalone INFIL_SCH_PNNL</t>
  </si>
  <si>
    <t>RetailStandalone MinOA_MotorizedDamper_Sched</t>
  </si>
  <si>
    <t>RetailStandalone MinOA_Sched</t>
  </si>
  <si>
    <t>RetailStandalone PlantOnSched</t>
  </si>
  <si>
    <t>RetailStandalone ReheatCoilAvailSched</t>
  </si>
  <si>
    <t>RetailStandalone Seasonal-Reset-Supply-Air-Temp-Sch</t>
  </si>
  <si>
    <t>RetailStandalone SHADING_SCH</t>
  </si>
  <si>
    <t>RetailStandalone WORK_EFF_SCH</t>
  </si>
  <si>
    <t>RetailStripmall AIR_VELO_SCH</t>
  </si>
  <si>
    <t>RetailStripmall ALWAYS_ON</t>
  </si>
  <si>
    <t>RetailStripmall CLOTHING_SCH</t>
  </si>
  <si>
    <t>RetailStripmall Dual Zone Control Type Sched</t>
  </si>
  <si>
    <t>RetailStripmall Exterior_Lgt_189_1</t>
  </si>
  <si>
    <t>RetailStripmall Exterior_Lgt_ALWAYS_ON</t>
  </si>
  <si>
    <t>RetailStripmall Exterior_lighting_schedule_a</t>
  </si>
  <si>
    <t>RetailStripmall Exterior_lighting_schedule_b</t>
  </si>
  <si>
    <t>RetailStripmall Hot Water Setpoint Temp Schedule</t>
  </si>
  <si>
    <t>RetailStripmall INFIL_Door_Opening_SCH</t>
  </si>
  <si>
    <t>RetailStripmall MinOA_Sched</t>
  </si>
  <si>
    <t>RetailStripmall Type1_CLGSETP_SCH_NO_OPTIMUM</t>
  </si>
  <si>
    <t>Sat|Fri</t>
  </si>
  <si>
    <t>Mon|Tue|Wed|Thu</t>
  </si>
  <si>
    <t>RetailStripmall Type1_CLGSETP_SCH_NO_SETBACK</t>
  </si>
  <si>
    <t>Default|Sat|Fri|Mon|Tue|Wed|Thu</t>
  </si>
  <si>
    <t>RetailStripmall Type1_CLGSETP_SCH_YES_OPTIMUM</t>
  </si>
  <si>
    <t>SmrDsn|Mon|Tue|Wed|Thu</t>
  </si>
  <si>
    <t>RetailStripmall Type1_EQUIP_SCH</t>
  </si>
  <si>
    <t>Default|Mon|Tue|Wed|Thu</t>
  </si>
  <si>
    <t>RetailStripmall Type1_FAN_SCH</t>
  </si>
  <si>
    <t>Default|SmrDsn|Mon|Tue|Wed|Thu</t>
  </si>
  <si>
    <t>WntrDsn|Sat|Fri</t>
  </si>
  <si>
    <t>RetailStripmall Type1_HTGSETP_SCH_NO_OPTIMUM</t>
  </si>
  <si>
    <t>Default|Sat|Fri</t>
  </si>
  <si>
    <t>RetailStripmall Type1_HTGSETP_SCH_YES_OPTIMUM</t>
  </si>
  <si>
    <t>WntrDsn|Mon|Tue|Wed|Thu</t>
  </si>
  <si>
    <t>RetailStripmall Type1_Infil_SCH</t>
  </si>
  <si>
    <t>RetailStripmall Type1_LIGHT_SCH</t>
  </si>
  <si>
    <t>RetailStripmall Type1_MinOA_MotorizedDamper_SCH</t>
  </si>
  <si>
    <t>RetailStripmall Type1_OCC_SCH</t>
  </si>
  <si>
    <t>RetailStripmall Type1_SWH_SCH</t>
  </si>
  <si>
    <t>RetailStripmall Type2_CLGSETP_SCH_NO_OPTIMUM</t>
  </si>
  <si>
    <t>RetailStripmall Type2_CLGSETP_SCH_NO_SETBACK</t>
  </si>
  <si>
    <t>RetailStripmall Type2_CLGSETP_SCH_YES_OPTIMUM</t>
  </si>
  <si>
    <t>RetailStripmall Type2_EQUIP_SCH</t>
  </si>
  <si>
    <t>RetailStripmall Type2_FAN_SCH</t>
  </si>
  <si>
    <t>RetailStripmall Type2_HTGSETP_SCH_NO_OPTIMUM</t>
  </si>
  <si>
    <t>RetailStripmall Type2_HTGSETP_SCH_YES_OPTIMUM</t>
  </si>
  <si>
    <t>RetailStripmall Type2_Infil_SCH</t>
  </si>
  <si>
    <t>RetailStripmall Type2_LIGHT_SCH</t>
  </si>
  <si>
    <t>RetailStripmall Type2_MinOA_MotorizedDamper_SCH</t>
  </si>
  <si>
    <t>RetailStripmall Type2_OCC_SCH</t>
  </si>
  <si>
    <t>RetailStripmall Type2_SWH_SCH</t>
  </si>
  <si>
    <t>RetailStripmall Type3_CLGSETP_SCH_NO_OPTIMUM</t>
  </si>
  <si>
    <t>RetailStripmall Type3_CLGSETP_SCH_NO_SETBACK</t>
  </si>
  <si>
    <t>RetailStripmall Type3_CLGSETP_SCH_YES_OPTIMUM</t>
  </si>
  <si>
    <t>RetailStripmall Type3_EQUIP_SCH</t>
  </si>
  <si>
    <t>RetailStripmall Type3_FAN_SCH</t>
  </si>
  <si>
    <t>RetailStripmall Type3_HTGSETP_SCH_NO_OPTIMUM</t>
  </si>
  <si>
    <t>RetailStripmall Type3_HTGSETP_SCH_YES_OPTIMUM</t>
  </si>
  <si>
    <t>RetailStripmall Type3_Infil_SCH</t>
  </si>
  <si>
    <t>RetailStripmall Type3_LIGHT_SCH</t>
  </si>
  <si>
    <t>RetailStripmall Type3_MinOA_MotorizedDamper_SCH</t>
  </si>
  <si>
    <t>RetailStripmall Type3_OCC_SCH</t>
  </si>
  <si>
    <t>RetailStripmall Type3_SWH_SCH</t>
  </si>
  <si>
    <t>RetailStripmall WORK_EFF_SCH</t>
  </si>
  <si>
    <t>Schedule:Compact 1</t>
  </si>
  <si>
    <t>SchoolPrimary AIR_VELO_SCH</t>
  </si>
  <si>
    <t>SchoolPrimary ALWAYS_OFF</t>
  </si>
  <si>
    <t>SchoolPrimary ALWAYS_ON</t>
  </si>
  <si>
    <t>SchoolPrimary Bath_ZN_1_FLR_1 SHW_default Hot Supply Temp Sched</t>
  </si>
  <si>
    <t>SchoolPrimary Bath_ZN_1_FLR_1 SHW_default Latent fract sched</t>
  </si>
  <si>
    <t>SchoolPrimary Bath_ZN_1_FLR_1 SHW_default Sensible fract sched</t>
  </si>
  <si>
    <t>SchoolPrimary Bath_ZN_1_FLR_1 SHW_default Temp Sched</t>
  </si>
  <si>
    <t>SchoolPrimary BLDG_EQUIP_SCH</t>
  </si>
  <si>
    <t>SchoolPrimary BLDG_LIGHT_BATH_SCH</t>
  </si>
  <si>
    <t>SchoolPrimary BLDG_LIGHT_CLASSROOM_SCH</t>
  </si>
  <si>
    <t>SchoolPrimary BLDG_LIGHT_CORRIDOR_SCH</t>
  </si>
  <si>
    <t>SchoolPrimary BLDG_LIGHT_GYM_SCH</t>
  </si>
  <si>
    <t>SchoolPrimary BLDG_LIGHT_LIBRARY_SCH</t>
  </si>
  <si>
    <t>SchoolPrimary BLDG_LIGHT_LOBBYFLR1_SCH</t>
  </si>
  <si>
    <t>SchoolPrimary BLDG_LIGHT_OFFICE_SCH</t>
  </si>
  <si>
    <t>SchoolPrimary BLDG_LIGHT_SCH</t>
  </si>
  <si>
    <t>SchoolPrimary BLDG_OCC_SCH</t>
  </si>
  <si>
    <t>SchoolPrimary BLDG_OCC_SCH_Cafeteria</t>
  </si>
  <si>
    <t>SchoolPrimary BLDG_OCC_SCH_Extend</t>
  </si>
  <si>
    <t>SchoolPrimary BLDG_OCC_SCH_Gym</t>
  </si>
  <si>
    <t>SchoolPrimary BLDG_OCC_SCH_Offices</t>
  </si>
  <si>
    <t>SchoolPrimary BLDG_SWH_SCH</t>
  </si>
  <si>
    <t>Sun|Sat</t>
  </si>
  <si>
    <t>SchoolPrimary Booster Water Inlet Temp Schedule</t>
  </si>
  <si>
    <t>SchoolPrimary Booster Water Setpoint Temp Schedule</t>
  </si>
  <si>
    <t>SchoolPrimary CLGSETP_SCH_NO_OPTIMUM</t>
  </si>
  <si>
    <t>SchoolPrimary CLGSETP_SCH_NO_SETBACK</t>
  </si>
  <si>
    <t>Default|SmrDsn|Wkdy</t>
  </si>
  <si>
    <t>SchoolPrimary CLGSETP_SCH_Setup</t>
  </si>
  <si>
    <t>Default|WntrDsn|Wkdy</t>
  </si>
  <si>
    <t>SchoolPrimary CLGSETP_SCH_VAV_OTHER</t>
  </si>
  <si>
    <t>SchoolPrimary CLGSETP_SCH_VAV_POD_1</t>
  </si>
  <si>
    <t>SchoolPrimary CLGSETP_SCH_VAV_POD_2</t>
  </si>
  <si>
    <t>SchoolPrimary CLGSETP_SCH_VAV_POD_3</t>
  </si>
  <si>
    <t>SchoolPrimary CLGSETP_SCH_YES_OPTIMUM</t>
  </si>
  <si>
    <t>SchoolPrimary CLGSETP_SCH_YES_OPTIMUM_original</t>
  </si>
  <si>
    <t>SchoolPrimary CLOTHING_SCH</t>
  </si>
  <si>
    <t>SchoolPrimary CoolingCoilAvailSched</t>
  </si>
  <si>
    <t>SchoolPrimary CW-Loop-Temp-Schedule</t>
  </si>
  <si>
    <t>SchoolPrimary Dual Zone Control Type Sched</t>
  </si>
  <si>
    <t>SchoolPrimary Exterior_Lgt_189_1</t>
  </si>
  <si>
    <t>SchoolPrimary Exterior_Lgt_ALWAYS_ON</t>
  </si>
  <si>
    <t>SchoolPrimary Exterior_lighting_schedule_a</t>
  </si>
  <si>
    <t>SchoolPrimary Exterior_lighting_schedule_b</t>
  </si>
  <si>
    <t>SchoolPrimary FAN_SCH</t>
  </si>
  <si>
    <t>SchoolPrimary Heating-Supply-Air-Temp-Sch</t>
  </si>
  <si>
    <t>SchoolPrimary Hours_of_operation</t>
  </si>
  <si>
    <t>SchoolPrimary HTGSETP_SCH_NO_OPTIMUM</t>
  </si>
  <si>
    <t>SchoolPrimary HTGSETP_SCH_Setback</t>
  </si>
  <si>
    <t>SchoolPrimary HTGSETP_SCH_VAV_OTHER</t>
  </si>
  <si>
    <t>SchoolPrimary HTGSETP_SCH_VAV_POD_1</t>
  </si>
  <si>
    <t>SchoolPrimary HTGSETP_SCH_VAV_POD_2</t>
  </si>
  <si>
    <t>SchoolPrimary HTGSETP_SCH_VAV_POD_3</t>
  </si>
  <si>
    <t>SchoolPrimary HTGSETP_SCH_YES_OPTIMUM</t>
  </si>
  <si>
    <t>SchoolPrimary HTGSETP_SCH_YES_OPTIMUM_original</t>
  </si>
  <si>
    <t>SchoolPrimary Humidity Setpoint Schedule</t>
  </si>
  <si>
    <t>SchoolPrimary HVACOperationSchd</t>
  </si>
  <si>
    <t>SchoolPrimary HW-Loop-Temp-Schedule</t>
  </si>
  <si>
    <t>SchoolPrimary INFIL_Door_Opening_SCH</t>
  </si>
  <si>
    <t>SchoolPrimary INFIL_SCH</t>
  </si>
  <si>
    <t>SchoolPrimary INFIL_SCH_PNNL</t>
  </si>
  <si>
    <t>SchoolPrimary Kitchen Exhaust Fan Balanced Exhaust Fraction Schedule</t>
  </si>
  <si>
    <t>SchoolPrimary KITCHEN_ELEC_EQUIP_SCH</t>
  </si>
  <si>
    <t>SchoolPrimary Kitchen_Exhaust_SCH</t>
  </si>
  <si>
    <t>SchoolPrimary KITCHEN_GAS_EQUIP_SCH</t>
  </si>
  <si>
    <t>SchoolPrimary Kitchen_ZN_1_FLR_1 SHW_default Hot Supply Temp Sched</t>
  </si>
  <si>
    <t>SchoolPrimary Kitchen_ZN_1_FLR_1 SHW_default Latent fract sched</t>
  </si>
  <si>
    <t>SchoolPrimary Kitchen_ZN_1_FLR_1 SHW_default Sensible fract sched</t>
  </si>
  <si>
    <t>SchoolPrimary Kitchen_ZN_1_FLR_1 SHW_default Temp Sched</t>
  </si>
  <si>
    <t>SchoolPrimary Kitchen_ZN_1_FLR_1_Case:1_WALKINFREEZER_WalkInStockingSched</t>
  </si>
  <si>
    <t>SchoolPrimary Kitchen_ZN_1_FLR_1_Case:2_SELFCONTAINEDDISPLAYCASE_CaseStockingSched</t>
  </si>
  <si>
    <t>SchoolPrimary MinOA_Kitchen_Sched</t>
  </si>
  <si>
    <t>SchoolPrimary MinOA_MotorizedDamper_Sched</t>
  </si>
  <si>
    <t>SchoolPrimary MinOA_Sched</t>
  </si>
  <si>
    <t>SchoolPrimary PlantOnSched</t>
  </si>
  <si>
    <t>SchoolPrimary ReheatCoilAvailSched</t>
  </si>
  <si>
    <t>SchoolPrimary Seasonal-Reset-Supply-Air-Temp-Sch</t>
  </si>
  <si>
    <t>SchoolPrimary SHADING_SCH</t>
  </si>
  <si>
    <t>SchoolPrimary SHWSys1 Water Heater Ambient Temperature Schedule Name</t>
  </si>
  <si>
    <t>SchoolPrimary SHWSys1 Water Heater Setpoint Temperature Schedule Name</t>
  </si>
  <si>
    <t>SchoolPrimary SHWSys1-Loop-Temp-Schedule</t>
  </si>
  <si>
    <t>SchoolPrimary VAV-Supply-Air-Temp-Sch</t>
  </si>
  <si>
    <t>SchoolPrimary walkin_occ_lght_SCH</t>
  </si>
  <si>
    <t>SchoolPrimary WORK_EFF_SCH</t>
  </si>
  <si>
    <t>SchoolSecondary AIR_VELO_SCH</t>
  </si>
  <si>
    <t>SchoolSecondary ALWAYS_OFF</t>
  </si>
  <si>
    <t>SchoolSecondary ALWAYS_ON</t>
  </si>
  <si>
    <t>SchoolSecondary Bathrooms_ZN_1_FLR_1 SHW_default Hot Supply Temp Sched</t>
  </si>
  <si>
    <t>SchoolSecondary Bathrooms_ZN_1_FLR_1 SHW_default Latent fract sched</t>
  </si>
  <si>
    <t>SchoolSecondary Bathrooms_ZN_1_FLR_1 SHW_default Sensible fract sched</t>
  </si>
  <si>
    <t>SchoolSecondary Bathrooms_ZN_1_FLR_1 SHW_default Temp Sched</t>
  </si>
  <si>
    <t>SchoolSecondary Bathrooms_ZN_1_FLR_2 SHW_default Hot Supply Temp Sched</t>
  </si>
  <si>
    <t>SchoolSecondary Bathrooms_ZN_1_FLR_2 SHW_default Latent fract sched</t>
  </si>
  <si>
    <t>SchoolSecondary Bathrooms_ZN_1_FLR_2 SHW_default Sensible fract sched</t>
  </si>
  <si>
    <t>SchoolSecondary Bathrooms_ZN_1_FLR_2 SHW_default Temp Sched</t>
  </si>
  <si>
    <t>SchoolSecondary BLDG_ELEVATORS</t>
  </si>
  <si>
    <t>SchoolSecondary BLDG_LIGHT_BATH_SCH</t>
  </si>
  <si>
    <t>SchoolSecondary BLDG_LIGHT_CLASSROOM_SCH</t>
  </si>
  <si>
    <t>SchoolSecondary BLDG_LIGHT_CORRIDOR_SCH</t>
  </si>
  <si>
    <t>SchoolSecondary BLDG_LIGHT_GYM_SCH</t>
  </si>
  <si>
    <t>SchoolSecondary BLDG_LIGHT_LIBRARY_SCH</t>
  </si>
  <si>
    <t>SchoolSecondary BLDG_LIGHT_LOBBYFLR1_SCH</t>
  </si>
  <si>
    <t>SchoolSecondary BLDG_LIGHT_OFFICE_SCH</t>
  </si>
  <si>
    <t>SchoolSecondary BLDG_LIGHT_SCH</t>
  </si>
  <si>
    <t>SchoolSecondary BLDG_OCC_SCH</t>
  </si>
  <si>
    <t>SchoolSecondary BLDG_OCC_SCH_Auditorium</t>
  </si>
  <si>
    <t>SchoolSecondary BLDG_OCC_SCH_Cafeteria</t>
  </si>
  <si>
    <t>SchoolSecondary BLDG_OCC_SCH_Extend</t>
  </si>
  <si>
    <t>SchoolSecondary BLDG_OCC_SCH_Gym</t>
  </si>
  <si>
    <t>SchoolSecondary BLDG_OCC_SCH_Offices</t>
  </si>
  <si>
    <t>SchoolSecondary BLDG_SWH_SCH</t>
  </si>
  <si>
    <t>SchoolSecondary Booster Water Inlet Temp Schedule</t>
  </si>
  <si>
    <t>SchoolSecondary Booster Water Setpoint Temp Schedule</t>
  </si>
  <si>
    <t>SchoolSecondary CLGSETP_SCH_NO_OPTIMUM</t>
  </si>
  <si>
    <t>SchoolSecondary CLGSETP_SCH_NO_SETBACK</t>
  </si>
  <si>
    <t>SchoolSecondary CLGSETP_SCH_PSZ_AC</t>
  </si>
  <si>
    <t>SchoolSecondary CLGSETP_SCH_Setback</t>
  </si>
  <si>
    <t>SchoolSecondary CLGSETP_SCH_YES_OPTIMUM</t>
  </si>
  <si>
    <t>SchoolSecondary CLGSETP_SCH_Yes_Optimum_Original</t>
  </si>
  <si>
    <t>SchoolSecondary CLOTHING_SCH</t>
  </si>
  <si>
    <t>SchoolSecondary CoolingCoilAvailSched</t>
  </si>
  <si>
    <t>SchoolSecondary CW-Loop-Temp-Schedule</t>
  </si>
  <si>
    <t>SchoolSecondary Dual Zone Control Type Sched</t>
  </si>
  <si>
    <t>SchoolSecondary ELEV_LIGHT_FAN_SCH_24_7</t>
  </si>
  <si>
    <t>SchoolSecondary ELEV_LIGHT_FAN_SCH_ADD_DF</t>
  </si>
  <si>
    <t>SchoolSecondary Exterior_Lgt_189_1</t>
  </si>
  <si>
    <t>SchoolSecondary Exterior_Lgt_ALWAYS_ON</t>
  </si>
  <si>
    <t>SchoolSecondary Exterior_lighting_schedule_a</t>
  </si>
  <si>
    <t>SchoolSecondary Exterior_lighting_schedule_b</t>
  </si>
  <si>
    <t>SchoolSecondary FAN_SCH</t>
  </si>
  <si>
    <t>SchoolSecondary Heating-Supply-Air-Temp-Sch</t>
  </si>
  <si>
    <t>SchoolSecondary Hours_of_operation</t>
  </si>
  <si>
    <t>SchoolSecondary HTGSETP_SCH_NO_OPTIMUM</t>
  </si>
  <si>
    <t>SchoolSecondary HTGSETP_SCH_PSZ_AC</t>
  </si>
  <si>
    <t>SchoolSecondary HTGSETP_SCH_Setback</t>
  </si>
  <si>
    <t>SchoolSecondary HTGSETP_SCH_YES_OPTIMUM</t>
  </si>
  <si>
    <t>SchoolSecondary HTGSETP_SCH_Yes_Optimum_Original</t>
  </si>
  <si>
    <t>SchoolSecondary Humidity Setpoint Schedule</t>
  </si>
  <si>
    <t>SchoolSecondary HVACOperationSchd</t>
  </si>
  <si>
    <t>SchoolSecondary HW-Loop-Temp-Schedule</t>
  </si>
  <si>
    <t>SchoolSecondary INFIL_Door_Opening_SCH</t>
  </si>
  <si>
    <t>SchoolSecondary INFIL_SCH</t>
  </si>
  <si>
    <t>SchoolSecondary Kitchen Exhaust Fan Balanced Exhaust Fraction Schedule</t>
  </si>
  <si>
    <t>SchoolSecondary KITCHEN_ELEC_EQUIP_SCH</t>
  </si>
  <si>
    <t>SchoolSecondary Kitchen_Exhaust_SCH</t>
  </si>
  <si>
    <t>SchoolSecondary Kitchen_Exhaust_SCH_DCV</t>
  </si>
  <si>
    <t>SchoolSecondary KITCHEN_GAS_EQUIP_SCH</t>
  </si>
  <si>
    <t>SchoolSecondary Kitchen_ZN_1_FLR_1 SHW_default Hot Supply Temp Sched</t>
  </si>
  <si>
    <t>SchoolSecondary Kitchen_ZN_1_FLR_1 SHW_default Latent fract sched</t>
  </si>
  <si>
    <t>SchoolSecondary Kitchen_ZN_1_FLR_1 SHW_default Sensible fract sched</t>
  </si>
  <si>
    <t>SchoolSecondary Kitchen_ZN_1_FLR_1 SHW_default Temp Sched</t>
  </si>
  <si>
    <t>SchoolSecondary Kitchen_ZN_1_FLR_1_Case:1_WALKINFREEZER_WalkInStockingSched</t>
  </si>
  <si>
    <t>SchoolSecondary Kitchen_ZN_1_FLR_1_Case:2_SELFCONTAINEDDISPLAYCASE_CaseStockingSched</t>
  </si>
  <si>
    <t>SchoolSecondary MinOA_MotorizedDamper_Sched</t>
  </si>
  <si>
    <t>SchoolSecondary MinOA_Sched</t>
  </si>
  <si>
    <t>Default|WntrDsn|SmrDsn|Wkdy</t>
  </si>
  <si>
    <t>SchoolSecondary PlantOnSched</t>
  </si>
  <si>
    <t>SchoolSecondary ReheatCoilAvailSched</t>
  </si>
  <si>
    <t>SchoolSecondary Seasonal-Reset-Supply-Air-Temp-Sch</t>
  </si>
  <si>
    <t>SchoolSecondary SHADING_SCH</t>
  </si>
  <si>
    <t>SchoolSecondary SHWSys1 Water Heater Ambient Temperature Schedule Name</t>
  </si>
  <si>
    <t>SchoolSecondary SHWSys1 Water Heater Setpoint Temperature Schedule Name</t>
  </si>
  <si>
    <t>SchoolSecondary SHWSys1-Loop-Temp-Schedule</t>
  </si>
  <si>
    <t>SchoolSecondary VAV-Supply-Air-Temp-Sch</t>
  </si>
  <si>
    <t>SchoolSecondary walkin_occ_lght_SCH</t>
  </si>
  <si>
    <t>SchoolSecondary WORK_EFF_SCH</t>
  </si>
  <si>
    <t>SecondarySchool Auditorium Occ</t>
  </si>
  <si>
    <t>SecondarySchool BLDG ELEVATORS</t>
  </si>
  <si>
    <t>SecondarySchool Bldg Equip</t>
  </si>
  <si>
    <t>SecondarySchool Bldg Light</t>
  </si>
  <si>
    <t>SecondarySchool Bldg Occ</t>
  </si>
  <si>
    <t>SecondarySchool Cafeteria Bldg Occ</t>
  </si>
  <si>
    <t>SecondarySchool ClgSetp</t>
  </si>
  <si>
    <t>SecondarySchool ClgSetp BathCorrMechKitchen</t>
  </si>
  <si>
    <t>SecondarySchool Clothing</t>
  </si>
  <si>
    <t>SecondarySchool Extend Bldg Occ</t>
  </si>
  <si>
    <t>SecondarySchool Exterior Lights</t>
  </si>
  <si>
    <t>SecondarySchool Exterior Lights Always On</t>
  </si>
  <si>
    <t>SecondarySchool Gym Occ</t>
  </si>
  <si>
    <t>SecondarySchool HtgSetp</t>
  </si>
  <si>
    <t>SecondarySchool HtgSetp BathCorrMechKitchen</t>
  </si>
  <si>
    <t>SecondarySchool Infil</t>
  </si>
  <si>
    <t>SecondarySchool Kitchen Equip</t>
  </si>
  <si>
    <t>SecondarySchool Kitchen Exhaust</t>
  </si>
  <si>
    <t>SecondarySchool Kitchen Gas</t>
  </si>
  <si>
    <t>SecondarySchool Office Occ</t>
  </si>
  <si>
    <t>SecondarySchool PSZ-AC OA Damper</t>
  </si>
  <si>
    <t>Sat|WntrDsn</t>
  </si>
  <si>
    <t>SecondarySchool PSZ-AC Operation</t>
  </si>
  <si>
    <t>SecondarySchool VAV OA Damper</t>
  </si>
  <si>
    <t>SecondarySchool VAV Operation</t>
  </si>
  <si>
    <t>SecondarySchool Work Eff</t>
  </si>
  <si>
    <t>Small Office Bldg Equip</t>
  </si>
  <si>
    <t>Small Office Bldg Light</t>
  </si>
  <si>
    <t>Small Office Bldg Occ</t>
  </si>
  <si>
    <t>Small Office ClgSetp</t>
  </si>
  <si>
    <t>Small Office Clothing</t>
  </si>
  <si>
    <t>Small Office HtgSetp</t>
  </si>
  <si>
    <t>Small Office Infil Quarter On</t>
  </si>
  <si>
    <t>Small Office Work Eff</t>
  </si>
  <si>
    <t>SmallHotel BLDG ELEVATORS</t>
  </si>
  <si>
    <t>SmallHotel Bldg Equip</t>
  </si>
  <si>
    <t>SmallHotel Bldg Light</t>
  </si>
  <si>
    <t>SmallHotel Bldg Occ</t>
  </si>
  <si>
    <t>SmallHotel ClgSetp</t>
  </si>
  <si>
    <t>SmallHotel Clothing</t>
  </si>
  <si>
    <t>SmallHotel Corridor Light</t>
  </si>
  <si>
    <t>SmallHotel Exercise Equip</t>
  </si>
  <si>
    <t>SmallHotel Exercise Light</t>
  </si>
  <si>
    <t>SmallHotel Exercise Occ</t>
  </si>
  <si>
    <t>SmallHotel Exterior Lights</t>
  </si>
  <si>
    <t>SmallHotel GuestRoom Equip</t>
  </si>
  <si>
    <t>SmallHotel GuestRoom Light</t>
  </si>
  <si>
    <t>SmallHotel GuestRoom Occ</t>
  </si>
  <si>
    <t>SmallHotel HtgSetp</t>
  </si>
  <si>
    <t>SmallHotel Infil</t>
  </si>
  <si>
    <t>SmallHotel Infil Half On</t>
  </si>
  <si>
    <t>SmallHotel Laundry Equip</t>
  </si>
  <si>
    <t>SmallHotel Laundry Gas</t>
  </si>
  <si>
    <t>SmallHotel Laundry Light</t>
  </si>
  <si>
    <t>SmallHotel Laundry Occ</t>
  </si>
  <si>
    <t>Default|Wknd</t>
  </si>
  <si>
    <t>SmallHotel Meeting Equip</t>
  </si>
  <si>
    <t>SmallHotel Meeting Light</t>
  </si>
  <si>
    <t>SmallHotel Meeting Occ</t>
  </si>
  <si>
    <t>SmallHotel Office Equip</t>
  </si>
  <si>
    <t>SmallHotel Office Light</t>
  </si>
  <si>
    <t>SmallHotel Office Occ</t>
  </si>
  <si>
    <t>SmallHotel PSZ-AC OA Damper</t>
  </si>
  <si>
    <t>SmallHotel PSZ-AC Operation</t>
  </si>
  <si>
    <t>SmallHotel PTAC OA Damper</t>
  </si>
  <si>
    <t>SmallHotel PTAC Operation</t>
  </si>
  <si>
    <t>SmallHotel Split-AC OA Damper</t>
  </si>
  <si>
    <t>SmallHotel Split-AC Operation</t>
  </si>
  <si>
    <t>SmallHotel StaffLounge Equip</t>
  </si>
  <si>
    <t>SmallHotel StaffLounge Light</t>
  </si>
  <si>
    <t>SmallHotel StaffLounge Occ</t>
  </si>
  <si>
    <t>SmallHotel Storage Light</t>
  </si>
  <si>
    <t>SmallHotel UnitHeater ClgSP Sch</t>
  </si>
  <si>
    <t>SmallHotel UnitHeater HtgSP Sch</t>
  </si>
  <si>
    <t>SmallHotel Work Eff</t>
  </si>
  <si>
    <t>SmallOffice Exterior Lights</t>
  </si>
  <si>
    <t>SmallOffice Exterior Lights Always On</t>
  </si>
  <si>
    <t>SmallOffice PSZ-AC OA Damper</t>
  </si>
  <si>
    <t>SmallOffice PSZ-AC Operation</t>
  </si>
  <si>
    <t>StripMall Bldg Equip</t>
  </si>
  <si>
    <t>StripMall Bldg Light</t>
  </si>
  <si>
    <t>StripMall Bldg Occ</t>
  </si>
  <si>
    <t>StripMall ClgSetp</t>
  </si>
  <si>
    <t>StripMall Clothing</t>
  </si>
  <si>
    <t>StripMall HtgSetp</t>
  </si>
  <si>
    <t>StripMall Infil Half On</t>
  </si>
  <si>
    <t>StripMall Work Eff</t>
  </si>
  <si>
    <t>SuperMarket Bldg Light</t>
  </si>
  <si>
    <t>SuperMarket Bldg Occ</t>
  </si>
  <si>
    <t>SuperMarket Bldg Swh</t>
  </si>
  <si>
    <t>SuperMarket ClgSetp</t>
  </si>
  <si>
    <t>SuperMarket Clothing</t>
  </si>
  <si>
    <t>SuperMarket HtgSetp</t>
  </si>
  <si>
    <t>SuperMarket Infil Half On</t>
  </si>
  <si>
    <t>Default|SmrDsn|Sat</t>
  </si>
  <si>
    <t>SuperMarket Work Eff</t>
  </si>
  <si>
    <t>Warehouse Always Off Schedule</t>
  </si>
  <si>
    <t>Warehouse Always On Schedule</t>
  </si>
  <si>
    <t>Warehouse ALWAYS_OFF</t>
  </si>
  <si>
    <t>Warehouse ALWAYS_ON</t>
  </si>
  <si>
    <t>Warehouse Bldg Equip</t>
  </si>
  <si>
    <t>Warehouse Bldg Light</t>
  </si>
  <si>
    <t>Warehouse Bldg Occ</t>
  </si>
  <si>
    <t>Warehouse BLDG_LIGHT_OFFICE_SCH</t>
  </si>
  <si>
    <t>Warehouse BLDG_LIGHT_STORAGE_SCH</t>
  </si>
  <si>
    <t>Warehouse BLDG_OCC_SCH</t>
  </si>
  <si>
    <t>Warehouse Bulk Storage Heating Setpoint Schedule</t>
  </si>
  <si>
    <t>Warehouse ClgSetp</t>
  </si>
  <si>
    <t>Warehouse ClgSetp FineStorage</t>
  </si>
  <si>
    <t>Warehouse Clothing</t>
  </si>
  <si>
    <t>Warehouse COMPACT HVAC-ALWAYS 1</t>
  </si>
  <si>
    <t>Warehouse COMPACT HVAC-ALWAYS 4</t>
  </si>
  <si>
    <t>Warehouse Exterior_Lgt_189_1</t>
  </si>
  <si>
    <t>Warehouse Exterior_Lgt_ALWAYS_ON</t>
  </si>
  <si>
    <t>Warehouse Exterior_lighting_schedule_a</t>
  </si>
  <si>
    <t>Warehouse Exterior_lighting_schedule_b</t>
  </si>
  <si>
    <t>Warehouse Exterior_Ltg_Sch</t>
  </si>
  <si>
    <t>Warehouse FanSched</t>
  </si>
  <si>
    <t>Warehouse Fine Storage Cooling Setpoint Schedule</t>
  </si>
  <si>
    <t>Warehouse Fine Storage Heating Setpoint Schedule</t>
  </si>
  <si>
    <t>Warehouse Hot Water Setpoint Temp Schedule</t>
  </si>
  <si>
    <t>Warehouse HtgSetp</t>
  </si>
  <si>
    <t>Warehouse HtgSetp BulkStorage</t>
  </si>
  <si>
    <t>Warehouse HtgSetp FineStorage</t>
  </si>
  <si>
    <t>Warehouse INFIL_Door_Opening_SCH</t>
  </si>
  <si>
    <t>Warehouse MinOA_MotorizedDamper_Sched</t>
  </si>
  <si>
    <t>Warehouse MinOA_Sched</t>
  </si>
  <si>
    <t>Warehouse OA Damper Always ON Schedule</t>
  </si>
  <si>
    <t>Warehouse OA Damper Off during off hrs Schedule</t>
  </si>
  <si>
    <t>Warehouse Office_Plug_SCH</t>
  </si>
  <si>
    <t>Warehouse Work Eff</t>
  </si>
  <si>
    <t>Warehouse ZoneControlSchedule</t>
  </si>
  <si>
    <t>Stripmall HVACOperationSchd</t>
  </si>
  <si>
    <t>Stripmall MinOA_Sched</t>
  </si>
  <si>
    <t>Gym - audience</t>
  </si>
  <si>
    <t>Audience - performance arts</t>
  </si>
  <si>
    <t>Penitentiary - classroom</t>
  </si>
  <si>
    <t>Office Conference</t>
  </si>
  <si>
    <t>Hospital Corridor</t>
  </si>
  <si>
    <t>Mfg - corr. &gt;= 2.4m</t>
  </si>
  <si>
    <t>SecondarySchool Corridor</t>
  </si>
  <si>
    <t>Office IT_Room</t>
  </si>
  <si>
    <t>Hotel/Motel - dining</t>
  </si>
  <si>
    <t>QuickServiceRestaurant Dining</t>
  </si>
  <si>
    <t>Dining - family space</t>
  </si>
  <si>
    <t>Office Elec/MechRoom</t>
  </si>
  <si>
    <t>LargeHotel Guest Room</t>
  </si>
  <si>
    <t>Lab - research</t>
  </si>
  <si>
    <t>SmallHotel Laundry</t>
  </si>
  <si>
    <t>Hotel/Motel - lobby</t>
  </si>
  <si>
    <t>LargeHotel Lobby</t>
  </si>
  <si>
    <t>Outpatient Lounge</t>
  </si>
  <si>
    <t>Office BreakRoom</t>
  </si>
  <si>
    <t>ClosedOffice</t>
  </si>
  <si>
    <t>OpenOffice</t>
  </si>
  <si>
    <t>Office Restroom</t>
  </si>
  <si>
    <t>PublicRestroom</t>
  </si>
  <si>
    <t>Retail - sales</t>
  </si>
  <si>
    <t>Stair</t>
  </si>
  <si>
    <t>Hospital - medical supply</t>
  </si>
  <si>
    <t>Hospital - lounge/recreation</t>
  </si>
  <si>
    <t>Gym - fitness</t>
  </si>
  <si>
    <t>Outpatient Exam</t>
  </si>
  <si>
    <t>ICU_Open</t>
  </si>
  <si>
    <t>Hospital NurseStn</t>
  </si>
  <si>
    <t>Hospital OR</t>
  </si>
  <si>
    <t>Hospital PatRoom</t>
  </si>
  <si>
    <t>Hospital PhysTherapy</t>
  </si>
  <si>
    <t>Outpatient PACU</t>
  </si>
  <si>
    <t>Mfg - detailed</t>
  </si>
  <si>
    <t>Mfg - equipment</t>
  </si>
  <si>
    <t>Mfg - bay H &gt; 15m</t>
  </si>
  <si>
    <t>Mfg - 7.5 &lt;= bay H &lt;= 15m</t>
  </si>
  <si>
    <t>Mfg - bay H &lt; 7.5m</t>
  </si>
  <si>
    <t>Sports arena - court c1</t>
  </si>
  <si>
    <t>Sports arena - court c2</t>
  </si>
  <si>
    <t>Sports arena - court c3</t>
  </si>
  <si>
    <t>Sports arena - court c4</t>
  </si>
  <si>
    <t>Warehouse - fine</t>
  </si>
  <si>
    <t>Atrium - H &lt; 13m</t>
  </si>
  <si>
    <t>Atrium - H &gt; 13m</t>
  </si>
  <si>
    <t>Classroom</t>
  </si>
  <si>
    <t>SecondarySchool Classroom</t>
  </si>
  <si>
    <t>MidriseApartment</t>
  </si>
  <si>
    <t>IT_Room</t>
  </si>
  <si>
    <t>Lobby</t>
  </si>
  <si>
    <t>Outpatient</t>
  </si>
  <si>
    <t>Lounge</t>
  </si>
  <si>
    <t>BreakRoom</t>
  </si>
  <si>
    <t>Point_of_Sale</t>
  </si>
  <si>
    <t>Exam</t>
  </si>
  <si>
    <t>Sensible Heat Gain (W/person)</t>
  </si>
  <si>
    <t>Latent Heat Gain  (W/person)</t>
  </si>
  <si>
    <t>EXHAUST 
AIRFLOW RATE 
m3/s-m2</t>
  </si>
  <si>
    <t>Interior Gas Appliance Power Density       (Btu/h-ft2)</t>
  </si>
  <si>
    <t>OS:SpaceType</t>
  </si>
  <si>
    <t>Code Year</t>
  </si>
  <si>
    <t>Code</t>
  </si>
  <si>
    <t>State</t>
  </si>
  <si>
    <t>OS:Rendering:Color</t>
  </si>
  <si>
    <t>!- People per Space Floor Area {person/m2}</t>
  </si>
  <si>
    <t>!- Rendering Red Value</t>
  </si>
  <si>
    <t>!- Rendering Green Value</t>
  </si>
  <si>
    <t>!- Rendering Blue Value</t>
  </si>
  <si>
    <t>OS:People:Definition</t>
  </si>
  <si>
    <t>!- Sensible Heat Fraction</t>
  </si>
  <si>
    <t>Summer Design Day Total Heat Gain (W/person)</t>
  </si>
  <si>
    <t>Winter Design Day Total Heat Gain (W/person)</t>
  </si>
  <si>
    <t>Default Day Total Heat Gain (W/person)</t>
  </si>
  <si>
    <t>Occupancy Activity Schedule !- Name</t>
  </si>
  <si>
    <t>OS:Schedule</t>
  </si>
  <si>
    <t>!- Outdoor Air Flow per Person {m3/s-person}</t>
  </si>
  <si>
    <t>!- Outdoor Air Flow per Floor Area {m3/s-m2}</t>
  </si>
  <si>
    <t>!- Outdoor Air Flow Air Changes per Hour {1/hr}</t>
  </si>
  <si>
    <t>!- Watts per Space Floor Area {W/m2}</t>
  </si>
  <si>
    <t>!- Fraction Latent</t>
  </si>
  <si>
    <t>!- Fraction Radiant</t>
  </si>
  <si>
    <t>!- Fraction Lost</t>
  </si>
  <si>
    <t>!- Fraction Visible</t>
  </si>
  <si>
    <t>!- Power per Zone Floor Area {W/m2}</t>
  </si>
  <si>
    <t>OS:DesignSpecification:OutdoorAir</t>
  </si>
  <si>
    <t>OS:ElectricEquipment:Definition</t>
  </si>
  <si>
    <t>OS:Lights:Definition</t>
  </si>
  <si>
    <t>OS:GasEquipment:Definition</t>
  </si>
  <si>
    <t>OS:SpaceInfiltration:DesignFlowRate</t>
  </si>
  <si>
    <t>!- Flow per Exterior Surface Area {m3/s-m2}</t>
  </si>
  <si>
    <t>bb3bf4f1-c80b-43b9-93a6-263313c59141</t>
  </si>
  <si>
    <t>f48c2a4a-3151-4163-b625-b93c6c227f62</t>
  </si>
  <si>
    <t>35292a8f-2c31-428e-b12b-ecb42e41f30c</t>
  </si>
  <si>
    <t>c318426a-e0cf-4c00-830e-9470f81507bb</t>
  </si>
  <si>
    <t>1f550d2e-d956-4855-8f6c-850193633ba2</t>
  </si>
  <si>
    <t>f70f21e0-e825-4f34-a3a0-3417ba47b289</t>
  </si>
  <si>
    <t>0a44a70a-025f-4b95-b067-1905cd773228</t>
  </si>
  <si>
    <t>f3e926b6-9054-43e5-b214-72715fea5476</t>
  </si>
  <si>
    <t>7e5f790a-2539-4f59-b04d-75858ff1caa0</t>
  </si>
  <si>
    <t>0e52365f-0968-4865-98c8-5a391db72fe1</t>
  </si>
  <si>
    <t>7c329b17-a9b9-429d-87d6-8d696bb1a0f1</t>
  </si>
  <si>
    <t>a791e0a0-108f-4ea5-ac55-ffbc9ef41f04</t>
  </si>
  <si>
    <t>03d16ff5-015b-4c1f-89e1-fb9e8f3c323e</t>
  </si>
  <si>
    <t>41dd9f25-8df0-46e6-9f29-cceef9210ae8</t>
  </si>
  <si>
    <t>f8a27cd2-f746-4301-a112-59d13e40d78d</t>
  </si>
  <si>
    <t>dd740279-a043-472e-9440-1247838bdebd</t>
  </si>
  <si>
    <t>93c3190c-58c6-4fa6-b31d-e972f017b622</t>
  </si>
  <si>
    <t>e7668a0e-eeeb-49fe-b68d-e4673ff0492f</t>
  </si>
  <si>
    <t>17a128c0-8bb3-42fe-8fa8-e9b6c9857c61</t>
  </si>
  <si>
    <t>88a913cc-2e7a-402c-8f68-e04d9aea2bfe</t>
  </si>
  <si>
    <t>da106b8e-74c8-48ae-9585-c42116b2ba37</t>
  </si>
  <si>
    <t>37274c8e-ef2a-4273-be16-1568ef1010d8</t>
  </si>
  <si>
    <t>2f6014cb-8ffd-48ef-8c06-e2f22e8f09fb</t>
  </si>
  <si>
    <t>8cd22776-3059-4312-be9f-414a4cc9a5d4</t>
  </si>
  <si>
    <t>06a4bb43-86fe-4d0d-b323-df7f797ddedf</t>
  </si>
  <si>
    <t>d7a052b3-0fd2-4248-aceb-14699019a4a4</t>
  </si>
  <si>
    <t>fa38e540-d001-49d9-b3f1-d1a707fc1579</t>
  </si>
  <si>
    <t>297cff0e-3751-4d1e-8c51-b492f8bae160</t>
  </si>
  <si>
    <t>4478951e-a465-46c5-913d-bcea7a66cb2a</t>
  </si>
  <si>
    <t>be6b6705-67ab-46ec-a6e5-80adf6c48c0a</t>
  </si>
  <si>
    <t>821df950-1005-42a1-bb71-94e21d06f843</t>
  </si>
  <si>
    <t>f0b3db32-813a-495e-9ca0-dde8056737c8</t>
  </si>
  <si>
    <t>94e29b50-ba90-424a-98b8-c2dc37ad1d28</t>
  </si>
  <si>
    <t/>
  </si>
  <si>
    <t>d83d8e85-c973-43f1-8010-e8f36dc62725</t>
  </si>
  <si>
    <t>75657b05-6269-49ed-9dde-0685e47cd2e8</t>
  </si>
  <si>
    <t>922e17af-4f99-4a08-92d5-c8797f685f91</t>
  </si>
  <si>
    <t>Schedule Set !- Name</t>
  </si>
  <si>
    <t>36715673-fabf-4b26-bcb3-54efccbcf6ca</t>
  </si>
  <si>
    <t>Medium Estimate: Workplace, 20% of Spaces with Level 2 Charger12%lost to heat</t>
  </si>
  <si>
    <t>729982cd-0e35-4f56-90dd-aa3ce52c45a4</t>
  </si>
  <si>
    <t>!- Number of People Schedule Name</t>
  </si>
  <si>
    <t>OS:InternalMass:Definition</t>
  </si>
  <si>
    <t>!- Surface Area per Space Floor Area {dimensionless}</t>
  </si>
  <si>
    <t>953b161f-1acf-4fc3-a393-bdce6b3c5153</t>
  </si>
  <si>
    <t>!- Surface Area {m2}</t>
  </si>
  <si>
    <t>620be5d0-583e-43e9-b3de-0b70c7cf5176</t>
  </si>
  <si>
    <t>!- Surface Area per Person {m2/person}</t>
  </si>
  <si>
    <t>b80aad76-63a0-4cbf-802e-5e89b172c4f9</t>
  </si>
  <si>
    <t>MediumSmooth</t>
  </si>
  <si>
    <t>OS:Material</t>
  </si>
  <si>
    <t>OS:Construction and OS:Material</t>
  </si>
  <si>
    <t xml:space="preserve"> !- Roughness</t>
  </si>
  <si>
    <t xml:space="preserve"> !- Thickness {m}</t>
  </si>
  <si>
    <t xml:space="preserve"> !- Conductivity {W/m-K}</t>
  </si>
  <si>
    <t xml:space="preserve"> !- Density {kg/m3}</t>
  </si>
  <si>
    <t xml:space="preserve"> !- Specific Heat {J/kg-K}</t>
  </si>
  <si>
    <t xml:space="preserve">  !- Thermal Absorptance</t>
  </si>
  <si>
    <t xml:space="preserve">  !- Solar Absorptance</t>
  </si>
  <si>
    <t xml:space="preserve">  !- Visible Absorptance</t>
  </si>
  <si>
    <t xml:space="preserve"> !- Name</t>
  </si>
  <si>
    <t>1bd0cfbf-ead3-4e72-b15b-e4980f9b59db</t>
  </si>
  <si>
    <t>dc1f4078-c6b5-4ccb-a537-4da64d413107</t>
  </si>
  <si>
    <t>cff5961c-e380-4d30-9a4d-0bfdf353115f</t>
  </si>
  <si>
    <t>5a6d7588-d7ab-4a8a-be29-d0e69477a2d9</t>
  </si>
  <si>
    <t>51ff4529-089d-43c6-90c4-e6bdcb13b9fe</t>
  </si>
  <si>
    <t>dc5451c6-9cf1-4680-bb77-8c264cd2f1ec</t>
  </si>
  <si>
    <t>50e1157d-9579-4ef9-b50e-099cefad7e0f</t>
  </si>
  <si>
    <t>2810bb86-71f1-4ece-94e6-b7427b2274ef</t>
  </si>
  <si>
    <t>feb23d72-7ec3-4505-84ec-987e02009258</t>
  </si>
  <si>
    <t>65c47774-d0bf-4ce9-ba77-1b1304459dc7</t>
  </si>
  <si>
    <t>Std Wood 6inch</t>
  </si>
  <si>
    <t>OpenStudio-Prototype-Buildings</t>
  </si>
  <si>
    <t>MediumRough</t>
  </si>
  <si>
    <t>CalculatedEstimate</t>
  </si>
  <si>
    <t>Smooth</t>
  </si>
  <si>
    <t>Conference_Meeting_Multipurpose_Material</t>
  </si>
  <si>
    <t>Steel_Security_Fixtures_4mm</t>
  </si>
  <si>
    <t>Steel_Office_Equipment_2mm</t>
  </si>
  <si>
    <t>Aluminum_Corridor_Fixtures_3mm</t>
  </si>
  <si>
    <t>Stainless_Aluminum_Hospital_3mm</t>
  </si>
  <si>
    <t>Steel_Aluminum_Industrial_6mm</t>
  </si>
  <si>
    <t>Aluminum_Commercial_Fixtures_3mm</t>
  </si>
  <si>
    <t>Mixed_AudienceSeating_Auditorium_33mm</t>
  </si>
  <si>
    <t>Mixed_AudienceSeating_ConventionCenter_8mm</t>
  </si>
  <si>
    <t>Mixed_AudienceSeating_ExCtr_10mm</t>
  </si>
  <si>
    <t>Mixed_AudienceSeating_Gymnasium_10mm</t>
  </si>
  <si>
    <t>Mixed_AudienceSeating_MotionPictureTheater_34mm</t>
  </si>
  <si>
    <t>Steel_AudienceSeating_Penitentiary_1mm</t>
  </si>
  <si>
    <t>Mixed_AudienceSeating_PerformingArtsTheater_38mm</t>
  </si>
  <si>
    <t>Mixed_AudienceSeating_ReligiousBuilding_18mm</t>
  </si>
  <si>
    <t>Mixed_AudienceSeating_SportsArena_10mm</t>
  </si>
  <si>
    <t>Mixed_AudienceSeating_Transportation_10mm</t>
  </si>
  <si>
    <t>Mixed_AudienceSeating_Other_8mm</t>
  </si>
  <si>
    <t>Mixed_Atrium_LTE40ft_85mm</t>
  </si>
  <si>
    <t>Mixed_Atrium_GT40ft_129mm</t>
  </si>
  <si>
    <t>Mixed_Banking_ActivityArea_15mm</t>
  </si>
  <si>
    <t>Mixed_Classroom_Penitentiary_4mm</t>
  </si>
  <si>
    <t>Mixed_ClassroomK12_LabShop_4mm</t>
  </si>
  <si>
    <t>Mixed_ClassroomTraining_Other_8mm</t>
  </si>
  <si>
    <t>Wood_Courtroom_Furniture_24mm</t>
  </si>
  <si>
    <t>Steel_IT_Equipment_2mm</t>
  </si>
  <si>
    <t>Steel_Security_Dining_3mm</t>
  </si>
  <si>
    <t>Wood_Composite_Residential_7mm</t>
  </si>
  <si>
    <t>Mixed_Commercial_BarLounge_3mm</t>
  </si>
  <si>
    <t>Laminate_Commercial_FastFood_3mm</t>
  </si>
  <si>
    <t>Wood_Composite_Family_Dining_6mm</t>
  </si>
  <si>
    <t>Mixed_Commercial_Dining_3mm</t>
  </si>
  <si>
    <t>Steel_Mechanical_Equipment_3mm</t>
  </si>
  <si>
    <t>Steel_Emergency_Garage_2mm</t>
  </si>
  <si>
    <t>Stainless_Commercial_Kitchen_2mm</t>
  </si>
  <si>
    <t>Mixed_Hotel_Furniture_10mm</t>
  </si>
  <si>
    <t>Wood_Legal_Library_6mm</t>
  </si>
  <si>
    <t>Steel_Lab_Equipment_2mm</t>
  </si>
  <si>
    <t>Steel_Research_Lab_2mm</t>
  </si>
  <si>
    <t>Steel_Laundry_Equipment_2mm</t>
  </si>
  <si>
    <t>Steel_Warehouse_Equipment_4mm</t>
  </si>
  <si>
    <t>Wood_Residential_Lobby_5mm</t>
  </si>
  <si>
    <t>Metal_Elevator_Lobby_2mm</t>
  </si>
  <si>
    <t>Mixed_Hotel_Lobby_5mm</t>
  </si>
  <si>
    <t>Steel_Theater_Equipment_1mm</t>
  </si>
  <si>
    <t>Mixed_Theater_Lobby_4mm</t>
  </si>
  <si>
    <t>Mixed_Commercial_Lobby_3mm</t>
  </si>
  <si>
    <t>Steel_LockerRoom_1mm</t>
  </si>
  <si>
    <t>Mixed_Healthcare_Lounge_2mm</t>
  </si>
  <si>
    <t>Steel_Break_Room_2mm</t>
  </si>
  <si>
    <t>Steel_Office_Furniture_1mm</t>
  </si>
  <si>
    <t>Particleboard_Office_Panels_5mm</t>
  </si>
  <si>
    <t>Steel_Vehicles_6mm</t>
  </si>
  <si>
    <t>Mixed_Pharmacy_3mm</t>
  </si>
  <si>
    <t>Phenolic_Restroom_4mm</t>
  </si>
  <si>
    <t>Mixed_Restroom_2mm</t>
  </si>
  <si>
    <t>Mixed_Retail_3mm</t>
  </si>
  <si>
    <t>Mixed_Seating_6mm</t>
  </si>
  <si>
    <t>Concrete_Stairway_19mm</t>
  </si>
  <si>
    <t>Steel_Hospital_Storage_2mm</t>
  </si>
  <si>
    <t>Mixed_Commercial_Storage_4mm</t>
  </si>
  <si>
    <t>Mixed_Small_Storage_2mm</t>
  </si>
  <si>
    <t>Steel_AutoShop_4mm</t>
  </si>
  <si>
    <t>Steel_Workshop_2mm</t>
  </si>
  <si>
    <t>Mixed_Chapel_8mm</t>
  </si>
  <si>
    <t>Mixed_Recreation_4mm</t>
  </si>
  <si>
    <t>Mixed_Exhibit_2mm</t>
  </si>
  <si>
    <t>Mixed_Dormitory_5mm</t>
  </si>
  <si>
    <t>Steel_FireStation_2mm</t>
  </si>
  <si>
    <t>Steel_Iron_Gym_2mm</t>
  </si>
  <si>
    <t>Steel_Gym_1mm</t>
  </si>
  <si>
    <t>Steel_Medical_1mm</t>
  </si>
  <si>
    <t>Steel_MedExam_1mm</t>
  </si>
  <si>
    <t>Steel_MedSupply_2mm</t>
  </si>
  <si>
    <t>Steel_Nursery_1mm</t>
  </si>
  <si>
    <t>Mixed_NurseStation_2mm</t>
  </si>
  <si>
    <t>Steel_Aluminum_OR_2mm</t>
  </si>
  <si>
    <t>Mixed_Healthcare_PatientRoom_25mm</t>
  </si>
  <si>
    <t>Mixed_Healthcare_PhysicalTherapy_17mm</t>
  </si>
  <si>
    <t>Mixed_Healthcare_RecoveryRoom_11mm</t>
  </si>
  <si>
    <t>Mixed_Library_ReadingArea_22mm</t>
  </si>
  <si>
    <t>Mixed_Library_Stacks_12mm</t>
  </si>
  <si>
    <t>Mixed_Manufacturing_Detailed_12mm</t>
  </si>
  <si>
    <t>Mixed_Manufacturing_EquipRoom_7mm</t>
  </si>
  <si>
    <t>Mixed_Manufacturing_ExtraHighBay_29mm</t>
  </si>
  <si>
    <t>Mixed_Manufacturing_HighBay_16mm</t>
  </si>
  <si>
    <t>Mixed_Manufacturing_LowBay_12mm</t>
  </si>
  <si>
    <t>Mixed_Museum_Exhibition_13mm</t>
  </si>
  <si>
    <t>Mixed_Museum_Restoration_6mm</t>
  </si>
  <si>
    <t>Mixed_PostOffice_SortingArea_2mm</t>
  </si>
  <si>
    <t>Mixed_ReligiousBuilding_FellowshipHall_7mm</t>
  </si>
  <si>
    <t>Mixed_ReligiousBuilding_WorshipChoir_21mm</t>
  </si>
  <si>
    <t>Mixed_Retail_DressingRoom_9mm</t>
  </si>
  <si>
    <t>Mixed_Retail_MallConcourse_19mm</t>
  </si>
  <si>
    <t>Mixed_SportsArena_PlayingArea_22mm</t>
  </si>
  <si>
    <t>Mixed_Transportation_BaggageCarousel_5mm</t>
  </si>
  <si>
    <t>Mixed_Transportation_Concourse_5mm</t>
  </si>
  <si>
    <t>Mixed_Transportation_TicketCounter_11mm</t>
  </si>
  <si>
    <t>Mixed_Warehouse_PalletItems_46mm</t>
  </si>
  <si>
    <t>Mixed_Warehouse_HandCarryItems_10mm</t>
  </si>
  <si>
    <t>Mixed_FoodPrep_ElectricCooking_6mm</t>
  </si>
  <si>
    <t>FoldingUpholsteredSeatsWithSteelPedestals</t>
  </si>
  <si>
    <t>PortableStackingConferenceChairs</t>
  </si>
  <si>
    <t>RetractableAluminumBleacherSystem</t>
  </si>
  <si>
    <t>TelescopingAluminumBleacherSystem</t>
  </si>
  <si>
    <t>FixedCinemaSeatsWithCupHolders</t>
  </si>
  <si>
    <t>FixedAllMetalSecuritySeating</t>
  </si>
  <si>
    <t>FixedUpholsteredSeatsWithAisleRails</t>
  </si>
  <si>
    <t>PaddedStackableGangedChairs</t>
  </si>
  <si>
    <t>FoldDownPolypropyleneStadiumSeats</t>
  </si>
  <si>
    <t>GangedModularWaitingSeats</t>
  </si>
  <si>
    <t>PortablePaddedFoldingChairs</t>
  </si>
  <si>
    <t>LightWoodTrussesOrSmallSteelBeams</t>
  </si>
  <si>
    <t>HeavyGlulamBeamsOrSteelMembers</t>
  </si>
  <si>
    <t>TellerCountersAndSecurityTransactionWindows</t>
  </si>
  <si>
    <t>LaminateDeskSteelChairInstitutional</t>
  </si>
  <si>
    <t>SteelBenchesCaseworkAndShopMachines</t>
  </si>
  <si>
    <t>MovableLaminateTablesAndStackingChairs</t>
  </si>
  <si>
    <t>ConferenceTablesChairsAndCredenza</t>
  </si>
  <si>
    <t>FixedSteelBedDeskAndToiletFixtures</t>
  </si>
  <si>
    <t>CommercialCopierAndSteelStorageCabinets</t>
  </si>
  <si>
    <t>AluminumHandrailsAndWayfindingSignage</t>
  </si>
  <si>
    <t>StainlessHandrailsAndMedicalSignage</t>
  </si>
  <si>
    <t>SteelHandrailsAndSafetyBollards</t>
  </si>
  <si>
    <t>AluminumHandrailsAndDirectionalSignage</t>
  </si>
  <si>
    <t>SolidHardwoodBenchesAndGallerySeating</t>
  </si>
  <si>
    <t>ITWorkstationsAndServerRack</t>
  </si>
  <si>
    <t>FixedSteelTableBenchUnits</t>
  </si>
  <si>
    <t>ResidentialStyleDiningFurniture</t>
  </si>
  <si>
    <t>BarCounterAndMixedSeating</t>
  </si>
  <si>
    <t>FixedBoothAndMoldedChairs</t>
  </si>
  <si>
    <t>BoothSeatingAndUpholsteredChairs</t>
  </si>
  <si>
    <t>GenericBoothAndTableSeating</t>
  </si>
  <si>
    <t>HVACAndElectricalEquipment</t>
  </si>
  <si>
    <t>ApparatusBayStorageAndLockers</t>
  </si>
  <si>
    <t>GasCookingEquipmentAndStainlessPrep</t>
  </si>
  <si>
    <t>BedDresserAndCaseGoods</t>
  </si>
  <si>
    <t>LawBookShelvingAndExecutiveFurniture</t>
  </si>
  <si>
    <t>LabBenchesFumeHoodAndStorage</t>
  </si>
  <si>
    <t>ResearchBenchesFumeHoodsAndStorage</t>
  </si>
  <si>
    <t>CommercialWashersAndDryers</t>
  </si>
  <si>
    <t>PalletRackingAndDockEquipment</t>
  </si>
  <si>
    <t>ResidentialLoungeFurnitureWithPiano</t>
  </si>
  <si>
    <t>MinimalBenchAndDirectoryBoard</t>
  </si>
  <si>
    <t>FrontDeskSofasAndAreaRugs</t>
  </si>
  <si>
    <t>ConcessionStandAndTicketKiosks</t>
  </si>
  <si>
    <t>CarpetedLobbyWithBarAndSeating</t>
  </si>
  <si>
    <t>BasicReceptionAndWaitingArea</t>
  </si>
  <si>
    <t>MetalLockersAndBenches</t>
  </si>
  <si>
    <t>KitchenetteAndDiningFurniture</t>
  </si>
  <si>
    <t>VendingMachinesAndKitchenette</t>
  </si>
  <si>
    <t>DeskFilingCabinetsAndBookshelf</t>
  </si>
  <si>
    <t>CubiclePanelsAndWorkstations</t>
  </si>
  <si>
    <t>ParkedVehiclesAt60PercentOccupancy</t>
  </si>
  <si>
    <t>MedicationShelvingAndStorageCabinets</t>
  </si>
  <si>
    <t>ADAFixturesWithGrabBarsAndShower</t>
  </si>
  <si>
    <t>StandardCommercialFixturesAndPartitions</t>
  </si>
  <si>
    <t>DisplayShelvingAndMerchandiseInventory</t>
  </si>
  <si>
    <t>SofasChairsAndAreaRug</t>
  </si>
  <si>
    <t>ConcreteStairsWithHandrailsAndGuardrails</t>
  </si>
  <si>
    <t>MedicalShelvingAndSupplyCarts</t>
  </si>
  <si>
    <t>ShelvingWithFileAndPaperBoxes</t>
  </si>
  <si>
    <t>WallShelvingInJanitorialCloset</t>
  </si>
  <si>
    <t>VehicleLiftsAndToolChests</t>
  </si>
  <si>
    <t>MachineToolsAndWorkbenches</t>
  </si>
  <si>
    <t>ChapelSeatingAndAltarFurnishings</t>
  </si>
  <si>
    <t>RecreationRoomFurnitureAndGameTables</t>
  </si>
  <si>
    <t>ConventionExhibitBoothsAndDisplays</t>
  </si>
  <si>
    <t>DormitoryBedroomFurniture</t>
  </si>
  <si>
    <t>FireStationBunkAndLockerFurniture</t>
  </si>
  <si>
    <t>FreeWeightsAndExerciseEquipment</t>
  </si>
  <si>
    <t>GymnasiumPlayingFloorEquipment</t>
  </si>
  <si>
    <t>EmergencyRoomMedicalEquipment</t>
  </si>
  <si>
    <t>ExamTreatmentRoomEquipment</t>
  </si>
  <si>
    <t>MedicalSupplyShelvingAndCarts</t>
  </si>
  <si>
    <t>NurseryBassinetsAndEquipment</t>
  </si>
  <si>
    <t>NursesStationDeskAndEquipment</t>
  </si>
  <si>
    <t>OperatingRoomStainlessEquipment</t>
  </si>
  <si>
    <t>PatientRoomBedAndFurnishings</t>
  </si>
  <si>
    <t>PhysicalTherapyEquipmentAndMats</t>
  </si>
  <si>
    <t>RecoveryRoomBedAndMonitoringEquipment</t>
  </si>
  <si>
    <t>WoodTablesCarrelsAndSeating</t>
  </si>
  <si>
    <t>SteelShelvingWithBooks</t>
  </si>
  <si>
    <t>CNCMachineToolsAndWorkbenches</t>
  </si>
  <si>
    <t>CompressorsHPUsAndElectricalPanels</t>
  </si>
  <si>
    <t>OverheadCranesAndHeavyPresses</t>
  </si>
  <si>
    <t>CranesCuttingTablesAndStorageRacks</t>
  </si>
  <si>
    <t>StampingPressesAndInjectionMolders</t>
  </si>
  <si>
    <t>DisplayCasesAndPedestals</t>
  </si>
  <si>
    <t>SteelCaseworkHoodsAndHardwoodBenches</t>
  </si>
  <si>
    <t>FlatSortCasesAndMailHampers</t>
  </si>
  <si>
    <t>FoldingTablesAndStackableChairs</t>
  </si>
  <si>
    <t>SolidHardwoodPewsAndPulpit</t>
  </si>
  <si>
    <t>MDFStallPartitionsAndMirrors</t>
  </si>
  <si>
    <t>KiosksBenchesAndConcretePlanters</t>
  </si>
  <si>
    <t>PortableGoalsAndBenchesClassI</t>
  </si>
  <si>
    <t>PortableGoalsAndBenchesClassII</t>
  </si>
  <si>
    <t>PortableGoalsAndBenchesClassIII</t>
  </si>
  <si>
    <t>PortableGoalsAndBenchesClassIV</t>
  </si>
  <si>
    <t>CarouselsAndBaggageCarts</t>
  </si>
  <si>
    <t>GateSeatingKiosksAndWalkway</t>
  </si>
  <si>
    <t>GraniteCountersAndQueueStanchions</t>
  </si>
  <si>
    <t>PalletRackingAndStoredGoods</t>
  </si>
  <si>
    <t>BoltlessShelvingAndBinStorage</t>
  </si>
  <si>
    <t>CommercialKitchenEquipmentSameAsGasCooking</t>
  </si>
  <si>
    <t>789d7a7f-91a3-4dde-9310-9a74c14d32e5</t>
  </si>
  <si>
    <t>Atrium</t>
  </si>
  <si>
    <t>!- Standards Building Type</t>
  </si>
  <si>
    <t>!- Standards Template</t>
  </si>
  <si>
    <t>464b7a91-abc0-48af-b607-07922fa703df</t>
  </si>
  <si>
    <t>!- Standards Space Type</t>
  </si>
  <si>
    <t>c3101f12-7b66-41ad-90b5-0c5afec65227</t>
  </si>
  <si>
    <t>OpenStudio_Standards.xlsx</t>
  </si>
  <si>
    <t>Office Corridor</t>
  </si>
  <si>
    <t>Convention Center</t>
  </si>
  <si>
    <t>Exercise Center</t>
  </si>
  <si>
    <t>Theater</t>
  </si>
  <si>
    <t>Transportation Facility</t>
  </si>
  <si>
    <t>Miscellaneous</t>
  </si>
  <si>
    <t>Bank</t>
  </si>
  <si>
    <t>Secondary School</t>
  </si>
  <si>
    <t>School/University</t>
  </si>
  <si>
    <t>Assisted Living</t>
  </si>
  <si>
    <t>Manufacturing Facility</t>
  </si>
  <si>
    <t>Hotel/Motel</t>
  </si>
  <si>
    <t>Restaurant</t>
  </si>
  <si>
    <t>Quick Service Restaurant</t>
  </si>
  <si>
    <t>Bar/Lounge</t>
  </si>
  <si>
    <t>Elec/Mech Room</t>
  </si>
  <si>
    <t>Commercial Kitchen</t>
  </si>
  <si>
    <t>Laboratory</t>
  </si>
  <si>
    <t>Commercial Laundry</t>
  </si>
  <si>
    <t>Healthcare</t>
  </si>
  <si>
    <t>Parking Garage</t>
  </si>
  <si>
    <t>Repair Garage</t>
  </si>
  <si>
    <t>Fire Station</t>
  </si>
  <si>
    <t>Post Office</t>
  </si>
  <si>
    <t>Sports Arena</t>
  </si>
  <si>
    <t>Whole Building</t>
  </si>
  <si>
    <t>Audience Seating Area</t>
  </si>
  <si>
    <t>Atrium - Less than or equal to 40 ft</t>
  </si>
  <si>
    <t>Atrium - More than 40 ft</t>
  </si>
  <si>
    <t>Banking Activity Area</t>
  </si>
  <si>
    <t>Classroom/Lecture/Training</t>
  </si>
  <si>
    <t>Classroom/Lecture/Training - K-12 - laboratory and shops</t>
  </si>
  <si>
    <t>Conference/Meeting/Multipurpose</t>
  </si>
  <si>
    <t>Confinment Cells</t>
  </si>
  <si>
    <t>Copy/Print Room</t>
  </si>
  <si>
    <t>Computer Room</t>
  </si>
  <si>
    <t>Dining Area</t>
  </si>
  <si>
    <t>Emergency Vehicle Garage</t>
  </si>
  <si>
    <t>Food Preparation - Gas Cooking</t>
  </si>
  <si>
    <t>Guest Room</t>
  </si>
  <si>
    <t>Judges Chambers</t>
  </si>
  <si>
    <t>Laboratory - Classrooms</t>
  </si>
  <si>
    <t>Laboratory - Other</t>
  </si>
  <si>
    <t>Laundry/Washing Area</t>
  </si>
  <si>
    <t>Loading Dock - Interior</t>
  </si>
  <si>
    <t>Lobby - Elevator</t>
  </si>
  <si>
    <t>Locker Room</t>
  </si>
  <si>
    <t>Lounge/Break</t>
  </si>
  <si>
    <t>Office - Enclosed</t>
  </si>
  <si>
    <t>Office - Open Plan</t>
  </si>
  <si>
    <t>Parking Area - Interior</t>
  </si>
  <si>
    <t>Pharmacy Area</t>
  </si>
  <si>
    <t>Restrooms</t>
  </si>
  <si>
    <t>Sales Area</t>
  </si>
  <si>
    <t>Seating Area General</t>
  </si>
  <si>
    <t>Storage</t>
  </si>
  <si>
    <t>Storage - &gt;= 50 ft2</t>
  </si>
  <si>
    <t>Storage - &lt; 50 ft2</t>
  </si>
  <si>
    <t>Vehicular Maintenance</t>
  </si>
  <si>
    <t>Chapel</t>
  </si>
  <si>
    <t>Recreation Room</t>
  </si>
  <si>
    <t>Exhibit Space</t>
  </si>
  <si>
    <t>Living Quarters</t>
  </si>
  <si>
    <t>Sleeping Quarters</t>
  </si>
  <si>
    <t>Exercise Area</t>
  </si>
  <si>
    <t>Playing Area</t>
  </si>
  <si>
    <t>Emergency Room</t>
  </si>
  <si>
    <t>Exam/Treatment</t>
  </si>
  <si>
    <t>Supply Room</t>
  </si>
  <si>
    <t>Nursery</t>
  </si>
  <si>
    <t>Nurses’ Station</t>
  </si>
  <si>
    <t>Operating Room</t>
  </si>
  <si>
    <t>Patient Room</t>
  </si>
  <si>
    <t>Physical Therapy</t>
  </si>
  <si>
    <t>Recovery Room</t>
  </si>
  <si>
    <t>Reading Area</t>
  </si>
  <si>
    <t>Stacks</t>
  </si>
  <si>
    <t>Detailed Manufacturing</t>
  </si>
  <si>
    <t>Equipment Room</t>
  </si>
  <si>
    <t>Extra High Bay (&gt;50 ft Floor to Ceiling Height)</t>
  </si>
  <si>
    <t>High Bay  (25–50 ft Floor to Ceiling  Height)</t>
  </si>
  <si>
    <t>Low Bay (&lt;25 ft Floor to Ceiling Height)</t>
  </si>
  <si>
    <t>General Exhibition</t>
  </si>
  <si>
    <t>Restoration</t>
  </si>
  <si>
    <t>Sorting Area</t>
  </si>
  <si>
    <t>Fellowship Hall</t>
  </si>
  <si>
    <t>Worship/Pulpit/Choir</t>
  </si>
  <si>
    <t>Dressing/Fitting Room</t>
  </si>
  <si>
    <t>Mall Concourse</t>
  </si>
  <si>
    <t>Playing Area - Class I</t>
  </si>
  <si>
    <t>Playing Area - Class II</t>
  </si>
  <si>
    <t>Playing Area - Class III</t>
  </si>
  <si>
    <t>Playing Area - Class IV</t>
  </si>
  <si>
    <t>Baggage/Carousel Area</t>
  </si>
  <si>
    <t>Concourse</t>
  </si>
  <si>
    <t>Ticket Counter</t>
  </si>
  <si>
    <t>Medium/Bulky Items on Pallets</t>
  </si>
  <si>
    <t>Smaller Hand Carried Items</t>
  </si>
  <si>
    <t>Food Preparation - Electric Cooking</t>
  </si>
  <si>
    <t>!- Air Changes per Hour {1/hr}</t>
  </si>
  <si>
    <t>306e4282-557a-4c79-a31e-dbe513817f52</t>
  </si>
  <si>
    <t>AU</t>
  </si>
  <si>
    <t>NCC</t>
  </si>
  <si>
    <t>NCC S35C2n</t>
  </si>
  <si>
    <t>Other applications (non-dining)</t>
  </si>
  <si>
    <t>Dining room/restaurant/cafe</t>
  </si>
  <si>
    <t>Class 5 (Office) - Other applications (non-dining)</t>
  </si>
  <si>
    <t>NCC S35C2l</t>
  </si>
  <si>
    <t>Class 8 (Automotive/other applications) - no equipment load per S35C2l; radiant/latent/lost fraction split retained from original WA/COMNET-REV9 source (AIRAH Technical Handbook does not publish this split)</t>
  </si>
  <si>
    <t>Class 9b special (Other applications) - no equipment load per S35C2l; radiant/latent/lost fraction split retained from original WA/COMNET-REV9 source (AIRAH Technical Handbook does not publish this split)</t>
  </si>
  <si>
    <t>Class 6 cafe/restaurant; radiant/latent/lost fraction split retained from original WA/COMNET-REV9 source (AIRAH Technical Handbook does not publish this split)</t>
  </si>
  <si>
    <t>Class 3 dormitories - no load per S35C2l; radiant/latent/lost fraction split retained from original WA/COMNET-REV9 source (AIRAH Technical Handbook does not publish this split)</t>
  </si>
  <si>
    <t>Class 9b (Other applications) - no equipment load per S35C2l; radiant/latent/lost fraction split retained from original WA/COMNET-REV9 source (AIRAH Technical Handbook does not publish this split)</t>
  </si>
  <si>
    <t>AUTHOR-ASSUMED area-weighted composite (not a direct NCC table value) - Fire Station is not a single NCC building class, decomposed as: Apparatus Bay / Garage (Class 7a/8-like) 45%; Sleeping Quarters (Class 3 dormitory-style, sleeping only) 25%; Office / Admin / Dayroom (Class 5) 30%. Equipment W/m2 per component per S35C2l, blended by area fraction. Adjust fractions to match actual floor plan; radiant/latent/lost fraction split retained from original WA/COMNET-REV9 source (AIRAH Technical Handbook does not publish this split)</t>
  </si>
  <si>
    <t>Class 9a clinic/day surgery/procedure unit; radiant/latent/lost fraction split retained from original WA/COMNET-REV9 source (AIRAH Technical Handbook does not publish this split)</t>
  </si>
  <si>
    <t>Class 9a ward area (whole-building composite default); radiant/latent/lost fraction split retained from original WA/COMNET-REV9 source (AIRAH Technical Handbook does not publish this split)</t>
  </si>
  <si>
    <t>Class 8 (Other applications) - no equipment load per S35C2l; radiant/latent/lost fraction split retained from original WA/COMNET-REV9 source (AIRAH Technical Handbook does not publish this split)</t>
  </si>
  <si>
    <t>NCC S35C2l for equipment W/m2; radiant/latent/lost fraction split retained from original WA/COMNET-REV9 source (AIRAH Technical Handbook does not publish this split)</t>
  </si>
  <si>
    <t>Class 7a (Other applications) - no equipment load per S35C2l; radiant/latent/lost fraction split retained from original WA/COMNET-REV9 source (AIRAH Technical Handbook does not publish this split)</t>
  </si>
  <si>
    <t>AUTHOR-ASSUMED area-weighted composite (not a direct NCC table value) - Police Station is not a single NCC building class, decomposed as: Office / Admin / Records (Class 5) 55%; Public Reception / Waiting (Class 9b, other applications) 25%; Detention / Holding (no distinct NCC class) 20%. Equipment W/m2 per component per S35C2l, blended by area fraction. Adjust fractions to match actual floor plan; radiant/latent/lost fraction split retained from original WA/COMNET-REV9 source (AIRAH Technical Handbook does not publish this split)</t>
  </si>
  <si>
    <t>Class 6 shop/shopping centre; radiant/latent/lost fraction split retained from original WA/COMNET-REV9 source (AIRAH Technical Handbook does not publish this split)</t>
  </si>
  <si>
    <t>Class 9b school; radiant/latent/lost fraction split retained from original WA/COMNET-REV9 source (AIRAH Technical Handbook does not publish this split)</t>
  </si>
  <si>
    <t>Class 7b (Other applications) - no equipment load per S35C2l; radiant/latent/lost fraction split retained from original WA/COMNET-REV9 source (AIRAH Technical Handbook does not publish this split)</t>
  </si>
  <si>
    <t>Shared with host building class (Other applications) - no equipment load per S35C2l; radiant/latent/lost fraction split retained from original WA/COMNET-REV9 source (AIRAH Technical Handbook does not publish this split)</t>
  </si>
  <si>
    <t>Class 6 shop/shopping centre (bank treated as retail/counter service - judgment call, no distinct NCC bank category); radiant/latent/lost fraction split retained from original WA/COMNET-REV9 source (AIRAH Technical Handbook does not publish this split)</t>
  </si>
  <si>
    <t>Class 5 building; radiant/latent/lost fraction split retained from original WA/COMNET-REV9 source (AIRAH Technical Handbook does not publish this split)</t>
  </si>
  <si>
    <t>Class 9c building: S35C2l's 160 W/room provision applies only to sole-occupancy resident rooms; a corridor is a communal/circulation space so it defaults to 'Other applications - No load'; radiant/latent/lost fraction split retained from original WA/COMNET-REV9 source (AIRAH Technical Handbook does not publish this split)</t>
  </si>
  <si>
    <t>Class 9a ward area (support/circulation default); radiant/latent/lost fraction split retained from original WA/COMNET-REV9 source (AIRAH Technical Handbook does not publish this split)</t>
  </si>
  <si>
    <t>Class 6 cafe/restaurant (dining function, despite Class 3 host building); radiant/latent/lost fraction split retained from original WA/COMNET-REV9 source (AIRAH Technical Handbook does not publish this split)</t>
  </si>
  <si>
    <t>Plant/equipment room (Other applications) - no equipment load per S35C2l; radiant/latent/lost fraction split retained from original WA/COMNET-REV9 source (AIRAH Technical Handbook does not publish this split)</t>
  </si>
  <si>
    <t>Class 7a/8 (Other applications) - no equipment load per S35C2l; radiant/latent/lost fraction split retained from original WA/COMNET-REV9 source (AIRAH Technical Handbook does not publish this split)</t>
  </si>
  <si>
    <t>Class 5 building (Judges Chambers treated as office analogue); radiant/latent/lost fraction split retained from original WA/COMNET-REV9 source (AIRAH Technical Handbook does not publish this split)</t>
  </si>
  <si>
    <t>Class 8 laboratory; radiant/latent/lost fraction split retained from original WA/COMNET-REV9 source (AIRAH Technical Handbook does not publish this split)</t>
  </si>
  <si>
    <t>Class 9a ward area (support default); radiant/latent/lost fraction split retained from original WA/COMNET-REV9 source (AIRAH Technical Handbook does not publish this split)</t>
  </si>
  <si>
    <t>Class 9a ward area (support default - judgment call, pharmacy could arguably be clinic/procedure-rated); radiant/latent/lost fraction split retained from original WA/COMNET-REV9 source (AIRAH Technical Handbook does not publish this split)</t>
  </si>
  <si>
    <t>Class 9c building: S35C2l's 160 W/room provision applies only to sole-occupancy resident rooms; restrooms are a communal amenity space so they default to 'Other applications - No load'; radiant/latent/lost fraction split retained from original WA/COMNET-REV9 source (AIRAH Technical Handbook does not publish this split)</t>
  </si>
  <si>
    <t>Class 6 shop/shopping centre (retail seating area); radiant/latent/lost fraction split retained from original WA/COMNET-REV9 source (AIRAH Technical Handbook does not publish this split)</t>
  </si>
  <si>
    <t>Class 9a storage (Other applications) - no equipment load per S35C2l; radiant/latent/lost fraction split retained from original WA/COMNET-REV9 source (AIRAH Technical Handbook does not publish this split)</t>
  </si>
  <si>
    <t>Class 9c building: S35C2l's 160 W/room provision applies only to sole-occupancy resident rooms; a recreation room is a communal space so it defaults to 'Other applications - No load'; radiant/latent/lost fraction split retained from original WA/COMNET-REV9 source (AIRAH Technical Handbook does not publish this split)</t>
  </si>
  <si>
    <t>Class 3 dormitories - no load per S35C2l (Fire Station sleeping quarters sub-space); radiant/latent/lost fraction split retained from original WA/COMNET-REV9 source (AIRAH Technical Handbook does not publish this split)</t>
  </si>
  <si>
    <t>Class 9a clinic/day surgery/procedure unit (equipment-intensive); radiant/latent/lost fraction split retained from original WA/COMNET-REV9 source (AIRAH Technical Handbook does not publish this split)</t>
  </si>
  <si>
    <t>Class 9a ward area (nursery treated as infant ward); radiant/latent/lost fraction split retained from original WA/COMNET-REV9 source (AIRAH Technical Handbook does not publish this split)</t>
  </si>
  <si>
    <t>Class 9a ward area; radiant/latent/lost fraction split retained from original WA/COMNET-REV9 source (AIRAH Technical Handbook does not publish this split)</t>
  </si>
  <si>
    <t>Class 9a ward area (recovery, nearest); radiant/latent/lost fraction split retained from original WA/COMNET-REV9 source (AIRAH Technical Handbook does not publish this split)</t>
  </si>
  <si>
    <t>Class 8 laboratory (conservation/restoration workshop treated as lab); radiant/latent/lost fraction split retained from original WA/COMNET-REV9 source (AIRAH Technical Handbook does not publish this split)</t>
  </si>
  <si>
    <t>Class 6 shop/shopping centre (reduced); radiant/latent/lost fraction split retained from original WA/COMNET-REV9 source (AIRAH Technical Handbook does not publish this split)</t>
  </si>
  <si>
    <t>IECC Table C405.3.2(1)</t>
  </si>
  <si>
    <t>Automotive facility; radiant/visible fraction split retained from original WA/COMNET-REV9 source</t>
  </si>
  <si>
    <t>NCC J7D3a</t>
  </si>
  <si>
    <t>Auditorium, church and public hall (nearest; Class 9b conference has a special 150W/room+10W/person provision, not populated pending room-count assumption); radiant/visible fraction split retained from original WA/COMNET-REV9 source (AIRAH Technical Handbook does not publish this split)</t>
  </si>
  <si>
    <t>Courtroom; radiant/visible fraction split retained from original WA/COMNET-REV9 source (AIRAH Technical Handbook does not publish this split)</t>
  </si>
  <si>
    <t>Restaurant, cafe, bar, hotel lounge...; radiant/visible fraction split retained from original WA/COMNET-REV9 source (AIRAH Technical Handbook does not publish this split)</t>
  </si>
  <si>
    <t>Dormitory of a Class 3 building used for sleeping and study; radiant/visible fraction split retained from original WA/COMNET-REV9 source (AIRAH Technical Handbook does not publish this split)</t>
  </si>
  <si>
    <t>Exercise center; radiant/visible fraction split retained from original WA/COMNET-REV9 source</t>
  </si>
  <si>
    <t>AUTHOR-ASSUMED area-weighted composite (not a direct NCC table value) - Apparatus Bay / Garage (Class 7a/8-like) 45% -&gt; Carpark - general (nearest available proxy; NCC has no vehicle-bay-specific lighting row) (2.0 W/m2); Sleeping Quarters (Class 3 dormitory-style, sleeping only) 25% -&gt; Dormitory of a Class 3 building used for sleeping only (3.0 W/m2); Office / Admin / Dayroom (Class 5) 30% -&gt; Office - artificially lit to &gt;= 200 lux (4.5 W/m2). Adjust fractions to match actual floor plan; radiant/latent/lost fraction split retained from original WA/COMNET-REV9 source (AIRAH Technical Handbook does not publish this split)</t>
  </si>
  <si>
    <t>Gymnasium; radiant/visible fraction split retained from original WA/COMNET-REV9 source</t>
  </si>
  <si>
    <t>Health-care - examination room; radiant/visible fraction split retained from original WA/COMNET-REV9 source (AIRAH Technical Handbook does not publish this split)</t>
  </si>
  <si>
    <t>Health-care - all other patient care areas including wards and corridors; radiant/visible fraction split retained from original WA/COMNET-REV9 source (AIRAH Technical Handbook does not publish this split)</t>
  </si>
  <si>
    <t>Hotel/Motel; radiant/visible fraction split retained from original WA/COMNET-REV9 source</t>
  </si>
  <si>
    <t>Library - reading room and general areas; radiant/visible fraction split retained from original WA/COMNET-REV9 source (AIRAH Technical Handbook does not publish this split)</t>
  </si>
  <si>
    <t>Manufacturing facility; radiant/visible fraction split retained from original WA/COMNET-REV9 source</t>
  </si>
  <si>
    <t>Auditorium, church and public hall (nearest; no dedicated cinema row); radiant/visible fraction split retained from original WA/COMNET-REV9 source (AIRAH Technical Handbook does not publish this split)</t>
  </si>
  <si>
    <t>Multiple-family; radiant/visible fraction split retained from original WA/COMNET-REV9 source</t>
  </si>
  <si>
    <t>Museum and gallery - circulation, cleaning and service lighting; radiant/visible fraction split retained from original WA/COMNET-REV9 source (AIRAH Technical Handbook does not publish this split)</t>
  </si>
  <si>
    <t>NCC J7D3a for lighting W/m2 (office &gt;= 200 lux row); radiant/visible fraction split retained from original WA/COMNET-REV9 source (AIRAH Technical Handbook does not publish this split)</t>
  </si>
  <si>
    <t>Carpark - general; radiant/visible fraction split retained from original WA/COMNET-REV9 source (AIRAH Technical Handbook does not publish this split)</t>
  </si>
  <si>
    <t>Penitentiary; radiant/visible fraction split retained from original WA/COMNET-REV9 source</t>
  </si>
  <si>
    <t>Auditorium, church and public hall (nearest; no dedicated theatre row); radiant/visible fraction split retained from original WA/COMNET-REV9 source (AIRAH Technical Handbook does not publish this split)</t>
  </si>
  <si>
    <t>AUTHOR-ASSUMED area-weighted composite (not a direct NCC table value) - Office / Admin / Records (Class 5) 55% -&gt; Office - artificially lit to &gt;= 200 lux (4.5 W/m2); Public Reception / Waiting (Class 9b, other applications) 25% -&gt; Entry lobby from outside the building (9.0 W/m2); Detention / Holding (no distinct NCC class) 20% -&gt; Toilet, locker room, staff room, rest room and the like (utilitarian proxy - no dedicated holding-cell row) (3.0 W/m2). Adjust fractions to match actual floor plan; radiant/latent/lost fraction split retained from original WA/COMNET-REV9 source (AIRAH Technical Handbook does not publish this split)</t>
  </si>
  <si>
    <t>Post office; radiant/visible fraction split retained from original WA/COMNET-REV9 source</t>
  </si>
  <si>
    <t>Auditorium, church and public hall; radiant/visible fraction split retained from original WA/COMNET-REV9 source (AIRAH Technical Handbook does not publish this split)</t>
  </si>
  <si>
    <t>Retail space including a museum and gallery whose purpose is the sale of objects; radiant/visible fraction split retained from original WA/COMNET-REV9 source (AIRAH Technical Handbook does not publish this split)</t>
  </si>
  <si>
    <t>School - general purpose learning areas and tutorial rooms; radiant/visible fraction split retained from original WA/COMNET-REV9 source (AIRAH Technical Handbook does not publish this split)</t>
  </si>
  <si>
    <t>Sports arena; radiant/visible fraction split retained from original WA/COMNET-REV9 source</t>
  </si>
  <si>
    <t>Transportation; radiant/visible fraction split retained from original WA/COMNET-REV9 source</t>
  </si>
  <si>
    <t>Storage; radiant/visible fraction split retained from original WA/COMNET-REV9 source (AIRAH Technical Handbook does not publish this split)</t>
  </si>
  <si>
    <t>Workshop; radiant/visible fraction split retained from original WA/COMNET-REV9 source</t>
  </si>
  <si>
    <t>Auditorium, church and public hall (nearest); radiant/visible fraction split retained from original WA/COMNET-REV9 source (AIRAH Technical Handbook does not publish this split)</t>
  </si>
  <si>
    <t>IECC Table C405.3.2(2)</t>
  </si>
  <si>
    <t>Audience seating area - in a gymnasium (nearest; no dedicated 'exercise center' row); radiant/visible fraction split retained from original WA/COMNET-REV9 source</t>
  </si>
  <si>
    <t>Audience seating area - in a gymnasium; radiant/visible fraction split retained from original WA/COMNET-REV9 source</t>
  </si>
  <si>
    <t>Audience seating area - in a penitentiary; radiant/visible fraction split retained from original WA/COMNET-REV9 source</t>
  </si>
  <si>
    <t>Audience seating area - in a sports arena; radiant/visible fraction split retained from original WA/COMNET-REV9 source</t>
  </si>
  <si>
    <t>Audience seating area - otherwise (no dedicated transportation-facility row); radiant/visible fraction split retained from original WA/COMNET-REV9 source</t>
  </si>
  <si>
    <t>Auditorium, church and public hall (generic assembly fallback); radiant/visible fraction split retained from original WA/COMNET-REV9 source (AIRAH Technical Handbook does not publish this split)</t>
  </si>
  <si>
    <t>Atrium - less than or equal to 40 feet in height; radiant/visible fraction split retained from original WA/COMNET-REV9 source</t>
  </si>
  <si>
    <t>Atrium - greater than 40 feet in height; radiant/visible fraction split retained from original WA/COMNET-REV9 source</t>
  </si>
  <si>
    <t>Office - artificially lit to &gt;= 200 lux (teller/counter areas judged closer to office than retail merchandising); radiant/visible fraction split retained from original WA/COMNET-REV9 source (AIRAH Technical Handbook does not publish this split)</t>
  </si>
  <si>
    <t>Classroom/lecture hall/training room - in a penitentiary; radiant/visible fraction split retained from original WA/COMNET-REV9 source</t>
  </si>
  <si>
    <t>Laboratory - artificially lit to an ambient level of 400 lx or more (K-12 lab/shops variant); radiant/visible fraction split retained from original WA/COMNET-REV9 source (AIRAH Technical Handbook does not publish this split)</t>
  </si>
  <si>
    <t>Board room and conference room; radiant/visible fraction split retained from original WA/COMNET-REV9 source (AIRAH Technical Handbook does not publish this split)</t>
  </si>
  <si>
    <t>Dormitory - living quarters (nearest match for a private sleeping/holding room); radiant/visible fraction split retained from original WA/COMNET-REV9 source</t>
  </si>
  <si>
    <t>Office - artificially lit to &gt;= 200 lux (fallback; no dedicated print/copy room row); radiant/visible fraction split retained from original WA/COMNET-REV9 source (AIRAH Technical Handbook does not publish this split)</t>
  </si>
  <si>
    <t>Corridors (Class 9c aged care building - NCC 2025 Vol One Spec 35 Table S35C2k is the applicable occupancy profile table for future schedule work); radiant/latent/lost fraction split retained from original WA/COMNET-REV9 source (AIRAH Technical Handbook does not publish this split)</t>
  </si>
  <si>
    <t>Corridors; radiant/visible fraction split retained from original WA/COMNET-REV9 source (AIRAH Technical Handbook does not publish this split)</t>
  </si>
  <si>
    <t>Control room, switch room and the like - constant monitoring; radiant/visible fraction split retained from original WA/COMNET-REV9 source (AIRAH Technical Handbook does not publish this split)</t>
  </si>
  <si>
    <t>Dining area - in a penitentiary; radiant/visible fraction split retained from original WA/COMNET-REV9 source</t>
  </si>
  <si>
    <t>Plant rooms with a horizontal illuminance target of 80 lx; radiant/visible fraction split retained from original WA/COMNET-REV9 source (AIRAH Technical Handbook does not publish this split)</t>
  </si>
  <si>
    <t>Kitchen and food preparation area; radiant/visible fraction split retained from original WA/COMNET-REV9 source (AIRAH Technical Handbook does not publish this split)</t>
  </si>
  <si>
    <t>Office - artificially lit to &gt;= 200 lux; radiant/visible fraction split retained from original WA/COMNET-REV9 source (AIRAH Technical Handbook does not publish this split)</t>
  </si>
  <si>
    <t>Laboratory - artificially lit to an ambient level of 400 lx or more; radiant/visible fraction split retained from original WA/COMNET-REV9 source (AIRAH Technical Handbook does not publish this split)</t>
  </si>
  <si>
    <t>Service area, cleaner's room and the like; radiant/visible fraction split retained from original WA/COMNET-REV9 source (AIRAH Technical Handbook does not publish this split)</t>
  </si>
  <si>
    <t>Entry lobby from outside the building; radiant/visible fraction split retained from original WA/COMNET-REV9 source (AIRAH Technical Handbook does not publish this split)</t>
  </si>
  <si>
    <t>Lift cars; radiant/visible fraction split retained from original WA/COMNET-REV9 source (AIRAH Technical Handbook does not publish this split)</t>
  </si>
  <si>
    <t>Entry lobby from outside the building (general default); radiant/visible fraction split retained from original WA/COMNET-REV9 source (AIRAH Technical Handbook does not publish this split)</t>
  </si>
  <si>
    <t>Toilet, locker room, staff room, rest room and the like; radiant/visible fraction split retained from original WA/COMNET-REV9 source (AIRAH Technical Handbook does not publish this split)</t>
  </si>
  <si>
    <t>Toilet, locker room, staff room, rest room and the like (staff break/lounge fit); radiant/visible fraction split retained from original WA/COMNET-REV9 source (AIRAH Technical Handbook does not publish this split)</t>
  </si>
  <si>
    <t>Health-care - examination room (nearest for dispensing counter); radiant/visible fraction split retained from original WA/COMNET-REV9 source (AIRAH Technical Handbook does not publish this split)</t>
  </si>
  <si>
    <t>Toilet, locker room, staff room, rest room and the like (Class 9c aged care building - NCC 2025 Vol One Spec 35 Table S35C2k is the applicable occupancy profile table for future schedule work); radiant/latent/lost fraction split retained from original WA/COMNET-REV9 source (AIRAH Technical Handbook does not publish this split)</t>
  </si>
  <si>
    <t>Stairways, including fire-isolated stairways; radiant/visible fraction split retained from original WA/COMNET-REV9 source (AIRAH Technical Handbook does not publish this split)</t>
  </si>
  <si>
    <t>Vehicular maintenance area; radiant/visible fraction split retained from original WA/COMNET-REV9 source</t>
  </si>
  <si>
    <t>Auditorium, church and public hall (chapel); radiant/visible fraction split retained from original WA/COMNET-REV9 source (AIRAH Technical Handbook does not publish this split)</t>
  </si>
  <si>
    <t>Lounge area for communal use in a Class 3 or 9c building (Class 9c aged care building - NCC 2025 Vol One Spec 35 Table S35C2k is the applicable occupancy profile table for future schedule work); radiant/latent/lost fraction split retained from original WA/COMNET-REV9 source (AIRAH Technical Handbook does not publish this split)</t>
  </si>
  <si>
    <t>Convention Center - exhibit space; radiant/visible fraction split retained from original WA/COMNET-REV9 source</t>
  </si>
  <si>
    <t>Dormitory of a Class 3 building used for sleeping only; radiant/visible fraction split retained from original WA/COMNET-REV9 source (AIRAH Technical Handbook does not publish this split)</t>
  </si>
  <si>
    <t>Gymnasium/fitness center - in an exercise area; radiant/visible fraction split retained from original WA/COMNET-REV9 source</t>
  </si>
  <si>
    <t>Gymnasium/fitness center - in a playing area; radiant/visible fraction split retained from original WA/COMNET-REV9 source</t>
  </si>
  <si>
    <t>Health-care - infants' and children's wards and emergency department; radiant/visible fraction split retained from original WA/COMNET-REV9 source (AIRAH Technical Handbook does not publish this split)</t>
  </si>
  <si>
    <t>Control room, switch room and the like - constant monitoring / examination room (nurses station counter); radiant/visible fraction split retained from original WA/COMNET-REV9 source (AIRAH Technical Handbook does not publish this split)</t>
  </si>
  <si>
    <t>Health-care - examination room in intensive care and high dependency ward (nearest for OR); radiant/visible fraction split retained from original WA/COMNET-REV9 source (AIRAH Technical Handbook does not publish this split)</t>
  </si>
  <si>
    <t>Health-care - examination room in intensive care and high dependency ward; radiant/visible fraction split retained from original WA/COMNET-REV9 source (AIRAH Technical Handbook does not publish this split)</t>
  </si>
  <si>
    <t>Library - stack and shelving area; radiant/visible fraction split retained from original WA/COMNET-REV9 source (AIRAH Technical Handbook does not publish this split)</t>
  </si>
  <si>
    <t>Manufacturing facility - in a detailed manufacturing area; radiant/visible fraction split retained from original WA/COMNET-REV9 source</t>
  </si>
  <si>
    <t>Manufacturing facility - in an extra-high-bay area (greater than 50 feet floor-to-ceiling height); radiant/visible fraction split retained from original WA/COMNET-REV9 source</t>
  </si>
  <si>
    <t>Manufacturing facility - in a high-bay area (25-50 feet floor-to-ceiling height); radiant/visible fraction split retained from original WA/COMNET-REV9 source</t>
  </si>
  <si>
    <t>Manufacturing facility - in a low-bay area (less than 25 feet floor-to-ceiling height); radiant/visible fraction split retained from original WA/COMNET-REV9 source</t>
  </si>
  <si>
    <t>Museum - in a general exhibition area; radiant/visible fraction split retained from original WA/COMNET-REV9 source</t>
  </si>
  <si>
    <t>Wholesale storage area with a vertical illuminance target of 160 lx (sorting/logistics floor); radiant/visible fraction split retained from original WA/COMNET-REV9 source (AIRAH Technical Handbook does not publish this split)</t>
  </si>
  <si>
    <t>Corridors (circulation concourse, not merchandising floor); radiant/visible fraction split retained from original WA/COMNET-REV9 source (AIRAH Technical Handbook does not publish this split)</t>
  </si>
  <si>
    <t>Sports arena - playing area, Class I facility; radiant/visible fraction split retained from original WA/COMNET-REV9 source</t>
  </si>
  <si>
    <t>Sports arena - playing area, Class II facility; radiant/visible fraction split retained from original WA/COMNET-REV9 source</t>
  </si>
  <si>
    <t>Sports arena - playing area, Class III facility; radiant/visible fraction split retained from original WA/COMNET-REV9 source</t>
  </si>
  <si>
    <t>Sports arena - playing area, Class IV facility; radiant/visible fraction split retained from original WA/COMNET-REV9 source</t>
  </si>
  <si>
    <t>Transportation facility - in a baggage/carousel area; radiant/visible fraction split retained from original WA/COMNET-REV9 source</t>
  </si>
  <si>
    <t>Corridors (concourse circulation); radiant/visible fraction split retained from original WA/COMNET-REV9 source (AIRAH Technical Handbook does not publish this split)</t>
  </si>
  <si>
    <t>Office - artificially lit to &gt;= 200 lux (counter fit); radiant/visible fraction split retained from original WA/COMNET-REV9 source (AIRAH Technical Handbook does not publish this split)</t>
  </si>
  <si>
    <t>Wholesale storage area with a vertical illuminance target of 160 lx; radiant/visible fraction split retained from original WA/COMNET-REV9 source (AIRAH Technical Handbook does not publish this split)</t>
  </si>
  <si>
    <t>N/A</t>
  </si>
  <si>
    <t>No gas appliances assumed for Class 5 office; consistent with NCC Spec 35 (no gas equipment profile modelled for offices)</t>
  </si>
  <si>
    <t>NCC S34C2(6)</t>
  </si>
  <si>
    <t>0.7 ACH assumed as design infiltration for periods without mechanical outdoor air supply; NCC also specifies 0.35 ACH when mechanical OA is operating (to be applied via infiltration schedule once developed)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</si>
</sst>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quotePrefix="1"/>
    <xf numFmtId="2" fontId="3" fillId="0" borderId="0" xfId="0" applyNumberFormat="1" applyFont="1" applyAlignment="1">
      <alignment horizontal="center" wrapText="1"/>
    </xf>
    <xf numFmtId="1" fontId="0" fillId="0" borderId="0" xfId="0" applyNumberFormat="1"/>
    <xf numFmtId="0" fontId="0" fillId="2" borderId="0" xfId="0" applyFill="1"/>
    <xf numFmtId="0" fontId="7" fillId="0" borderId="0" xfId="0" applyFont="1"/>
    <xf numFmtId="0" fontId="8" fillId="0" borderId="0" xfId="1"/>
    <xf numFmtId="0" fontId="8" fillId="0" borderId="0" xfId="1" applyAlignment="1">
      <alignment vertical="top"/>
    </xf>
    <xf numFmtId="0" fontId="6" fillId="2" borderId="0" xfId="1" applyFont="1" applyFill="1" applyAlignment="1">
      <alignment wrapText="1"/>
    </xf>
    <xf numFmtId="0" fontId="6" fillId="2" borderId="4" xfId="1" applyFont="1" applyFill="1" applyBorder="1" applyAlignment="1">
      <alignment vertical="top"/>
    </xf>
    <xf numFmtId="0" fontId="6" fillId="2" borderId="0" xfId="1" applyFont="1" applyFill="1"/>
    <xf numFmtId="0" fontId="8" fillId="3" borderId="0" xfId="1" applyFill="1"/>
    <xf numFmtId="16" fontId="8" fillId="3" borderId="0" xfId="1" applyNumberFormat="1" applyFill="1"/>
    <xf numFmtId="0" fontId="8" fillId="2" borderId="0" xfId="1" applyFill="1"/>
    <xf numFmtId="16" fontId="8" fillId="2" borderId="0" xfId="1" applyNumberFormat="1" applyFill="1"/>
    <xf numFmtId="0" fontId="8" fillId="4" borderId="0" xfId="1" applyFill="1"/>
    <xf numFmtId="16" fontId="8" fillId="4" borderId="0" xfId="1" applyNumberFormat="1" applyFill="1"/>
    <xf numFmtId="0" fontId="8" fillId="3" borderId="0" xfId="1" applyFill="1" applyAlignment="1">
      <alignment vertical="top"/>
    </xf>
    <xf numFmtId="9" fontId="8" fillId="3" borderId="0" xfId="1" applyNumberFormat="1" applyFill="1" applyAlignment="1">
      <alignment vertical="top"/>
    </xf>
    <xf numFmtId="164" fontId="8" fillId="2" borderId="0" xfId="1" applyNumberFormat="1" applyFill="1"/>
    <xf numFmtId="164" fontId="8" fillId="3" borderId="0" xfId="1" applyNumberFormat="1" applyFill="1"/>
    <xf numFmtId="0" fontId="7" fillId="0" borderId="0" xfId="1" applyFont="1"/>
    <xf numFmtId="0" fontId="8" fillId="5" borderId="0" xfId="1" applyFill="1"/>
    <xf numFmtId="16" fontId="8" fillId="5" borderId="0" xfId="1" applyNumberFormat="1" applyFill="1"/>
    <xf numFmtId="0" fontId="8" fillId="2" borderId="0" xfId="1" applyFill="1" applyAlignment="1">
      <alignment vertical="top"/>
    </xf>
    <xf numFmtId="9" fontId="8" fillId="2" borderId="0" xfId="1" applyNumberFormat="1" applyFill="1" applyAlignment="1">
      <alignment vertical="top"/>
    </xf>
    <xf numFmtId="0" fontId="8" fillId="6" borderId="0" xfId="1" applyFill="1"/>
    <xf numFmtId="16" fontId="8" fillId="6" borderId="0" xfId="1" applyNumberFormat="1" applyFill="1"/>
    <xf numFmtId="9" fontId="8" fillId="6" borderId="0" xfId="1" applyNumberFormat="1" applyFill="1" applyAlignment="1">
      <alignment vertical="top"/>
    </xf>
    <xf numFmtId="1" fontId="8" fillId="2" borderId="0" xfId="1" applyNumberFormat="1" applyFill="1" applyAlignment="1">
      <alignment vertical="top"/>
    </xf>
    <xf numFmtId="1" fontId="8" fillId="3" borderId="0" xfId="1" applyNumberFormat="1" applyFill="1" applyAlignment="1">
      <alignment vertical="top"/>
    </xf>
    <xf numFmtId="0" fontId="7" fillId="3" borderId="0" xfId="1" applyFont="1" applyFill="1" applyAlignment="1">
      <alignment horizontal="right"/>
    </xf>
    <xf numFmtId="0" fontId="8" fillId="7" borderId="0" xfId="1" applyFill="1"/>
    <xf numFmtId="16" fontId="8" fillId="7" borderId="0" xfId="1" applyNumberFormat="1" applyFill="1"/>
    <xf numFmtId="4" fontId="8" fillId="3" borderId="0" xfId="1" applyNumberFormat="1" applyFill="1" applyAlignment="1">
      <alignment vertical="top"/>
    </xf>
    <xf numFmtId="164" fontId="0" fillId="0" borderId="0" xfId="0" applyNumberFormat="1"/>
    <xf numFmtId="0" fontId="9" fillId="0" borderId="0" xfId="0" quotePrefix="1" applyFont="1"/>
    <xf numFmtId="0" fontId="9" fillId="0" borderId="0" xfId="0" applyFont="1" applyAlignment="1">
      <alignment wrapText="1"/>
    </xf>
    <xf numFmtId="2" fontId="10" fillId="0" borderId="0" xfId="0" applyNumberFormat="1" applyFont="1" applyAlignment="1">
      <alignment horizontal="center" wrapText="1"/>
    </xf>
    <xf numFmtId="0" fontId="9" fillId="0" borderId="0" xfId="0" quotePrefix="1" applyFont="1" applyAlignment="1">
      <alignment horizontal="fill"/>
    </xf>
    <xf numFmtId="0" fontId="9" fillId="0" borderId="0" xfId="0" applyFont="1" applyAlignment="1">
      <alignment horizontal="fill"/>
    </xf>
    <xf numFmtId="0" fontId="9" fillId="0" borderId="0" xfId="0" quotePrefix="1" applyFont="1" applyAlignment="1">
      <alignment horizontal="fill" wrapText="1"/>
    </xf>
    <xf numFmtId="0" fontId="0" fillId="0" borderId="0" xfId="0" quotePrefix="1" applyAlignment="1">
      <alignment wrapText="1"/>
    </xf>
    <xf numFmtId="1" fontId="0" fillId="0" borderId="0" xfId="0" quotePrefix="1" applyNumberFormat="1"/>
    <xf numFmtId="164" fontId="0" fillId="0" borderId="0" xfId="0" quotePrefix="1" applyNumberFormat="1"/>
    <xf numFmtId="2" fontId="0" fillId="0" borderId="0" xfId="0" quotePrefix="1" applyNumberFormat="1"/>
    <xf numFmtId="0" fontId="7" fillId="0" borderId="0" xfId="0" quotePrefix="1" applyFont="1"/>
    <xf numFmtId="0" fontId="0" fillId="8" borderId="0" xfId="0" applyFill="1"/>
    <xf numFmtId="0" fontId="0" fillId="8" borderId="0" xfId="0" quotePrefix="1" applyFill="1"/>
    <xf numFmtId="0" fontId="9" fillId="8" borderId="0" xfId="0" quotePrefix="1" applyFont="1" applyFill="1" applyAlignment="1">
      <alignment horizontal="fill"/>
    </xf>
    <xf numFmtId="0" fontId="0" fillId="8" borderId="0" xfId="0" applyFill="1" applyAlignment="1">
      <alignment wrapText="1"/>
    </xf>
    <xf numFmtId="1" fontId="0" fillId="8" borderId="0" xfId="0" quotePrefix="1" applyNumberFormat="1" applyFill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1" fontId="9" fillId="0" borderId="0" xfId="0" applyNumberFormat="1" applyFont="1" applyAlignment="1">
      <alignment horizontal="fill"/>
    </xf>
    <xf numFmtId="0" fontId="9" fillId="8" borderId="0" xfId="0" quotePrefix="1" applyFont="1" applyFill="1"/>
    <xf numFmtId="0" fontId="0" fillId="0" borderId="0" xfId="0" applyFill="1"/>
    <xf numFmtId="0" fontId="0" fillId="0" borderId="0" xfId="0" quotePrefix="1" applyFill="1"/>
    <xf numFmtId="0" fontId="9" fillId="0" borderId="0" xfId="0" quotePrefix="1" applyFont="1" applyFill="1" applyAlignment="1">
      <alignment horizontal="fill"/>
    </xf>
    <xf numFmtId="0" fontId="9" fillId="8" borderId="0" xfId="0" applyFont="1" applyFill="1" applyAlignment="1">
      <alignment wrapText="1"/>
    </xf>
    <xf numFmtId="0" fontId="9" fillId="8" borderId="0" xfId="0" applyFont="1" applyFill="1" applyAlignment="1">
      <alignment horizontal="fill"/>
    </xf>
    <xf numFmtId="0" fontId="0" fillId="0" borderId="0" xfId="0" applyFill="1" applyAlignment="1">
      <alignment wrapText="1"/>
    </xf>
    <xf numFmtId="1" fontId="0" fillId="0" borderId="0" xfId="0" applyNumberFormat="1" applyFill="1"/>
    <xf numFmtId="1" fontId="0" fillId="0" borderId="0" xfId="0" quotePrefix="1" applyNumberFormat="1" applyFill="1"/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horizontal="fill"/>
    </xf>
    <xf numFmtId="0" fontId="0" fillId="8" borderId="0" xfId="0" applyFill="1" applyAlignment="1">
      <alignment horizontal="right"/>
    </xf>
    <xf numFmtId="0" fontId="0" fillId="8" borderId="0" xfId="0" quotePrefix="1" applyFill="1" applyAlignment="1">
      <alignment horizontal="right"/>
    </xf>
    <xf numFmtId="0" fontId="2" fillId="8" borderId="3" xfId="0" applyFont="1" applyFill="1" applyBorder="1"/>
    <xf numFmtId="0" fontId="9" fillId="8" borderId="0" xfId="0" quotePrefix="1" applyFont="1" applyFill="1" applyAlignment="1">
      <alignment horizontal="fill" wrapText="1"/>
    </xf>
  </cellXfs>
  <cellStyles count="2">
    <cellStyle name="Normal" xfId="0" builtinId="0"/>
    <cellStyle name="Normal 2" xfId="1" xr:uid="{00C218D4-C1F1-452A-871D-1CF5D2831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3fc7d71069a90c7/Documents/Copy%20of%20appendix_b_modeling_data_(rev_9)_deleteme.xlsx" TargetMode="External"/><Relationship Id="rId1" Type="http://schemas.openxmlformats.org/officeDocument/2006/relationships/externalLinkPath" Target="https://d.docs.live.net/33fc7d71069a90c7/Documents/Copy%20of%20appendix_b_modeling_data_(rev_9)_delete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ing Data (Rev 6)"/>
      <sheetName val="Modeling Data"/>
      <sheetName val="bEQ Data"/>
      <sheetName val="Notes"/>
      <sheetName val="Mapping"/>
      <sheetName val="90.1-2016 PRM"/>
      <sheetName val="90.1-2010"/>
      <sheetName val="90.1-2007"/>
      <sheetName val="90.1-2001"/>
      <sheetName val="SSPC-90.1"/>
      <sheetName val="CBECS-2003"/>
      <sheetName val="CEUS"/>
      <sheetName val="ECB-CS"/>
      <sheetName val="ACM05"/>
      <sheetName val="NREL41956 (not used)"/>
      <sheetName val="Process and Plug (not used)"/>
      <sheetName val="bEQ"/>
      <sheetName val="Pivots"/>
      <sheetName val="Other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Vacant PBA</v>
          </cell>
          <cell r="B3" t="str">
            <v>PBA</v>
          </cell>
          <cell r="C3">
            <v>1</v>
          </cell>
          <cell r="D3">
            <v>0</v>
          </cell>
          <cell r="E3" t="str">
            <v>Vacant</v>
          </cell>
          <cell r="F3" t="str">
            <v>PBA</v>
          </cell>
          <cell r="G3">
            <v>134</v>
          </cell>
          <cell r="H3">
            <v>0.60588222629650412</v>
          </cell>
          <cell r="I3">
            <v>0.20634187768330298</v>
          </cell>
          <cell r="J3">
            <v>0.54832713754646845</v>
          </cell>
          <cell r="K3">
            <v>1.7787271375464684</v>
          </cell>
          <cell r="L3" t="str">
            <v>n.a.</v>
          </cell>
          <cell r="M3">
            <v>0.57608059373290121</v>
          </cell>
          <cell r="N3">
            <v>2</v>
          </cell>
          <cell r="O3">
            <v>0.54832713754646845</v>
          </cell>
          <cell r="P3">
            <v>1</v>
          </cell>
          <cell r="Q3" t="str">
            <v xml:space="preserve">Vacant </v>
          </cell>
          <cell r="R3">
            <v>0</v>
          </cell>
          <cell r="S3">
            <v>1.5850372483753368</v>
          </cell>
          <cell r="T3">
            <v>0.88057624909740939</v>
          </cell>
          <cell r="U3">
            <v>0</v>
          </cell>
        </row>
        <row r="4">
          <cell r="A4" t="str">
            <v>Office PBA</v>
          </cell>
          <cell r="B4" t="str">
            <v>PBA</v>
          </cell>
          <cell r="C4">
            <v>2</v>
          </cell>
          <cell r="D4">
            <v>0</v>
          </cell>
          <cell r="E4" t="str">
            <v>Office</v>
          </cell>
          <cell r="F4" t="str">
            <v>PBA</v>
          </cell>
          <cell r="G4">
            <v>976</v>
          </cell>
          <cell r="H4">
            <v>1.7715038921496951</v>
          </cell>
          <cell r="I4">
            <v>0.91969968651888556</v>
          </cell>
          <cell r="J4">
            <v>0.77137546468401497</v>
          </cell>
          <cell r="K4">
            <v>13.3373397503983</v>
          </cell>
          <cell r="L4" t="str">
            <v>n.a.</v>
          </cell>
          <cell r="M4">
            <v>1.672119383011335</v>
          </cell>
          <cell r="N4">
            <v>2</v>
          </cell>
          <cell r="O4">
            <v>0.77137546468401497</v>
          </cell>
          <cell r="P4">
            <v>1</v>
          </cell>
          <cell r="Q4" t="str">
            <v>Office/Professional &gt; 30,000 ft²</v>
          </cell>
          <cell r="R4">
            <v>1.0038569239710466</v>
          </cell>
          <cell r="S4">
            <v>1.5850372483753368</v>
          </cell>
          <cell r="T4">
            <v>0.88057624909740939</v>
          </cell>
          <cell r="U4">
            <v>45.348590803136254</v>
          </cell>
        </row>
        <row r="5">
          <cell r="A5" t="str">
            <v>Laboratory PBA</v>
          </cell>
          <cell r="B5" t="str">
            <v>PBA</v>
          </cell>
          <cell r="C5">
            <v>4</v>
          </cell>
          <cell r="D5">
            <v>0</v>
          </cell>
          <cell r="E5" t="str">
            <v>Laboratory</v>
          </cell>
          <cell r="F5" t="str">
            <v>PBA</v>
          </cell>
          <cell r="G5">
            <v>43</v>
          </cell>
          <cell r="H5">
            <v>3.5034549803284576</v>
          </cell>
          <cell r="I5">
            <v>0.55501766112005457</v>
          </cell>
          <cell r="J5">
            <v>2.8907072638225055</v>
          </cell>
          <cell r="K5">
            <v>5.5414040892193306</v>
          </cell>
          <cell r="L5" t="str">
            <v>n.a.</v>
          </cell>
          <cell r="M5">
            <v>3.341539942209327</v>
          </cell>
          <cell r="N5">
            <v>2</v>
          </cell>
          <cell r="O5">
            <v>2.7881040892193307</v>
          </cell>
          <cell r="P5">
            <v>1</v>
          </cell>
          <cell r="Q5" t="str">
            <v xml:space="preserve">Laboratory  </v>
          </cell>
          <cell r="R5">
            <v>10.038569239710466</v>
          </cell>
          <cell r="S5">
            <v>7.9251862418766841</v>
          </cell>
          <cell r="T5">
            <v>8.805762490974093</v>
          </cell>
          <cell r="U5">
            <v>39.627039627039629</v>
          </cell>
        </row>
        <row r="6">
          <cell r="A6" t="str">
            <v>Nonrefrigerated warehouse PBA</v>
          </cell>
          <cell r="B6" t="str">
            <v>PBA</v>
          </cell>
          <cell r="C6">
            <v>5</v>
          </cell>
          <cell r="D6">
            <v>0</v>
          </cell>
          <cell r="E6" t="str">
            <v>Nonrefrigerated warehouse</v>
          </cell>
          <cell r="F6" t="str">
            <v>PBA</v>
          </cell>
          <cell r="G6">
            <v>473</v>
          </cell>
          <cell r="H6">
            <v>0.36325609105300788</v>
          </cell>
          <cell r="I6">
            <v>0.28900827771761228</v>
          </cell>
          <cell r="J6">
            <v>0.18587360594795541</v>
          </cell>
          <cell r="K6">
            <v>2.9225402726146221</v>
          </cell>
          <cell r="L6" t="str">
            <v>n.a.</v>
          </cell>
          <cell r="M6">
            <v>0.31394912262618863</v>
          </cell>
          <cell r="N6">
            <v>2</v>
          </cell>
          <cell r="O6">
            <v>0.18587360594795541</v>
          </cell>
          <cell r="P6">
            <v>1</v>
          </cell>
          <cell r="Q6" t="str">
            <v xml:space="preserve">Nonrefrigerated warehouse </v>
          </cell>
          <cell r="R6">
            <v>0.6075976118772124</v>
          </cell>
          <cell r="S6">
            <v>1.5850372483753368</v>
          </cell>
          <cell r="T6">
            <v>0.88057624909740939</v>
          </cell>
          <cell r="U6">
            <v>10.595465140919687</v>
          </cell>
        </row>
        <row r="7">
          <cell r="A7" t="str">
            <v>Food sales PBA</v>
          </cell>
          <cell r="B7" t="str">
            <v>PBA</v>
          </cell>
          <cell r="C7">
            <v>6</v>
          </cell>
          <cell r="D7">
            <v>0</v>
          </cell>
          <cell r="E7" t="str">
            <v>Food sales</v>
          </cell>
          <cell r="F7" t="str">
            <v>PBA</v>
          </cell>
          <cell r="G7">
            <v>125</v>
          </cell>
          <cell r="H7">
            <v>0.90155746956291793</v>
          </cell>
          <cell r="I7">
            <v>0.55335651585845613</v>
          </cell>
          <cell r="J7">
            <v>0.47397769516728622</v>
          </cell>
          <cell r="K7">
            <v>3.6232800207486813</v>
          </cell>
          <cell r="L7" t="str">
            <v>n.a.</v>
          </cell>
          <cell r="M7">
            <v>0.82430188597897602</v>
          </cell>
          <cell r="N7">
            <v>2</v>
          </cell>
          <cell r="O7">
            <v>0.47397769516728622</v>
          </cell>
          <cell r="P7">
            <v>1</v>
          </cell>
          <cell r="Q7" t="str">
            <v xml:space="preserve">Food sales </v>
          </cell>
          <cell r="R7">
            <v>5.0192846198552328</v>
          </cell>
          <cell r="S7">
            <v>7.9251862418766841</v>
          </cell>
          <cell r="T7">
            <v>4.4028812454870465</v>
          </cell>
          <cell r="U7">
            <v>39.627039627039629</v>
          </cell>
        </row>
        <row r="8">
          <cell r="A8" t="str">
            <v>Public order and safety PBA</v>
          </cell>
          <cell r="B8" t="str">
            <v>PBA</v>
          </cell>
          <cell r="C8">
            <v>7</v>
          </cell>
          <cell r="D8">
            <v>0</v>
          </cell>
          <cell r="E8" t="str">
            <v>Public order and safety</v>
          </cell>
          <cell r="F8" t="str">
            <v>PBA</v>
          </cell>
          <cell r="G8">
            <v>85</v>
          </cell>
          <cell r="H8">
            <v>1.5975667503378679</v>
          </cell>
          <cell r="I8">
            <v>0.41434749246117158</v>
          </cell>
          <cell r="J8">
            <v>1.1152416356877324</v>
          </cell>
          <cell r="K8">
            <v>3.1930465137365127</v>
          </cell>
          <cell r="L8" t="str">
            <v>n.a.</v>
          </cell>
          <cell r="M8">
            <v>1.5094154394574639</v>
          </cell>
          <cell r="N8">
            <v>2</v>
          </cell>
          <cell r="O8">
            <v>1.1152416356877324</v>
          </cell>
          <cell r="P8">
            <v>1</v>
          </cell>
          <cell r="Q8" t="str">
            <v xml:space="preserve">Public order and safety </v>
          </cell>
          <cell r="R8">
            <v>1.0038569239710466</v>
          </cell>
          <cell r="S8">
            <v>1.5850372483753368</v>
          </cell>
          <cell r="T8">
            <v>0.88057624909740939</v>
          </cell>
          <cell r="U8">
            <v>39.627039627039629</v>
          </cell>
        </row>
        <row r="9">
          <cell r="A9" t="str">
            <v>Outpatient health care PBA</v>
          </cell>
          <cell r="B9" t="str">
            <v>PBA</v>
          </cell>
          <cell r="C9">
            <v>8</v>
          </cell>
          <cell r="D9">
            <v>0</v>
          </cell>
          <cell r="E9" t="str">
            <v>Outpatient health care</v>
          </cell>
          <cell r="F9" t="str">
            <v>PBA</v>
          </cell>
          <cell r="G9">
            <v>144</v>
          </cell>
          <cell r="H9">
            <v>1.3115295821482509</v>
          </cell>
          <cell r="I9">
            <v>0.49892959484504218</v>
          </cell>
          <cell r="J9">
            <v>0.56949285183218268</v>
          </cell>
          <cell r="K9">
            <v>3.6765880071116857</v>
          </cell>
          <cell r="L9" t="str">
            <v>n.a.</v>
          </cell>
          <cell r="M9">
            <v>1.2201659385238521</v>
          </cell>
          <cell r="N9">
            <v>2</v>
          </cell>
          <cell r="O9">
            <v>0.54832713754646845</v>
          </cell>
          <cell r="P9">
            <v>1</v>
          </cell>
          <cell r="Q9" t="str">
            <v xml:space="preserve">Outpatient health care  </v>
          </cell>
          <cell r="R9">
            <v>3.0115707719131399</v>
          </cell>
          <cell r="S9">
            <v>4.7551117451260101</v>
          </cell>
          <cell r="T9">
            <v>2.6417287472922282</v>
          </cell>
          <cell r="U9">
            <v>39.627039627039629</v>
          </cell>
        </row>
        <row r="10">
          <cell r="A10" t="str">
            <v>Refrigerated warehouse PBA</v>
          </cell>
          <cell r="B10" t="str">
            <v>PBA</v>
          </cell>
          <cell r="C10">
            <v>11</v>
          </cell>
          <cell r="D10">
            <v>0</v>
          </cell>
          <cell r="E10" t="str">
            <v>Refrigerated warehouse</v>
          </cell>
          <cell r="F10" t="str">
            <v>PBA</v>
          </cell>
          <cell r="G10">
            <v>20</v>
          </cell>
          <cell r="H10">
            <v>0.18669134486278502</v>
          </cell>
          <cell r="I10">
            <v>8.1783154344236011E-2</v>
          </cell>
          <cell r="J10">
            <v>9.2936802973977703E-2</v>
          </cell>
          <cell r="K10">
            <v>0.32878974415044832</v>
          </cell>
          <cell r="L10" t="str">
            <v>n.a.</v>
          </cell>
          <cell r="M10">
            <v>0.17038583070692084</v>
          </cell>
          <cell r="N10">
            <v>2</v>
          </cell>
          <cell r="O10">
            <v>9.2936802973977703E-2</v>
          </cell>
          <cell r="P10">
            <v>1</v>
          </cell>
          <cell r="Q10" t="str">
            <v xml:space="preserve">Refrigerated warehouse </v>
          </cell>
          <cell r="R10">
            <v>0.6075976118772124</v>
          </cell>
          <cell r="S10">
            <v>1.3208643736461141</v>
          </cell>
          <cell r="T10">
            <v>0.88057624909740939</v>
          </cell>
          <cell r="U10">
            <v>4.2381860563678746</v>
          </cell>
        </row>
        <row r="11">
          <cell r="A11" t="str">
            <v>Religious worship PBA</v>
          </cell>
          <cell r="B11" t="str">
            <v>PBA</v>
          </cell>
          <cell r="C11">
            <v>12</v>
          </cell>
          <cell r="D11">
            <v>0</v>
          </cell>
          <cell r="E11" t="str">
            <v>Religious worship</v>
          </cell>
          <cell r="F11" t="str">
            <v>PBA</v>
          </cell>
          <cell r="G11">
            <v>311</v>
          </cell>
          <cell r="H11">
            <v>0.3137573468588149</v>
          </cell>
          <cell r="I11">
            <v>8.493384339510876E-2</v>
          </cell>
          <cell r="J11">
            <v>0.2193308550185874</v>
          </cell>
          <cell r="K11">
            <v>0.73113085501858743</v>
          </cell>
          <cell r="L11" t="str">
            <v>n.a.</v>
          </cell>
          <cell r="M11">
            <v>0.29844543263937018</v>
          </cell>
          <cell r="N11">
            <v>2</v>
          </cell>
          <cell r="O11">
            <v>0.54832713754646845</v>
          </cell>
          <cell r="P11">
            <v>0.4</v>
          </cell>
          <cell r="Q11" t="str">
            <v xml:space="preserve">Religious worship </v>
          </cell>
          <cell r="R11">
            <v>0.2641728747292228</v>
          </cell>
          <cell r="S11">
            <v>0.52834574945844559</v>
          </cell>
          <cell r="T11">
            <v>0.4402881245487047</v>
          </cell>
          <cell r="U11">
            <v>39.627039627039629</v>
          </cell>
        </row>
        <row r="12">
          <cell r="A12" t="str">
            <v>Public assembly PBA</v>
          </cell>
          <cell r="B12" t="str">
            <v>PBA</v>
          </cell>
          <cell r="C12">
            <v>13</v>
          </cell>
          <cell r="D12">
            <v>0</v>
          </cell>
          <cell r="E12" t="str">
            <v>Public assembly</v>
          </cell>
          <cell r="F12" t="str">
            <v>PBA</v>
          </cell>
          <cell r="G12">
            <v>279</v>
          </cell>
          <cell r="H12">
            <v>0.84604327598574358</v>
          </cell>
          <cell r="I12">
            <v>0.45380711580180766</v>
          </cell>
          <cell r="J12">
            <v>0.54832713754646845</v>
          </cell>
          <cell r="K12">
            <v>5.6038826931020242</v>
          </cell>
          <cell r="L12" t="str">
            <v>n.a.</v>
          </cell>
          <cell r="M12">
            <v>0.74760799257268662</v>
          </cell>
          <cell r="N12">
            <v>2</v>
          </cell>
          <cell r="O12">
            <v>0.54832713754646845</v>
          </cell>
          <cell r="P12">
            <v>1</v>
          </cell>
          <cell r="Q12" t="str">
            <v xml:space="preserve">Public assembly </v>
          </cell>
          <cell r="R12">
            <v>0.2641728747292228</v>
          </cell>
          <cell r="S12">
            <v>0.52834574945844559</v>
          </cell>
          <cell r="T12">
            <v>0.4402881245487047</v>
          </cell>
          <cell r="U12">
            <v>39.627039627039629</v>
          </cell>
        </row>
        <row r="13">
          <cell r="A13" t="str">
            <v>Education PBA</v>
          </cell>
          <cell r="B13" t="str">
            <v>PBA</v>
          </cell>
          <cell r="C13">
            <v>14</v>
          </cell>
          <cell r="D13">
            <v>0</v>
          </cell>
          <cell r="E13" t="str">
            <v>Education</v>
          </cell>
          <cell r="F13" t="str">
            <v>PBA</v>
          </cell>
          <cell r="G13">
            <v>649</v>
          </cell>
          <cell r="H13">
            <v>0.72498744324860231</v>
          </cell>
          <cell r="I13">
            <v>0.74687325029305851</v>
          </cell>
          <cell r="J13">
            <v>0.14869888475836432</v>
          </cell>
          <cell r="K13">
            <v>14.41467291073239</v>
          </cell>
          <cell r="L13" t="str">
            <v>n.a.</v>
          </cell>
          <cell r="M13">
            <v>0.68748419285970452</v>
          </cell>
          <cell r="N13">
            <v>2</v>
          </cell>
          <cell r="O13">
            <v>0.14869888475836432</v>
          </cell>
          <cell r="P13">
            <v>1</v>
          </cell>
          <cell r="Q13" t="str">
            <v>Education college</v>
          </cell>
          <cell r="R13">
            <v>0.6075976118772124</v>
          </cell>
          <cell r="S13">
            <v>1.5850372483753368</v>
          </cell>
          <cell r="T13">
            <v>0.88057624909740939</v>
          </cell>
          <cell r="U13">
            <v>13.350286077558804</v>
          </cell>
        </row>
        <row r="14">
          <cell r="A14" t="str">
            <v>Food service PBA</v>
          </cell>
          <cell r="B14" t="str">
            <v>PBA</v>
          </cell>
          <cell r="C14">
            <v>15</v>
          </cell>
          <cell r="D14">
            <v>0</v>
          </cell>
          <cell r="E14" t="str">
            <v>Food service</v>
          </cell>
          <cell r="F14" t="str">
            <v>PBA</v>
          </cell>
          <cell r="G14">
            <v>242</v>
          </cell>
          <cell r="H14">
            <v>1.393661024751994</v>
          </cell>
          <cell r="I14">
            <v>0.55740113803512348</v>
          </cell>
          <cell r="J14">
            <v>0.93704802973977697</v>
          </cell>
          <cell r="K14">
            <v>4.8348225751943223</v>
          </cell>
          <cell r="L14" t="str">
            <v>n.a.</v>
          </cell>
          <cell r="M14">
            <v>1.29026171387674</v>
          </cell>
          <cell r="N14">
            <v>2</v>
          </cell>
          <cell r="O14">
            <v>0.92936802973977695</v>
          </cell>
          <cell r="P14">
            <v>1</v>
          </cell>
          <cell r="Q14" t="str">
            <v xml:space="preserve">Food service </v>
          </cell>
          <cell r="R14">
            <v>10.038569239710466</v>
          </cell>
          <cell r="S14">
            <v>15.850372483753368</v>
          </cell>
          <cell r="T14">
            <v>8.805762490974093</v>
          </cell>
          <cell r="U14">
            <v>39.627039627039629</v>
          </cell>
        </row>
        <row r="15">
          <cell r="A15" t="str">
            <v>Inpatient health care PBA</v>
          </cell>
          <cell r="B15" t="str">
            <v>PBA</v>
          </cell>
          <cell r="C15">
            <v>16</v>
          </cell>
          <cell r="D15">
            <v>0</v>
          </cell>
          <cell r="E15" t="str">
            <v>Inpatient health care</v>
          </cell>
          <cell r="F15" t="str">
            <v>PBA</v>
          </cell>
          <cell r="G15">
            <v>217</v>
          </cell>
          <cell r="H15">
            <v>1.3056883219055315</v>
          </cell>
          <cell r="I15">
            <v>0.41514764030463153</v>
          </cell>
          <cell r="J15">
            <v>0.82811345105328371</v>
          </cell>
          <cell r="K15">
            <v>4.3918665248171358</v>
          </cell>
          <cell r="L15" t="str">
            <v>n.a.</v>
          </cell>
          <cell r="M15">
            <v>1.2488271893219809</v>
          </cell>
          <cell r="N15">
            <v>2</v>
          </cell>
          <cell r="O15">
            <v>0.762081784386617</v>
          </cell>
          <cell r="P15">
            <v>1</v>
          </cell>
          <cell r="Q15" t="str">
            <v xml:space="preserve">Inpatient health care </v>
          </cell>
          <cell r="R15">
            <v>3.0115707719131399</v>
          </cell>
          <cell r="S15">
            <v>4.7551117451260101</v>
          </cell>
          <cell r="T15">
            <v>2.6417287472922282</v>
          </cell>
          <cell r="U15">
            <v>39.627039627039629</v>
          </cell>
        </row>
        <row r="16">
          <cell r="A16" t="str">
            <v>Nursing PBA</v>
          </cell>
          <cell r="B16" t="str">
            <v>PBA</v>
          </cell>
          <cell r="C16">
            <v>17</v>
          </cell>
          <cell r="D16">
            <v>0</v>
          </cell>
          <cell r="E16" t="str">
            <v>Nursing</v>
          </cell>
          <cell r="F16" t="str">
            <v>PBA</v>
          </cell>
          <cell r="G16">
            <v>73</v>
          </cell>
          <cell r="H16">
            <v>1.5077787668998561</v>
          </cell>
          <cell r="I16">
            <v>0.41007573905509298</v>
          </cell>
          <cell r="J16">
            <v>1.1353650399430515</v>
          </cell>
          <cell r="K16">
            <v>3.3111534003936147</v>
          </cell>
          <cell r="L16" t="str">
            <v>n.a.</v>
          </cell>
          <cell r="M16">
            <v>1.4046493036603716</v>
          </cell>
          <cell r="N16">
            <v>2</v>
          </cell>
          <cell r="O16">
            <v>1.1152416356877324</v>
          </cell>
          <cell r="P16">
            <v>1</v>
          </cell>
          <cell r="Q16" t="str">
            <v xml:space="preserve">Skilled nursing  </v>
          </cell>
          <cell r="R16">
            <v>3.0115707719131399</v>
          </cell>
          <cell r="S16">
            <v>4.7551117451260101</v>
          </cell>
          <cell r="T16">
            <v>2.6417287472922282</v>
          </cell>
          <cell r="U16">
            <v>39.627039627039629</v>
          </cell>
        </row>
        <row r="17">
          <cell r="A17" t="str">
            <v>Lodging PBA</v>
          </cell>
          <cell r="B17" t="str">
            <v>PBA</v>
          </cell>
          <cell r="C17">
            <v>18</v>
          </cell>
          <cell r="D17">
            <v>0</v>
          </cell>
          <cell r="E17" t="str">
            <v>Lodging</v>
          </cell>
          <cell r="F17" t="str">
            <v>PBA</v>
          </cell>
          <cell r="G17">
            <v>260</v>
          </cell>
          <cell r="H17">
            <v>1.7668571057266536</v>
          </cell>
          <cell r="I17">
            <v>0.96622284333745989</v>
          </cell>
          <cell r="J17">
            <v>1.1152416356877324</v>
          </cell>
          <cell r="K17">
            <v>8.4774638579099548</v>
          </cell>
          <cell r="L17" t="str">
            <v>n.a.</v>
          </cell>
          <cell r="M17">
            <v>1.5924739136413366</v>
          </cell>
          <cell r="N17">
            <v>2</v>
          </cell>
          <cell r="O17">
            <v>0.29739776951672864</v>
          </cell>
          <cell r="P17">
            <v>1</v>
          </cell>
          <cell r="Q17" t="str">
            <v>Lodging 20-100 rooms</v>
          </cell>
          <cell r="R17">
            <v>14.027579648121732</v>
          </cell>
          <cell r="S17">
            <v>13.20864373646114</v>
          </cell>
          <cell r="T17">
            <v>13.208643736461141</v>
          </cell>
          <cell r="U17">
            <v>39.627039627039629</v>
          </cell>
        </row>
        <row r="18">
          <cell r="A18" t="str">
            <v>Strip shopping mall PBA</v>
          </cell>
          <cell r="B18" t="str">
            <v>PBA</v>
          </cell>
          <cell r="C18">
            <v>23</v>
          </cell>
          <cell r="D18">
            <v>0</v>
          </cell>
          <cell r="E18" t="str">
            <v>Strip shopping mall</v>
          </cell>
          <cell r="F18" t="str">
            <v>PBA</v>
          </cell>
          <cell r="G18">
            <v>349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n.a.</v>
          </cell>
          <cell r="M18">
            <v>0</v>
          </cell>
          <cell r="N18">
            <v>2</v>
          </cell>
          <cell r="O18">
            <v>0.54832713754646845</v>
          </cell>
          <cell r="P18">
            <v>1</v>
          </cell>
          <cell r="Q18" t="str">
            <v xml:space="preserve">Retail </v>
          </cell>
          <cell r="R18">
            <v>0.6075976118772124</v>
          </cell>
          <cell r="S18">
            <v>1.0566914989168912</v>
          </cell>
          <cell r="T18">
            <v>0.88057624909740939</v>
          </cell>
          <cell r="U18">
            <v>39.627039627039629</v>
          </cell>
        </row>
        <row r="19">
          <cell r="A19" t="str">
            <v>Enclosed mall PBA</v>
          </cell>
          <cell r="B19" t="str">
            <v>PBA</v>
          </cell>
          <cell r="C19">
            <v>24</v>
          </cell>
          <cell r="D19">
            <v>0</v>
          </cell>
          <cell r="E19" t="str">
            <v>Enclosed mall</v>
          </cell>
          <cell r="F19" t="str">
            <v>PBA</v>
          </cell>
          <cell r="G19">
            <v>46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n.a.</v>
          </cell>
          <cell r="M19">
            <v>0</v>
          </cell>
          <cell r="N19">
            <v>2</v>
          </cell>
          <cell r="O19">
            <v>0.54832713754646845</v>
          </cell>
          <cell r="P19">
            <v>1</v>
          </cell>
          <cell r="Q19" t="str">
            <v xml:space="preserve">Retail </v>
          </cell>
          <cell r="R19">
            <v>0.6075976118772124</v>
          </cell>
          <cell r="S19">
            <v>1.0566914989168912</v>
          </cell>
          <cell r="T19">
            <v>0.88057624909740939</v>
          </cell>
          <cell r="U19">
            <v>39.627039627039629</v>
          </cell>
        </row>
        <row r="20">
          <cell r="A20" t="str">
            <v>Retail (except Malls) PBA</v>
          </cell>
          <cell r="B20" t="str">
            <v>PBA</v>
          </cell>
          <cell r="C20">
            <v>25</v>
          </cell>
          <cell r="D20">
            <v>0</v>
          </cell>
          <cell r="E20" t="str">
            <v>Retail (except Malls)</v>
          </cell>
          <cell r="F20" t="str">
            <v>PBA</v>
          </cell>
          <cell r="G20">
            <v>355</v>
          </cell>
          <cell r="H20">
            <v>0.76352506576359147</v>
          </cell>
          <cell r="I20">
            <v>0.5498062699887285</v>
          </cell>
          <cell r="J20">
            <v>0.34386617100371747</v>
          </cell>
          <cell r="K20">
            <v>3.9328661710037176</v>
          </cell>
          <cell r="L20" t="str">
            <v>n.a.</v>
          </cell>
          <cell r="M20">
            <v>0.70234930798269923</v>
          </cell>
          <cell r="N20">
            <v>2</v>
          </cell>
          <cell r="O20">
            <v>0.34386617100371747</v>
          </cell>
          <cell r="P20">
            <v>1</v>
          </cell>
          <cell r="Q20" t="str">
            <v xml:space="preserve">Retail </v>
          </cell>
          <cell r="R20">
            <v>0.6075976118772124</v>
          </cell>
          <cell r="S20">
            <v>1.0566914989168912</v>
          </cell>
          <cell r="T20">
            <v>0.88057624909740939</v>
          </cell>
          <cell r="U20">
            <v>39.627039627039629</v>
          </cell>
        </row>
        <row r="21">
          <cell r="A21" t="str">
            <v>Service (except Food) PBA</v>
          </cell>
          <cell r="B21" t="str">
            <v>PBA</v>
          </cell>
          <cell r="C21">
            <v>26</v>
          </cell>
          <cell r="D21">
            <v>0</v>
          </cell>
          <cell r="E21" t="str">
            <v>Service (except Food)</v>
          </cell>
          <cell r="F21" t="str">
            <v>PBA</v>
          </cell>
          <cell r="G21">
            <v>370</v>
          </cell>
          <cell r="H21">
            <v>0.5239351315902756</v>
          </cell>
          <cell r="I21">
            <v>0.43553477154161097</v>
          </cell>
          <cell r="J21">
            <v>0.18587360594795541</v>
          </cell>
          <cell r="K21">
            <v>5.441873605947956</v>
          </cell>
          <cell r="L21" t="str">
            <v>n.a.</v>
          </cell>
          <cell r="M21">
            <v>0.49072880176333578</v>
          </cell>
          <cell r="N21">
            <v>2</v>
          </cell>
          <cell r="O21">
            <v>0.54832713754646845</v>
          </cell>
          <cell r="P21">
            <v>1</v>
          </cell>
          <cell r="Q21" t="str">
            <v xml:space="preserve">Service </v>
          </cell>
          <cell r="R21">
            <v>1.0038569239710466</v>
          </cell>
          <cell r="S21">
            <v>1.5850372483753368</v>
          </cell>
          <cell r="T21">
            <v>0.88057624909740939</v>
          </cell>
          <cell r="U21">
            <v>39.627039627039629</v>
          </cell>
        </row>
        <row r="22">
          <cell r="A22" t="str">
            <v>Other PBA</v>
          </cell>
          <cell r="B22" t="str">
            <v>PBA</v>
          </cell>
          <cell r="C22">
            <v>91</v>
          </cell>
          <cell r="D22">
            <v>0</v>
          </cell>
          <cell r="E22" t="str">
            <v>Other</v>
          </cell>
          <cell r="F22" t="str">
            <v>PBA</v>
          </cell>
          <cell r="G22">
            <v>64</v>
          </cell>
          <cell r="H22">
            <v>1.2041002906677774</v>
          </cell>
          <cell r="I22">
            <v>5.2178867915211313</v>
          </cell>
          <cell r="J22">
            <v>0.18587360594795541</v>
          </cell>
          <cell r="K22">
            <v>42.152353605947951</v>
          </cell>
          <cell r="L22" t="str">
            <v>n.a.</v>
          </cell>
          <cell r="M22">
            <v>1.2743207321638061</v>
          </cell>
          <cell r="N22">
            <v>2</v>
          </cell>
          <cell r="O22">
            <v>0.54832713754646845</v>
          </cell>
          <cell r="P22">
            <v>1</v>
          </cell>
          <cell r="Q22" t="str">
            <v xml:space="preserve">Other </v>
          </cell>
          <cell r="R22">
            <v>1.0038569239710466</v>
          </cell>
          <cell r="S22">
            <v>1.5850372483753368</v>
          </cell>
          <cell r="T22">
            <v>0.88057624909740939</v>
          </cell>
          <cell r="U22">
            <v>39.627039627039629</v>
          </cell>
        </row>
        <row r="23">
          <cell r="A23" t="str">
            <v>Vacant Vacant</v>
          </cell>
          <cell r="B23" t="str">
            <v>Plus</v>
          </cell>
          <cell r="C23">
            <v>1</v>
          </cell>
          <cell r="D23">
            <v>1</v>
          </cell>
          <cell r="E23" t="str">
            <v>Vacant</v>
          </cell>
          <cell r="F23" t="str">
            <v>Vacant</v>
          </cell>
          <cell r="G23">
            <v>134</v>
          </cell>
          <cell r="H23">
            <v>0.60588222629650412</v>
          </cell>
          <cell r="I23">
            <v>0.20634187768330298</v>
          </cell>
          <cell r="J23">
            <v>0.54832713754646845</v>
          </cell>
          <cell r="K23">
            <v>1.7787271375464684</v>
          </cell>
          <cell r="L23" t="str">
            <v>n.a.</v>
          </cell>
          <cell r="M23">
            <v>0.57608059373290121</v>
          </cell>
          <cell r="N23">
            <v>2</v>
          </cell>
          <cell r="O23">
            <v>0.54832713754646845</v>
          </cell>
          <cell r="P23">
            <v>1</v>
          </cell>
          <cell r="Q23" t="str">
            <v xml:space="preserve">Vacant </v>
          </cell>
          <cell r="R23">
            <v>0</v>
          </cell>
          <cell r="S23">
            <v>1.5850372483753368</v>
          </cell>
          <cell r="T23">
            <v>0.88057624909740939</v>
          </cell>
          <cell r="U23">
            <v>0</v>
          </cell>
        </row>
        <row r="24">
          <cell r="A24" t="str">
            <v>Office Administrative/professional office</v>
          </cell>
          <cell r="B24" t="str">
            <v>Plus</v>
          </cell>
          <cell r="C24">
            <v>2</v>
          </cell>
          <cell r="D24">
            <v>2</v>
          </cell>
          <cell r="E24" t="str">
            <v>Office</v>
          </cell>
          <cell r="F24" t="str">
            <v>Administrative/professional office</v>
          </cell>
          <cell r="G24">
            <v>520</v>
          </cell>
          <cell r="H24">
            <v>1.80364008968363</v>
          </cell>
          <cell r="I24">
            <v>1.0179813242605691</v>
          </cell>
          <cell r="J24">
            <v>0.79577546468401494</v>
          </cell>
          <cell r="K24">
            <v>13.3373397503983</v>
          </cell>
          <cell r="L24" t="str">
            <v>n.a.</v>
          </cell>
          <cell r="M24">
            <v>1.6760030436778612</v>
          </cell>
          <cell r="N24">
            <v>2</v>
          </cell>
          <cell r="O24">
            <v>0.77137546468401497</v>
          </cell>
          <cell r="P24">
            <v>1</v>
          </cell>
          <cell r="Q24" t="str">
            <v>Office/Professional &gt; 30,000 ft²</v>
          </cell>
          <cell r="R24">
            <v>1.0038569239710466</v>
          </cell>
          <cell r="S24">
            <v>1.5850372483753368</v>
          </cell>
          <cell r="T24">
            <v>0.88057624909740939</v>
          </cell>
          <cell r="U24">
            <v>45.348590803136254</v>
          </cell>
        </row>
        <row r="25">
          <cell r="A25" t="str">
            <v>Office Bank/other financial</v>
          </cell>
          <cell r="B25" t="str">
            <v>Plus</v>
          </cell>
          <cell r="C25">
            <v>2</v>
          </cell>
          <cell r="D25">
            <v>3</v>
          </cell>
          <cell r="E25" t="str">
            <v>Office</v>
          </cell>
          <cell r="F25" t="str">
            <v>Bank/other financial</v>
          </cell>
          <cell r="G25">
            <v>67</v>
          </cell>
          <cell r="H25">
            <v>1.9589832701841445</v>
          </cell>
          <cell r="I25">
            <v>0.77264785810493086</v>
          </cell>
          <cell r="J25">
            <v>0.84997546468401497</v>
          </cell>
          <cell r="K25">
            <v>4.2061254646840149</v>
          </cell>
          <cell r="L25" t="str">
            <v>n.a.</v>
          </cell>
          <cell r="M25">
            <v>1.7200786547923466</v>
          </cell>
          <cell r="N25">
            <v>2</v>
          </cell>
          <cell r="O25">
            <v>0.77137546468401497</v>
          </cell>
          <cell r="P25">
            <v>1</v>
          </cell>
          <cell r="Q25" t="str">
            <v>Office/Professional &lt; 30,000 ft²</v>
          </cell>
          <cell r="R25">
            <v>1.0038569239710466</v>
          </cell>
          <cell r="S25">
            <v>1.5850372483753368</v>
          </cell>
          <cell r="T25">
            <v>0.88057624909740939</v>
          </cell>
          <cell r="U25">
            <v>55.308328035600766</v>
          </cell>
        </row>
        <row r="26">
          <cell r="A26" t="str">
            <v>Office Government office</v>
          </cell>
          <cell r="B26" t="str">
            <v>Plus</v>
          </cell>
          <cell r="C26">
            <v>2</v>
          </cell>
          <cell r="D26">
            <v>4</v>
          </cell>
          <cell r="E26" t="str">
            <v>Office</v>
          </cell>
          <cell r="F26" t="str">
            <v>Government office</v>
          </cell>
          <cell r="G26">
            <v>149</v>
          </cell>
          <cell r="H26">
            <v>1.6851599841944487</v>
          </cell>
          <cell r="I26">
            <v>0.79688025987504618</v>
          </cell>
          <cell r="J26">
            <v>0.79319741590352721</v>
          </cell>
          <cell r="K26">
            <v>7.3632173251491313</v>
          </cell>
          <cell r="L26" t="str">
            <v>n.a.</v>
          </cell>
          <cell r="M26">
            <v>1.6689815831571153</v>
          </cell>
          <cell r="N26">
            <v>2</v>
          </cell>
          <cell r="O26">
            <v>0.77137546468401497</v>
          </cell>
          <cell r="P26">
            <v>1</v>
          </cell>
          <cell r="Q26" t="str">
            <v>Office/Professional &gt; 30,000 ft²</v>
          </cell>
          <cell r="R26">
            <v>1.0038569239710466</v>
          </cell>
          <cell r="S26">
            <v>1.5850372483753368</v>
          </cell>
          <cell r="T26">
            <v>0.88057624909740939</v>
          </cell>
          <cell r="U26">
            <v>45.348590803136254</v>
          </cell>
        </row>
        <row r="27">
          <cell r="A27" t="str">
            <v>Office Medical office (non-diagnostic)</v>
          </cell>
          <cell r="B27" t="str">
            <v>Plus</v>
          </cell>
          <cell r="C27">
            <v>2</v>
          </cell>
          <cell r="D27">
            <v>5</v>
          </cell>
          <cell r="E27" t="str">
            <v>Office</v>
          </cell>
          <cell r="F27" t="str">
            <v>Medical office (non-diagnostic)</v>
          </cell>
          <cell r="G27">
            <v>27</v>
          </cell>
          <cell r="H27">
            <v>1.7448928385480589</v>
          </cell>
          <cell r="I27">
            <v>0.67461746780133236</v>
          </cell>
          <cell r="J27">
            <v>0.78639324246179276</v>
          </cell>
          <cell r="K27">
            <v>3.4807872293898976</v>
          </cell>
          <cell r="L27" t="str">
            <v>n.a.</v>
          </cell>
          <cell r="M27">
            <v>1.6129988324949027</v>
          </cell>
          <cell r="N27">
            <v>2</v>
          </cell>
          <cell r="O27">
            <v>0.77137546468401497</v>
          </cell>
          <cell r="P27">
            <v>1</v>
          </cell>
          <cell r="Q27" t="str">
            <v xml:space="preserve">Outpatient health care  </v>
          </cell>
          <cell r="R27">
            <v>3.0115707719131399</v>
          </cell>
          <cell r="S27">
            <v>4.7551117451260101</v>
          </cell>
          <cell r="T27">
            <v>2.6417287472922282</v>
          </cell>
          <cell r="U27">
            <v>39.627039627039629</v>
          </cell>
        </row>
        <row r="28">
          <cell r="A28" t="str">
            <v>Office Mixed-use office</v>
          </cell>
          <cell r="B28" t="str">
            <v>Plus</v>
          </cell>
          <cell r="C28">
            <v>2</v>
          </cell>
          <cell r="D28">
            <v>6</v>
          </cell>
          <cell r="E28" t="str">
            <v>Office</v>
          </cell>
          <cell r="F28" t="str">
            <v>Mixed-use office</v>
          </cell>
          <cell r="G28">
            <v>164</v>
          </cell>
          <cell r="H28">
            <v>1.6953691745449744</v>
          </cell>
          <cell r="I28">
            <v>0.81225408558213241</v>
          </cell>
          <cell r="J28">
            <v>0.80793428821342672</v>
          </cell>
          <cell r="K28">
            <v>9.3421797566410945</v>
          </cell>
          <cell r="L28" t="str">
            <v>n.a.</v>
          </cell>
          <cell r="M28">
            <v>1.6410381325957861</v>
          </cell>
          <cell r="N28">
            <v>2</v>
          </cell>
          <cell r="O28">
            <v>0.77137546468401497</v>
          </cell>
          <cell r="P28">
            <v>1</v>
          </cell>
          <cell r="Q28" t="str">
            <v>Office/Professional &lt; 30,000 ft²</v>
          </cell>
          <cell r="R28">
            <v>1.0038569239710466</v>
          </cell>
          <cell r="S28">
            <v>1.5850372483753368</v>
          </cell>
          <cell r="T28">
            <v>0.88057624909740939</v>
          </cell>
          <cell r="U28">
            <v>55.308328035600766</v>
          </cell>
        </row>
        <row r="29">
          <cell r="A29" t="str">
            <v>Office Other office</v>
          </cell>
          <cell r="B29" t="str">
            <v>Plus</v>
          </cell>
          <cell r="C29">
            <v>2</v>
          </cell>
          <cell r="D29">
            <v>7</v>
          </cell>
          <cell r="E29" t="str">
            <v>Office</v>
          </cell>
          <cell r="F29" t="str">
            <v>Other office</v>
          </cell>
          <cell r="G29">
            <v>49</v>
          </cell>
          <cell r="H29">
            <v>1.7061547773292056</v>
          </cell>
          <cell r="I29">
            <v>0.77634626953246977</v>
          </cell>
          <cell r="J29">
            <v>0.77137546468401497</v>
          </cell>
          <cell r="K29">
            <v>4.0282326075411579</v>
          </cell>
          <cell r="L29" t="str">
            <v>n.a.</v>
          </cell>
          <cell r="M29">
            <v>1.6986522854937587</v>
          </cell>
          <cell r="N29">
            <v>2</v>
          </cell>
          <cell r="O29">
            <v>0.77137546468401497</v>
          </cell>
          <cell r="P29">
            <v>1</v>
          </cell>
          <cell r="Q29" t="str">
            <v>Office/Professional &lt; 30,000 ft²</v>
          </cell>
          <cell r="R29">
            <v>1.0038569239710466</v>
          </cell>
          <cell r="S29">
            <v>1.5850372483753368</v>
          </cell>
          <cell r="T29">
            <v>0.88057624909740939</v>
          </cell>
          <cell r="U29">
            <v>55.308328035600766</v>
          </cell>
        </row>
        <row r="30">
          <cell r="A30" t="str">
            <v>Laboratory Laboratory</v>
          </cell>
          <cell r="B30" t="str">
            <v>Plus</v>
          </cell>
          <cell r="C30">
            <v>4</v>
          </cell>
          <cell r="D30">
            <v>8</v>
          </cell>
          <cell r="E30" t="str">
            <v>Laboratory</v>
          </cell>
          <cell r="F30" t="str">
            <v>Laboratory</v>
          </cell>
          <cell r="G30">
            <v>43</v>
          </cell>
          <cell r="H30">
            <v>3.5034549803284576</v>
          </cell>
          <cell r="I30">
            <v>0.55501766112005457</v>
          </cell>
          <cell r="J30">
            <v>2.8907072638225055</v>
          </cell>
          <cell r="K30">
            <v>5.5414040892193306</v>
          </cell>
          <cell r="L30" t="str">
            <v>n.a.</v>
          </cell>
          <cell r="M30">
            <v>3.341539942209327</v>
          </cell>
          <cell r="N30">
            <v>2</v>
          </cell>
          <cell r="O30">
            <v>2.7881040892193307</v>
          </cell>
          <cell r="P30">
            <v>1</v>
          </cell>
          <cell r="Q30" t="str">
            <v xml:space="preserve">Laboratory  </v>
          </cell>
          <cell r="R30">
            <v>10.038569239710466</v>
          </cell>
          <cell r="S30">
            <v>7.9251862418766841</v>
          </cell>
          <cell r="T30">
            <v>8.805762490974093</v>
          </cell>
          <cell r="U30">
            <v>39.627039627039629</v>
          </cell>
        </row>
        <row r="31">
          <cell r="A31" t="str">
            <v>Nonrefrigerated warehouse Distribution/shipping center</v>
          </cell>
          <cell r="B31" t="str">
            <v>Plus</v>
          </cell>
          <cell r="C31">
            <v>5</v>
          </cell>
          <cell r="D31">
            <v>9</v>
          </cell>
          <cell r="E31" t="str">
            <v>Nonrefrigerated warehouse</v>
          </cell>
          <cell r="F31" t="str">
            <v>Distribution/shipping center</v>
          </cell>
          <cell r="G31">
            <v>226</v>
          </cell>
          <cell r="H31">
            <v>0.41677764286374624</v>
          </cell>
          <cell r="I31">
            <v>0.286329063306693</v>
          </cell>
          <cell r="J31">
            <v>0.18587360594795541</v>
          </cell>
          <cell r="K31">
            <v>2.1599581129902088</v>
          </cell>
          <cell r="L31" t="str">
            <v>n.a.</v>
          </cell>
          <cell r="M31">
            <v>0.34481488715257669</v>
          </cell>
          <cell r="N31">
            <v>2</v>
          </cell>
          <cell r="O31">
            <v>0.18587360594795541</v>
          </cell>
          <cell r="P31">
            <v>1</v>
          </cell>
          <cell r="Q31" t="str">
            <v xml:space="preserve">Nonrefrigerated warehouse </v>
          </cell>
          <cell r="R31">
            <v>0.6075976118772124</v>
          </cell>
          <cell r="S31">
            <v>1.5850372483753368</v>
          </cell>
          <cell r="T31">
            <v>0.88057624909740939</v>
          </cell>
          <cell r="U31">
            <v>10.595465140919687</v>
          </cell>
        </row>
        <row r="32">
          <cell r="A32" t="str">
            <v>Nonrefrigerated warehouse Non-refrigerated warehouse</v>
          </cell>
          <cell r="B32" t="str">
            <v>Plus</v>
          </cell>
          <cell r="C32">
            <v>5</v>
          </cell>
          <cell r="D32">
            <v>10</v>
          </cell>
          <cell r="E32" t="str">
            <v>Nonrefrigerated warehouse</v>
          </cell>
          <cell r="F32" t="str">
            <v>Non-refrigerated warehouse</v>
          </cell>
          <cell r="G32">
            <v>163</v>
          </cell>
          <cell r="H32">
            <v>0.35606508838258616</v>
          </cell>
          <cell r="I32">
            <v>0.26557673167732743</v>
          </cell>
          <cell r="J32">
            <v>0.18587360594795541</v>
          </cell>
          <cell r="K32">
            <v>1.8908736059479554</v>
          </cell>
          <cell r="L32" t="str">
            <v>n.a.</v>
          </cell>
          <cell r="M32">
            <v>0.30230662613081127</v>
          </cell>
          <cell r="N32">
            <v>2</v>
          </cell>
          <cell r="O32">
            <v>0.18587360594795541</v>
          </cell>
          <cell r="P32">
            <v>1</v>
          </cell>
          <cell r="Q32" t="str">
            <v xml:space="preserve">Nonrefrigerated warehouse </v>
          </cell>
          <cell r="R32">
            <v>0.6075976118772124</v>
          </cell>
          <cell r="S32">
            <v>1.5850372483753368</v>
          </cell>
          <cell r="T32">
            <v>0.88057624909740939</v>
          </cell>
          <cell r="U32">
            <v>10.595465140919687</v>
          </cell>
        </row>
        <row r="33">
          <cell r="A33" t="str">
            <v>Nonrefrigerated warehouse Self-storage</v>
          </cell>
          <cell r="B33" t="str">
            <v>Plus</v>
          </cell>
          <cell r="C33">
            <v>5</v>
          </cell>
          <cell r="D33">
            <v>11</v>
          </cell>
          <cell r="E33" t="str">
            <v>Nonrefrigerated warehouse</v>
          </cell>
          <cell r="F33" t="str">
            <v>Self-storage</v>
          </cell>
          <cell r="G33">
            <v>84</v>
          </cell>
          <cell r="H33">
            <v>0.23321159969647784</v>
          </cell>
          <cell r="I33">
            <v>0.30010606570375703</v>
          </cell>
          <cell r="J33">
            <v>0.18587360594795541</v>
          </cell>
          <cell r="K33">
            <v>2.9225402726146221</v>
          </cell>
          <cell r="L33" t="str">
            <v>n.a.</v>
          </cell>
          <cell r="M33">
            <v>0.2131837454158538</v>
          </cell>
          <cell r="N33">
            <v>2</v>
          </cell>
          <cell r="O33">
            <v>0.18587360594795541</v>
          </cell>
          <cell r="P33">
            <v>1</v>
          </cell>
          <cell r="Q33" t="str">
            <v xml:space="preserve">Nonrefrigerated warehouse </v>
          </cell>
          <cell r="R33">
            <v>0.6075976118772124</v>
          </cell>
          <cell r="S33">
            <v>1.5850372483753368</v>
          </cell>
          <cell r="T33">
            <v>0.88057624909740939</v>
          </cell>
          <cell r="U33">
            <v>10.595465140919687</v>
          </cell>
        </row>
        <row r="34">
          <cell r="A34" t="str">
            <v>Food sales Convenience store</v>
          </cell>
          <cell r="B34" t="str">
            <v>Plus</v>
          </cell>
          <cell r="C34">
            <v>6</v>
          </cell>
          <cell r="D34">
            <v>12</v>
          </cell>
          <cell r="E34" t="str">
            <v>Food sales</v>
          </cell>
          <cell r="F34" t="str">
            <v>Convenience store</v>
          </cell>
          <cell r="G34">
            <v>24</v>
          </cell>
          <cell r="H34">
            <v>1.1326241834175488</v>
          </cell>
          <cell r="I34">
            <v>0.7287753802711755</v>
          </cell>
          <cell r="J34">
            <v>0.47397769516728622</v>
          </cell>
          <cell r="K34">
            <v>2.8006443618339527</v>
          </cell>
          <cell r="L34" t="str">
            <v>n.a.</v>
          </cell>
          <cell r="M34">
            <v>0.98457137373626535</v>
          </cell>
          <cell r="N34">
            <v>2</v>
          </cell>
          <cell r="O34">
            <v>0.47397769516728622</v>
          </cell>
          <cell r="P34">
            <v>1</v>
          </cell>
          <cell r="Q34" t="str">
            <v xml:space="preserve">Food sales </v>
          </cell>
          <cell r="R34">
            <v>5.0192846198552328</v>
          </cell>
          <cell r="S34">
            <v>7.9251862418766841</v>
          </cell>
          <cell r="T34">
            <v>4.4028812454870465</v>
          </cell>
          <cell r="U34">
            <v>39.627039627039629</v>
          </cell>
        </row>
        <row r="35">
          <cell r="A35" t="str">
            <v>Food sales Convenience store with gas station</v>
          </cell>
          <cell r="B35" t="str">
            <v>Plus</v>
          </cell>
          <cell r="C35">
            <v>6</v>
          </cell>
          <cell r="D35">
            <v>13</v>
          </cell>
          <cell r="E35" t="str">
            <v>Food sales</v>
          </cell>
          <cell r="F35" t="str">
            <v>Convenience store with gas station</v>
          </cell>
          <cell r="G35">
            <v>32</v>
          </cell>
          <cell r="H35">
            <v>0.93190949226822162</v>
          </cell>
          <cell r="I35">
            <v>0.58645269758621787</v>
          </cell>
          <cell r="J35">
            <v>0.51090077209036311</v>
          </cell>
          <cell r="K35">
            <v>2.9534776951672859</v>
          </cell>
          <cell r="L35" t="str">
            <v>n.a.</v>
          </cell>
          <cell r="M35">
            <v>0.86120048753821488</v>
          </cell>
          <cell r="N35">
            <v>2</v>
          </cell>
          <cell r="O35">
            <v>0.47397769516728622</v>
          </cell>
          <cell r="P35">
            <v>1</v>
          </cell>
          <cell r="Q35" t="str">
            <v xml:space="preserve">Food sales </v>
          </cell>
          <cell r="R35">
            <v>5.0192846198552328</v>
          </cell>
          <cell r="S35">
            <v>7.9251862418766841</v>
          </cell>
          <cell r="T35">
            <v>4.4028812454870465</v>
          </cell>
          <cell r="U35">
            <v>39.627039627039629</v>
          </cell>
        </row>
        <row r="36">
          <cell r="A36" t="str">
            <v>Food sales Grocery store/food market</v>
          </cell>
          <cell r="B36" t="str">
            <v>Plus</v>
          </cell>
          <cell r="C36">
            <v>6</v>
          </cell>
          <cell r="D36">
            <v>14</v>
          </cell>
          <cell r="E36" t="str">
            <v>Food sales</v>
          </cell>
          <cell r="F36" t="str">
            <v>Grocery store/food market</v>
          </cell>
          <cell r="G36">
            <v>63</v>
          </cell>
          <cell r="H36">
            <v>0.82562671492660322</v>
          </cell>
          <cell r="I36">
            <v>0.4553268731429771</v>
          </cell>
          <cell r="J36">
            <v>0.47397769516728622</v>
          </cell>
          <cell r="K36">
            <v>3.6232800207486813</v>
          </cell>
          <cell r="L36" t="str">
            <v>n.a.</v>
          </cell>
          <cell r="M36">
            <v>0.7969176466259914</v>
          </cell>
          <cell r="N36">
            <v>2</v>
          </cell>
          <cell r="O36">
            <v>0.47397769516728622</v>
          </cell>
          <cell r="P36">
            <v>1</v>
          </cell>
          <cell r="Q36" t="str">
            <v xml:space="preserve">Food sales </v>
          </cell>
          <cell r="R36">
            <v>5.0192846198552328</v>
          </cell>
          <cell r="S36">
            <v>7.9251862418766841</v>
          </cell>
          <cell r="T36">
            <v>4.4028812454870465</v>
          </cell>
          <cell r="U36">
            <v>39.627039627039629</v>
          </cell>
        </row>
        <row r="37">
          <cell r="A37" t="str">
            <v>Food sales Other food sales</v>
          </cell>
          <cell r="B37" t="str">
            <v>Plus</v>
          </cell>
          <cell r="C37">
            <v>6</v>
          </cell>
          <cell r="D37">
            <v>15</v>
          </cell>
          <cell r="E37" t="str">
            <v>Food sales</v>
          </cell>
          <cell r="F37" t="str">
            <v>Other food sales</v>
          </cell>
          <cell r="G37">
            <v>6</v>
          </cell>
          <cell r="H37">
            <v>0.61268608339741348</v>
          </cell>
          <cell r="I37">
            <v>0.11233564562011322</v>
          </cell>
          <cell r="J37">
            <v>0.47397769516728622</v>
          </cell>
          <cell r="K37">
            <v>0.73252314971274068</v>
          </cell>
          <cell r="L37" t="str">
            <v>n.a.</v>
          </cell>
          <cell r="M37">
            <v>0.65192970316336818</v>
          </cell>
          <cell r="N37">
            <v>2</v>
          </cell>
          <cell r="O37">
            <v>0.47397769516728622</v>
          </cell>
          <cell r="P37">
            <v>1</v>
          </cell>
          <cell r="Q37" t="str">
            <v xml:space="preserve">Food sales </v>
          </cell>
          <cell r="R37">
            <v>5.0192846198552328</v>
          </cell>
          <cell r="S37">
            <v>7.9251862418766841</v>
          </cell>
          <cell r="T37">
            <v>4.4028812454870465</v>
          </cell>
          <cell r="U37">
            <v>39.627039627039629</v>
          </cell>
        </row>
        <row r="38">
          <cell r="A38" t="str">
            <v>Public order and safety Fire station/police station</v>
          </cell>
          <cell r="B38" t="str">
            <v>Plus</v>
          </cell>
          <cell r="C38">
            <v>7</v>
          </cell>
          <cell r="D38">
            <v>16</v>
          </cell>
          <cell r="E38" t="str">
            <v>Public order and safety</v>
          </cell>
          <cell r="F38" t="str">
            <v>Fire station/police station</v>
          </cell>
          <cell r="G38">
            <v>47</v>
          </cell>
          <cell r="H38">
            <v>1.6273321967685874</v>
          </cell>
          <cell r="I38">
            <v>0.44885083855861829</v>
          </cell>
          <cell r="J38">
            <v>1.1152416356877324</v>
          </cell>
          <cell r="K38">
            <v>3.1930465137365127</v>
          </cell>
          <cell r="L38" t="str">
            <v>n.a.</v>
          </cell>
          <cell r="M38">
            <v>1.5403580152290588</v>
          </cell>
          <cell r="N38">
            <v>2</v>
          </cell>
          <cell r="O38">
            <v>1.1152416356877324</v>
          </cell>
          <cell r="P38">
            <v>1</v>
          </cell>
          <cell r="Q38" t="str">
            <v xml:space="preserve">Public order and safety </v>
          </cell>
          <cell r="R38">
            <v>1.0038569239710466</v>
          </cell>
          <cell r="S38">
            <v>1.5850372483753368</v>
          </cell>
          <cell r="T38">
            <v>0.88057624909740939</v>
          </cell>
          <cell r="U38">
            <v>39.627039627039629</v>
          </cell>
        </row>
        <row r="39">
          <cell r="A39" t="str">
            <v>Public order and safety Other public order and safety</v>
          </cell>
          <cell r="B39" t="str">
            <v>Plus</v>
          </cell>
          <cell r="C39">
            <v>7</v>
          </cell>
          <cell r="D39">
            <v>17</v>
          </cell>
          <cell r="E39" t="str">
            <v>Public order and safety</v>
          </cell>
          <cell r="F39" t="str">
            <v>Other public order and safety</v>
          </cell>
          <cell r="G39">
            <v>38</v>
          </cell>
          <cell r="H39">
            <v>1.5607515929103994</v>
          </cell>
          <cell r="I39">
            <v>0.36983607802112106</v>
          </cell>
          <cell r="J39">
            <v>1.1493285922094716</v>
          </cell>
          <cell r="K39">
            <v>2.6892169443297078</v>
          </cell>
          <cell r="L39" t="str">
            <v>n.a.</v>
          </cell>
          <cell r="M39">
            <v>1.4928322661656475</v>
          </cell>
          <cell r="N39">
            <v>2</v>
          </cell>
          <cell r="O39">
            <v>1.1152416356877324</v>
          </cell>
          <cell r="P39">
            <v>1</v>
          </cell>
          <cell r="Q39" t="str">
            <v xml:space="preserve">Public order and safety </v>
          </cell>
          <cell r="R39">
            <v>1.0038569239710466</v>
          </cell>
          <cell r="S39">
            <v>1.5850372483753368</v>
          </cell>
          <cell r="T39">
            <v>0.88057624909740939</v>
          </cell>
          <cell r="U39">
            <v>39.627039627039629</v>
          </cell>
        </row>
        <row r="40">
          <cell r="A40" t="str">
            <v>Outpatient health care Medical office (diagnostic)</v>
          </cell>
          <cell r="B40" t="str">
            <v>Plus</v>
          </cell>
          <cell r="C40">
            <v>8</v>
          </cell>
          <cell r="D40">
            <v>18</v>
          </cell>
          <cell r="E40" t="str">
            <v>Outpatient health care</v>
          </cell>
          <cell r="F40" t="str">
            <v>Medical office (diagnostic)</v>
          </cell>
          <cell r="G40">
            <v>52</v>
          </cell>
          <cell r="H40">
            <v>1.4248651457113914</v>
          </cell>
          <cell r="I40">
            <v>0.61201151897038553</v>
          </cell>
          <cell r="J40">
            <v>0.6081771375464684</v>
          </cell>
          <cell r="K40">
            <v>3.6765880071116857</v>
          </cell>
          <cell r="L40" t="str">
            <v>n.a.</v>
          </cell>
          <cell r="M40">
            <v>1.2166779317369045</v>
          </cell>
          <cell r="N40">
            <v>2</v>
          </cell>
          <cell r="O40">
            <v>0.54832713754646845</v>
          </cell>
          <cell r="P40">
            <v>1</v>
          </cell>
          <cell r="Q40" t="str">
            <v xml:space="preserve">Outpatient health care  </v>
          </cell>
          <cell r="R40">
            <v>3.0115707719131399</v>
          </cell>
          <cell r="S40">
            <v>4.7551117451260101</v>
          </cell>
          <cell r="T40">
            <v>2.6417287472922282</v>
          </cell>
          <cell r="U40">
            <v>39.627039627039629</v>
          </cell>
        </row>
        <row r="41">
          <cell r="A41" t="str">
            <v>Outpatient health care Clinic/other outpatient health</v>
          </cell>
          <cell r="B41" t="str">
            <v>Plus</v>
          </cell>
          <cell r="C41">
            <v>8</v>
          </cell>
          <cell r="D41">
            <v>19</v>
          </cell>
          <cell r="E41" t="str">
            <v>Outpatient health care</v>
          </cell>
          <cell r="F41" t="str">
            <v>Clinic/other outpatient health</v>
          </cell>
          <cell r="G41">
            <v>92</v>
          </cell>
          <cell r="H41">
            <v>1.2474703505690836</v>
          </cell>
          <cell r="I41">
            <v>0.41203282714072542</v>
          </cell>
          <cell r="J41">
            <v>0.56949285183218268</v>
          </cell>
          <cell r="K41">
            <v>2.7257043305289246</v>
          </cell>
          <cell r="L41" t="str">
            <v>n.a.</v>
          </cell>
          <cell r="M41">
            <v>1.2224965263970915</v>
          </cell>
          <cell r="N41">
            <v>2</v>
          </cell>
          <cell r="O41">
            <v>0.54832713754646845</v>
          </cell>
          <cell r="P41">
            <v>1</v>
          </cell>
          <cell r="Q41" t="str">
            <v xml:space="preserve">Outpatient health care  </v>
          </cell>
          <cell r="R41">
            <v>3.0115707719131399</v>
          </cell>
          <cell r="S41">
            <v>4.7551117451260101</v>
          </cell>
          <cell r="T41">
            <v>2.6417287472922282</v>
          </cell>
          <cell r="U41">
            <v>39.627039627039629</v>
          </cell>
        </row>
        <row r="42">
          <cell r="A42" t="str">
            <v>Refrigerated warehouse Refrigerated warehouse</v>
          </cell>
          <cell r="B42" t="str">
            <v>Plus</v>
          </cell>
          <cell r="C42">
            <v>11</v>
          </cell>
          <cell r="D42">
            <v>20</v>
          </cell>
          <cell r="E42" t="str">
            <v>Refrigerated warehouse</v>
          </cell>
          <cell r="F42" t="str">
            <v>Refrigerated warehouse</v>
          </cell>
          <cell r="G42">
            <v>20</v>
          </cell>
          <cell r="H42">
            <v>0.18669134486278502</v>
          </cell>
          <cell r="I42">
            <v>8.1783154344236011E-2</v>
          </cell>
          <cell r="J42">
            <v>9.2936802973977703E-2</v>
          </cell>
          <cell r="K42">
            <v>0.32878974415044832</v>
          </cell>
          <cell r="L42" t="str">
            <v>n.a.</v>
          </cell>
          <cell r="M42">
            <v>0.17038583070692084</v>
          </cell>
          <cell r="N42">
            <v>2</v>
          </cell>
          <cell r="O42">
            <v>9.2936802973977703E-2</v>
          </cell>
          <cell r="P42">
            <v>1</v>
          </cell>
          <cell r="Q42" t="str">
            <v xml:space="preserve">Refrigerated warehouse </v>
          </cell>
          <cell r="R42">
            <v>0.6075976118772124</v>
          </cell>
          <cell r="S42">
            <v>1.3208643736461141</v>
          </cell>
          <cell r="T42">
            <v>0.88057624909740939</v>
          </cell>
          <cell r="U42">
            <v>4.2381860563678746</v>
          </cell>
        </row>
        <row r="43">
          <cell r="A43" t="str">
            <v>Religious worship Religious worship</v>
          </cell>
          <cell r="B43" t="str">
            <v>Plus</v>
          </cell>
          <cell r="C43">
            <v>12</v>
          </cell>
          <cell r="D43">
            <v>21</v>
          </cell>
          <cell r="E43" t="str">
            <v>Religious worship</v>
          </cell>
          <cell r="F43" t="str">
            <v>Religious worship</v>
          </cell>
          <cell r="G43">
            <v>311</v>
          </cell>
          <cell r="H43">
            <v>0.3137573468588149</v>
          </cell>
          <cell r="I43">
            <v>8.493384339510876E-2</v>
          </cell>
          <cell r="J43">
            <v>0.2193308550185874</v>
          </cell>
          <cell r="K43">
            <v>0.73113085501858743</v>
          </cell>
          <cell r="L43" t="str">
            <v>n.a.</v>
          </cell>
          <cell r="M43">
            <v>0.29844543263937018</v>
          </cell>
          <cell r="N43">
            <v>2</v>
          </cell>
          <cell r="O43">
            <v>0.54832713754646845</v>
          </cell>
          <cell r="P43">
            <v>0.4</v>
          </cell>
          <cell r="Q43" t="str">
            <v xml:space="preserve">Religious worship </v>
          </cell>
          <cell r="R43">
            <v>0.2641728747292228</v>
          </cell>
          <cell r="S43">
            <v>0.52834574945844559</v>
          </cell>
          <cell r="T43">
            <v>0.4402881245487047</v>
          </cell>
          <cell r="U43">
            <v>39.627039627039629</v>
          </cell>
        </row>
        <row r="44">
          <cell r="A44" t="str">
            <v>Public assembly Entertainment/culture</v>
          </cell>
          <cell r="B44" t="str">
            <v>Plus</v>
          </cell>
          <cell r="C44">
            <v>13</v>
          </cell>
          <cell r="D44">
            <v>22</v>
          </cell>
          <cell r="E44" t="str">
            <v>Public assembly</v>
          </cell>
          <cell r="F44" t="str">
            <v>Entertainment/culture</v>
          </cell>
          <cell r="G44">
            <v>44</v>
          </cell>
          <cell r="H44">
            <v>0.74562544602782799</v>
          </cell>
          <cell r="I44">
            <v>0.27702780354109796</v>
          </cell>
          <cell r="J44">
            <v>0.54832713754646845</v>
          </cell>
          <cell r="K44">
            <v>1.9662160264353574</v>
          </cell>
          <cell r="L44" t="str">
            <v>n.a.</v>
          </cell>
          <cell r="M44">
            <v>0.74485358050420625</v>
          </cell>
          <cell r="N44">
            <v>2</v>
          </cell>
          <cell r="O44">
            <v>0.54832713754646845</v>
          </cell>
          <cell r="P44">
            <v>1</v>
          </cell>
          <cell r="Q44" t="str">
            <v xml:space="preserve">Public assembly </v>
          </cell>
          <cell r="R44">
            <v>0.2641728747292228</v>
          </cell>
          <cell r="S44">
            <v>0.52834574945844559</v>
          </cell>
          <cell r="T44">
            <v>0.4402881245487047</v>
          </cell>
          <cell r="U44">
            <v>39.627039627039629</v>
          </cell>
        </row>
        <row r="45">
          <cell r="A45" t="str">
            <v>Public assembly Library</v>
          </cell>
          <cell r="B45" t="str">
            <v>Plus</v>
          </cell>
          <cell r="C45">
            <v>13</v>
          </cell>
          <cell r="D45">
            <v>23</v>
          </cell>
          <cell r="E45" t="str">
            <v>Public assembly</v>
          </cell>
          <cell r="F45" t="str">
            <v>Library</v>
          </cell>
          <cell r="G45">
            <v>36</v>
          </cell>
          <cell r="H45">
            <v>1.0571585765831539</v>
          </cell>
          <cell r="I45">
            <v>0.40367769000420067</v>
          </cell>
          <cell r="J45">
            <v>0.61231688113621208</v>
          </cell>
          <cell r="K45">
            <v>2.8652021375464685</v>
          </cell>
          <cell r="L45" t="str">
            <v>n.a.</v>
          </cell>
          <cell r="M45">
            <v>0.93722970243154469</v>
          </cell>
          <cell r="N45">
            <v>2</v>
          </cell>
          <cell r="O45">
            <v>0.54832713754646845</v>
          </cell>
          <cell r="P45">
            <v>1</v>
          </cell>
          <cell r="Q45" t="str">
            <v xml:space="preserve">Public assembly </v>
          </cell>
          <cell r="R45">
            <v>0.2641728747292228</v>
          </cell>
          <cell r="S45">
            <v>0.52834574945844559</v>
          </cell>
          <cell r="T45">
            <v>0.4402881245487047</v>
          </cell>
          <cell r="U45">
            <v>39.627039627039629</v>
          </cell>
        </row>
        <row r="46">
          <cell r="A46" t="str">
            <v>Public assembly Recreation</v>
          </cell>
          <cell r="B46" t="str">
            <v>Plus</v>
          </cell>
          <cell r="C46">
            <v>13</v>
          </cell>
          <cell r="D46">
            <v>24</v>
          </cell>
          <cell r="E46" t="str">
            <v>Public assembly</v>
          </cell>
          <cell r="F46" t="str">
            <v>Recreation</v>
          </cell>
          <cell r="G46">
            <v>92</v>
          </cell>
          <cell r="H46">
            <v>0.71634042630720518</v>
          </cell>
          <cell r="I46">
            <v>0.24698360586800883</v>
          </cell>
          <cell r="J46">
            <v>0.54832713754646845</v>
          </cell>
          <cell r="K46">
            <v>2.6539521375464683</v>
          </cell>
          <cell r="L46" t="str">
            <v>n.a.</v>
          </cell>
          <cell r="M46">
            <v>0.67424666522690402</v>
          </cell>
          <cell r="N46">
            <v>2</v>
          </cell>
          <cell r="O46">
            <v>0.54832713754646845</v>
          </cell>
          <cell r="P46">
            <v>1</v>
          </cell>
          <cell r="Q46" t="str">
            <v xml:space="preserve">Public assembly </v>
          </cell>
          <cell r="R46">
            <v>0.2641728747292228</v>
          </cell>
          <cell r="S46">
            <v>0.52834574945844559</v>
          </cell>
          <cell r="T46">
            <v>0.4402881245487047</v>
          </cell>
          <cell r="U46">
            <v>39.627039627039629</v>
          </cell>
        </row>
        <row r="47">
          <cell r="A47" t="str">
            <v>Public assembly Social/meeting</v>
          </cell>
          <cell r="B47" t="str">
            <v>Plus</v>
          </cell>
          <cell r="C47">
            <v>13</v>
          </cell>
          <cell r="D47">
            <v>25</v>
          </cell>
          <cell r="E47" t="str">
            <v>Public assembly</v>
          </cell>
          <cell r="F47" t="str">
            <v>Social/meeting</v>
          </cell>
          <cell r="G47">
            <v>76</v>
          </cell>
          <cell r="H47">
            <v>0.96243733628573747</v>
          </cell>
          <cell r="I47">
            <v>0.67723027765935584</v>
          </cell>
          <cell r="J47">
            <v>0.54832713754646845</v>
          </cell>
          <cell r="K47">
            <v>5.6038826931020242</v>
          </cell>
          <cell r="L47" t="str">
            <v>n.a.</v>
          </cell>
          <cell r="M47">
            <v>0.73324325767498066</v>
          </cell>
          <cell r="N47">
            <v>2</v>
          </cell>
          <cell r="O47">
            <v>0.54832713754646845</v>
          </cell>
          <cell r="P47">
            <v>1</v>
          </cell>
          <cell r="Q47" t="str">
            <v xml:space="preserve">Public assembly </v>
          </cell>
          <cell r="R47">
            <v>0.2641728747292228</v>
          </cell>
          <cell r="S47">
            <v>0.52834574945844559</v>
          </cell>
          <cell r="T47">
            <v>0.4402881245487047</v>
          </cell>
          <cell r="U47">
            <v>39.627039627039629</v>
          </cell>
        </row>
        <row r="48">
          <cell r="A48" t="str">
            <v>Public assembly Other public assembly</v>
          </cell>
          <cell r="B48" t="str">
            <v>Plus</v>
          </cell>
          <cell r="C48">
            <v>13</v>
          </cell>
          <cell r="D48">
            <v>26</v>
          </cell>
          <cell r="E48" t="str">
            <v>Public assembly</v>
          </cell>
          <cell r="F48" t="str">
            <v>Other public assembly</v>
          </cell>
          <cell r="G48">
            <v>31</v>
          </cell>
          <cell r="H48">
            <v>0.84297705934921552</v>
          </cell>
          <cell r="I48">
            <v>0.34991263787011634</v>
          </cell>
          <cell r="J48">
            <v>0.54832713754646845</v>
          </cell>
          <cell r="K48">
            <v>2.4463271375464686</v>
          </cell>
          <cell r="L48" t="str">
            <v>n.a.</v>
          </cell>
          <cell r="M48">
            <v>0.76224769399973591</v>
          </cell>
          <cell r="N48">
            <v>2</v>
          </cell>
          <cell r="O48">
            <v>0.54832713754646845</v>
          </cell>
          <cell r="P48">
            <v>1</v>
          </cell>
          <cell r="Q48" t="str">
            <v xml:space="preserve">Public assembly </v>
          </cell>
          <cell r="R48">
            <v>0.2641728747292228</v>
          </cell>
          <cell r="S48">
            <v>0.52834574945844559</v>
          </cell>
          <cell r="T48">
            <v>0.4402881245487047</v>
          </cell>
          <cell r="U48">
            <v>39.627039627039629</v>
          </cell>
        </row>
        <row r="49">
          <cell r="A49" t="str">
            <v>Education College/university</v>
          </cell>
          <cell r="B49" t="str">
            <v>Plus</v>
          </cell>
          <cell r="C49">
            <v>14</v>
          </cell>
          <cell r="D49">
            <v>27</v>
          </cell>
          <cell r="E49" t="str">
            <v>Education</v>
          </cell>
          <cell r="F49" t="str">
            <v>College/university</v>
          </cell>
          <cell r="G49">
            <v>88</v>
          </cell>
          <cell r="H49">
            <v>1.2355628250986819</v>
          </cell>
          <cell r="I49">
            <v>0.6179662487019264</v>
          </cell>
          <cell r="J49">
            <v>0.76799442379182159</v>
          </cell>
          <cell r="K49">
            <v>4.2853497429407579</v>
          </cell>
          <cell r="L49" t="str">
            <v>n.a.</v>
          </cell>
          <cell r="M49">
            <v>1.4894956500472996</v>
          </cell>
          <cell r="N49">
            <v>1.6</v>
          </cell>
          <cell r="O49">
            <v>0.74349442379182162</v>
          </cell>
          <cell r="P49">
            <v>1</v>
          </cell>
          <cell r="Q49" t="str">
            <v>Education college</v>
          </cell>
          <cell r="R49">
            <v>0.6075976118772124</v>
          </cell>
          <cell r="S49">
            <v>1.5850372483753368</v>
          </cell>
          <cell r="T49">
            <v>0.88057624909740939</v>
          </cell>
          <cell r="U49">
            <v>13.350286077558804</v>
          </cell>
        </row>
        <row r="50">
          <cell r="A50" t="str">
            <v>Education Elementary/middle school</v>
          </cell>
          <cell r="B50" t="str">
            <v>Plus</v>
          </cell>
          <cell r="C50">
            <v>14</v>
          </cell>
          <cell r="D50">
            <v>28</v>
          </cell>
          <cell r="E50" t="str">
            <v>Education</v>
          </cell>
          <cell r="F50" t="str">
            <v>Elementary/middle school</v>
          </cell>
          <cell r="G50">
            <v>330</v>
          </cell>
          <cell r="H50">
            <v>0.64798980639530934</v>
          </cell>
          <cell r="I50">
            <v>0.8659333562598841</v>
          </cell>
          <cell r="J50">
            <v>0.14869888475836432</v>
          </cell>
          <cell r="K50">
            <v>14.41467291073239</v>
          </cell>
          <cell r="L50" t="str">
            <v>n.a.</v>
          </cell>
          <cell r="M50">
            <v>0.55367137492381291</v>
          </cell>
          <cell r="N50">
            <v>2</v>
          </cell>
          <cell r="O50">
            <v>0.14869888475836432</v>
          </cell>
          <cell r="P50">
            <v>1</v>
          </cell>
          <cell r="Q50" t="str">
            <v>Education elementary</v>
          </cell>
          <cell r="R50">
            <v>0.6075976118772124</v>
          </cell>
          <cell r="S50">
            <v>1.5850372483753368</v>
          </cell>
          <cell r="T50">
            <v>0.88057624909740939</v>
          </cell>
          <cell r="U50">
            <v>13.350286077558804</v>
          </cell>
        </row>
        <row r="51">
          <cell r="A51" t="str">
            <v>Education High school</v>
          </cell>
          <cell r="B51" t="str">
            <v>Plus</v>
          </cell>
          <cell r="C51">
            <v>14</v>
          </cell>
          <cell r="D51">
            <v>29</v>
          </cell>
          <cell r="E51" t="str">
            <v>Education</v>
          </cell>
          <cell r="F51" t="str">
            <v>High school</v>
          </cell>
          <cell r="G51">
            <v>126</v>
          </cell>
          <cell r="H51">
            <v>0.64403424440913881</v>
          </cell>
          <cell r="I51">
            <v>0.53807428137224067</v>
          </cell>
          <cell r="J51">
            <v>0.14869888475836432</v>
          </cell>
          <cell r="K51">
            <v>3.7736988847583643</v>
          </cell>
          <cell r="L51" t="str">
            <v>n.a.</v>
          </cell>
          <cell r="M51">
            <v>0.55489795690629629</v>
          </cell>
          <cell r="N51">
            <v>2</v>
          </cell>
          <cell r="O51">
            <v>0.14869888475836432</v>
          </cell>
          <cell r="P51">
            <v>1</v>
          </cell>
          <cell r="Q51" t="str">
            <v>Education high school</v>
          </cell>
          <cell r="R51">
            <v>1.7963755481587149</v>
          </cell>
          <cell r="S51">
            <v>3.1700744967506735</v>
          </cell>
          <cell r="T51">
            <v>1.7611524981948188</v>
          </cell>
          <cell r="U51">
            <v>13.350286077558804</v>
          </cell>
        </row>
        <row r="52">
          <cell r="A52" t="str">
            <v>Education Preschool/daycare</v>
          </cell>
          <cell r="B52" t="str">
            <v>Plus</v>
          </cell>
          <cell r="C52">
            <v>14</v>
          </cell>
          <cell r="D52">
            <v>30</v>
          </cell>
          <cell r="E52" t="str">
            <v>Education</v>
          </cell>
          <cell r="F52" t="str">
            <v>Preschool/daycare</v>
          </cell>
          <cell r="G52">
            <v>46</v>
          </cell>
          <cell r="H52">
            <v>0.69038803473597599</v>
          </cell>
          <cell r="I52">
            <v>0.40272901930939636</v>
          </cell>
          <cell r="J52">
            <v>0.16291317047265003</v>
          </cell>
          <cell r="K52">
            <v>1.6792544403139198</v>
          </cell>
          <cell r="L52" t="str">
            <v>n.a.</v>
          </cell>
          <cell r="M52">
            <v>0.47671165351284217</v>
          </cell>
          <cell r="N52">
            <v>2</v>
          </cell>
          <cell r="O52">
            <v>0.14869888475836432</v>
          </cell>
          <cell r="P52">
            <v>1</v>
          </cell>
          <cell r="Q52" t="str">
            <v>Education elementary</v>
          </cell>
          <cell r="R52">
            <v>0.6075976118772124</v>
          </cell>
          <cell r="S52">
            <v>1.5850372483753368</v>
          </cell>
          <cell r="T52">
            <v>0.88057624909740939</v>
          </cell>
          <cell r="U52">
            <v>13.350286077558804</v>
          </cell>
        </row>
        <row r="53">
          <cell r="A53" t="str">
            <v>Education Other classroom education</v>
          </cell>
          <cell r="B53" t="str">
            <v>Plus</v>
          </cell>
          <cell r="C53">
            <v>14</v>
          </cell>
          <cell r="D53">
            <v>31</v>
          </cell>
          <cell r="E53" t="str">
            <v>Education</v>
          </cell>
          <cell r="F53" t="str">
            <v>Other classroom education</v>
          </cell>
          <cell r="G53">
            <v>59</v>
          </cell>
          <cell r="H53">
            <v>0.59397494162373865</v>
          </cell>
          <cell r="I53">
            <v>0.44073485578601035</v>
          </cell>
          <cell r="J53">
            <v>0.18587360594795541</v>
          </cell>
          <cell r="K53">
            <v>2.4937826968570462</v>
          </cell>
          <cell r="L53" t="str">
            <v>n.a.</v>
          </cell>
          <cell r="M53">
            <v>0.58912884055837</v>
          </cell>
          <cell r="N53">
            <v>2</v>
          </cell>
          <cell r="O53">
            <v>0.18587360594795541</v>
          </cell>
          <cell r="P53">
            <v>1</v>
          </cell>
          <cell r="Q53" t="str">
            <v>Education college</v>
          </cell>
          <cell r="R53">
            <v>0.6075976118772124</v>
          </cell>
          <cell r="S53">
            <v>1.5850372483753368</v>
          </cell>
          <cell r="T53">
            <v>0.88057624909740939</v>
          </cell>
          <cell r="U53">
            <v>13.350286077558804</v>
          </cell>
        </row>
        <row r="54">
          <cell r="A54" t="str">
            <v>Food service Fast food</v>
          </cell>
          <cell r="B54" t="str">
            <v>Plus</v>
          </cell>
          <cell r="C54">
            <v>15</v>
          </cell>
          <cell r="D54">
            <v>32</v>
          </cell>
          <cell r="E54" t="str">
            <v>Food service</v>
          </cell>
          <cell r="F54" t="str">
            <v>Fast food</v>
          </cell>
          <cell r="G54">
            <v>54</v>
          </cell>
          <cell r="H54">
            <v>1.4434209678987544</v>
          </cell>
          <cell r="I54">
            <v>0.57808813112227064</v>
          </cell>
          <cell r="J54">
            <v>0.97300439337614053</v>
          </cell>
          <cell r="K54">
            <v>3.6085346964064438</v>
          </cell>
          <cell r="L54" t="str">
            <v>n.a.</v>
          </cell>
          <cell r="M54">
            <v>1.3683549857758452</v>
          </cell>
          <cell r="N54">
            <v>2</v>
          </cell>
          <cell r="O54">
            <v>0.92936802973977695</v>
          </cell>
          <cell r="P54">
            <v>1</v>
          </cell>
          <cell r="Q54" t="str">
            <v xml:space="preserve">Food service </v>
          </cell>
          <cell r="R54">
            <v>10.038569239710466</v>
          </cell>
          <cell r="S54">
            <v>15.850372483753368</v>
          </cell>
          <cell r="T54">
            <v>8.805762490974093</v>
          </cell>
          <cell r="U54">
            <v>39.627039627039629</v>
          </cell>
        </row>
        <row r="55">
          <cell r="A55" t="str">
            <v>Food service Restaurant/cafeteria</v>
          </cell>
          <cell r="B55" t="str">
            <v>Plus</v>
          </cell>
          <cell r="C55">
            <v>15</v>
          </cell>
          <cell r="D55">
            <v>33</v>
          </cell>
          <cell r="E55" t="str">
            <v>Food service</v>
          </cell>
          <cell r="F55" t="str">
            <v>Restaurant/cafeteria</v>
          </cell>
          <cell r="G55">
            <v>145</v>
          </cell>
          <cell r="H55">
            <v>1.3527188515223769</v>
          </cell>
          <cell r="I55">
            <v>0.52858313215563479</v>
          </cell>
          <cell r="J55">
            <v>0.93704802973977697</v>
          </cell>
          <cell r="K55">
            <v>4.8348225751943223</v>
          </cell>
          <cell r="L55" t="str">
            <v>n.a.</v>
          </cell>
          <cell r="M55">
            <v>1.2629966462352749</v>
          </cell>
          <cell r="N55">
            <v>2</v>
          </cell>
          <cell r="O55">
            <v>0.92936802973977695</v>
          </cell>
          <cell r="P55">
            <v>1</v>
          </cell>
          <cell r="Q55" t="str">
            <v xml:space="preserve">Food service </v>
          </cell>
          <cell r="R55">
            <v>10.038569239710466</v>
          </cell>
          <cell r="S55">
            <v>15.850372483753368</v>
          </cell>
          <cell r="T55">
            <v>8.805762490974093</v>
          </cell>
          <cell r="U55">
            <v>39.627039627039629</v>
          </cell>
        </row>
        <row r="56">
          <cell r="A56" t="str">
            <v>Food service Other food service</v>
          </cell>
          <cell r="B56" t="str">
            <v>Plus</v>
          </cell>
          <cell r="C56">
            <v>15</v>
          </cell>
          <cell r="D56">
            <v>34</v>
          </cell>
          <cell r="E56" t="str">
            <v>Food service</v>
          </cell>
          <cell r="F56" t="str">
            <v>Other food service</v>
          </cell>
          <cell r="G56">
            <v>43</v>
          </cell>
          <cell r="H56">
            <v>1.469232610528028</v>
          </cell>
          <cell r="I56">
            <v>0.62316267085833188</v>
          </cell>
          <cell r="J56">
            <v>0.938968029739777</v>
          </cell>
          <cell r="K56">
            <v>3.5093680297397771</v>
          </cell>
          <cell r="L56" t="str">
            <v>n.a.</v>
          </cell>
          <cell r="M56">
            <v>1.3160573887824656</v>
          </cell>
          <cell r="N56">
            <v>2</v>
          </cell>
          <cell r="O56">
            <v>0.92936802973977695</v>
          </cell>
          <cell r="P56">
            <v>1</v>
          </cell>
          <cell r="Q56" t="str">
            <v xml:space="preserve">Food service </v>
          </cell>
          <cell r="R56">
            <v>10.038569239710466</v>
          </cell>
          <cell r="S56">
            <v>15.850372483753368</v>
          </cell>
          <cell r="T56">
            <v>8.805762490974093</v>
          </cell>
          <cell r="U56">
            <v>39.627039627039629</v>
          </cell>
        </row>
        <row r="57">
          <cell r="A57" t="str">
            <v>Inpatient health care Hospital/inpatient health</v>
          </cell>
          <cell r="B57" t="str">
            <v>Plus</v>
          </cell>
          <cell r="C57">
            <v>16</v>
          </cell>
          <cell r="D57">
            <v>35</v>
          </cell>
          <cell r="E57" t="str">
            <v>Inpatient health care</v>
          </cell>
          <cell r="F57" t="str">
            <v>Hospital/inpatient health</v>
          </cell>
          <cell r="G57">
            <v>217</v>
          </cell>
          <cell r="H57">
            <v>1.3056883219055315</v>
          </cell>
          <cell r="I57">
            <v>0.41514764030463153</v>
          </cell>
          <cell r="J57">
            <v>0.82811345105328371</v>
          </cell>
          <cell r="K57">
            <v>4.3918665248171358</v>
          </cell>
          <cell r="L57" t="str">
            <v>n.a.</v>
          </cell>
          <cell r="M57">
            <v>1.2488271893219809</v>
          </cell>
          <cell r="N57">
            <v>2</v>
          </cell>
          <cell r="O57">
            <v>0.762081784386617</v>
          </cell>
          <cell r="P57">
            <v>1</v>
          </cell>
          <cell r="Q57" t="str">
            <v xml:space="preserve">Inpatient health care </v>
          </cell>
          <cell r="R57">
            <v>3.0115707719131399</v>
          </cell>
          <cell r="S57">
            <v>4.7551117451260101</v>
          </cell>
          <cell r="T57">
            <v>2.6417287472922282</v>
          </cell>
          <cell r="U57">
            <v>39.627039627039629</v>
          </cell>
        </row>
        <row r="58">
          <cell r="A58" t="str">
            <v>Nursing Nursing home/assisted living</v>
          </cell>
          <cell r="B58" t="str">
            <v>Plus</v>
          </cell>
          <cell r="C58">
            <v>17</v>
          </cell>
          <cell r="D58">
            <v>36</v>
          </cell>
          <cell r="E58" t="str">
            <v>Nursing</v>
          </cell>
          <cell r="F58" t="str">
            <v>Nursing home/assisted living</v>
          </cell>
          <cell r="G58">
            <v>73</v>
          </cell>
          <cell r="H58">
            <v>1.5077787668998561</v>
          </cell>
          <cell r="I58">
            <v>0.41007573905509298</v>
          </cell>
          <cell r="J58">
            <v>1.1353650399430515</v>
          </cell>
          <cell r="K58">
            <v>3.3111534003936147</v>
          </cell>
          <cell r="L58" t="str">
            <v>n.a.</v>
          </cell>
          <cell r="M58">
            <v>1.4046493036603716</v>
          </cell>
          <cell r="N58">
            <v>2</v>
          </cell>
          <cell r="O58">
            <v>1.1152416356877324</v>
          </cell>
          <cell r="P58">
            <v>1</v>
          </cell>
          <cell r="Q58" t="str">
            <v xml:space="preserve">Skilled nursing  </v>
          </cell>
          <cell r="R58">
            <v>3.0115707719131399</v>
          </cell>
          <cell r="S58">
            <v>4.7551117451260101</v>
          </cell>
          <cell r="T58">
            <v>2.6417287472922282</v>
          </cell>
          <cell r="U58">
            <v>39.627039627039629</v>
          </cell>
        </row>
        <row r="59">
          <cell r="A59" t="str">
            <v>Lodging Dormitory/fraternity/sorority</v>
          </cell>
          <cell r="B59" t="str">
            <v>Plus</v>
          </cell>
          <cell r="C59">
            <v>18</v>
          </cell>
          <cell r="D59">
            <v>37</v>
          </cell>
          <cell r="E59" t="str">
            <v>Lodging</v>
          </cell>
          <cell r="F59" t="str">
            <v>Dormitory/fraternity/sorority</v>
          </cell>
          <cell r="G59">
            <v>37</v>
          </cell>
          <cell r="H59">
            <v>1.9603827164460956</v>
          </cell>
          <cell r="I59">
            <v>0.68006157616324192</v>
          </cell>
          <cell r="J59">
            <v>1.1152416356877324</v>
          </cell>
          <cell r="K59">
            <v>3.9055894617746887</v>
          </cell>
          <cell r="L59" t="str">
            <v>n.a.</v>
          </cell>
          <cell r="M59">
            <v>1.9561272315249876</v>
          </cell>
          <cell r="N59">
            <v>2</v>
          </cell>
          <cell r="O59">
            <v>0.29739776951672864</v>
          </cell>
          <cell r="P59">
            <v>1</v>
          </cell>
          <cell r="Q59" t="str">
            <v>Lodging 20-100 rooms</v>
          </cell>
          <cell r="R59">
            <v>14.027579648121732</v>
          </cell>
          <cell r="S59">
            <v>13.20864373646114</v>
          </cell>
          <cell r="T59">
            <v>13.208643736461141</v>
          </cell>
          <cell r="U59">
            <v>39.627039627039629</v>
          </cell>
        </row>
        <row r="60">
          <cell r="A60" t="str">
            <v>Lodging Hotel</v>
          </cell>
          <cell r="B60" t="str">
            <v>Plus</v>
          </cell>
          <cell r="C60">
            <v>18</v>
          </cell>
          <cell r="D60">
            <v>38</v>
          </cell>
          <cell r="E60" t="str">
            <v>Lodging</v>
          </cell>
          <cell r="F60" t="str">
            <v>Hotel</v>
          </cell>
          <cell r="G60">
            <v>86</v>
          </cell>
          <cell r="H60">
            <v>1.6138736952937749</v>
          </cell>
          <cell r="I60">
            <v>0.59482230928200408</v>
          </cell>
          <cell r="J60">
            <v>1.1348416356877324</v>
          </cell>
          <cell r="K60">
            <v>4.8452416356877324</v>
          </cell>
          <cell r="L60" t="str">
            <v>n.a.</v>
          </cell>
          <cell r="M60">
            <v>1.5641288213559472</v>
          </cell>
          <cell r="N60">
            <v>2</v>
          </cell>
          <cell r="O60">
            <v>0.29739776951672864</v>
          </cell>
          <cell r="P60">
            <v>1</v>
          </cell>
          <cell r="Q60" t="str">
            <v>Lodging 20-100 rooms</v>
          </cell>
          <cell r="R60">
            <v>14.027579648121732</v>
          </cell>
          <cell r="S60">
            <v>13.20864373646114</v>
          </cell>
          <cell r="T60">
            <v>13.208643736461141</v>
          </cell>
          <cell r="U60">
            <v>39.627039627039629</v>
          </cell>
        </row>
        <row r="61">
          <cell r="A61" t="str">
            <v>Lodging Motel or inn</v>
          </cell>
          <cell r="B61" t="str">
            <v>Plus</v>
          </cell>
          <cell r="C61">
            <v>18</v>
          </cell>
          <cell r="D61">
            <v>39</v>
          </cell>
          <cell r="E61" t="str">
            <v>Lodging</v>
          </cell>
          <cell r="F61" t="str">
            <v>Motel or inn</v>
          </cell>
          <cell r="G61">
            <v>109</v>
          </cell>
          <cell r="H61">
            <v>1.7928555545507239</v>
          </cell>
          <cell r="I61">
            <v>1.1504939468005737</v>
          </cell>
          <cell r="J61">
            <v>1.1152416356877324</v>
          </cell>
          <cell r="K61">
            <v>8.4774638579099548</v>
          </cell>
          <cell r="L61" t="str">
            <v>n.a.</v>
          </cell>
          <cell r="M61">
            <v>1.5696349054087673</v>
          </cell>
          <cell r="N61">
            <v>2</v>
          </cell>
          <cell r="O61">
            <v>0.29739776951672864</v>
          </cell>
          <cell r="P61">
            <v>1</v>
          </cell>
          <cell r="Q61" t="str">
            <v>Lodging 20-100 rooms</v>
          </cell>
          <cell r="R61">
            <v>14.027579648121732</v>
          </cell>
          <cell r="S61">
            <v>13.20864373646114</v>
          </cell>
          <cell r="T61">
            <v>13.208643736461141</v>
          </cell>
          <cell r="U61">
            <v>39.627039627039629</v>
          </cell>
        </row>
        <row r="62">
          <cell r="A62" t="str">
            <v>Lodging Other lodging</v>
          </cell>
          <cell r="B62" t="str">
            <v>Plus</v>
          </cell>
          <cell r="C62">
            <v>18</v>
          </cell>
          <cell r="D62">
            <v>40</v>
          </cell>
          <cell r="E62" t="str">
            <v>Lodging</v>
          </cell>
          <cell r="F62" t="str">
            <v>Other lodging</v>
          </cell>
          <cell r="G62">
            <v>28</v>
          </cell>
          <cell r="H62">
            <v>1.8797962049689618</v>
          </cell>
          <cell r="I62">
            <v>1.3374013457038725</v>
          </cell>
          <cell r="J62">
            <v>1.1152416356877324</v>
          </cell>
          <cell r="K62">
            <v>7.1141860801321766</v>
          </cell>
          <cell r="L62" t="str">
            <v>n.a.</v>
          </cell>
          <cell r="M62">
            <v>1.4244758690515631</v>
          </cell>
          <cell r="N62">
            <v>2</v>
          </cell>
          <cell r="O62">
            <v>0.29739776951672864</v>
          </cell>
          <cell r="P62">
            <v>1</v>
          </cell>
          <cell r="Q62" t="str">
            <v>Lodging 20-100 rooms</v>
          </cell>
          <cell r="R62">
            <v>14.027579648121732</v>
          </cell>
          <cell r="S62">
            <v>13.20864373646114</v>
          </cell>
          <cell r="T62">
            <v>13.208643736461141</v>
          </cell>
          <cell r="U62">
            <v>39.627039627039629</v>
          </cell>
        </row>
        <row r="63">
          <cell r="A63" t="str">
            <v>Strip shopping mall Strip shopping mall</v>
          </cell>
          <cell r="B63" t="str">
            <v>Plus</v>
          </cell>
          <cell r="C63">
            <v>23</v>
          </cell>
          <cell r="D63">
            <v>50</v>
          </cell>
          <cell r="E63" t="str">
            <v>Strip shopping mall</v>
          </cell>
          <cell r="F63" t="str">
            <v>Strip shopping mall</v>
          </cell>
          <cell r="G63">
            <v>349</v>
          </cell>
          <cell r="H63" t="str">
            <v>n.a.</v>
          </cell>
          <cell r="I63" t="str">
            <v>n.a.</v>
          </cell>
          <cell r="J63" t="str">
            <v>n.a.</v>
          </cell>
          <cell r="K63" t="str">
            <v>n.a.</v>
          </cell>
          <cell r="L63" t="str">
            <v>n.a.</v>
          </cell>
          <cell r="M63" t="str">
            <v>n.a.</v>
          </cell>
          <cell r="N63">
            <v>2</v>
          </cell>
          <cell r="O63">
            <v>0.54832713754646845</v>
          </cell>
          <cell r="P63">
            <v>1</v>
          </cell>
          <cell r="Q63" t="str">
            <v xml:space="preserve">Retail </v>
          </cell>
          <cell r="R63">
            <v>0.6075976118772124</v>
          </cell>
          <cell r="S63">
            <v>1.0566914989168912</v>
          </cell>
          <cell r="T63">
            <v>0.88057624909740939</v>
          </cell>
          <cell r="U63">
            <v>39.627039627039629</v>
          </cell>
        </row>
        <row r="64">
          <cell r="A64" t="str">
            <v>Enclosed mall Enclosed mall</v>
          </cell>
          <cell r="B64" t="str">
            <v>Plus</v>
          </cell>
          <cell r="C64">
            <v>24</v>
          </cell>
          <cell r="D64">
            <v>51</v>
          </cell>
          <cell r="E64" t="str">
            <v>Enclosed mall</v>
          </cell>
          <cell r="F64" t="str">
            <v>Enclosed mall</v>
          </cell>
          <cell r="G64">
            <v>46</v>
          </cell>
          <cell r="H64" t="str">
            <v>n.a.</v>
          </cell>
          <cell r="I64" t="str">
            <v>n.a.</v>
          </cell>
          <cell r="J64" t="str">
            <v>n.a.</v>
          </cell>
          <cell r="K64" t="str">
            <v>n.a.</v>
          </cell>
          <cell r="L64" t="str">
            <v>n.a.</v>
          </cell>
          <cell r="M64" t="str">
            <v>n.a.</v>
          </cell>
          <cell r="N64">
            <v>2</v>
          </cell>
          <cell r="O64">
            <v>0.54832713754646845</v>
          </cell>
          <cell r="P64">
            <v>1</v>
          </cell>
          <cell r="Q64" t="str">
            <v xml:space="preserve">Retail </v>
          </cell>
          <cell r="R64">
            <v>0.6075976118772124</v>
          </cell>
          <cell r="S64">
            <v>1.0566914989168912</v>
          </cell>
          <cell r="T64">
            <v>0.88057624909740939</v>
          </cell>
          <cell r="U64">
            <v>39.627039627039629</v>
          </cell>
        </row>
        <row r="65">
          <cell r="A65" t="str">
            <v>Retail (except Malls) Vehicle dealership/showroom</v>
          </cell>
          <cell r="B65" t="str">
            <v>Plus</v>
          </cell>
          <cell r="C65">
            <v>25</v>
          </cell>
          <cell r="D65">
            <v>41</v>
          </cell>
          <cell r="E65" t="str">
            <v>Retail (except Malls)</v>
          </cell>
          <cell r="F65" t="str">
            <v>Vehicle dealership/showroom</v>
          </cell>
          <cell r="G65">
            <v>39</v>
          </cell>
          <cell r="H65">
            <v>1.6643187116208149</v>
          </cell>
          <cell r="I65">
            <v>0.52427052224661419</v>
          </cell>
          <cell r="J65">
            <v>1.1260194134655102</v>
          </cell>
          <cell r="K65">
            <v>3.8015749690210656</v>
          </cell>
          <cell r="L65" t="str">
            <v>n.a.</v>
          </cell>
          <cell r="M65">
            <v>1.5443644939567032</v>
          </cell>
          <cell r="N65">
            <v>2</v>
          </cell>
          <cell r="O65">
            <v>0.34386617100371747</v>
          </cell>
          <cell r="P65">
            <v>1</v>
          </cell>
          <cell r="Q65" t="str">
            <v xml:space="preserve">Retail </v>
          </cell>
          <cell r="R65">
            <v>0.6075976118772124</v>
          </cell>
          <cell r="S65">
            <v>1.0566914989168912</v>
          </cell>
          <cell r="T65">
            <v>0.88057624909740939</v>
          </cell>
          <cell r="U65">
            <v>39.627039627039629</v>
          </cell>
        </row>
        <row r="66">
          <cell r="A66" t="str">
            <v>Retail (except Malls) Retail store</v>
          </cell>
          <cell r="B66" t="str">
            <v>Plus</v>
          </cell>
          <cell r="C66">
            <v>25</v>
          </cell>
          <cell r="D66">
            <v>42</v>
          </cell>
          <cell r="E66" t="str">
            <v>Retail (except Malls)</v>
          </cell>
          <cell r="F66" t="str">
            <v>Retail store</v>
          </cell>
          <cell r="G66">
            <v>291</v>
          </cell>
          <cell r="H66">
            <v>0.62919327004250636</v>
          </cell>
          <cell r="I66">
            <v>0.40891387820936387</v>
          </cell>
          <cell r="J66">
            <v>0.34386617100371747</v>
          </cell>
          <cell r="K66">
            <v>3.9328661710037176</v>
          </cell>
          <cell r="L66" t="str">
            <v>n.a.</v>
          </cell>
          <cell r="M66">
            <v>0.549276732341064</v>
          </cell>
          <cell r="N66">
            <v>2</v>
          </cell>
          <cell r="O66">
            <v>0.34386617100371747</v>
          </cell>
          <cell r="P66">
            <v>1</v>
          </cell>
          <cell r="Q66" t="str">
            <v xml:space="preserve">Retail </v>
          </cell>
          <cell r="R66">
            <v>0.6075976118772124</v>
          </cell>
          <cell r="S66">
            <v>1.0566914989168912</v>
          </cell>
          <cell r="T66">
            <v>0.88057624909740939</v>
          </cell>
          <cell r="U66">
            <v>39.627039627039629</v>
          </cell>
        </row>
        <row r="67">
          <cell r="A67" t="str">
            <v>Retail (except Malls) Other retail</v>
          </cell>
          <cell r="B67" t="str">
            <v>Plus</v>
          </cell>
          <cell r="C67">
            <v>25</v>
          </cell>
          <cell r="D67">
            <v>43</v>
          </cell>
          <cell r="E67" t="str">
            <v>Retail (except Malls)</v>
          </cell>
          <cell r="F67" t="str">
            <v>Other retail</v>
          </cell>
          <cell r="G67">
            <v>25</v>
          </cell>
          <cell r="H67">
            <v>0.92190908041976405</v>
          </cell>
          <cell r="I67">
            <v>0.663006673984045</v>
          </cell>
          <cell r="J67">
            <v>0.38226617100371746</v>
          </cell>
          <cell r="K67">
            <v>2.6871995043370509</v>
          </cell>
          <cell r="L67" t="str">
            <v>n.a.</v>
          </cell>
          <cell r="M67">
            <v>0.82156974777792124</v>
          </cell>
          <cell r="N67">
            <v>2</v>
          </cell>
          <cell r="O67">
            <v>0.34386617100371747</v>
          </cell>
          <cell r="P67">
            <v>1</v>
          </cell>
          <cell r="Q67" t="str">
            <v xml:space="preserve">Retail </v>
          </cell>
          <cell r="R67">
            <v>0.6075976118772124</v>
          </cell>
          <cell r="S67">
            <v>1.0566914989168912</v>
          </cell>
          <cell r="T67">
            <v>0.88057624909740939</v>
          </cell>
          <cell r="U67">
            <v>39.627039627039629</v>
          </cell>
        </row>
        <row r="68">
          <cell r="A68" t="str">
            <v>Service (except Food) Post office/postal center</v>
          </cell>
          <cell r="B68" t="str">
            <v>Plus</v>
          </cell>
          <cell r="C68">
            <v>26</v>
          </cell>
          <cell r="D68">
            <v>44</v>
          </cell>
          <cell r="E68" t="str">
            <v>Service (except Food)</v>
          </cell>
          <cell r="F68" t="str">
            <v>Post office/postal center</v>
          </cell>
          <cell r="G68">
            <v>23</v>
          </cell>
          <cell r="H68">
            <v>0.93006761479471101</v>
          </cell>
          <cell r="I68">
            <v>0.46102821788655407</v>
          </cell>
          <cell r="J68">
            <v>0.54832713754646845</v>
          </cell>
          <cell r="K68">
            <v>2.6029173014808946</v>
          </cell>
          <cell r="L68" t="str">
            <v>n.a.</v>
          </cell>
          <cell r="M68">
            <v>0.90907201553445571</v>
          </cell>
          <cell r="N68">
            <v>2</v>
          </cell>
          <cell r="O68">
            <v>0.54832713754646845</v>
          </cell>
          <cell r="P68">
            <v>1</v>
          </cell>
          <cell r="Q68" t="str">
            <v xml:space="preserve">Service </v>
          </cell>
          <cell r="R68">
            <v>1.0038569239710466</v>
          </cell>
          <cell r="S68">
            <v>1.5850372483753368</v>
          </cell>
          <cell r="T68">
            <v>0.88057624909740939</v>
          </cell>
          <cell r="U68">
            <v>39.627039627039629</v>
          </cell>
        </row>
        <row r="69">
          <cell r="A69" t="str">
            <v>Service (except Food) Repair shop</v>
          </cell>
          <cell r="B69" t="str">
            <v>Plus</v>
          </cell>
          <cell r="C69">
            <v>26</v>
          </cell>
          <cell r="D69">
            <v>45</v>
          </cell>
          <cell r="E69" t="str">
            <v>Service (except Food)</v>
          </cell>
          <cell r="F69" t="str">
            <v>Repair shop</v>
          </cell>
          <cell r="G69">
            <v>44</v>
          </cell>
          <cell r="H69">
            <v>0.47708884456321848</v>
          </cell>
          <cell r="I69">
            <v>0.19844528721986518</v>
          </cell>
          <cell r="J69">
            <v>0.18587360594795541</v>
          </cell>
          <cell r="K69">
            <v>0.99769178776613721</v>
          </cell>
          <cell r="L69" t="str">
            <v>n.a.</v>
          </cell>
          <cell r="M69">
            <v>0.42833678057910263</v>
          </cell>
          <cell r="N69">
            <v>2</v>
          </cell>
          <cell r="O69">
            <v>0.54832713754646845</v>
          </cell>
          <cell r="P69">
            <v>1</v>
          </cell>
          <cell r="Q69" t="str">
            <v xml:space="preserve">Service </v>
          </cell>
          <cell r="R69">
            <v>1.0038569239710466</v>
          </cell>
          <cell r="S69">
            <v>1.5850372483753368</v>
          </cell>
          <cell r="T69">
            <v>0.88057624909740939</v>
          </cell>
          <cell r="U69">
            <v>39.627039627039629</v>
          </cell>
        </row>
        <row r="70">
          <cell r="A70" t="str">
            <v>Service (except Food) Vehicle service/repair shop</v>
          </cell>
          <cell r="B70" t="str">
            <v>Plus</v>
          </cell>
          <cell r="C70">
            <v>26</v>
          </cell>
          <cell r="D70">
            <v>46</v>
          </cell>
          <cell r="E70" t="str">
            <v>Service (except Food)</v>
          </cell>
          <cell r="F70" t="str">
            <v>Vehicle service/repair shop</v>
          </cell>
          <cell r="G70">
            <v>125</v>
          </cell>
          <cell r="H70">
            <v>0.54789202100047574</v>
          </cell>
          <cell r="I70">
            <v>0.35297671269214431</v>
          </cell>
          <cell r="J70">
            <v>0.18587360594795541</v>
          </cell>
          <cell r="K70">
            <v>2.5371556572300067</v>
          </cell>
          <cell r="L70" t="str">
            <v>n.a.</v>
          </cell>
          <cell r="M70">
            <v>0.50325197968776458</v>
          </cell>
          <cell r="N70">
            <v>2</v>
          </cell>
          <cell r="O70">
            <v>0.54832713754646845</v>
          </cell>
          <cell r="P70">
            <v>1</v>
          </cell>
          <cell r="Q70" t="str">
            <v xml:space="preserve">Service </v>
          </cell>
          <cell r="R70">
            <v>1.0038569239710466</v>
          </cell>
          <cell r="S70">
            <v>1.5850372483753368</v>
          </cell>
          <cell r="T70">
            <v>0.88057624909740939</v>
          </cell>
          <cell r="U70">
            <v>39.627039627039629</v>
          </cell>
        </row>
        <row r="71">
          <cell r="A71" t="str">
            <v>Service (except Food) Vehicle storage/maintenance</v>
          </cell>
          <cell r="B71" t="str">
            <v>Plus</v>
          </cell>
          <cell r="C71">
            <v>26</v>
          </cell>
          <cell r="D71">
            <v>47</v>
          </cell>
          <cell r="E71" t="str">
            <v>Service (except Food)</v>
          </cell>
          <cell r="F71" t="str">
            <v>Vehicle storage/maintenance</v>
          </cell>
          <cell r="G71">
            <v>99</v>
          </cell>
          <cell r="H71">
            <v>0.34856384619377995</v>
          </cell>
          <cell r="I71">
            <v>0.20482405558889696</v>
          </cell>
          <cell r="J71">
            <v>0.18587360594795541</v>
          </cell>
          <cell r="K71">
            <v>1.3525402726146221</v>
          </cell>
          <cell r="L71" t="str">
            <v>n.a.</v>
          </cell>
          <cell r="M71">
            <v>0.32656593914218118</v>
          </cell>
          <cell r="N71">
            <v>2</v>
          </cell>
          <cell r="O71">
            <v>0.54832713754646845</v>
          </cell>
          <cell r="P71">
            <v>1</v>
          </cell>
          <cell r="Q71" t="str">
            <v xml:space="preserve">Service </v>
          </cell>
          <cell r="R71">
            <v>1.0038569239710466</v>
          </cell>
          <cell r="S71">
            <v>1.5850372483753368</v>
          </cell>
          <cell r="T71">
            <v>0.88057624909740939</v>
          </cell>
          <cell r="U71">
            <v>39.627039627039629</v>
          </cell>
        </row>
        <row r="72">
          <cell r="A72" t="str">
            <v>Service (except Food) Other service</v>
          </cell>
          <cell r="B72" t="str">
            <v>Plus</v>
          </cell>
          <cell r="C72">
            <v>26</v>
          </cell>
          <cell r="D72">
            <v>48</v>
          </cell>
          <cell r="E72" t="str">
            <v>Service (except Food)</v>
          </cell>
          <cell r="F72" t="str">
            <v>Other service</v>
          </cell>
          <cell r="G72">
            <v>79</v>
          </cell>
          <cell r="H72">
            <v>0.61364824036833088</v>
          </cell>
          <cell r="I72">
            <v>0.68334550212481704</v>
          </cell>
          <cell r="J72">
            <v>0.18587360594795541</v>
          </cell>
          <cell r="K72">
            <v>5.441873605947956</v>
          </cell>
          <cell r="L72" t="str">
            <v>n.a.</v>
          </cell>
          <cell r="M72">
            <v>0.51912260356910667</v>
          </cell>
          <cell r="N72">
            <v>2</v>
          </cell>
          <cell r="O72">
            <v>0.54832713754646845</v>
          </cell>
          <cell r="P72">
            <v>1</v>
          </cell>
          <cell r="Q72" t="str">
            <v xml:space="preserve">Service </v>
          </cell>
          <cell r="R72">
            <v>1.0038569239710466</v>
          </cell>
          <cell r="S72">
            <v>1.5850372483753368</v>
          </cell>
          <cell r="T72">
            <v>0.88057624909740939</v>
          </cell>
          <cell r="U72">
            <v>39.627039627039629</v>
          </cell>
        </row>
        <row r="73">
          <cell r="A73" t="str">
            <v>Other Other</v>
          </cell>
          <cell r="B73" t="str">
            <v>Plus</v>
          </cell>
          <cell r="C73">
            <v>91</v>
          </cell>
          <cell r="D73">
            <v>49</v>
          </cell>
          <cell r="E73" t="str">
            <v>Other</v>
          </cell>
          <cell r="F73" t="str">
            <v>Other</v>
          </cell>
          <cell r="G73">
            <v>64</v>
          </cell>
          <cell r="H73">
            <v>1.2041002906677774</v>
          </cell>
          <cell r="I73">
            <v>5.2178867915211313</v>
          </cell>
          <cell r="J73">
            <v>0.18587360594795541</v>
          </cell>
          <cell r="K73">
            <v>42.152353605947951</v>
          </cell>
          <cell r="L73" t="str">
            <v>n.a.</v>
          </cell>
          <cell r="M73">
            <v>1.2743207321638061</v>
          </cell>
          <cell r="N73">
            <v>2</v>
          </cell>
          <cell r="O73">
            <v>0.54832713754646845</v>
          </cell>
          <cell r="P73">
            <v>1</v>
          </cell>
          <cell r="Q73" t="str">
            <v xml:space="preserve">Other </v>
          </cell>
          <cell r="R73">
            <v>1.0038569239710466</v>
          </cell>
          <cell r="S73">
            <v>1.5850372483753368</v>
          </cell>
          <cell r="T73">
            <v>0.88057624909740939</v>
          </cell>
          <cell r="U73">
            <v>39.627039627039629</v>
          </cell>
        </row>
        <row r="74">
          <cell r="A74" t="str">
            <v>No default</v>
          </cell>
          <cell r="B74" t="str">
            <v>n.a.</v>
          </cell>
          <cell r="C74" t="str">
            <v>n.a.</v>
          </cell>
          <cell r="D74" t="str">
            <v>n.a.</v>
          </cell>
          <cell r="E74" t="str">
            <v>n.a.</v>
          </cell>
          <cell r="F74" t="str">
            <v>n.a.</v>
          </cell>
          <cell r="G74" t="str">
            <v>n.a.</v>
          </cell>
          <cell r="H74" t="str">
            <v>n.a.</v>
          </cell>
          <cell r="I74" t="str">
            <v>n.a.</v>
          </cell>
          <cell r="J74" t="str">
            <v>n.a.</v>
          </cell>
          <cell r="K74" t="str">
            <v>n.a.</v>
          </cell>
          <cell r="L74" t="str">
            <v>n.a.</v>
          </cell>
          <cell r="M74" t="str">
            <v>n.a.</v>
          </cell>
          <cell r="N74" t="str">
            <v>n.a.</v>
          </cell>
          <cell r="O74" t="str">
            <v>n.a.</v>
          </cell>
          <cell r="P74" t="str">
            <v>n.a.</v>
          </cell>
          <cell r="Q74" t="str">
            <v>n.a.</v>
          </cell>
          <cell r="R74" t="str">
            <v>n.a.</v>
          </cell>
          <cell r="S74" t="str">
            <v>n.a.</v>
          </cell>
          <cell r="T74" t="str">
            <v>n.a.</v>
          </cell>
          <cell r="U74" t="str">
            <v>n.a.</v>
          </cell>
        </row>
        <row r="75">
          <cell r="A75" t="str">
            <v>Use whole building data</v>
          </cell>
          <cell r="B75" t="str">
            <v>UWBD</v>
          </cell>
          <cell r="C75" t="str">
            <v>UWBD</v>
          </cell>
          <cell r="D75" t="str">
            <v>UWBD</v>
          </cell>
          <cell r="E75" t="str">
            <v>UWBD</v>
          </cell>
          <cell r="F75" t="str">
            <v>UWBD</v>
          </cell>
          <cell r="G75" t="str">
            <v>UWBD</v>
          </cell>
          <cell r="H75" t="str">
            <v>UWBD</v>
          </cell>
          <cell r="I75" t="str">
            <v>UWBD</v>
          </cell>
          <cell r="J75" t="str">
            <v>UWBD</v>
          </cell>
          <cell r="K75" t="str">
            <v>UWBD</v>
          </cell>
          <cell r="L75" t="str">
            <v>UWBD</v>
          </cell>
          <cell r="M75" t="str">
            <v>UWBD</v>
          </cell>
          <cell r="N75" t="str">
            <v>UWBD</v>
          </cell>
          <cell r="O75" t="str">
            <v>UWBD</v>
          </cell>
          <cell r="P75" t="str">
            <v>UWBD</v>
          </cell>
          <cell r="Q75" t="str">
            <v>n.a.</v>
          </cell>
          <cell r="R75" t="str">
            <v>n.a.</v>
          </cell>
          <cell r="S75" t="str">
            <v>n.a.</v>
          </cell>
          <cell r="T75" t="str">
            <v>n.a.</v>
          </cell>
          <cell r="U75" t="str">
            <v>n.a.</v>
          </cell>
        </row>
      </sheetData>
      <sheetData sheetId="11">
        <row r="3">
          <cell r="A3" t="str">
            <v>All Commercial</v>
          </cell>
          <cell r="B3">
            <v>0.90182648401826482</v>
          </cell>
          <cell r="C3">
            <v>0.2089041095890411</v>
          </cell>
        </row>
        <row r="4">
          <cell r="A4" t="str">
            <v>Small Office</v>
          </cell>
          <cell r="B4">
            <v>2.2831050228310501E-2</v>
          </cell>
          <cell r="C4">
            <v>6.6210045662100453E-2</v>
          </cell>
        </row>
        <row r="5">
          <cell r="A5" t="str">
            <v>Large Office</v>
          </cell>
          <cell r="B5">
            <v>0.17123287671232876</v>
          </cell>
          <cell r="C5">
            <v>4.6803652968036527E-2</v>
          </cell>
        </row>
        <row r="6">
          <cell r="A6" t="str">
            <v>Restaurant</v>
          </cell>
          <cell r="B6">
            <v>17.534246575342468</v>
          </cell>
          <cell r="C6">
            <v>1.1267123287671232</v>
          </cell>
        </row>
        <row r="7">
          <cell r="A7" t="str">
            <v>Retail</v>
          </cell>
          <cell r="B7">
            <v>9.1324200913242004E-2</v>
          </cell>
          <cell r="C7">
            <v>0.11757990867579908</v>
          </cell>
        </row>
        <row r="8">
          <cell r="A8" t="str">
            <v>Food Store</v>
          </cell>
          <cell r="B8">
            <v>1.1872146118721461</v>
          </cell>
          <cell r="C8">
            <v>2.5593607305936072</v>
          </cell>
        </row>
        <row r="9">
          <cell r="A9" t="str">
            <v>Refrigerated Warehouse</v>
          </cell>
          <cell r="B9">
            <v>0.45662100456621002</v>
          </cell>
          <cell r="C9">
            <v>1.5342465753424657</v>
          </cell>
        </row>
        <row r="10">
          <cell r="A10" t="str">
            <v>Unrefrigerated Warehouse</v>
          </cell>
          <cell r="B10">
            <v>0</v>
          </cell>
          <cell r="C10">
            <v>3.1963470319634701E-2</v>
          </cell>
        </row>
        <row r="11">
          <cell r="A11" t="str">
            <v>School</v>
          </cell>
          <cell r="B11">
            <v>0.13698630136986303</v>
          </cell>
          <cell r="C11">
            <v>5.7077625570776253E-2</v>
          </cell>
        </row>
        <row r="12">
          <cell r="A12" t="str">
            <v>College</v>
          </cell>
          <cell r="B12">
            <v>0.29680365296803651</v>
          </cell>
          <cell r="C12">
            <v>5.2511415525114152E-2</v>
          </cell>
        </row>
        <row r="13">
          <cell r="A13" t="str">
            <v>Health</v>
          </cell>
          <cell r="B13">
            <v>1.1301369863013697</v>
          </cell>
          <cell r="C13">
            <v>8.1050228310502279E-2</v>
          </cell>
        </row>
        <row r="14">
          <cell r="A14" t="str">
            <v>Lodging</v>
          </cell>
          <cell r="B14">
            <v>0.69634703196347048</v>
          </cell>
          <cell r="C14">
            <v>0.10273972602739725</v>
          </cell>
        </row>
        <row r="15">
          <cell r="A15" t="str">
            <v>Miscellaneous</v>
          </cell>
          <cell r="B15">
            <v>0.75342465753424659</v>
          </cell>
          <cell r="C15">
            <v>9.8173515981735154E-2</v>
          </cell>
        </row>
        <row r="16">
          <cell r="A16" t="str">
            <v>All Offices</v>
          </cell>
          <cell r="B16">
            <v>0.12557077625570776</v>
          </cell>
          <cell r="C16">
            <v>5.3652968036529677E-2</v>
          </cell>
        </row>
        <row r="17">
          <cell r="A17" t="str">
            <v>All Warehouses</v>
          </cell>
          <cell r="B17">
            <v>6.8493150684931517E-2</v>
          </cell>
          <cell r="C17">
            <v>0.25228310502283108</v>
          </cell>
        </row>
        <row r="18">
          <cell r="A18" t="str">
            <v>Food Preparation</v>
          </cell>
          <cell r="B18">
            <v>35.068493150684937</v>
          </cell>
          <cell r="C18">
            <v>2.2534246575342465</v>
          </cell>
        </row>
        <row r="19">
          <cell r="A19" t="str">
            <v>Assembly</v>
          </cell>
          <cell r="B19">
            <v>2.2831050228310501E-2</v>
          </cell>
          <cell r="C19">
            <v>6.6210045662100453E-2</v>
          </cell>
        </row>
        <row r="20">
          <cell r="A20" t="str">
            <v>No default</v>
          </cell>
          <cell r="B20" t="str">
            <v>n.a.</v>
          </cell>
          <cell r="C20" t="str">
            <v>n.a.</v>
          </cell>
        </row>
        <row r="21">
          <cell r="A21" t="str">
            <v>Use whole building data</v>
          </cell>
          <cell r="B21" t="str">
            <v>n.a.</v>
          </cell>
          <cell r="C21" t="str">
            <v>n.a.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D4BF-3F73-4EA5-AF97-587922B50964}">
  <dimension ref="A1:CW143"/>
  <sheetViews>
    <sheetView tabSelected="1" workbookViewId="0">
      <selection activeCell="A5" sqref="A5"/>
    </sheetView>
  </sheetViews>
  <sheetFormatPr defaultRowHeight="14.5" x14ac:dyDescent="0.35"/>
  <cols>
    <col min="1" max="1" width="47" customWidth="1"/>
    <col min="2" max="2" width="21.6328125" style="50" customWidth="1"/>
    <col min="3" max="3" width="17.7265625" style="50" customWidth="1"/>
    <col min="4" max="4" width="30.81640625" style="50" customWidth="1"/>
    <col min="5" max="5" width="30.81640625" customWidth="1"/>
    <col min="6" max="6" width="7.453125" style="62" customWidth="1"/>
    <col min="7" max="7" width="5" style="62" customWidth="1"/>
    <col min="8" max="8" width="11.54296875" customWidth="1"/>
    <col min="9" max="11" width="7.1796875" customWidth="1"/>
    <col min="12" max="12" width="36.81640625" style="50" customWidth="1"/>
    <col min="13" max="13" width="56.08984375" style="50" customWidth="1"/>
    <col min="14" max="14" width="11" style="62" customWidth="1"/>
    <col min="15" max="24" width="11" customWidth="1"/>
    <col min="25" max="28" width="18" customWidth="1"/>
    <col min="29" max="29" width="46.08984375" style="50" customWidth="1"/>
    <col min="30" max="30" width="17.1796875" customWidth="1"/>
    <col min="31" max="31" width="17.1796875" style="50" customWidth="1"/>
    <col min="32" max="35" width="15.54296875" style="62" customWidth="1"/>
    <col min="36" max="36" width="13.08984375" style="62" customWidth="1"/>
    <col min="37" max="37" width="13.08984375" customWidth="1"/>
    <col min="38" max="38" width="9" customWidth="1"/>
    <col min="39" max="42" width="11.90625" customWidth="1"/>
    <col min="43" max="43" width="26.26953125" style="50" customWidth="1"/>
    <col min="44" max="48" width="7.6328125" customWidth="1"/>
    <col min="49" max="49" width="13.54296875" customWidth="1"/>
    <col min="50" max="50" width="20.54296875" customWidth="1"/>
    <col min="51" max="51" width="8.7265625" customWidth="1"/>
    <col min="52" max="52" width="74.453125" style="50" customWidth="1"/>
    <col min="53" max="53" width="28.1796875" customWidth="1"/>
    <col min="54" max="54" width="7.6328125" style="50" customWidth="1"/>
    <col min="55" max="57" width="7.6328125" customWidth="1"/>
    <col min="58" max="60" width="16" customWidth="1"/>
    <col min="61" max="61" width="58" style="50" customWidth="1"/>
    <col min="62" max="62" width="20.54296875" customWidth="1"/>
    <col min="63" max="68" width="8.7265625" customWidth="1"/>
    <col min="69" max="69" width="14.1796875" customWidth="1"/>
    <col min="70" max="70" width="39.7265625" customWidth="1"/>
    <col min="71" max="71" width="23.54296875" customWidth="1"/>
    <col min="72" max="72" width="26.26953125" style="50" customWidth="1"/>
    <col min="73" max="73" width="33.26953125" customWidth="1"/>
    <col min="74" max="76" width="11.1796875" customWidth="1"/>
    <col min="77" max="77" width="8.6328125" customWidth="1"/>
    <col min="78" max="78" width="9.81640625" customWidth="1"/>
    <col min="79" max="79" width="13.1796875" customWidth="1"/>
    <col min="80" max="80" width="23.1796875" style="50" customWidth="1"/>
    <col min="81" max="81" width="26.26953125" style="50" customWidth="1"/>
    <col min="82" max="82" width="12.36328125" customWidth="1"/>
    <col min="83" max="83" width="16.26953125" customWidth="1"/>
    <col min="84" max="84" width="12.6328125" customWidth="1"/>
    <col min="85" max="88" width="11.1796875" customWidth="1"/>
    <col min="89" max="94" width="10.90625" customWidth="1"/>
    <col min="95" max="95" width="11.1796875" customWidth="1"/>
    <col min="96" max="96" width="27.81640625" customWidth="1"/>
    <col min="97" max="97" width="8.6328125" hidden="1" customWidth="1"/>
    <col min="98" max="98" width="26.453125" hidden="1" customWidth="1"/>
    <col min="99" max="99" width="13.1796875" hidden="1" customWidth="1"/>
    <col min="100" max="100" width="46.54296875" hidden="1" customWidth="1"/>
    <col min="101" max="101" width="101.90625" style="50" customWidth="1"/>
  </cols>
  <sheetData>
    <row r="1" spans="1:101" ht="15" thickBot="1" x14ac:dyDescent="0.4">
      <c r="A1" s="57" t="s">
        <v>2101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  <c r="N1" s="57" t="s">
        <v>2110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9"/>
      <c r="AF1" s="57" t="s">
        <v>2126</v>
      </c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9"/>
      <c r="AR1" s="57" t="s">
        <v>2127</v>
      </c>
      <c r="AS1" s="58"/>
      <c r="AT1" s="58"/>
      <c r="AU1" s="58"/>
      <c r="AV1" s="58"/>
      <c r="AW1" s="58"/>
      <c r="AX1" s="58"/>
      <c r="AY1" s="58"/>
      <c r="AZ1" s="58"/>
      <c r="BA1" s="59"/>
      <c r="BB1" s="57" t="s">
        <v>2128</v>
      </c>
      <c r="BC1" s="58"/>
      <c r="BD1" s="58"/>
      <c r="BE1" s="58"/>
      <c r="BF1" s="58"/>
      <c r="BG1" s="58"/>
      <c r="BH1" s="58"/>
      <c r="BI1" s="58"/>
      <c r="BJ1" s="59"/>
      <c r="BK1" s="57" t="s">
        <v>2129</v>
      </c>
      <c r="BL1" s="58"/>
      <c r="BM1" s="58"/>
      <c r="BN1" s="58"/>
      <c r="BO1" s="58"/>
      <c r="BP1" s="58"/>
      <c r="BQ1" s="58"/>
      <c r="BR1" s="58"/>
      <c r="BS1" s="58"/>
      <c r="BT1" s="58"/>
      <c r="BU1" s="59"/>
      <c r="BV1" s="57" t="s">
        <v>2130</v>
      </c>
      <c r="BW1" s="58"/>
      <c r="BX1" s="58"/>
      <c r="BY1" s="58"/>
      <c r="BZ1" s="58"/>
      <c r="CA1" s="58"/>
      <c r="CB1" s="58"/>
      <c r="CC1" s="58"/>
      <c r="CD1" s="58"/>
      <c r="CE1" s="58"/>
      <c r="CF1" s="59"/>
      <c r="CG1" s="55" t="s">
        <v>2174</v>
      </c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74"/>
    </row>
    <row r="2" spans="1:101" ht="22" customHeight="1" x14ac:dyDescent="0.35">
      <c r="I2" s="4" t="s">
        <v>2105</v>
      </c>
      <c r="J2" s="4" t="s">
        <v>2105</v>
      </c>
      <c r="K2" s="4" t="s">
        <v>2105</v>
      </c>
      <c r="L2" s="50" t="s">
        <v>2101</v>
      </c>
      <c r="M2" s="50" t="s">
        <v>2116</v>
      </c>
      <c r="P2" t="s">
        <v>2110</v>
      </c>
      <c r="U2" t="s">
        <v>2116</v>
      </c>
      <c r="V2" t="s">
        <v>2116</v>
      </c>
      <c r="W2" t="s">
        <v>2116</v>
      </c>
      <c r="X2" t="s">
        <v>2110</v>
      </c>
      <c r="AC2" s="50" t="s">
        <v>2110</v>
      </c>
      <c r="AE2" s="50" t="s">
        <v>2116</v>
      </c>
      <c r="AG2" s="62" t="s">
        <v>2126</v>
      </c>
      <c r="AI2" s="62" t="s">
        <v>2126</v>
      </c>
      <c r="AL2" t="s">
        <v>2126</v>
      </c>
      <c r="AQ2" s="50" t="s">
        <v>2126</v>
      </c>
      <c r="AS2" t="s">
        <v>2127</v>
      </c>
      <c r="AT2" t="s">
        <v>2127</v>
      </c>
      <c r="AU2" t="s">
        <v>2127</v>
      </c>
      <c r="AV2" t="s">
        <v>2127</v>
      </c>
      <c r="AZ2" s="50" t="s">
        <v>2127</v>
      </c>
      <c r="BA2" t="s">
        <v>2116</v>
      </c>
      <c r="BC2" t="s">
        <v>2128</v>
      </c>
      <c r="BD2" t="s">
        <v>2128</v>
      </c>
      <c r="BE2" t="s">
        <v>2128</v>
      </c>
      <c r="BI2" s="50" t="s">
        <v>2128</v>
      </c>
      <c r="BJ2" t="s">
        <v>2116</v>
      </c>
      <c r="BM2" t="s">
        <v>2129</v>
      </c>
      <c r="BN2" t="s">
        <v>2129</v>
      </c>
      <c r="BO2" t="s">
        <v>2129</v>
      </c>
      <c r="BP2" t="s">
        <v>2129</v>
      </c>
      <c r="BT2" s="50" t="s">
        <v>2129</v>
      </c>
      <c r="BU2" t="s">
        <v>2116</v>
      </c>
      <c r="BW2" t="s">
        <v>2130</v>
      </c>
      <c r="BX2" t="s">
        <v>2130</v>
      </c>
      <c r="CC2" s="50" t="s">
        <v>2130</v>
      </c>
      <c r="CD2" t="s">
        <v>2116</v>
      </c>
      <c r="CG2" t="s">
        <v>2174</v>
      </c>
      <c r="CH2" t="s">
        <v>2174</v>
      </c>
      <c r="CI2" t="s">
        <v>2174</v>
      </c>
      <c r="CJ2" t="s">
        <v>2182</v>
      </c>
      <c r="CK2" t="s">
        <v>2182</v>
      </c>
      <c r="CL2" t="s">
        <v>2182</v>
      </c>
      <c r="CM2" t="s">
        <v>2182</v>
      </c>
      <c r="CN2" t="s">
        <v>2182</v>
      </c>
      <c r="CO2" t="s">
        <v>2182</v>
      </c>
      <c r="CP2" t="s">
        <v>2182</v>
      </c>
      <c r="CQ2" t="s">
        <v>2182</v>
      </c>
      <c r="CR2" t="s">
        <v>2183</v>
      </c>
      <c r="CW2" s="50" t="s">
        <v>2174</v>
      </c>
    </row>
    <row r="3" spans="1:101" ht="101.5" x14ac:dyDescent="0.35">
      <c r="A3" t="s">
        <v>0</v>
      </c>
      <c r="B3" s="61" t="s">
        <v>2416</v>
      </c>
      <c r="C3" s="61" t="s">
        <v>2415</v>
      </c>
      <c r="D3" s="61" t="s">
        <v>2418</v>
      </c>
      <c r="E3" s="39" t="s">
        <v>2420</v>
      </c>
      <c r="F3" s="63" t="s">
        <v>2102</v>
      </c>
      <c r="G3" s="63" t="s">
        <v>2104</v>
      </c>
      <c r="H3" s="4" t="s">
        <v>2103</v>
      </c>
      <c r="I3" s="39" t="s">
        <v>2107</v>
      </c>
      <c r="J3" s="39" t="s">
        <v>2108</v>
      </c>
      <c r="K3" s="39" t="s">
        <v>2109</v>
      </c>
      <c r="L3" s="65" t="s">
        <v>131</v>
      </c>
      <c r="M3" s="65" t="s">
        <v>2169</v>
      </c>
      <c r="N3" s="67" t="s">
        <v>245</v>
      </c>
      <c r="O3" s="1" t="s">
        <v>241</v>
      </c>
      <c r="P3" s="40" t="s">
        <v>2106</v>
      </c>
      <c r="Q3" s="5" t="s">
        <v>242</v>
      </c>
      <c r="R3" s="5" t="s">
        <v>2097</v>
      </c>
      <c r="S3" s="5" t="s">
        <v>243</v>
      </c>
      <c r="T3" s="5" t="s">
        <v>2098</v>
      </c>
      <c r="U3" s="41" t="s">
        <v>2112</v>
      </c>
      <c r="V3" s="41" t="s">
        <v>2113</v>
      </c>
      <c r="W3" s="41" t="s">
        <v>2114</v>
      </c>
      <c r="X3" s="41" t="s">
        <v>2111</v>
      </c>
      <c r="Y3" s="1" t="s">
        <v>40</v>
      </c>
      <c r="Z3" s="1" t="s">
        <v>244</v>
      </c>
      <c r="AA3" s="1" t="s">
        <v>41</v>
      </c>
      <c r="AB3" s="1" t="s">
        <v>246</v>
      </c>
      <c r="AC3" s="65" t="s">
        <v>131</v>
      </c>
      <c r="AD3" s="40" t="s">
        <v>2173</v>
      </c>
      <c r="AE3" s="65" t="s">
        <v>2115</v>
      </c>
      <c r="AF3" s="67" t="s">
        <v>34</v>
      </c>
      <c r="AG3" s="70" t="s">
        <v>2117</v>
      </c>
      <c r="AH3" s="67" t="s">
        <v>35</v>
      </c>
      <c r="AI3" s="70" t="s">
        <v>2118</v>
      </c>
      <c r="AJ3" s="67" t="s">
        <v>36</v>
      </c>
      <c r="AK3" s="1" t="s">
        <v>2099</v>
      </c>
      <c r="AL3" s="40" t="s">
        <v>2119</v>
      </c>
      <c r="AM3" s="1" t="s">
        <v>40</v>
      </c>
      <c r="AN3" s="1" t="s">
        <v>244</v>
      </c>
      <c r="AO3" s="1" t="s">
        <v>41</v>
      </c>
      <c r="AP3" s="1" t="s">
        <v>246</v>
      </c>
      <c r="AQ3" s="65" t="s">
        <v>131</v>
      </c>
      <c r="AR3" s="1" t="s">
        <v>212</v>
      </c>
      <c r="AS3" s="40" t="s">
        <v>2120</v>
      </c>
      <c r="AT3" s="40" t="s">
        <v>2121</v>
      </c>
      <c r="AU3" s="40" t="s">
        <v>2122</v>
      </c>
      <c r="AV3" s="40" t="s">
        <v>2123</v>
      </c>
      <c r="AW3" s="1" t="s">
        <v>40</v>
      </c>
      <c r="AX3" s="1" t="s">
        <v>41</v>
      </c>
      <c r="AY3" s="1" t="s">
        <v>88</v>
      </c>
      <c r="AZ3" s="65" t="s">
        <v>131</v>
      </c>
      <c r="BA3" s="40" t="s">
        <v>362</v>
      </c>
      <c r="BB3" s="53" t="s">
        <v>212</v>
      </c>
      <c r="BC3" s="40" t="s">
        <v>2120</v>
      </c>
      <c r="BD3" s="40" t="s">
        <v>2122</v>
      </c>
      <c r="BE3" s="40" t="s">
        <v>2124</v>
      </c>
      <c r="BF3" s="1" t="s">
        <v>40</v>
      </c>
      <c r="BG3" s="1" t="s">
        <v>41</v>
      </c>
      <c r="BH3" s="1" t="s">
        <v>88</v>
      </c>
      <c r="BI3" s="65" t="s">
        <v>131</v>
      </c>
      <c r="BJ3" s="40" t="s">
        <v>363</v>
      </c>
      <c r="BK3" s="3" t="s">
        <v>237</v>
      </c>
      <c r="BL3" s="3" t="s">
        <v>2100</v>
      </c>
      <c r="BM3" s="40" t="s">
        <v>2125</v>
      </c>
      <c r="BN3" s="40" t="s">
        <v>2121</v>
      </c>
      <c r="BO3" s="40" t="s">
        <v>2122</v>
      </c>
      <c r="BP3" s="40" t="s">
        <v>2123</v>
      </c>
      <c r="BQ3" s="1" t="s">
        <v>40</v>
      </c>
      <c r="BR3" s="1" t="s">
        <v>41</v>
      </c>
      <c r="BS3" s="1" t="s">
        <v>88</v>
      </c>
      <c r="BT3" s="65" t="s">
        <v>131</v>
      </c>
      <c r="BU3" s="40" t="s">
        <v>325</v>
      </c>
      <c r="BV3" s="1" t="s">
        <v>263</v>
      </c>
      <c r="BW3" s="40" t="s">
        <v>2520</v>
      </c>
      <c r="BX3" s="40" t="s">
        <v>2131</v>
      </c>
      <c r="BY3" s="1" t="s">
        <v>40</v>
      </c>
      <c r="BZ3" s="1" t="s">
        <v>244</v>
      </c>
      <c r="CA3" s="1" t="s">
        <v>41</v>
      </c>
      <c r="CB3" s="53" t="s">
        <v>246</v>
      </c>
      <c r="CC3" s="65" t="s">
        <v>131</v>
      </c>
      <c r="CD3" s="40" t="s">
        <v>264</v>
      </c>
      <c r="CE3" s="1" t="s">
        <v>248</v>
      </c>
      <c r="CF3" s="1" t="s">
        <v>249</v>
      </c>
      <c r="CG3" s="40" t="s">
        <v>2177</v>
      </c>
      <c r="CH3" s="40" t="s">
        <v>2175</v>
      </c>
      <c r="CI3" s="40" t="s">
        <v>2179</v>
      </c>
      <c r="CJ3" s="40" t="s">
        <v>2184</v>
      </c>
      <c r="CK3" s="40" t="s">
        <v>2185</v>
      </c>
      <c r="CL3" s="40" t="s">
        <v>2186</v>
      </c>
      <c r="CM3" s="40" t="s">
        <v>2187</v>
      </c>
      <c r="CN3" s="40" t="s">
        <v>2188</v>
      </c>
      <c r="CO3" s="40" t="s">
        <v>2189</v>
      </c>
      <c r="CP3" s="40" t="s">
        <v>2190</v>
      </c>
      <c r="CQ3" s="40" t="s">
        <v>2191</v>
      </c>
      <c r="CR3" s="40" t="s">
        <v>2192</v>
      </c>
      <c r="CS3" s="1" t="s">
        <v>40</v>
      </c>
      <c r="CT3" s="1" t="s">
        <v>244</v>
      </c>
      <c r="CU3" s="1" t="s">
        <v>41</v>
      </c>
      <c r="CV3" s="1" t="s">
        <v>246</v>
      </c>
      <c r="CW3" s="65" t="s">
        <v>131</v>
      </c>
    </row>
    <row r="4" spans="1:101" s="43" customFormat="1" x14ac:dyDescent="0.35">
      <c r="A4" s="42" t="s">
        <v>2166</v>
      </c>
      <c r="B4" s="52" t="s">
        <v>2417</v>
      </c>
      <c r="C4" s="52" t="s">
        <v>2413</v>
      </c>
      <c r="D4" s="52" t="s">
        <v>2419</v>
      </c>
      <c r="E4" s="42"/>
      <c r="F4" s="64" t="s">
        <v>2165</v>
      </c>
      <c r="G4" s="64" t="s">
        <v>2165</v>
      </c>
      <c r="H4" s="42" t="s">
        <v>2165</v>
      </c>
      <c r="I4" s="43" t="s">
        <v>2132</v>
      </c>
      <c r="J4" s="43" t="s">
        <v>2133</v>
      </c>
      <c r="K4" s="43" t="s">
        <v>2134</v>
      </c>
      <c r="L4" s="66" t="s">
        <v>2135</v>
      </c>
      <c r="M4" s="66" t="s">
        <v>2170</v>
      </c>
      <c r="N4" s="64" t="s">
        <v>2165</v>
      </c>
      <c r="O4" s="42" t="s">
        <v>2165</v>
      </c>
      <c r="P4" s="43" t="s">
        <v>2136</v>
      </c>
      <c r="Q4" s="42" t="s">
        <v>2165</v>
      </c>
      <c r="R4" s="42" t="s">
        <v>2165</v>
      </c>
      <c r="S4" s="42" t="s">
        <v>2165</v>
      </c>
      <c r="T4" s="42" t="s">
        <v>2165</v>
      </c>
      <c r="U4" s="43" t="s">
        <v>2137</v>
      </c>
      <c r="V4" s="43" t="s">
        <v>2138</v>
      </c>
      <c r="W4" s="43" t="s">
        <v>2139</v>
      </c>
      <c r="X4" s="43" t="s">
        <v>2140</v>
      </c>
      <c r="Y4" s="42" t="s">
        <v>2165</v>
      </c>
      <c r="Z4" s="42" t="s">
        <v>2165</v>
      </c>
      <c r="AA4" s="42" t="s">
        <v>2165</v>
      </c>
      <c r="AB4" s="42" t="s">
        <v>2165</v>
      </c>
      <c r="AC4" s="66" t="s">
        <v>2141</v>
      </c>
      <c r="AD4" s="42" t="s">
        <v>2172</v>
      </c>
      <c r="AE4" s="66" t="s">
        <v>2142</v>
      </c>
      <c r="AF4" s="64" t="s">
        <v>2165</v>
      </c>
      <c r="AG4" s="71" t="s">
        <v>2143</v>
      </c>
      <c r="AH4" s="64" t="s">
        <v>2165</v>
      </c>
      <c r="AI4" s="71" t="s">
        <v>2144</v>
      </c>
      <c r="AJ4" s="64" t="s">
        <v>2165</v>
      </c>
      <c r="AK4" s="42" t="s">
        <v>2165</v>
      </c>
      <c r="AL4" s="43" t="s">
        <v>2145</v>
      </c>
      <c r="AM4" s="42" t="s">
        <v>2165</v>
      </c>
      <c r="AN4" s="42" t="s">
        <v>2165</v>
      </c>
      <c r="AO4" s="42" t="s">
        <v>2165</v>
      </c>
      <c r="AP4" s="42" t="s">
        <v>2165</v>
      </c>
      <c r="AQ4" s="66" t="s">
        <v>2146</v>
      </c>
      <c r="AR4" s="42" t="s">
        <v>2165</v>
      </c>
      <c r="AS4" s="43" t="s">
        <v>2147</v>
      </c>
      <c r="AT4" s="43" t="s">
        <v>2148</v>
      </c>
      <c r="AU4" s="43" t="s">
        <v>2149</v>
      </c>
      <c r="AV4" s="43" t="s">
        <v>2150</v>
      </c>
      <c r="AW4" s="42" t="s">
        <v>2165</v>
      </c>
      <c r="AX4" s="42" t="s">
        <v>2165</v>
      </c>
      <c r="AY4" s="42" t="s">
        <v>2165</v>
      </c>
      <c r="AZ4" s="66" t="s">
        <v>2151</v>
      </c>
      <c r="BA4" s="42" t="s">
        <v>2168</v>
      </c>
      <c r="BB4" s="52" t="s">
        <v>2165</v>
      </c>
      <c r="BC4" s="43" t="s">
        <v>2152</v>
      </c>
      <c r="BD4" s="43" t="s">
        <v>2153</v>
      </c>
      <c r="BE4" s="43" t="s">
        <v>2154</v>
      </c>
      <c r="BF4" s="42" t="s">
        <v>2165</v>
      </c>
      <c r="BG4" s="42" t="s">
        <v>2165</v>
      </c>
      <c r="BH4" s="42" t="s">
        <v>2165</v>
      </c>
      <c r="BI4" s="66" t="s">
        <v>2155</v>
      </c>
      <c r="BJ4" s="43" t="s">
        <v>2156</v>
      </c>
      <c r="BK4" s="42" t="s">
        <v>2165</v>
      </c>
      <c r="BL4" s="42" t="s">
        <v>2165</v>
      </c>
      <c r="BM4" s="42" t="s">
        <v>2167</v>
      </c>
      <c r="BN4" s="43" t="s">
        <v>2157</v>
      </c>
      <c r="BO4" s="43" t="s">
        <v>2158</v>
      </c>
      <c r="BP4" s="43" t="s">
        <v>2159</v>
      </c>
      <c r="BQ4" s="42" t="s">
        <v>2165</v>
      </c>
      <c r="BR4" s="42" t="s">
        <v>2165</v>
      </c>
      <c r="BS4" s="42" t="s">
        <v>2165</v>
      </c>
      <c r="BT4" s="66" t="s">
        <v>2160</v>
      </c>
      <c r="BU4" s="43" t="s">
        <v>2161</v>
      </c>
      <c r="BV4" s="42" t="s">
        <v>2165</v>
      </c>
      <c r="BW4" s="60" t="s">
        <v>2521</v>
      </c>
      <c r="BX4" s="43" t="s">
        <v>2162</v>
      </c>
      <c r="BY4" s="42" t="s">
        <v>2165</v>
      </c>
      <c r="BZ4" s="42" t="s">
        <v>2165</v>
      </c>
      <c r="CA4" s="44" t="s">
        <v>2165</v>
      </c>
      <c r="CB4" s="75" t="s">
        <v>2165</v>
      </c>
      <c r="CC4" s="66" t="s">
        <v>2163</v>
      </c>
      <c r="CD4" s="43" t="s">
        <v>2164</v>
      </c>
      <c r="CE4" s="44" t="s">
        <v>2165</v>
      </c>
      <c r="CF4" s="44" t="s">
        <v>2165</v>
      </c>
      <c r="CG4" s="42" t="s">
        <v>2178</v>
      </c>
      <c r="CH4" s="43" t="s">
        <v>2176</v>
      </c>
      <c r="CI4" s="43" t="s">
        <v>2180</v>
      </c>
      <c r="CJ4" s="43" t="s">
        <v>2193</v>
      </c>
      <c r="CK4" s="43" t="s">
        <v>2194</v>
      </c>
      <c r="CL4" s="43" t="s">
        <v>2195</v>
      </c>
      <c r="CM4" s="43" t="s">
        <v>2196</v>
      </c>
      <c r="CN4" s="43" t="s">
        <v>2197</v>
      </c>
      <c r="CO4" s="43" t="s">
        <v>2198</v>
      </c>
      <c r="CP4" s="43" t="s">
        <v>2199</v>
      </c>
      <c r="CQ4" s="43" t="s">
        <v>2200</v>
      </c>
      <c r="CR4" s="43" t="s">
        <v>2201</v>
      </c>
      <c r="CS4" s="42" t="s">
        <v>2165</v>
      </c>
      <c r="CT4" s="42" t="s">
        <v>2165</v>
      </c>
      <c r="CU4" s="44" t="s">
        <v>2165</v>
      </c>
      <c r="CV4" s="44" t="s">
        <v>2165</v>
      </c>
      <c r="CW4" s="65" t="s">
        <v>2202</v>
      </c>
    </row>
    <row r="5" spans="1:101" x14ac:dyDescent="0.35">
      <c r="A5" t="s">
        <v>1</v>
      </c>
      <c r="B5" s="50" t="str">
        <f>CONCATENATE(F5,"_",G5,"_",H5)</f>
        <v>2025_AU_NCC</v>
      </c>
      <c r="C5" s="50" t="str">
        <f>MID(A5,4,80)</f>
        <v>Automotive Facility</v>
      </c>
      <c r="D5" s="50" t="s">
        <v>2446</v>
      </c>
      <c r="E5" t="s">
        <v>240</v>
      </c>
      <c r="F5" s="62">
        <v>2025</v>
      </c>
      <c r="G5" s="62" t="s">
        <v>2522</v>
      </c>
      <c r="H5" t="s">
        <v>2523</v>
      </c>
      <c r="I5">
        <v>255</v>
      </c>
      <c r="J5">
        <v>255</v>
      </c>
      <c r="K5">
        <v>255</v>
      </c>
      <c r="L5" s="50" t="str">
        <f t="shared" ref="L5:L36" si="0">CONCATENATE(A5,"_",F5,G5,H5)</f>
        <v>BA Automotive Facility_2025AUNCC</v>
      </c>
      <c r="M5" s="50" t="str">
        <f>CONCATENATE(L5,"ScheduleSet")</f>
        <v>BA Automotive Facility_2025AUNCCScheduleSet</v>
      </c>
      <c r="N5" s="62">
        <v>143</v>
      </c>
      <c r="O5" s="6">
        <v>6.9930069929999998</v>
      </c>
      <c r="P5" s="38">
        <v>7.5272133000000005E-2</v>
      </c>
      <c r="Q5">
        <v>255.91</v>
      </c>
      <c r="R5" s="6">
        <v>75</v>
      </c>
      <c r="S5">
        <v>187.67</v>
      </c>
      <c r="T5" s="6">
        <v>55</v>
      </c>
      <c r="U5" s="6"/>
      <c r="V5" s="6"/>
      <c r="W5" s="6">
        <v>130</v>
      </c>
      <c r="X5" s="2">
        <v>0.57692307700000001</v>
      </c>
      <c r="Y5" t="s">
        <v>2524</v>
      </c>
      <c r="Z5" t="s">
        <v>2525</v>
      </c>
      <c r="AA5" s="4"/>
      <c r="AB5" s="4"/>
      <c r="AC5" s="50" t="str">
        <f t="shared" ref="AC5:AC24" si="1">CONCATENATE(Y5,Z5,AA5,AB5,A5,"PeopleDef")</f>
        <v>NCC S35C2nOther applications (non-dining)BA Automotive FacilityPeopleDef</v>
      </c>
      <c r="AD5" t="s">
        <v>352</v>
      </c>
      <c r="AE5" s="50" t="str">
        <f t="shared" ref="AE5:AE24" si="2">CONCATENATE(A5,"Activity")</f>
        <v>BA Automotive FacilityActivity</v>
      </c>
      <c r="AF5" s="63" t="s">
        <v>2165</v>
      </c>
      <c r="AG5" s="63" t="s">
        <v>2165</v>
      </c>
      <c r="AH5" s="62">
        <v>0.25</v>
      </c>
      <c r="AI5" s="62">
        <f t="shared" ref="AI5:AI23" si="3">AH5*0.00508</f>
        <v>1.2700000000000001E-3</v>
      </c>
      <c r="AJ5" s="63" t="s">
        <v>2165</v>
      </c>
      <c r="AK5" s="4" t="s">
        <v>2165</v>
      </c>
      <c r="AL5" s="4" t="s">
        <v>2165</v>
      </c>
      <c r="AM5" t="s">
        <v>104</v>
      </c>
      <c r="AN5" t="s">
        <v>240</v>
      </c>
      <c r="AO5" s="4" t="s">
        <v>2165</v>
      </c>
      <c r="AP5" s="4" t="s">
        <v>2165</v>
      </c>
      <c r="AQ5" s="72" t="str">
        <f t="shared" ref="AQ5:AQ24" si="4">CONCATENATE(AM5,AN5,AO5,AP5,A5,"Vent")</f>
        <v>COMNET-REV9WholeBuildingBA Automotive FacilityVent</v>
      </c>
      <c r="AR5" s="2">
        <v>0</v>
      </c>
      <c r="AS5" s="2">
        <v>0</v>
      </c>
      <c r="AT5" s="2">
        <v>0</v>
      </c>
      <c r="AU5" s="2">
        <v>0.5</v>
      </c>
      <c r="AV5" s="2">
        <v>0</v>
      </c>
      <c r="AW5" t="s">
        <v>2528</v>
      </c>
      <c r="AX5" t="s">
        <v>105</v>
      </c>
      <c r="AY5" t="s">
        <v>2529</v>
      </c>
      <c r="AZ5" s="72" t="str">
        <f t="shared" ref="AZ5:AZ48" si="5">CONCATENATE(AW5,AX5,AY5,A5,"ElectricalEquipDef")</f>
        <v>NCC S35C2lNREL 956/Eley AnalysisClass 8 (Automotive/other applications) - no equipment load per S35C2l; radiant/latent/lost fraction split retained from original WA/COMNET-REV9 source (AIRAH Technical Handbook does not publish this split)BA Automotive FacilityElectricalEquipDef</v>
      </c>
      <c r="BA5" t="s">
        <v>335</v>
      </c>
      <c r="BB5" s="50">
        <v>0.73</v>
      </c>
      <c r="BC5" s="2">
        <v>7.8576499999999996</v>
      </c>
      <c r="BD5" s="2">
        <v>0.37</v>
      </c>
      <c r="BE5" s="2">
        <v>0.2</v>
      </c>
      <c r="BF5" t="s">
        <v>2567</v>
      </c>
      <c r="BG5" s="4"/>
      <c r="BH5" t="s">
        <v>2568</v>
      </c>
      <c r="BI5" s="72" t="str">
        <f t="shared" ref="BI5:BI36" si="6">CONCATENATE(BF5,BG5,BH5,"LightingDef")</f>
        <v>IECC Table C405.3.2(1)Automotive facility; radiant/visible fraction split retained from original WA/COMNET-REV9 sourceLightingDef</v>
      </c>
      <c r="BJ5" t="s">
        <v>364</v>
      </c>
      <c r="BK5" s="3">
        <v>0.220816136</v>
      </c>
      <c r="BL5" s="3">
        <v>0.75342465800000002</v>
      </c>
      <c r="BM5" s="2">
        <v>8.1098630140000001</v>
      </c>
      <c r="BN5" s="3">
        <v>0</v>
      </c>
      <c r="BO5" s="3">
        <v>0.75</v>
      </c>
      <c r="BP5" s="3">
        <v>0.25</v>
      </c>
      <c r="BQ5" t="s">
        <v>104</v>
      </c>
      <c r="BR5" t="s">
        <v>133</v>
      </c>
      <c r="BS5" t="s">
        <v>327</v>
      </c>
      <c r="BT5" s="72" t="str">
        <f t="shared" ref="BT5:BT37" si="7">CONCATENATE(BQ5,BR5,BS5,A5,"GasEquipDef")</f>
        <v>COMNET-REV9California Commercial End-Use Survey (CEUS)93%ThermEffRadiantBA Automotive FacilityGasEquipDef</v>
      </c>
      <c r="BU5" t="s">
        <v>335</v>
      </c>
      <c r="BW5">
        <v>0.7</v>
      </c>
      <c r="BY5" t="s">
        <v>2660</v>
      </c>
      <c r="BZ5" t="s">
        <v>2661</v>
      </c>
      <c r="CB5" s="50" t="str">
        <f t="shared" ref="CB5:CB36" si="8">CONCATENATE(CE5,"_",CF5)</f>
        <v>Automotive facility_WholeBuilding</v>
      </c>
      <c r="CC5" s="72" t="str">
        <f t="shared" ref="CC5:CC37" si="9">CONCATENATE(BY5,BZ5,A5,"Infil")</f>
        <v>NCC S34C2(6)0.7 ACH assumed as design infiltration for periods without mechanical outdoor air supply; NCC also specifies 0.35 ACH when mechanical OA is operating (to be applied via infiltration schedule once developed)BA Automotive FacilityInfil</v>
      </c>
      <c r="CD5" t="s">
        <v>266</v>
      </c>
      <c r="CE5" t="s">
        <v>106</v>
      </c>
      <c r="CF5" t="s">
        <v>240</v>
      </c>
      <c r="CG5" s="4"/>
      <c r="CH5" s="4">
        <v>2</v>
      </c>
      <c r="CI5" s="4"/>
      <c r="CJ5" s="4" t="s">
        <v>2181</v>
      </c>
      <c r="CK5" s="4">
        <v>0.15</v>
      </c>
      <c r="CL5" s="4">
        <v>0.12</v>
      </c>
      <c r="CM5" s="4">
        <v>540</v>
      </c>
      <c r="CN5" s="4">
        <v>1210</v>
      </c>
      <c r="CO5" s="4">
        <v>0.9</v>
      </c>
      <c r="CP5" s="4">
        <v>0.7</v>
      </c>
      <c r="CQ5" s="4">
        <v>0.7</v>
      </c>
      <c r="CR5" s="4" t="s">
        <v>2203</v>
      </c>
      <c r="CS5" s="4" t="s">
        <v>2204</v>
      </c>
      <c r="CT5" s="4" t="s">
        <v>2165</v>
      </c>
      <c r="CU5" s="4" t="s">
        <v>2165</v>
      </c>
      <c r="CV5" t="str">
        <f t="shared" ref="CV5" si="10">CR5</f>
        <v>Std Wood 6inch</v>
      </c>
      <c r="CW5" s="72" t="str">
        <f t="shared" ref="CW5" si="11">CONCATENATE(CS5,CT5,CU5,CV5,"InternalMassDef")</f>
        <v>OpenStudio-Prototype-BuildingsStd Wood 6inchInternalMassDef</v>
      </c>
    </row>
    <row r="6" spans="1:101" x14ac:dyDescent="0.35">
      <c r="A6" t="s">
        <v>2</v>
      </c>
      <c r="B6" s="50" t="str">
        <f t="shared" ref="B6:B69" si="12">CONCATENATE(F6,"_",G6,"_",H6)</f>
        <v>2025_AU_NCC</v>
      </c>
      <c r="C6" s="50" t="str">
        <f t="shared" ref="C6:C37" si="13">MID(A6,4,80)</f>
        <v>Convention Center</v>
      </c>
      <c r="D6" s="50" t="s">
        <v>2446</v>
      </c>
      <c r="E6" t="s">
        <v>240</v>
      </c>
      <c r="F6" s="62">
        <v>2025</v>
      </c>
      <c r="G6" s="62" t="s">
        <v>2522</v>
      </c>
      <c r="H6" t="s">
        <v>2523</v>
      </c>
      <c r="I6">
        <v>255</v>
      </c>
      <c r="J6">
        <v>255</v>
      </c>
      <c r="K6">
        <v>255</v>
      </c>
      <c r="L6" s="50" t="str">
        <f t="shared" si="0"/>
        <v>BA Convention Center_2025AUNCC</v>
      </c>
      <c r="M6" s="50" t="str">
        <f t="shared" ref="M6:M69" si="14">CONCATENATE(L6,"ScheduleSet")</f>
        <v>BA Convention Center_2025AUNCCScheduleSet</v>
      </c>
      <c r="N6" s="62">
        <v>20</v>
      </c>
      <c r="O6" s="6">
        <v>50</v>
      </c>
      <c r="P6" s="38">
        <v>0.538195753</v>
      </c>
      <c r="Q6">
        <v>255.91</v>
      </c>
      <c r="R6" s="6">
        <v>75</v>
      </c>
      <c r="S6">
        <v>187.67</v>
      </c>
      <c r="T6" s="6">
        <v>55</v>
      </c>
      <c r="U6" s="6"/>
      <c r="V6" s="6"/>
      <c r="W6" s="6">
        <v>130</v>
      </c>
      <c r="X6" s="2">
        <v>0.57692307700000001</v>
      </c>
      <c r="Y6" t="s">
        <v>2524</v>
      </c>
      <c r="Z6" t="s">
        <v>2525</v>
      </c>
      <c r="AA6" s="4"/>
      <c r="AB6" s="4"/>
      <c r="AC6" s="50" t="str">
        <f t="shared" si="1"/>
        <v>NCC S35C2nOther applications (non-dining)BA Convention CenterPeopleDef</v>
      </c>
      <c r="AD6" t="s">
        <v>353</v>
      </c>
      <c r="AE6" s="50" t="str">
        <f t="shared" si="2"/>
        <v>BA Convention CenterActivity</v>
      </c>
      <c r="AF6" s="63" t="s">
        <v>2165</v>
      </c>
      <c r="AG6" s="63" t="s">
        <v>2165</v>
      </c>
      <c r="AH6" s="62">
        <v>0.31</v>
      </c>
      <c r="AI6" s="62">
        <f t="shared" si="3"/>
        <v>1.5748000000000001E-3</v>
      </c>
      <c r="AJ6" s="63" t="s">
        <v>2165</v>
      </c>
      <c r="AK6" s="4" t="s">
        <v>2165</v>
      </c>
      <c r="AL6" s="4" t="s">
        <v>2165</v>
      </c>
      <c r="AM6" t="s">
        <v>104</v>
      </c>
      <c r="AN6" t="s">
        <v>240</v>
      </c>
      <c r="AO6" s="4" t="s">
        <v>2165</v>
      </c>
      <c r="AP6" s="4" t="s">
        <v>2165</v>
      </c>
      <c r="AQ6" s="72" t="str">
        <f t="shared" si="4"/>
        <v>COMNET-REV9WholeBuildingBA Convention CenterVent</v>
      </c>
      <c r="AR6" s="2">
        <v>0.74760799300000003</v>
      </c>
      <c r="AS6" s="2">
        <v>8.0472524320000005</v>
      </c>
      <c r="AT6" s="2">
        <v>0</v>
      </c>
      <c r="AU6" s="2">
        <v>0.5</v>
      </c>
      <c r="AV6" s="2">
        <v>0</v>
      </c>
      <c r="AW6" t="s">
        <v>104</v>
      </c>
      <c r="AX6" t="s">
        <v>105</v>
      </c>
      <c r="AY6" t="s">
        <v>334</v>
      </c>
      <c r="AZ6" s="72" t="str">
        <f t="shared" si="5"/>
        <v>COMNET-REV9NREL 956/Eley AnalysisDOEPrototypeBA Convention CenterElectricalEquipDef</v>
      </c>
      <c r="BA6" t="s">
        <v>336</v>
      </c>
      <c r="BB6" s="50">
        <v>0.743224</v>
      </c>
      <c r="BC6" s="2">
        <v>8</v>
      </c>
      <c r="BD6" s="2">
        <v>0.37</v>
      </c>
      <c r="BE6" s="2">
        <v>0.2</v>
      </c>
      <c r="BF6" t="s">
        <v>2569</v>
      </c>
      <c r="BG6" s="4"/>
      <c r="BH6" t="s">
        <v>2570</v>
      </c>
      <c r="BI6" s="72" t="str">
        <f t="shared" si="6"/>
        <v>NCC J7D3aAuditorium, church and public hall (nearest; Class 9b conference has a special 150W/room+10W/person provision, not populated pending room-count assumption); radiant/visible fraction split retained from original WA/COMNET-REV9 source (AIRAH Technical Handbook does not publish this split)LightingDef</v>
      </c>
      <c r="BJ6" t="s">
        <v>365</v>
      </c>
      <c r="BK6" s="3">
        <v>6.6913980000000003E-3</v>
      </c>
      <c r="BL6" s="3">
        <v>2.2831049999999999E-2</v>
      </c>
      <c r="BM6" s="2">
        <v>0.245753425</v>
      </c>
      <c r="BN6" s="3">
        <v>0</v>
      </c>
      <c r="BO6" s="3">
        <v>0.75</v>
      </c>
      <c r="BP6" s="3">
        <v>0.25</v>
      </c>
      <c r="BQ6" t="s">
        <v>104</v>
      </c>
      <c r="BR6" t="s">
        <v>133</v>
      </c>
      <c r="BS6" t="s">
        <v>327</v>
      </c>
      <c r="BT6" s="72" t="str">
        <f t="shared" si="7"/>
        <v>COMNET-REV9California Commercial End-Use Survey (CEUS)93%ThermEffRadiantBA Convention CenterGasEquipDef</v>
      </c>
      <c r="BU6" s="8" t="s">
        <v>336</v>
      </c>
      <c r="BW6">
        <v>0.7</v>
      </c>
      <c r="BY6" t="s">
        <v>2660</v>
      </c>
      <c r="BZ6" t="s">
        <v>2661</v>
      </c>
      <c r="CB6" s="50" t="str">
        <f t="shared" si="8"/>
        <v>Convention centre_WholeBuilding</v>
      </c>
      <c r="CC6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Convention CenterInfil</v>
      </c>
      <c r="CD6" t="s">
        <v>266</v>
      </c>
      <c r="CE6" t="s">
        <v>251</v>
      </c>
      <c r="CF6" t="s">
        <v>240</v>
      </c>
      <c r="CG6" s="4"/>
      <c r="CH6" s="4">
        <v>2</v>
      </c>
      <c r="CI6" s="4"/>
      <c r="CJ6" s="4" t="s">
        <v>2181</v>
      </c>
      <c r="CK6" s="4">
        <v>0.15</v>
      </c>
      <c r="CL6" s="4">
        <v>0.12</v>
      </c>
      <c r="CM6" s="4">
        <v>540</v>
      </c>
      <c r="CN6" s="4">
        <v>1210</v>
      </c>
      <c r="CO6" s="4">
        <v>0.9</v>
      </c>
      <c r="CP6" s="4">
        <v>0.7</v>
      </c>
      <c r="CQ6" s="4">
        <v>0.7</v>
      </c>
      <c r="CR6" s="4" t="s">
        <v>2203</v>
      </c>
      <c r="CS6" s="4" t="s">
        <v>2204</v>
      </c>
      <c r="CT6" s="4" t="s">
        <v>2165</v>
      </c>
      <c r="CU6" s="4" t="s">
        <v>2165</v>
      </c>
      <c r="CV6" t="str">
        <f t="shared" ref="CV6:CV37" si="15">CR6</f>
        <v>Std Wood 6inch</v>
      </c>
      <c r="CW6" s="72" t="str">
        <f t="shared" ref="CW6:CW37" si="16">CONCATENATE(CS6,CT6,CU6,CV6,"InternalMassDef")</f>
        <v>OpenStudio-Prototype-BuildingsStd Wood 6inchInternalMassDef</v>
      </c>
    </row>
    <row r="7" spans="1:101" x14ac:dyDescent="0.35">
      <c r="A7" t="s">
        <v>3</v>
      </c>
      <c r="B7" s="50" t="str">
        <f t="shared" si="12"/>
        <v>2025_AU_NCC</v>
      </c>
      <c r="C7" s="50" t="str">
        <f t="shared" si="13"/>
        <v>Courthouse</v>
      </c>
      <c r="D7" s="50" t="s">
        <v>2446</v>
      </c>
      <c r="E7" t="s">
        <v>240</v>
      </c>
      <c r="F7" s="62">
        <v>2025</v>
      </c>
      <c r="G7" s="62" t="s">
        <v>2522</v>
      </c>
      <c r="H7" t="s">
        <v>2523</v>
      </c>
      <c r="I7">
        <v>255</v>
      </c>
      <c r="J7">
        <v>255</v>
      </c>
      <c r="K7">
        <v>255</v>
      </c>
      <c r="L7" s="50" t="str">
        <f t="shared" si="0"/>
        <v>BA Courthouse_2025AUNCC</v>
      </c>
      <c r="M7" s="50" t="str">
        <f t="shared" si="14"/>
        <v>BA Courthouse_2025AUNCCScheduleSet</v>
      </c>
      <c r="N7" s="62">
        <v>14</v>
      </c>
      <c r="O7" s="6">
        <v>71.428571430000005</v>
      </c>
      <c r="P7" s="38">
        <v>0.76885107500000005</v>
      </c>
      <c r="Q7">
        <v>255.91</v>
      </c>
      <c r="R7" s="6">
        <v>75</v>
      </c>
      <c r="S7">
        <v>187.67</v>
      </c>
      <c r="T7" s="6">
        <v>55</v>
      </c>
      <c r="U7" s="6"/>
      <c r="V7" s="6"/>
      <c r="W7" s="6">
        <v>130</v>
      </c>
      <c r="X7" s="2">
        <v>0.57692307700000001</v>
      </c>
      <c r="Y7" t="s">
        <v>2524</v>
      </c>
      <c r="Z7" t="s">
        <v>2525</v>
      </c>
      <c r="AA7" s="4"/>
      <c r="AB7" s="4"/>
      <c r="AC7" s="50" t="str">
        <f t="shared" si="1"/>
        <v>NCC S35C2nOther applications (non-dining)BA CourthousePeopleDef</v>
      </c>
      <c r="AD7" t="s">
        <v>354</v>
      </c>
      <c r="AE7" s="50" t="str">
        <f t="shared" si="2"/>
        <v>BA CourthouseActivity</v>
      </c>
      <c r="AF7" s="63" t="s">
        <v>2165</v>
      </c>
      <c r="AG7" s="63" t="s">
        <v>2165</v>
      </c>
      <c r="AH7" s="62">
        <v>0.41</v>
      </c>
      <c r="AI7" s="62">
        <f t="shared" si="3"/>
        <v>2.0828000000000001E-3</v>
      </c>
      <c r="AJ7" s="63" t="s">
        <v>2165</v>
      </c>
      <c r="AK7" s="4" t="s">
        <v>2165</v>
      </c>
      <c r="AL7" s="4" t="s">
        <v>2165</v>
      </c>
      <c r="AM7" t="s">
        <v>104</v>
      </c>
      <c r="AN7" t="s">
        <v>240</v>
      </c>
      <c r="AO7" s="4" t="s">
        <v>2165</v>
      </c>
      <c r="AP7" s="4" t="s">
        <v>2165</v>
      </c>
      <c r="AQ7" s="72" t="str">
        <f t="shared" si="4"/>
        <v>COMNET-REV9WholeBuildingBA CourthouseVent</v>
      </c>
      <c r="AR7" s="2">
        <v>0</v>
      </c>
      <c r="AS7" s="2">
        <v>0</v>
      </c>
      <c r="AT7" s="2">
        <v>0</v>
      </c>
      <c r="AU7" s="2">
        <v>0.5</v>
      </c>
      <c r="AV7" s="2">
        <v>0</v>
      </c>
      <c r="AW7" t="s">
        <v>2528</v>
      </c>
      <c r="AX7" t="s">
        <v>105</v>
      </c>
      <c r="AY7" t="s">
        <v>2530</v>
      </c>
      <c r="AZ7" s="72" t="str">
        <f t="shared" si="5"/>
        <v>NCC S35C2lNREL 956/Eley AnalysisClass 9b special (Other applications) - no equipment load per S35C2l; radiant/latent/lost fraction split retained from original WA/COMNET-REV9 source (AIRAH Technical Handbook does not publish this split)BA CourthouseElectricalEquipDef</v>
      </c>
      <c r="BA7" t="s">
        <v>337</v>
      </c>
      <c r="BB7" s="50">
        <v>0.41806399999999999</v>
      </c>
      <c r="BC7" s="2">
        <v>4.5</v>
      </c>
      <c r="BD7" s="2">
        <v>0.37</v>
      </c>
      <c r="BE7" s="2">
        <v>0.2</v>
      </c>
      <c r="BF7" t="s">
        <v>2569</v>
      </c>
      <c r="BG7" s="4"/>
      <c r="BH7" t="s">
        <v>2571</v>
      </c>
      <c r="BI7" s="72" t="str">
        <f t="shared" si="6"/>
        <v>NCC J7D3aCourtroom; radiant/visible fraction split retained from original WA/COMNET-REV9 source (AIRAH Technical Handbook does not publish this split)LightingDef</v>
      </c>
      <c r="BJ7" t="s">
        <v>366</v>
      </c>
      <c r="BK7" s="3">
        <v>5.0185486000000001E-2</v>
      </c>
      <c r="BL7" s="3">
        <v>0.17123287700000001</v>
      </c>
      <c r="BM7" s="2">
        <v>1.8431506849999999</v>
      </c>
      <c r="BN7" s="3">
        <v>0.01</v>
      </c>
      <c r="BO7" s="3">
        <v>0.4</v>
      </c>
      <c r="BP7" s="3">
        <v>0.4</v>
      </c>
      <c r="BQ7" t="s">
        <v>104</v>
      </c>
      <c r="BR7" t="s">
        <v>133</v>
      </c>
      <c r="BS7" t="s">
        <v>333</v>
      </c>
      <c r="BT7" s="72" t="str">
        <f t="shared" si="7"/>
        <v>COMNET-REV9California Commercial End-Use Survey (CEUS)60%ThermEffProcessBA CourthouseGasEquipDef</v>
      </c>
      <c r="BU7" s="8" t="s">
        <v>337</v>
      </c>
      <c r="BW7">
        <v>0.7</v>
      </c>
      <c r="BY7" t="s">
        <v>2660</v>
      </c>
      <c r="BZ7" t="s">
        <v>2661</v>
      </c>
      <c r="CB7" s="50" t="str">
        <f t="shared" si="8"/>
        <v>Courthouse_WholeBuilding</v>
      </c>
      <c r="CC7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CourthouseInfil</v>
      </c>
      <c r="CD7" t="s">
        <v>266</v>
      </c>
      <c r="CE7" t="s">
        <v>252</v>
      </c>
      <c r="CF7" t="s">
        <v>240</v>
      </c>
      <c r="CG7" s="4"/>
      <c r="CH7" s="4">
        <v>2</v>
      </c>
      <c r="CI7" s="4"/>
      <c r="CJ7" s="4" t="s">
        <v>2181</v>
      </c>
      <c r="CK7" s="4">
        <v>0.15</v>
      </c>
      <c r="CL7" s="4">
        <v>0.12</v>
      </c>
      <c r="CM7" s="4">
        <v>540</v>
      </c>
      <c r="CN7" s="4">
        <v>1210</v>
      </c>
      <c r="CO7" s="4">
        <v>0.9</v>
      </c>
      <c r="CP7" s="4">
        <v>0.7</v>
      </c>
      <c r="CQ7" s="4">
        <v>0.7</v>
      </c>
      <c r="CR7" s="4" t="s">
        <v>2203</v>
      </c>
      <c r="CS7" s="4" t="s">
        <v>2204</v>
      </c>
      <c r="CT7" s="4" t="s">
        <v>2165</v>
      </c>
      <c r="CU7" s="4" t="s">
        <v>2165</v>
      </c>
      <c r="CV7" t="str">
        <f t="shared" si="15"/>
        <v>Std Wood 6inch</v>
      </c>
      <c r="CW7" s="72" t="str">
        <f t="shared" si="16"/>
        <v>OpenStudio-Prototype-BuildingsStd Wood 6inchInternalMassDef</v>
      </c>
    </row>
    <row r="8" spans="1:101" x14ac:dyDescent="0.35">
      <c r="A8" t="s">
        <v>4</v>
      </c>
      <c r="B8" s="50" t="str">
        <f t="shared" si="12"/>
        <v>2025_AU_NCC</v>
      </c>
      <c r="C8" s="50" t="str">
        <f t="shared" si="13"/>
        <v>Dining: Bar Lounge/Leisure</v>
      </c>
      <c r="D8" s="50" t="s">
        <v>2446</v>
      </c>
      <c r="E8" t="s">
        <v>240</v>
      </c>
      <c r="F8" s="62">
        <v>2025</v>
      </c>
      <c r="G8" s="62" t="s">
        <v>2522</v>
      </c>
      <c r="H8" t="s">
        <v>2523</v>
      </c>
      <c r="I8">
        <v>255</v>
      </c>
      <c r="J8">
        <v>255</v>
      </c>
      <c r="K8">
        <v>255</v>
      </c>
      <c r="L8" s="50" t="str">
        <f t="shared" si="0"/>
        <v>BA Dining: Bar Lounge/Leisure_2025AUNCC</v>
      </c>
      <c r="M8" s="50" t="str">
        <f t="shared" si="14"/>
        <v>BA Dining: Bar Lounge/Leisure_2025AUNCCScheduleSet</v>
      </c>
      <c r="N8" s="62">
        <v>10</v>
      </c>
      <c r="O8" s="6">
        <v>100</v>
      </c>
      <c r="P8" s="38">
        <v>1.0763915049999999</v>
      </c>
      <c r="Q8">
        <v>272.97000000000003</v>
      </c>
      <c r="R8" s="6">
        <v>80</v>
      </c>
      <c r="S8">
        <v>272.97000000000003</v>
      </c>
      <c r="T8" s="6">
        <v>80</v>
      </c>
      <c r="U8" s="6"/>
      <c r="V8" s="6"/>
      <c r="W8" s="6">
        <v>160</v>
      </c>
      <c r="X8" s="2">
        <v>0.5</v>
      </c>
      <c r="Y8" t="s">
        <v>2524</v>
      </c>
      <c r="Z8" t="s">
        <v>2526</v>
      </c>
      <c r="AA8" s="4"/>
      <c r="AB8" s="4"/>
      <c r="AC8" s="50" t="str">
        <f t="shared" si="1"/>
        <v>NCC S35C2nDining room/restaurant/cafeBA Dining: Bar Lounge/LeisurePeopleDef</v>
      </c>
      <c r="AD8" t="s">
        <v>355</v>
      </c>
      <c r="AE8" s="50" t="str">
        <f t="shared" si="2"/>
        <v>BA Dining: Bar Lounge/LeisureActivity</v>
      </c>
      <c r="AF8" s="63" t="s">
        <v>2165</v>
      </c>
      <c r="AG8" s="63" t="s">
        <v>2165</v>
      </c>
      <c r="AH8" s="62">
        <v>0.93</v>
      </c>
      <c r="AI8" s="62">
        <f t="shared" si="3"/>
        <v>4.7244000000000001E-3</v>
      </c>
      <c r="AJ8" s="63" t="s">
        <v>2165</v>
      </c>
      <c r="AK8" s="4" t="s">
        <v>2165</v>
      </c>
      <c r="AL8" s="4" t="s">
        <v>2165</v>
      </c>
      <c r="AM8" t="s">
        <v>104</v>
      </c>
      <c r="AN8" t="s">
        <v>240</v>
      </c>
      <c r="AO8" s="4" t="s">
        <v>2165</v>
      </c>
      <c r="AP8" s="4" t="s">
        <v>2165</v>
      </c>
      <c r="AQ8" s="72" t="str">
        <f t="shared" si="4"/>
        <v>COMNET-REV9WholeBuildingBA Dining: Bar Lounge/LeisureVent</v>
      </c>
      <c r="AR8" s="2">
        <v>0.46451500000000001</v>
      </c>
      <c r="AS8" s="2">
        <v>5</v>
      </c>
      <c r="AT8" s="2">
        <v>0</v>
      </c>
      <c r="AU8" s="2">
        <v>0.5</v>
      </c>
      <c r="AV8" s="2">
        <v>0</v>
      </c>
      <c r="AW8" t="s">
        <v>2528</v>
      </c>
      <c r="AX8" t="s">
        <v>105</v>
      </c>
      <c r="AY8" t="s">
        <v>2531</v>
      </c>
      <c r="AZ8" s="72" t="str">
        <f t="shared" si="5"/>
        <v>NCC S35C2lNREL 956/Eley AnalysisClass 6 cafe/restaurant; radiant/latent/lost fraction split retained from original WA/COMNET-REV9 source (AIRAH Technical Handbook does not publish this split)BA Dining: Bar Lounge/LeisureElectricalEquipDef</v>
      </c>
      <c r="BA8" t="s">
        <v>338</v>
      </c>
      <c r="BB8" s="50">
        <v>1.300643</v>
      </c>
      <c r="BC8" s="2">
        <v>14</v>
      </c>
      <c r="BD8" s="2">
        <v>0.37</v>
      </c>
      <c r="BE8" s="2">
        <v>0.2</v>
      </c>
      <c r="BF8" t="s">
        <v>2569</v>
      </c>
      <c r="BG8" s="4"/>
      <c r="BH8" t="s">
        <v>2572</v>
      </c>
      <c r="BI8" s="72" t="str">
        <f t="shared" si="6"/>
        <v>NCC J7D3aRestaurant, cafe, bar, hotel lounge...; radiant/visible fraction split retained from original WA/COMNET-REV9 source (AIRAH Technical Handbook does not publish this split)LightingDef</v>
      </c>
      <c r="BJ8" t="s">
        <v>367</v>
      </c>
      <c r="BK8" s="3">
        <v>5.1389937210000003</v>
      </c>
      <c r="BL8" s="3">
        <v>17.534246580000001</v>
      </c>
      <c r="BM8" s="2">
        <v>188.73863009999999</v>
      </c>
      <c r="BN8" s="3">
        <v>0</v>
      </c>
      <c r="BO8" s="3">
        <v>0.75</v>
      </c>
      <c r="BP8" s="3">
        <v>0.25</v>
      </c>
      <c r="BQ8" t="s">
        <v>104</v>
      </c>
      <c r="BR8" t="s">
        <v>133</v>
      </c>
      <c r="BS8" t="s">
        <v>327</v>
      </c>
      <c r="BT8" s="72" t="str">
        <f t="shared" si="7"/>
        <v>COMNET-REV9California Commercial End-Use Survey (CEUS)93%ThermEffRadiantBA Dining: Bar Lounge/LeisureGasEquipDef</v>
      </c>
      <c r="BU8" s="7" t="s">
        <v>347</v>
      </c>
      <c r="BW8">
        <v>0.7</v>
      </c>
      <c r="BY8" t="s">
        <v>2660</v>
      </c>
      <c r="BZ8" t="s">
        <v>2661</v>
      </c>
      <c r="CB8" s="50" t="str">
        <f t="shared" si="8"/>
        <v>Dining - bar/lounge_WholeBuilding</v>
      </c>
      <c r="CC8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Dining: Bar Lounge/LeisureInfil</v>
      </c>
      <c r="CD8" t="s">
        <v>266</v>
      </c>
      <c r="CE8" t="s">
        <v>253</v>
      </c>
      <c r="CF8" t="s">
        <v>240</v>
      </c>
      <c r="CG8" s="4"/>
      <c r="CH8" s="4">
        <v>2</v>
      </c>
      <c r="CI8" s="4"/>
      <c r="CJ8" s="4" t="s">
        <v>2181</v>
      </c>
      <c r="CK8" s="4">
        <v>0.15</v>
      </c>
      <c r="CL8" s="4">
        <v>0.12</v>
      </c>
      <c r="CM8" s="4">
        <v>540</v>
      </c>
      <c r="CN8" s="4">
        <v>1210</v>
      </c>
      <c r="CO8" s="4">
        <v>0.9</v>
      </c>
      <c r="CP8" s="4">
        <v>0.7</v>
      </c>
      <c r="CQ8" s="4">
        <v>0.7</v>
      </c>
      <c r="CR8" s="4" t="s">
        <v>2203</v>
      </c>
      <c r="CS8" s="4" t="s">
        <v>2204</v>
      </c>
      <c r="CT8" s="4" t="s">
        <v>2165</v>
      </c>
      <c r="CU8" s="4" t="s">
        <v>2165</v>
      </c>
      <c r="CV8" t="str">
        <f t="shared" si="15"/>
        <v>Std Wood 6inch</v>
      </c>
      <c r="CW8" s="72" t="str">
        <f t="shared" si="16"/>
        <v>OpenStudio-Prototype-BuildingsStd Wood 6inchInternalMassDef</v>
      </c>
    </row>
    <row r="9" spans="1:101" x14ac:dyDescent="0.35">
      <c r="A9" t="s">
        <v>5</v>
      </c>
      <c r="B9" s="50" t="str">
        <f t="shared" si="12"/>
        <v>2025_AU_NCC</v>
      </c>
      <c r="C9" s="50" t="str">
        <f t="shared" si="13"/>
        <v>Dining: Cafeteria/Fast Food</v>
      </c>
      <c r="D9" s="50" t="s">
        <v>2446</v>
      </c>
      <c r="E9" t="s">
        <v>240</v>
      </c>
      <c r="F9" s="62">
        <v>2025</v>
      </c>
      <c r="G9" s="62" t="s">
        <v>2522</v>
      </c>
      <c r="H9" t="s">
        <v>2523</v>
      </c>
      <c r="I9">
        <v>255</v>
      </c>
      <c r="J9">
        <v>255</v>
      </c>
      <c r="K9">
        <v>255</v>
      </c>
      <c r="L9" s="50" t="str">
        <f t="shared" si="0"/>
        <v>BA Dining: Cafeteria/Fast Food_2025AUNCC</v>
      </c>
      <c r="M9" s="50" t="str">
        <f t="shared" si="14"/>
        <v>BA Dining: Cafeteria/Fast Food_2025AUNCCScheduleSet</v>
      </c>
      <c r="N9" s="62">
        <v>10</v>
      </c>
      <c r="O9" s="6">
        <v>100</v>
      </c>
      <c r="P9" s="38">
        <v>1.0763915049999999</v>
      </c>
      <c r="Q9">
        <v>272.97000000000003</v>
      </c>
      <c r="R9" s="6">
        <v>80</v>
      </c>
      <c r="S9">
        <v>272.97000000000003</v>
      </c>
      <c r="T9" s="6">
        <v>80</v>
      </c>
      <c r="U9" s="6"/>
      <c r="V9" s="6"/>
      <c r="W9" s="6">
        <v>160</v>
      </c>
      <c r="X9" s="2">
        <v>0.5</v>
      </c>
      <c r="Y9" t="s">
        <v>2524</v>
      </c>
      <c r="Z9" t="s">
        <v>2526</v>
      </c>
      <c r="AA9" s="4"/>
      <c r="AB9" s="4"/>
      <c r="AC9" s="50" t="str">
        <f t="shared" si="1"/>
        <v>NCC S35C2nDining room/restaurant/cafeBA Dining: Cafeteria/Fast FoodPeopleDef</v>
      </c>
      <c r="AD9" t="s">
        <v>355</v>
      </c>
      <c r="AE9" s="50" t="str">
        <f t="shared" si="2"/>
        <v>BA Dining: Cafeteria/Fast FoodActivity</v>
      </c>
      <c r="AF9" s="63" t="s">
        <v>2165</v>
      </c>
      <c r="AG9" s="63" t="s">
        <v>2165</v>
      </c>
      <c r="AH9" s="62">
        <v>0.93</v>
      </c>
      <c r="AI9" s="62">
        <f t="shared" si="3"/>
        <v>4.7244000000000001E-3</v>
      </c>
      <c r="AJ9" s="63" t="s">
        <v>2165</v>
      </c>
      <c r="AK9" s="4" t="s">
        <v>2165</v>
      </c>
      <c r="AL9" s="4" t="s">
        <v>2165</v>
      </c>
      <c r="AM9" t="s">
        <v>104</v>
      </c>
      <c r="AN9" t="s">
        <v>240</v>
      </c>
      <c r="AO9" s="4" t="s">
        <v>2165</v>
      </c>
      <c r="AP9" s="4" t="s">
        <v>2165</v>
      </c>
      <c r="AQ9" s="72" t="str">
        <f t="shared" si="4"/>
        <v>COMNET-REV9WholeBuildingBA Dining: Cafeteria/Fast FoodVent</v>
      </c>
      <c r="AR9" s="2">
        <v>0.46451500000000001</v>
      </c>
      <c r="AS9" s="2">
        <v>5</v>
      </c>
      <c r="AT9" s="2">
        <v>0</v>
      </c>
      <c r="AU9" s="2">
        <v>0.5</v>
      </c>
      <c r="AV9" s="2">
        <v>0</v>
      </c>
      <c r="AW9" t="s">
        <v>2528</v>
      </c>
      <c r="AX9" t="s">
        <v>105</v>
      </c>
      <c r="AY9" t="s">
        <v>2531</v>
      </c>
      <c r="AZ9" s="72" t="str">
        <f t="shared" si="5"/>
        <v>NCC S35C2lNREL 956/Eley AnalysisClass 6 cafe/restaurant; radiant/latent/lost fraction split retained from original WA/COMNET-REV9 source (AIRAH Technical Handbook does not publish this split)BA Dining: Cafeteria/Fast FoodElectricalEquipDef</v>
      </c>
      <c r="BA9" t="s">
        <v>338</v>
      </c>
      <c r="BB9" s="50">
        <v>1.300643</v>
      </c>
      <c r="BC9" s="2">
        <v>14</v>
      </c>
      <c r="BD9" s="2">
        <v>0.37</v>
      </c>
      <c r="BE9" s="2">
        <v>0.2</v>
      </c>
      <c r="BF9" t="s">
        <v>2569</v>
      </c>
      <c r="BG9" s="4"/>
      <c r="BH9" t="s">
        <v>2572</v>
      </c>
      <c r="BI9" s="72" t="str">
        <f t="shared" si="6"/>
        <v>NCC J7D3aRestaurant, cafe, bar, hotel lounge...; radiant/visible fraction split retained from original WA/COMNET-REV9 source (AIRAH Technical Handbook does not publish this split)LightingDef</v>
      </c>
      <c r="BJ9" t="s">
        <v>367</v>
      </c>
      <c r="BK9" s="3">
        <v>5.1389937210000003</v>
      </c>
      <c r="BL9" s="3">
        <v>17.534246580000001</v>
      </c>
      <c r="BM9" s="2">
        <v>188.73863009999999</v>
      </c>
      <c r="BN9" s="3">
        <v>0</v>
      </c>
      <c r="BO9" s="3">
        <v>0.75</v>
      </c>
      <c r="BP9" s="3">
        <v>0.25</v>
      </c>
      <c r="BQ9" t="s">
        <v>104</v>
      </c>
      <c r="BR9" t="s">
        <v>133</v>
      </c>
      <c r="BS9" t="s">
        <v>327</v>
      </c>
      <c r="BT9" s="72" t="str">
        <f t="shared" si="7"/>
        <v>COMNET-REV9California Commercial End-Use Survey (CEUS)93%ThermEffRadiantBA Dining: Cafeteria/Fast FoodGasEquipDef</v>
      </c>
      <c r="BU9" s="7" t="s">
        <v>347</v>
      </c>
      <c r="BW9">
        <v>0.7</v>
      </c>
      <c r="BY9" t="s">
        <v>2660</v>
      </c>
      <c r="BZ9" t="s">
        <v>2661</v>
      </c>
      <c r="CB9" s="50" t="str">
        <f t="shared" si="8"/>
        <v>Dining - cafeteria_WholeBuilding</v>
      </c>
      <c r="CC9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Dining: Cafeteria/Fast FoodInfil</v>
      </c>
      <c r="CD9" t="s">
        <v>266</v>
      </c>
      <c r="CE9" t="s">
        <v>254</v>
      </c>
      <c r="CF9" t="s">
        <v>240</v>
      </c>
      <c r="CG9" s="4"/>
      <c r="CH9" s="4">
        <v>2</v>
      </c>
      <c r="CI9" s="4"/>
      <c r="CJ9" s="4" t="s">
        <v>2181</v>
      </c>
      <c r="CK9" s="4">
        <v>0.15</v>
      </c>
      <c r="CL9" s="4">
        <v>0.12</v>
      </c>
      <c r="CM9" s="4">
        <v>540</v>
      </c>
      <c r="CN9" s="4">
        <v>1210</v>
      </c>
      <c r="CO9" s="4">
        <v>0.9</v>
      </c>
      <c r="CP9" s="4">
        <v>0.7</v>
      </c>
      <c r="CQ9" s="4">
        <v>0.7</v>
      </c>
      <c r="CR9" s="4" t="s">
        <v>2203</v>
      </c>
      <c r="CS9" s="4" t="s">
        <v>2204</v>
      </c>
      <c r="CT9" s="4" t="s">
        <v>2165</v>
      </c>
      <c r="CU9" s="4" t="s">
        <v>2165</v>
      </c>
      <c r="CV9" t="str">
        <f t="shared" si="15"/>
        <v>Std Wood 6inch</v>
      </c>
      <c r="CW9" s="72" t="str">
        <f t="shared" si="16"/>
        <v>OpenStudio-Prototype-BuildingsStd Wood 6inchInternalMassDef</v>
      </c>
    </row>
    <row r="10" spans="1:101" x14ac:dyDescent="0.35">
      <c r="A10" t="s">
        <v>6</v>
      </c>
      <c r="B10" s="50" t="str">
        <f t="shared" si="12"/>
        <v>2025_AU_NCC</v>
      </c>
      <c r="C10" s="50" t="str">
        <f t="shared" si="13"/>
        <v>Dining: Family</v>
      </c>
      <c r="D10" s="50" t="s">
        <v>2446</v>
      </c>
      <c r="E10" t="s">
        <v>240</v>
      </c>
      <c r="F10" s="62">
        <v>2025</v>
      </c>
      <c r="G10" s="62" t="s">
        <v>2522</v>
      </c>
      <c r="H10" t="s">
        <v>2523</v>
      </c>
      <c r="I10">
        <v>255</v>
      </c>
      <c r="J10">
        <v>255</v>
      </c>
      <c r="K10">
        <v>255</v>
      </c>
      <c r="L10" s="50" t="str">
        <f t="shared" si="0"/>
        <v>BA Dining: Family_2025AUNCC</v>
      </c>
      <c r="M10" s="50" t="str">
        <f t="shared" si="14"/>
        <v>BA Dining: Family_2025AUNCCScheduleSet</v>
      </c>
      <c r="N10" s="62">
        <v>14</v>
      </c>
      <c r="O10" s="6">
        <v>71.428571430000005</v>
      </c>
      <c r="P10" s="38">
        <v>0.76885107500000005</v>
      </c>
      <c r="Q10">
        <v>272.97000000000003</v>
      </c>
      <c r="R10" s="6">
        <v>80</v>
      </c>
      <c r="S10">
        <v>272.97000000000003</v>
      </c>
      <c r="T10" s="6">
        <v>80</v>
      </c>
      <c r="U10" s="6"/>
      <c r="V10" s="6"/>
      <c r="W10" s="6">
        <v>160</v>
      </c>
      <c r="X10" s="2">
        <v>0.5</v>
      </c>
      <c r="Y10" t="s">
        <v>2524</v>
      </c>
      <c r="Z10" t="s">
        <v>2526</v>
      </c>
      <c r="AA10" s="4"/>
      <c r="AB10" s="4"/>
      <c r="AC10" s="50" t="str">
        <f t="shared" si="1"/>
        <v>NCC S35C2nDining room/restaurant/cafeBA Dining: FamilyPeopleDef</v>
      </c>
      <c r="AD10" t="s">
        <v>355</v>
      </c>
      <c r="AE10" s="50" t="str">
        <f t="shared" si="2"/>
        <v>BA Dining: FamilyActivity</v>
      </c>
      <c r="AF10" s="63" t="s">
        <v>2165</v>
      </c>
      <c r="AG10" s="63" t="s">
        <v>2165</v>
      </c>
      <c r="AH10" s="62">
        <v>0.71</v>
      </c>
      <c r="AI10" s="62">
        <f t="shared" si="3"/>
        <v>3.6067999999999998E-3</v>
      </c>
      <c r="AJ10" s="63" t="s">
        <v>2165</v>
      </c>
      <c r="AK10" s="4" t="s">
        <v>2165</v>
      </c>
      <c r="AL10" s="4" t="s">
        <v>2165</v>
      </c>
      <c r="AM10" t="s">
        <v>104</v>
      </c>
      <c r="AN10" t="s">
        <v>240</v>
      </c>
      <c r="AO10" s="4" t="s">
        <v>2165</v>
      </c>
      <c r="AP10" s="4" t="s">
        <v>2165</v>
      </c>
      <c r="AQ10" s="72" t="str">
        <f t="shared" si="4"/>
        <v>COMNET-REV9WholeBuildingBA Dining: FamilyVent</v>
      </c>
      <c r="AR10" s="2">
        <v>0.46451500000000001</v>
      </c>
      <c r="AS10" s="2">
        <v>5</v>
      </c>
      <c r="AT10" s="2">
        <v>0</v>
      </c>
      <c r="AU10" s="2">
        <v>0.5</v>
      </c>
      <c r="AV10" s="2">
        <v>0</v>
      </c>
      <c r="AW10" t="s">
        <v>2528</v>
      </c>
      <c r="AX10" t="s">
        <v>105</v>
      </c>
      <c r="AY10" t="s">
        <v>2531</v>
      </c>
      <c r="AZ10" s="72" t="str">
        <f t="shared" si="5"/>
        <v>NCC S35C2lNREL 956/Eley AnalysisClass 6 cafe/restaurant; radiant/latent/lost fraction split retained from original WA/COMNET-REV9 source (AIRAH Technical Handbook does not publish this split)BA Dining: FamilyElectricalEquipDef</v>
      </c>
      <c r="BA10" t="s">
        <v>338</v>
      </c>
      <c r="BB10" s="50">
        <v>1.300643</v>
      </c>
      <c r="BC10" s="2">
        <v>14</v>
      </c>
      <c r="BD10" s="2">
        <v>0.37</v>
      </c>
      <c r="BE10" s="2">
        <v>0.2</v>
      </c>
      <c r="BF10" t="s">
        <v>2569</v>
      </c>
      <c r="BG10" s="4"/>
      <c r="BH10" t="s">
        <v>2572</v>
      </c>
      <c r="BI10" s="72" t="str">
        <f t="shared" si="6"/>
        <v>NCC J7D3aRestaurant, cafe, bar, hotel lounge...; radiant/visible fraction split retained from original WA/COMNET-REV9 source (AIRAH Technical Handbook does not publish this split)LightingDef</v>
      </c>
      <c r="BJ10" t="s">
        <v>367</v>
      </c>
      <c r="BK10" s="3">
        <v>5.1389937210000003</v>
      </c>
      <c r="BL10" s="3">
        <v>17.534246580000001</v>
      </c>
      <c r="BM10" s="2">
        <v>188.73863009999999</v>
      </c>
      <c r="BN10" s="3">
        <v>0.05</v>
      </c>
      <c r="BO10" s="3">
        <v>0.4</v>
      </c>
      <c r="BP10" s="3">
        <v>0.4</v>
      </c>
      <c r="BQ10" t="s">
        <v>104</v>
      </c>
      <c r="BR10" t="s">
        <v>133</v>
      </c>
      <c r="BS10" t="s">
        <v>333</v>
      </c>
      <c r="BT10" s="72" t="str">
        <f t="shared" si="7"/>
        <v>COMNET-REV9California Commercial End-Use Survey (CEUS)60%ThermEffProcessBA Dining: FamilyGasEquipDef</v>
      </c>
      <c r="BU10" s="7" t="s">
        <v>348</v>
      </c>
      <c r="BW10">
        <v>0.7</v>
      </c>
      <c r="BY10" t="s">
        <v>2660</v>
      </c>
      <c r="BZ10" t="s">
        <v>2661</v>
      </c>
      <c r="CB10" s="50" t="str">
        <f t="shared" si="8"/>
        <v>Dining - family_WholeBuilding</v>
      </c>
      <c r="CC10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Dining: FamilyInfil</v>
      </c>
      <c r="CD10" t="s">
        <v>266</v>
      </c>
      <c r="CE10" t="s">
        <v>255</v>
      </c>
      <c r="CF10" t="s">
        <v>240</v>
      </c>
      <c r="CG10" s="4"/>
      <c r="CH10" s="4">
        <v>2</v>
      </c>
      <c r="CI10" s="4"/>
      <c r="CJ10" s="4" t="s">
        <v>2181</v>
      </c>
      <c r="CK10" s="4">
        <v>0.15</v>
      </c>
      <c r="CL10" s="4">
        <v>0.12</v>
      </c>
      <c r="CM10" s="4">
        <v>540</v>
      </c>
      <c r="CN10" s="4">
        <v>1210</v>
      </c>
      <c r="CO10" s="4">
        <v>0.9</v>
      </c>
      <c r="CP10" s="4">
        <v>0.7</v>
      </c>
      <c r="CQ10" s="4">
        <v>0.7</v>
      </c>
      <c r="CR10" s="4" t="s">
        <v>2203</v>
      </c>
      <c r="CS10" s="4" t="s">
        <v>2204</v>
      </c>
      <c r="CT10" s="4" t="s">
        <v>2165</v>
      </c>
      <c r="CU10" s="4" t="s">
        <v>2165</v>
      </c>
      <c r="CV10" t="str">
        <f t="shared" si="15"/>
        <v>Std Wood 6inch</v>
      </c>
      <c r="CW10" s="72" t="str">
        <f t="shared" si="16"/>
        <v>OpenStudio-Prototype-BuildingsStd Wood 6inchInternalMassDef</v>
      </c>
    </row>
    <row r="11" spans="1:101" x14ac:dyDescent="0.35">
      <c r="A11" t="s">
        <v>7</v>
      </c>
      <c r="B11" s="50" t="str">
        <f t="shared" si="12"/>
        <v>2025_AU_NCC</v>
      </c>
      <c r="C11" s="50" t="str">
        <f t="shared" si="13"/>
        <v>Dormitory</v>
      </c>
      <c r="D11" s="50" t="s">
        <v>2446</v>
      </c>
      <c r="E11" t="s">
        <v>240</v>
      </c>
      <c r="F11" s="62">
        <v>2025</v>
      </c>
      <c r="G11" s="62" t="s">
        <v>2522</v>
      </c>
      <c r="H11" t="s">
        <v>2523</v>
      </c>
      <c r="I11">
        <v>255</v>
      </c>
      <c r="J11">
        <v>255</v>
      </c>
      <c r="K11">
        <v>255</v>
      </c>
      <c r="L11" s="50" t="str">
        <f t="shared" si="0"/>
        <v>BA Dormitory_2025AUNCC</v>
      </c>
      <c r="M11" s="50" t="str">
        <f t="shared" si="14"/>
        <v>BA Dormitory_2025AUNCCScheduleSet</v>
      </c>
      <c r="N11" s="62">
        <v>100</v>
      </c>
      <c r="O11" s="6">
        <v>10</v>
      </c>
      <c r="P11" s="38">
        <v>0.107639151</v>
      </c>
      <c r="Q11">
        <v>255.91</v>
      </c>
      <c r="R11" s="6">
        <v>75</v>
      </c>
      <c r="S11">
        <v>187.67</v>
      </c>
      <c r="T11" s="6">
        <v>55</v>
      </c>
      <c r="U11" s="6"/>
      <c r="V11" s="6"/>
      <c r="W11" s="6">
        <v>130</v>
      </c>
      <c r="X11" s="2">
        <v>0.57692307700000001</v>
      </c>
      <c r="Y11" t="s">
        <v>2524</v>
      </c>
      <c r="Z11" t="s">
        <v>2525</v>
      </c>
      <c r="AA11" s="4"/>
      <c r="AB11" s="4"/>
      <c r="AC11" s="50" t="str">
        <f t="shared" si="1"/>
        <v>NCC S35C2nOther applications (non-dining)BA DormitoryPeopleDef</v>
      </c>
      <c r="AD11" t="s">
        <v>356</v>
      </c>
      <c r="AE11" s="50" t="str">
        <f t="shared" si="2"/>
        <v>BA DormitoryActivity</v>
      </c>
      <c r="AF11" s="63" t="s">
        <v>2165</v>
      </c>
      <c r="AG11" s="63" t="s">
        <v>2165</v>
      </c>
      <c r="AH11" s="62">
        <v>0.11</v>
      </c>
      <c r="AI11" s="62">
        <f t="shared" si="3"/>
        <v>5.5880000000000003E-4</v>
      </c>
      <c r="AJ11" s="63" t="s">
        <v>2165</v>
      </c>
      <c r="AK11" s="4" t="s">
        <v>2165</v>
      </c>
      <c r="AL11" s="4" t="s">
        <v>2165</v>
      </c>
      <c r="AM11" t="s">
        <v>104</v>
      </c>
      <c r="AN11" t="s">
        <v>240</v>
      </c>
      <c r="AO11" s="4" t="s">
        <v>2165</v>
      </c>
      <c r="AP11" s="4" t="s">
        <v>2165</v>
      </c>
      <c r="AQ11" s="72" t="str">
        <f t="shared" si="4"/>
        <v>COMNET-REV9WholeBuildingBA DormitoryVent</v>
      </c>
      <c r="AR11" s="2">
        <v>0</v>
      </c>
      <c r="AS11" s="2">
        <v>0</v>
      </c>
      <c r="AT11" s="2">
        <v>0</v>
      </c>
      <c r="AU11" s="2">
        <v>0.5</v>
      </c>
      <c r="AV11" s="2">
        <v>0</v>
      </c>
      <c r="AW11" t="s">
        <v>2528</v>
      </c>
      <c r="AX11" t="s">
        <v>105</v>
      </c>
      <c r="AY11" t="s">
        <v>2532</v>
      </c>
      <c r="AZ11" s="72" t="str">
        <f t="shared" si="5"/>
        <v>NCC S35C2lNREL 956/Eley AnalysisClass 3 dormitories - no load per S35C2l; radiant/latent/lost fraction split retained from original WA/COMNET-REV9 source (AIRAH Technical Handbook does not publish this split)BA DormitoryElectricalEquipDef</v>
      </c>
      <c r="BA11" t="s">
        <v>339</v>
      </c>
      <c r="BB11" s="50">
        <v>0.371612</v>
      </c>
      <c r="BC11" s="2">
        <v>4</v>
      </c>
      <c r="BD11" s="2">
        <v>0.37</v>
      </c>
      <c r="BE11" s="2">
        <v>0.2</v>
      </c>
      <c r="BF11" t="s">
        <v>2569</v>
      </c>
      <c r="BG11" s="4"/>
      <c r="BH11" t="s">
        <v>2573</v>
      </c>
      <c r="BI11" s="72" t="str">
        <f t="shared" si="6"/>
        <v>NCC J7D3aDormitory of a Class 3 building used for sleeping and study; radiant/visible fraction split retained from original WA/COMNET-REV9 source (AIRAH Technical Handbook does not publish this split)LightingDef</v>
      </c>
      <c r="BJ11" t="s">
        <v>368</v>
      </c>
      <c r="BK11" s="3">
        <v>0.20408764099999999</v>
      </c>
      <c r="BL11" s="3">
        <v>0.69634703200000003</v>
      </c>
      <c r="BM11" s="2">
        <v>7.4954794519999997</v>
      </c>
      <c r="BN11" s="3">
        <v>0.01</v>
      </c>
      <c r="BO11" s="3">
        <v>0.4</v>
      </c>
      <c r="BP11" s="3">
        <v>0.4</v>
      </c>
      <c r="BQ11" t="s">
        <v>104</v>
      </c>
      <c r="BR11" t="s">
        <v>133</v>
      </c>
      <c r="BS11" t="s">
        <v>333</v>
      </c>
      <c r="BT11" s="72" t="str">
        <f t="shared" si="7"/>
        <v>COMNET-REV9California Commercial End-Use Survey (CEUS)60%ThermEffProcessBA DormitoryGasEquipDef</v>
      </c>
      <c r="BU11" t="s">
        <v>349</v>
      </c>
      <c r="BW11">
        <v>0.7</v>
      </c>
      <c r="BY11" t="s">
        <v>2660</v>
      </c>
      <c r="BZ11" t="s">
        <v>2661</v>
      </c>
      <c r="CB11" s="50" t="str">
        <f t="shared" si="8"/>
        <v>Dormitory_WholeBuilding</v>
      </c>
      <c r="CC11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DormitoryInfil</v>
      </c>
      <c r="CD11" t="s">
        <v>266</v>
      </c>
      <c r="CE11" t="s">
        <v>107</v>
      </c>
      <c r="CF11" t="s">
        <v>240</v>
      </c>
      <c r="CG11" s="4"/>
      <c r="CH11" s="4">
        <v>2</v>
      </c>
      <c r="CI11" s="4"/>
      <c r="CJ11" s="4" t="s">
        <v>2181</v>
      </c>
      <c r="CK11" s="4">
        <v>0.15</v>
      </c>
      <c r="CL11" s="4">
        <v>0.12</v>
      </c>
      <c r="CM11" s="4">
        <v>540</v>
      </c>
      <c r="CN11" s="4">
        <v>1210</v>
      </c>
      <c r="CO11" s="4">
        <v>0.9</v>
      </c>
      <c r="CP11" s="4">
        <v>0.7</v>
      </c>
      <c r="CQ11" s="4">
        <v>0.7</v>
      </c>
      <c r="CR11" s="4" t="s">
        <v>2203</v>
      </c>
      <c r="CS11" s="4" t="s">
        <v>2204</v>
      </c>
      <c r="CT11" s="4" t="s">
        <v>2165</v>
      </c>
      <c r="CU11" s="4" t="s">
        <v>2165</v>
      </c>
      <c r="CV11" t="str">
        <f t="shared" si="15"/>
        <v>Std Wood 6inch</v>
      </c>
      <c r="CW11" s="72" t="str">
        <f t="shared" si="16"/>
        <v>OpenStudio-Prototype-BuildingsStd Wood 6inchInternalMassDef</v>
      </c>
    </row>
    <row r="12" spans="1:101" x14ac:dyDescent="0.35">
      <c r="A12" t="s">
        <v>8</v>
      </c>
      <c r="B12" s="50" t="str">
        <f t="shared" si="12"/>
        <v>2025_AU_NCC</v>
      </c>
      <c r="C12" s="50" t="str">
        <f t="shared" si="13"/>
        <v>Exercise Center</v>
      </c>
      <c r="D12" s="50" t="s">
        <v>2446</v>
      </c>
      <c r="E12" t="s">
        <v>240</v>
      </c>
      <c r="F12" s="62">
        <v>2025</v>
      </c>
      <c r="G12" s="62" t="s">
        <v>2522</v>
      </c>
      <c r="H12" t="s">
        <v>2523</v>
      </c>
      <c r="I12">
        <v>255</v>
      </c>
      <c r="J12">
        <v>255</v>
      </c>
      <c r="K12">
        <v>255</v>
      </c>
      <c r="L12" s="50" t="str">
        <f t="shared" si="0"/>
        <v>BA Exercise Center_2025AUNCC</v>
      </c>
      <c r="M12" s="50" t="str">
        <f t="shared" si="14"/>
        <v>BA Exercise Center_2025AUNCCScheduleSet</v>
      </c>
      <c r="N12" s="62">
        <v>100</v>
      </c>
      <c r="O12" s="6">
        <v>10</v>
      </c>
      <c r="P12" s="38">
        <v>0.107639151</v>
      </c>
      <c r="Q12">
        <v>255.91</v>
      </c>
      <c r="R12" s="6">
        <v>75</v>
      </c>
      <c r="S12">
        <v>187.67</v>
      </c>
      <c r="T12" s="6">
        <v>55</v>
      </c>
      <c r="U12" s="6"/>
      <c r="V12" s="6"/>
      <c r="W12" s="6">
        <v>130</v>
      </c>
      <c r="X12" s="2">
        <v>0.57692307700000001</v>
      </c>
      <c r="Y12" t="s">
        <v>2524</v>
      </c>
      <c r="Z12" t="s">
        <v>2525</v>
      </c>
      <c r="AA12" s="4"/>
      <c r="AB12" s="4"/>
      <c r="AC12" s="50" t="str">
        <f t="shared" si="1"/>
        <v>NCC S35C2nOther applications (non-dining)BA Exercise CenterPeopleDef</v>
      </c>
      <c r="AD12" t="s">
        <v>355</v>
      </c>
      <c r="AE12" s="50" t="str">
        <f t="shared" si="2"/>
        <v>BA Exercise CenterActivity</v>
      </c>
      <c r="AF12" s="63" t="s">
        <v>2165</v>
      </c>
      <c r="AG12" s="63" t="s">
        <v>2165</v>
      </c>
      <c r="AH12" s="62">
        <v>0.26</v>
      </c>
      <c r="AI12" s="62">
        <f t="shared" si="3"/>
        <v>1.3208000000000002E-3</v>
      </c>
      <c r="AJ12" s="63" t="s">
        <v>2165</v>
      </c>
      <c r="AK12" s="4" t="s">
        <v>2165</v>
      </c>
      <c r="AL12" s="4" t="s">
        <v>2165</v>
      </c>
      <c r="AM12" t="s">
        <v>104</v>
      </c>
      <c r="AN12" t="s">
        <v>240</v>
      </c>
      <c r="AO12" s="4" t="s">
        <v>2165</v>
      </c>
      <c r="AP12" s="4" t="s">
        <v>2165</v>
      </c>
      <c r="AQ12" s="72" t="str">
        <f t="shared" si="4"/>
        <v>COMNET-REV9WholeBuildingBA Exercise CenterVent</v>
      </c>
      <c r="AR12" s="2">
        <v>0</v>
      </c>
      <c r="AS12" s="2">
        <v>0</v>
      </c>
      <c r="AT12" s="2">
        <v>0</v>
      </c>
      <c r="AU12" s="2">
        <v>0.5</v>
      </c>
      <c r="AV12" s="2">
        <v>0</v>
      </c>
      <c r="AW12" t="s">
        <v>2528</v>
      </c>
      <c r="AX12" t="s">
        <v>105</v>
      </c>
      <c r="AY12" t="s">
        <v>2533</v>
      </c>
      <c r="AZ12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Exercise CenterElectricalEquipDef</v>
      </c>
      <c r="BA12" t="s">
        <v>338</v>
      </c>
      <c r="BB12" s="50">
        <v>0.72</v>
      </c>
      <c r="BC12" s="2">
        <v>7.7500200000000001</v>
      </c>
      <c r="BD12" s="2">
        <v>0.37</v>
      </c>
      <c r="BE12" s="2">
        <v>0.2</v>
      </c>
      <c r="BF12" t="s">
        <v>2567</v>
      </c>
      <c r="BG12" s="4"/>
      <c r="BH12" t="s">
        <v>2574</v>
      </c>
      <c r="BI12" s="72" t="str">
        <f t="shared" si="6"/>
        <v>IECC Table C405.3.2(1)Exercise center; radiant/visible fraction split retained from original WA/COMNET-REV9 sourceLightingDef</v>
      </c>
      <c r="BJ12" t="s">
        <v>367</v>
      </c>
      <c r="BK12" s="3">
        <v>6.6913980000000003E-3</v>
      </c>
      <c r="BL12" s="3">
        <v>2.2831049999999999E-2</v>
      </c>
      <c r="BM12" s="2">
        <v>0.245753425</v>
      </c>
      <c r="BN12" s="3">
        <v>0.05</v>
      </c>
      <c r="BO12" s="3">
        <v>0.4</v>
      </c>
      <c r="BP12" s="3">
        <v>0.4</v>
      </c>
      <c r="BQ12" t="s">
        <v>104</v>
      </c>
      <c r="BR12" t="s">
        <v>133</v>
      </c>
      <c r="BS12" t="s">
        <v>333</v>
      </c>
      <c r="BT12" s="72" t="str">
        <f t="shared" si="7"/>
        <v>COMNET-REV9California Commercial End-Use Survey (CEUS)60%ThermEffProcessBA Exercise CenterGasEquipDef</v>
      </c>
      <c r="BU12" t="s">
        <v>350</v>
      </c>
      <c r="BW12">
        <v>0.7</v>
      </c>
      <c r="BY12" t="s">
        <v>2660</v>
      </c>
      <c r="BZ12" t="s">
        <v>2661</v>
      </c>
      <c r="CB12" s="50" t="str">
        <f t="shared" si="8"/>
        <v>Exercise centre_WholeBuilding</v>
      </c>
      <c r="CC12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Exercise CenterInfil</v>
      </c>
      <c r="CD12" t="s">
        <v>266</v>
      </c>
      <c r="CE12" t="s">
        <v>256</v>
      </c>
      <c r="CF12" t="s">
        <v>240</v>
      </c>
      <c r="CG12" s="4"/>
      <c r="CH12" s="4">
        <v>2</v>
      </c>
      <c r="CI12" s="4"/>
      <c r="CJ12" s="4" t="s">
        <v>2181</v>
      </c>
      <c r="CK12" s="4">
        <v>0.15</v>
      </c>
      <c r="CL12" s="4">
        <v>0.12</v>
      </c>
      <c r="CM12" s="4">
        <v>540</v>
      </c>
      <c r="CN12" s="4">
        <v>1210</v>
      </c>
      <c r="CO12" s="4">
        <v>0.9</v>
      </c>
      <c r="CP12" s="4">
        <v>0.7</v>
      </c>
      <c r="CQ12" s="4">
        <v>0.7</v>
      </c>
      <c r="CR12" s="4" t="s">
        <v>2203</v>
      </c>
      <c r="CS12" s="4" t="s">
        <v>2204</v>
      </c>
      <c r="CT12" s="4" t="s">
        <v>2165</v>
      </c>
      <c r="CU12" s="4" t="s">
        <v>2165</v>
      </c>
      <c r="CV12" t="str">
        <f t="shared" si="15"/>
        <v>Std Wood 6inch</v>
      </c>
      <c r="CW12" s="72" t="str">
        <f t="shared" si="16"/>
        <v>OpenStudio-Prototype-BuildingsStd Wood 6inchInternalMassDef</v>
      </c>
    </row>
    <row r="13" spans="1:101" x14ac:dyDescent="0.35">
      <c r="A13" t="s">
        <v>9</v>
      </c>
      <c r="B13" s="50" t="str">
        <f t="shared" si="12"/>
        <v>2025_AU_NCC</v>
      </c>
      <c r="C13" s="50" t="str">
        <f t="shared" si="13"/>
        <v>Fire Station</v>
      </c>
      <c r="D13" s="50" t="s">
        <v>2446</v>
      </c>
      <c r="E13" t="s">
        <v>240</v>
      </c>
      <c r="F13" s="62">
        <v>2025</v>
      </c>
      <c r="G13" s="62" t="s">
        <v>2522</v>
      </c>
      <c r="H13" t="s">
        <v>2523</v>
      </c>
      <c r="I13">
        <v>255</v>
      </c>
      <c r="J13">
        <v>255</v>
      </c>
      <c r="K13">
        <v>255</v>
      </c>
      <c r="L13" s="50" t="str">
        <f t="shared" si="0"/>
        <v>BA Fire Station_2025AUNCC</v>
      </c>
      <c r="M13" s="50" t="str">
        <f t="shared" si="14"/>
        <v>BA Fire Station_2025AUNCCScheduleSet</v>
      </c>
      <c r="N13" s="62">
        <v>33</v>
      </c>
      <c r="O13" s="6">
        <v>30.3030303</v>
      </c>
      <c r="P13" s="38">
        <v>0.32617924399999998</v>
      </c>
      <c r="Q13">
        <v>255.91</v>
      </c>
      <c r="R13" s="6">
        <v>75</v>
      </c>
      <c r="S13">
        <v>187.67</v>
      </c>
      <c r="T13" s="6">
        <v>55</v>
      </c>
      <c r="U13" s="6"/>
      <c r="V13" s="6"/>
      <c r="W13" s="6">
        <v>130</v>
      </c>
      <c r="X13" s="2">
        <v>0.57692307700000001</v>
      </c>
      <c r="Y13" t="s">
        <v>2524</v>
      </c>
      <c r="Z13" t="s">
        <v>2525</v>
      </c>
      <c r="AA13" s="4"/>
      <c r="AB13" s="4"/>
      <c r="AC13" s="50" t="str">
        <f t="shared" si="1"/>
        <v>NCC S35C2nOther applications (non-dining)BA Fire StationPeopleDef</v>
      </c>
      <c r="AD13" t="s">
        <v>357</v>
      </c>
      <c r="AE13" s="50" t="str">
        <f t="shared" si="2"/>
        <v>BA Fire StationActivity</v>
      </c>
      <c r="AF13" s="63" t="s">
        <v>2165</v>
      </c>
      <c r="AG13" s="63" t="s">
        <v>2165</v>
      </c>
      <c r="AH13" s="62">
        <v>0.21</v>
      </c>
      <c r="AI13" s="62">
        <f t="shared" si="3"/>
        <v>1.0668000000000001E-3</v>
      </c>
      <c r="AJ13" s="63" t="s">
        <v>2165</v>
      </c>
      <c r="AK13" s="4" t="s">
        <v>2165</v>
      </c>
      <c r="AL13" s="4" t="s">
        <v>2165</v>
      </c>
      <c r="AM13" t="s">
        <v>104</v>
      </c>
      <c r="AN13" t="s">
        <v>240</v>
      </c>
      <c r="AO13" s="4" t="s">
        <v>2165</v>
      </c>
      <c r="AP13" s="4" t="s">
        <v>2165</v>
      </c>
      <c r="AQ13" s="72" t="str">
        <f t="shared" si="4"/>
        <v>COMNET-REV9WholeBuildingBA Fire StationVent</v>
      </c>
      <c r="AR13" s="2">
        <v>0.30658000000000002</v>
      </c>
      <c r="AS13" s="2">
        <v>3.3</v>
      </c>
      <c r="AT13" s="2">
        <v>0</v>
      </c>
      <c r="AU13" s="2">
        <v>0.5</v>
      </c>
      <c r="AV13" s="2">
        <v>0</v>
      </c>
      <c r="AW13" t="s">
        <v>2528</v>
      </c>
      <c r="AX13" t="s">
        <v>105</v>
      </c>
      <c r="AY13" t="s">
        <v>2534</v>
      </c>
      <c r="AZ13" s="72" t="str">
        <f t="shared" si="5"/>
        <v>NCC S35C2lNREL 956/Eley AnalysisAUTHOR-ASSUMED area-weighted composite (not a direct NCC table value) - Fire Station is not a single NCC building class, decomposed as: Apparatus Bay / Garage (Class 7a/8-like) 45%; Sleeping Quarters (Class 3 dormitory-style, sleeping only) 25%; Office / Admin / Dayroom (Class 5) 30%. Equipment W/m2 per component per S35C2l, blended by area fraction. Adjust fractions to match actual floor plan; radiant/latent/lost fraction split retained from original WA/COMNET-REV9 source (AIRAH Technical Handbook does not publish this split)BA Fire StationElectricalEquipDef</v>
      </c>
      <c r="BA13" t="s">
        <v>340</v>
      </c>
      <c r="BB13" s="50">
        <v>0.27870899999999998</v>
      </c>
      <c r="BC13" s="2">
        <v>3</v>
      </c>
      <c r="BD13" s="2">
        <v>0.37</v>
      </c>
      <c r="BE13" s="2">
        <v>0.2</v>
      </c>
      <c r="BF13" t="s">
        <v>2569</v>
      </c>
      <c r="BG13" s="4"/>
      <c r="BH13" t="s">
        <v>2575</v>
      </c>
      <c r="BI13" s="72" t="str">
        <f t="shared" si="6"/>
        <v>NCC J7D3aAUTHOR-ASSUMED area-weighted composite (not a direct NCC table value) - Apparatus Bay / Garage (Class 7a/8-like) 45% -&gt; Carpark - general (nearest available proxy; NCC has no vehicle-bay-specific lighting row) (2.0 W/m2); Sleeping Quarters (Class 3 dormitory-style, sleeping only) 25% -&gt; Dormitory of a Class 3 building used for sleeping only (3.0 W/m2); Office / Admin / Dayroom (Class 5) 30% -&gt; Office - artificially lit to &gt;= 200 lux (4.5 W/m2). Adjust fractions to match actual floor plan; radiant/latent/lost fraction split retained from original WA/COMNET-REV9 source (AIRAH Technical Handbook does not publish this split)LightingDef</v>
      </c>
      <c r="BJ13" t="s">
        <v>369</v>
      </c>
      <c r="BK13" s="3">
        <v>0.220816136</v>
      </c>
      <c r="BL13" s="3">
        <v>0.75342465800000002</v>
      </c>
      <c r="BM13" s="2">
        <v>8.1098630140000001</v>
      </c>
      <c r="BN13" s="3">
        <v>0</v>
      </c>
      <c r="BO13" s="3">
        <v>0.75</v>
      </c>
      <c r="BP13" s="3">
        <v>0.25</v>
      </c>
      <c r="BQ13" t="s">
        <v>104</v>
      </c>
      <c r="BR13" t="s">
        <v>133</v>
      </c>
      <c r="BS13" t="s">
        <v>327</v>
      </c>
      <c r="BT13" s="72" t="str">
        <f t="shared" si="7"/>
        <v>COMNET-REV9California Commercial End-Use Survey (CEUS)93%ThermEffRadiantBA Fire StationGasEquipDef</v>
      </c>
      <c r="BU13" t="s">
        <v>340</v>
      </c>
      <c r="BW13">
        <v>0.7</v>
      </c>
      <c r="BY13" t="s">
        <v>2660</v>
      </c>
      <c r="BZ13" t="s">
        <v>2661</v>
      </c>
      <c r="CB13" s="50" t="str">
        <f t="shared" si="8"/>
        <v>Fire station_WholeBuilding</v>
      </c>
      <c r="CC13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Fire StationInfil</v>
      </c>
      <c r="CD13" t="s">
        <v>266</v>
      </c>
      <c r="CE13" t="s">
        <v>108</v>
      </c>
      <c r="CF13" t="s">
        <v>240</v>
      </c>
      <c r="CG13" s="4"/>
      <c r="CH13" s="4">
        <v>2</v>
      </c>
      <c r="CI13" s="4"/>
      <c r="CJ13" s="4" t="s">
        <v>2181</v>
      </c>
      <c r="CK13" s="4">
        <v>0.15</v>
      </c>
      <c r="CL13" s="4">
        <v>0.12</v>
      </c>
      <c r="CM13" s="4">
        <v>540</v>
      </c>
      <c r="CN13" s="4">
        <v>1210</v>
      </c>
      <c r="CO13" s="4">
        <v>0.9</v>
      </c>
      <c r="CP13" s="4">
        <v>0.7</v>
      </c>
      <c r="CQ13" s="4">
        <v>0.7</v>
      </c>
      <c r="CR13" s="4" t="s">
        <v>2203</v>
      </c>
      <c r="CS13" s="4" t="s">
        <v>2204</v>
      </c>
      <c r="CT13" s="4" t="s">
        <v>2165</v>
      </c>
      <c r="CU13" s="4" t="s">
        <v>2165</v>
      </c>
      <c r="CV13" t="str">
        <f t="shared" si="15"/>
        <v>Std Wood 6inch</v>
      </c>
      <c r="CW13" s="72" t="str">
        <f t="shared" si="16"/>
        <v>OpenStudio-Prototype-BuildingsStd Wood 6inchInternalMassDef</v>
      </c>
    </row>
    <row r="14" spans="1:101" x14ac:dyDescent="0.35">
      <c r="A14" t="s">
        <v>10</v>
      </c>
      <c r="B14" s="50" t="str">
        <f t="shared" si="12"/>
        <v>2025_AU_NCC</v>
      </c>
      <c r="C14" s="50" t="str">
        <f t="shared" si="13"/>
        <v>Gymnasium</v>
      </c>
      <c r="D14" s="50" t="s">
        <v>2446</v>
      </c>
      <c r="E14" t="s">
        <v>240</v>
      </c>
      <c r="F14" s="62">
        <v>2025</v>
      </c>
      <c r="G14" s="62" t="s">
        <v>2522</v>
      </c>
      <c r="H14" t="s">
        <v>2523</v>
      </c>
      <c r="I14">
        <v>255</v>
      </c>
      <c r="J14">
        <v>255</v>
      </c>
      <c r="K14">
        <v>255</v>
      </c>
      <c r="L14" s="50" t="str">
        <f t="shared" si="0"/>
        <v>BA Gymnasium_2025AUNCC</v>
      </c>
      <c r="M14" s="50" t="str">
        <f t="shared" si="14"/>
        <v>BA Gymnasium_2025AUNCCScheduleSet</v>
      </c>
      <c r="N14" s="62">
        <v>33</v>
      </c>
      <c r="O14" s="6">
        <v>30.3030303</v>
      </c>
      <c r="P14" s="38">
        <v>0.32617924399999998</v>
      </c>
      <c r="Q14">
        <v>255.91</v>
      </c>
      <c r="R14" s="6">
        <v>75</v>
      </c>
      <c r="S14">
        <v>187.67</v>
      </c>
      <c r="T14" s="6">
        <v>55</v>
      </c>
      <c r="U14" s="6"/>
      <c r="V14" s="6"/>
      <c r="W14" s="6">
        <v>130</v>
      </c>
      <c r="X14" s="2">
        <v>0.57692307700000001</v>
      </c>
      <c r="Y14" t="s">
        <v>2524</v>
      </c>
      <c r="Z14" t="s">
        <v>2525</v>
      </c>
      <c r="AA14" s="4"/>
      <c r="AB14" s="4"/>
      <c r="AC14" s="50" t="str">
        <f t="shared" si="1"/>
        <v>NCC S35C2nOther applications (non-dining)BA GymnasiumPeopleDef</v>
      </c>
      <c r="AD14" t="s">
        <v>355</v>
      </c>
      <c r="AE14" s="50" t="str">
        <f t="shared" si="2"/>
        <v>BA GymnasiumActivity</v>
      </c>
      <c r="AF14" s="63" t="s">
        <v>2165</v>
      </c>
      <c r="AG14" s="63" t="s">
        <v>2165</v>
      </c>
      <c r="AH14" s="62">
        <v>0.3</v>
      </c>
      <c r="AI14" s="62">
        <f t="shared" si="3"/>
        <v>1.524E-3</v>
      </c>
      <c r="AJ14" s="63" t="s">
        <v>2165</v>
      </c>
      <c r="AK14" s="4" t="s">
        <v>2165</v>
      </c>
      <c r="AL14" s="4" t="s">
        <v>2165</v>
      </c>
      <c r="AM14" t="s">
        <v>104</v>
      </c>
      <c r="AN14" t="s">
        <v>240</v>
      </c>
      <c r="AO14" s="4" t="s">
        <v>2165</v>
      </c>
      <c r="AP14" s="4" t="s">
        <v>2165</v>
      </c>
      <c r="AQ14" s="72" t="str">
        <f t="shared" si="4"/>
        <v>COMNET-REV9WholeBuildingBA GymnasiumVent</v>
      </c>
      <c r="AR14" s="2">
        <v>0</v>
      </c>
      <c r="AS14" s="2">
        <v>0</v>
      </c>
      <c r="AT14" s="2">
        <v>0</v>
      </c>
      <c r="AU14" s="2">
        <v>0.5</v>
      </c>
      <c r="AV14" s="2">
        <v>0</v>
      </c>
      <c r="AW14" t="s">
        <v>2528</v>
      </c>
      <c r="AX14" t="s">
        <v>105</v>
      </c>
      <c r="AY14" t="s">
        <v>2533</v>
      </c>
      <c r="AZ14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GymnasiumElectricalEquipDef</v>
      </c>
      <c r="BA14" t="s">
        <v>338</v>
      </c>
      <c r="BB14" s="50">
        <v>0.75</v>
      </c>
      <c r="BC14" s="2">
        <v>8.0729299999999995</v>
      </c>
      <c r="BD14" s="2">
        <v>0.37</v>
      </c>
      <c r="BE14" s="2">
        <v>0.2</v>
      </c>
      <c r="BF14" t="s">
        <v>2567</v>
      </c>
      <c r="BG14" s="4"/>
      <c r="BH14" t="s">
        <v>2576</v>
      </c>
      <c r="BI14" s="72" t="str">
        <f t="shared" si="6"/>
        <v>IECC Table C405.3.2(1)Gymnasium; radiant/visible fraction split retained from original WA/COMNET-REV9 sourceLightingDef</v>
      </c>
      <c r="BJ14" t="s">
        <v>367</v>
      </c>
      <c r="BK14" s="3">
        <v>6.6913980000000003E-3</v>
      </c>
      <c r="BL14" s="3">
        <v>2.2831049999999999E-2</v>
      </c>
      <c r="BM14" s="2">
        <v>0.245753425</v>
      </c>
      <c r="BN14" s="3">
        <v>0</v>
      </c>
      <c r="BO14" s="3">
        <v>0.75</v>
      </c>
      <c r="BP14" s="3">
        <v>0.25</v>
      </c>
      <c r="BQ14" t="s">
        <v>104</v>
      </c>
      <c r="BR14" t="s">
        <v>133</v>
      </c>
      <c r="BS14" t="s">
        <v>327</v>
      </c>
      <c r="BT14" s="72" t="str">
        <f t="shared" si="7"/>
        <v>COMNET-REV9California Commercial End-Use Survey (CEUS)93%ThermEffRadiantBA GymnasiumGasEquipDef</v>
      </c>
      <c r="BU14" s="7" t="s">
        <v>346</v>
      </c>
      <c r="BW14">
        <v>0.7</v>
      </c>
      <c r="BY14" t="s">
        <v>2660</v>
      </c>
      <c r="BZ14" t="s">
        <v>2661</v>
      </c>
      <c r="CB14" s="50" t="str">
        <f t="shared" si="8"/>
        <v>Gymnasium_WholeBuilding</v>
      </c>
      <c r="CC14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GymnasiumInfil</v>
      </c>
      <c r="CD14" t="s">
        <v>266</v>
      </c>
      <c r="CE14" t="s">
        <v>109</v>
      </c>
      <c r="CF14" t="s">
        <v>240</v>
      </c>
      <c r="CG14" s="4"/>
      <c r="CH14" s="4">
        <v>2</v>
      </c>
      <c r="CI14" s="4"/>
      <c r="CJ14" s="4" t="s">
        <v>2181</v>
      </c>
      <c r="CK14" s="4">
        <v>0.15</v>
      </c>
      <c r="CL14" s="4">
        <v>0.12</v>
      </c>
      <c r="CM14" s="4">
        <v>540</v>
      </c>
      <c r="CN14" s="4">
        <v>1210</v>
      </c>
      <c r="CO14" s="4">
        <v>0.9</v>
      </c>
      <c r="CP14" s="4">
        <v>0.7</v>
      </c>
      <c r="CQ14" s="4">
        <v>0.7</v>
      </c>
      <c r="CR14" s="4" t="s">
        <v>2203</v>
      </c>
      <c r="CS14" s="4" t="s">
        <v>2204</v>
      </c>
      <c r="CT14" s="4" t="s">
        <v>2165</v>
      </c>
      <c r="CU14" s="4" t="s">
        <v>2165</v>
      </c>
      <c r="CV14" t="str">
        <f t="shared" si="15"/>
        <v>Std Wood 6inch</v>
      </c>
      <c r="CW14" s="72" t="str">
        <f t="shared" si="16"/>
        <v>OpenStudio-Prototype-BuildingsStd Wood 6inchInternalMassDef</v>
      </c>
    </row>
    <row r="15" spans="1:101" x14ac:dyDescent="0.35">
      <c r="A15" t="s">
        <v>11</v>
      </c>
      <c r="B15" s="50" t="str">
        <f t="shared" si="12"/>
        <v>2025_AU_NCC</v>
      </c>
      <c r="C15" s="50" t="str">
        <f t="shared" si="13"/>
        <v>Healthcare Clinic</v>
      </c>
      <c r="D15" s="50" t="s">
        <v>2446</v>
      </c>
      <c r="E15" t="s">
        <v>240</v>
      </c>
      <c r="F15" s="62">
        <v>2025</v>
      </c>
      <c r="G15" s="62" t="s">
        <v>2522</v>
      </c>
      <c r="H15" t="s">
        <v>2523</v>
      </c>
      <c r="I15">
        <v>255</v>
      </c>
      <c r="J15">
        <v>255</v>
      </c>
      <c r="K15">
        <v>255</v>
      </c>
      <c r="L15" s="50" t="str">
        <f t="shared" si="0"/>
        <v>BA Healthcare Clinic_2025AUNCC</v>
      </c>
      <c r="M15" s="50" t="str">
        <f t="shared" si="14"/>
        <v>BA Healthcare Clinic_2025AUNCCScheduleSet</v>
      </c>
      <c r="N15" s="62">
        <v>200</v>
      </c>
      <c r="O15" s="6">
        <v>5</v>
      </c>
      <c r="P15" s="38">
        <v>5.3819575000000001E-2</v>
      </c>
      <c r="Q15">
        <v>255.91</v>
      </c>
      <c r="R15" s="6">
        <v>75</v>
      </c>
      <c r="S15">
        <v>187.67</v>
      </c>
      <c r="T15" s="6">
        <v>55</v>
      </c>
      <c r="U15" s="6"/>
      <c r="V15" s="6"/>
      <c r="W15" s="6">
        <v>130</v>
      </c>
      <c r="X15" s="2">
        <v>0.57692307700000001</v>
      </c>
      <c r="Y15" t="s">
        <v>2524</v>
      </c>
      <c r="Z15" t="s">
        <v>2525</v>
      </c>
      <c r="AA15" s="4"/>
      <c r="AB15" s="4"/>
      <c r="AC15" s="50" t="str">
        <f t="shared" si="1"/>
        <v>NCC S35C2nOther applications (non-dining)BA Healthcare ClinicPeopleDef</v>
      </c>
      <c r="AD15" t="s">
        <v>354</v>
      </c>
      <c r="AE15" s="50" t="str">
        <f t="shared" si="2"/>
        <v>BA Healthcare ClinicActivity</v>
      </c>
      <c r="AF15" s="63" t="s">
        <v>2165</v>
      </c>
      <c r="AG15" s="63" t="s">
        <v>2165</v>
      </c>
      <c r="AH15" s="62">
        <v>0.47</v>
      </c>
      <c r="AI15" s="62">
        <f t="shared" si="3"/>
        <v>2.3876000000000001E-3</v>
      </c>
      <c r="AJ15" s="63" t="s">
        <v>2165</v>
      </c>
      <c r="AK15" s="4" t="s">
        <v>2165</v>
      </c>
      <c r="AL15" s="4" t="s">
        <v>2165</v>
      </c>
      <c r="AM15" t="s">
        <v>104</v>
      </c>
      <c r="AN15" t="s">
        <v>240</v>
      </c>
      <c r="AO15" s="4" t="s">
        <v>2165</v>
      </c>
      <c r="AP15" s="4" t="s">
        <v>2165</v>
      </c>
      <c r="AQ15" s="72" t="str">
        <f t="shared" si="4"/>
        <v>COMNET-REV9WholeBuildingBA Healthcare ClinicVent</v>
      </c>
      <c r="AR15" s="2">
        <v>1.393546</v>
      </c>
      <c r="AS15" s="2">
        <v>15</v>
      </c>
      <c r="AT15" s="2">
        <v>0</v>
      </c>
      <c r="AU15" s="2">
        <v>0.5</v>
      </c>
      <c r="AV15" s="2">
        <v>0</v>
      </c>
      <c r="AW15" t="s">
        <v>2528</v>
      </c>
      <c r="AX15" t="s">
        <v>105</v>
      </c>
      <c r="AY15" t="s">
        <v>2535</v>
      </c>
      <c r="AZ15" s="72" t="str">
        <f t="shared" si="5"/>
        <v>NCC S35C2lNREL 956/Eley AnalysisClass 9a clinic/day surgery/procedure unit; radiant/latent/lost fraction split retained from original WA/COMNET-REV9 source (AIRAH Technical Handbook does not publish this split)BA Healthcare ClinicElectricalEquipDef</v>
      </c>
      <c r="BA15" t="s">
        <v>337</v>
      </c>
      <c r="BB15" s="50">
        <v>0.41806399999999999</v>
      </c>
      <c r="BC15" s="2">
        <v>4.5</v>
      </c>
      <c r="BD15" s="2">
        <v>0.37</v>
      </c>
      <c r="BE15" s="2">
        <v>0.2</v>
      </c>
      <c r="BF15" t="s">
        <v>2569</v>
      </c>
      <c r="BG15" s="4"/>
      <c r="BH15" t="s">
        <v>2577</v>
      </c>
      <c r="BI15" s="72" t="str">
        <f t="shared" si="6"/>
        <v>NCC J7D3aHealth-care - examination room; radiant/visible fraction split retained from original WA/COMNET-REV9 source (AIRAH Technical Handbook does not publish this split)LightingDef</v>
      </c>
      <c r="BJ15" t="s">
        <v>366</v>
      </c>
      <c r="BK15" s="3">
        <v>0.33122420499999999</v>
      </c>
      <c r="BL15" s="3">
        <v>1.1301369859999999</v>
      </c>
      <c r="BM15" s="2">
        <v>12.164794519999999</v>
      </c>
      <c r="BN15" s="3">
        <v>0</v>
      </c>
      <c r="BO15" s="3">
        <v>0</v>
      </c>
      <c r="BP15" s="3">
        <v>0.5</v>
      </c>
      <c r="BQ15" t="s">
        <v>104</v>
      </c>
      <c r="BR15" t="s">
        <v>133</v>
      </c>
      <c r="BS15" s="7" t="s">
        <v>334</v>
      </c>
      <c r="BT15" s="72" t="str">
        <f t="shared" si="7"/>
        <v>COMNET-REV9California Commercial End-Use Survey (CEUS)DOEPrototypeBA Healthcare ClinicGasEquipDef</v>
      </c>
      <c r="BU15" s="7" t="s">
        <v>345</v>
      </c>
      <c r="BW15">
        <v>0.7</v>
      </c>
      <c r="BY15" t="s">
        <v>2660</v>
      </c>
      <c r="BZ15" t="s">
        <v>2661</v>
      </c>
      <c r="CB15" s="50" t="str">
        <f t="shared" si="8"/>
        <v>Health-care clinic_WholeBuilding</v>
      </c>
      <c r="CC15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Healthcare ClinicInfil</v>
      </c>
      <c r="CD15" t="s">
        <v>266</v>
      </c>
      <c r="CE15" t="s">
        <v>257</v>
      </c>
      <c r="CF15" t="s">
        <v>240</v>
      </c>
      <c r="CG15" s="4"/>
      <c r="CH15" s="4">
        <v>2</v>
      </c>
      <c r="CI15" s="4"/>
      <c r="CJ15" s="4" t="s">
        <v>2181</v>
      </c>
      <c r="CK15" s="4">
        <v>0.15</v>
      </c>
      <c r="CL15" s="4">
        <v>0.12</v>
      </c>
      <c r="CM15" s="4">
        <v>540</v>
      </c>
      <c r="CN15" s="4">
        <v>1210</v>
      </c>
      <c r="CO15" s="4">
        <v>0.9</v>
      </c>
      <c r="CP15" s="4">
        <v>0.7</v>
      </c>
      <c r="CQ15" s="4">
        <v>0.7</v>
      </c>
      <c r="CR15" s="4" t="s">
        <v>2203</v>
      </c>
      <c r="CS15" s="4" t="s">
        <v>2204</v>
      </c>
      <c r="CT15" s="4" t="s">
        <v>2165</v>
      </c>
      <c r="CU15" s="4" t="s">
        <v>2165</v>
      </c>
      <c r="CV15" t="str">
        <f t="shared" si="15"/>
        <v>Std Wood 6inch</v>
      </c>
      <c r="CW15" s="72" t="str">
        <f t="shared" si="16"/>
        <v>OpenStudio-Prototype-BuildingsStd Wood 6inchInternalMassDef</v>
      </c>
    </row>
    <row r="16" spans="1:101" x14ac:dyDescent="0.35">
      <c r="A16" t="s">
        <v>12</v>
      </c>
      <c r="B16" s="50" t="str">
        <f t="shared" si="12"/>
        <v>2025_AU_NCC</v>
      </c>
      <c r="C16" s="50" t="str">
        <f t="shared" si="13"/>
        <v>Hospital</v>
      </c>
      <c r="D16" s="50" t="s">
        <v>2446</v>
      </c>
      <c r="E16" t="s">
        <v>240</v>
      </c>
      <c r="F16" s="62">
        <v>2025</v>
      </c>
      <c r="G16" s="62" t="s">
        <v>2522</v>
      </c>
      <c r="H16" t="s">
        <v>2523</v>
      </c>
      <c r="I16">
        <v>255</v>
      </c>
      <c r="J16">
        <v>255</v>
      </c>
      <c r="K16">
        <v>255</v>
      </c>
      <c r="L16" s="50" t="str">
        <f t="shared" si="0"/>
        <v>BA Hospital_2025AUNCC</v>
      </c>
      <c r="M16" s="50" t="str">
        <f t="shared" si="14"/>
        <v>BA Hospital_2025AUNCCScheduleSet</v>
      </c>
      <c r="N16" s="62">
        <v>200</v>
      </c>
      <c r="O16" s="6">
        <v>5</v>
      </c>
      <c r="P16" s="38">
        <v>5.3819575000000001E-2</v>
      </c>
      <c r="Q16">
        <v>255.91</v>
      </c>
      <c r="R16" s="6">
        <v>75</v>
      </c>
      <c r="S16">
        <v>187.67</v>
      </c>
      <c r="T16" s="6">
        <v>55</v>
      </c>
      <c r="U16" s="6"/>
      <c r="V16" s="6"/>
      <c r="W16" s="6">
        <v>130</v>
      </c>
      <c r="X16" s="2">
        <v>0.57692307700000001</v>
      </c>
      <c r="Y16" t="s">
        <v>2524</v>
      </c>
      <c r="Z16" t="s">
        <v>2525</v>
      </c>
      <c r="AA16" s="4"/>
      <c r="AB16" s="4"/>
      <c r="AC16" s="50" t="str">
        <f t="shared" si="1"/>
        <v>NCC S35C2nOther applications (non-dining)BA HospitalPeopleDef</v>
      </c>
      <c r="AD16" t="s">
        <v>358</v>
      </c>
      <c r="AE16" s="50" t="str">
        <f t="shared" si="2"/>
        <v>BA HospitalActivity</v>
      </c>
      <c r="AF16" s="63" t="s">
        <v>2165</v>
      </c>
      <c r="AG16" s="63" t="s">
        <v>2165</v>
      </c>
      <c r="AH16" s="62">
        <v>0.47</v>
      </c>
      <c r="AI16" s="62">
        <f t="shared" si="3"/>
        <v>2.3876000000000001E-3</v>
      </c>
      <c r="AJ16" s="63" t="s">
        <v>2165</v>
      </c>
      <c r="AK16" s="4" t="s">
        <v>2165</v>
      </c>
      <c r="AL16" s="4" t="s">
        <v>2165</v>
      </c>
      <c r="AM16" t="s">
        <v>104</v>
      </c>
      <c r="AN16" t="s">
        <v>240</v>
      </c>
      <c r="AO16" s="4" t="s">
        <v>2165</v>
      </c>
      <c r="AP16" s="4" t="s">
        <v>2165</v>
      </c>
      <c r="AQ16" s="72" t="str">
        <f t="shared" si="4"/>
        <v>COMNET-REV9WholeBuildingBA HospitalVent</v>
      </c>
      <c r="AR16" s="2">
        <v>0.46451500000000001</v>
      </c>
      <c r="AS16" s="2">
        <v>5</v>
      </c>
      <c r="AT16" s="2">
        <v>0</v>
      </c>
      <c r="AU16" s="2">
        <v>0.5</v>
      </c>
      <c r="AV16" s="2">
        <v>0</v>
      </c>
      <c r="AW16" t="s">
        <v>2528</v>
      </c>
      <c r="AX16" t="s">
        <v>105</v>
      </c>
      <c r="AY16" t="s">
        <v>2536</v>
      </c>
      <c r="AZ16" s="72" t="str">
        <f t="shared" si="5"/>
        <v>NCC S35C2lNREL 956/Eley AnalysisClass 9a ward area (whole-building composite default); radiant/latent/lost fraction split retained from original WA/COMNET-REV9 source (AIRAH Technical Handbook does not publish this split)BA HospitalElectricalEquipDef</v>
      </c>
      <c r="BA16" t="s">
        <v>341</v>
      </c>
      <c r="BB16" s="50">
        <v>0.23225799999999999</v>
      </c>
      <c r="BC16" s="2">
        <v>2.5</v>
      </c>
      <c r="BD16" s="2">
        <v>0.37</v>
      </c>
      <c r="BE16" s="2">
        <v>0.2</v>
      </c>
      <c r="BF16" t="s">
        <v>2569</v>
      </c>
      <c r="BG16" s="4"/>
      <c r="BH16" t="s">
        <v>2578</v>
      </c>
      <c r="BI16" s="72" t="str">
        <f t="shared" si="6"/>
        <v>NCC J7D3aHealth-care - all other patient care areas including wards and corridors; radiant/visible fraction split retained from original WA/COMNET-REV9 source (AIRAH Technical Handbook does not publish this split)LightingDef</v>
      </c>
      <c r="BJ16" t="s">
        <v>370</v>
      </c>
      <c r="BK16" s="3">
        <v>0.33122420499999999</v>
      </c>
      <c r="BL16" s="3">
        <v>1.1301369859999999</v>
      </c>
      <c r="BM16" s="2">
        <v>12.164794519999999</v>
      </c>
      <c r="BN16" s="3">
        <v>0.01</v>
      </c>
      <c r="BO16" s="3">
        <v>0.2</v>
      </c>
      <c r="BP16" s="3">
        <v>0.7</v>
      </c>
      <c r="BQ16" t="s">
        <v>104</v>
      </c>
      <c r="BR16" t="s">
        <v>133</v>
      </c>
      <c r="BS16" s="7" t="s">
        <v>334</v>
      </c>
      <c r="BT16" s="72" t="str">
        <f t="shared" si="7"/>
        <v>COMNET-REV9California Commercial End-Use Survey (CEUS)DOEPrototypeBA HospitalGasEquipDef</v>
      </c>
      <c r="BU16" s="7" t="s">
        <v>329</v>
      </c>
      <c r="BW16">
        <v>0.7</v>
      </c>
      <c r="BY16" t="s">
        <v>2660</v>
      </c>
      <c r="BZ16" t="s">
        <v>2661</v>
      </c>
      <c r="CB16" s="50" t="str">
        <f t="shared" si="8"/>
        <v>Hospital_WholeBuilding</v>
      </c>
      <c r="CC16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HospitalInfil</v>
      </c>
      <c r="CD16" t="s">
        <v>266</v>
      </c>
      <c r="CE16" t="s">
        <v>110</v>
      </c>
      <c r="CF16" t="s">
        <v>240</v>
      </c>
      <c r="CG16" s="4"/>
      <c r="CH16" s="4">
        <v>2</v>
      </c>
      <c r="CI16" s="4"/>
      <c r="CJ16" s="4" t="s">
        <v>2181</v>
      </c>
      <c r="CK16" s="4">
        <v>0.15</v>
      </c>
      <c r="CL16" s="4">
        <v>0.12</v>
      </c>
      <c r="CM16" s="4">
        <v>540</v>
      </c>
      <c r="CN16" s="4">
        <v>1210</v>
      </c>
      <c r="CO16" s="4">
        <v>0.9</v>
      </c>
      <c r="CP16" s="4">
        <v>0.7</v>
      </c>
      <c r="CQ16" s="4">
        <v>0.7</v>
      </c>
      <c r="CR16" s="4" t="s">
        <v>2203</v>
      </c>
      <c r="CS16" s="4" t="s">
        <v>2204</v>
      </c>
      <c r="CT16" s="4" t="s">
        <v>2165</v>
      </c>
      <c r="CU16" s="4" t="s">
        <v>2165</v>
      </c>
      <c r="CV16" t="str">
        <f t="shared" si="15"/>
        <v>Std Wood 6inch</v>
      </c>
      <c r="CW16" s="72" t="str">
        <f t="shared" si="16"/>
        <v>OpenStudio-Prototype-BuildingsStd Wood 6inchInternalMassDef</v>
      </c>
    </row>
    <row r="17" spans="1:101" x14ac:dyDescent="0.35">
      <c r="A17" t="s">
        <v>13</v>
      </c>
      <c r="B17" s="50" t="str">
        <f t="shared" si="12"/>
        <v>2025_AU_NCC</v>
      </c>
      <c r="C17" s="50" t="str">
        <f t="shared" si="13"/>
        <v>Hotel</v>
      </c>
      <c r="D17" s="50" t="s">
        <v>2446</v>
      </c>
      <c r="E17" t="s">
        <v>240</v>
      </c>
      <c r="F17" s="62">
        <v>2025</v>
      </c>
      <c r="G17" s="62" t="s">
        <v>2522</v>
      </c>
      <c r="H17" t="s">
        <v>2523</v>
      </c>
      <c r="I17">
        <v>255</v>
      </c>
      <c r="J17">
        <v>255</v>
      </c>
      <c r="K17">
        <v>255</v>
      </c>
      <c r="L17" s="50" t="str">
        <f t="shared" si="0"/>
        <v>BA Hotel_2025AUNCC</v>
      </c>
      <c r="M17" s="50" t="str">
        <f t="shared" si="14"/>
        <v>BA Hotel_2025AUNCCScheduleSet</v>
      </c>
      <c r="N17" s="62">
        <v>250</v>
      </c>
      <c r="O17" s="6">
        <v>4</v>
      </c>
      <c r="P17" s="38">
        <v>4.3055660000000003E-2</v>
      </c>
      <c r="Q17">
        <v>255.91</v>
      </c>
      <c r="R17" s="6">
        <v>75</v>
      </c>
      <c r="S17">
        <v>187.67</v>
      </c>
      <c r="T17" s="6">
        <v>55</v>
      </c>
      <c r="U17" s="6"/>
      <c r="V17" s="6"/>
      <c r="W17" s="6">
        <v>130</v>
      </c>
      <c r="X17" s="2">
        <v>0.57692307700000001</v>
      </c>
      <c r="Y17" t="s">
        <v>2524</v>
      </c>
      <c r="Z17" t="s">
        <v>2525</v>
      </c>
      <c r="AA17" s="4"/>
      <c r="AB17" s="4"/>
      <c r="AC17" s="50" t="str">
        <f t="shared" si="1"/>
        <v>NCC S35C2nOther applications (non-dining)BA HotelPeopleDef</v>
      </c>
      <c r="AD17" t="s">
        <v>357</v>
      </c>
      <c r="AE17" s="50" t="str">
        <f t="shared" si="2"/>
        <v>BA HotelActivity</v>
      </c>
      <c r="AF17" s="63" t="s">
        <v>2165</v>
      </c>
      <c r="AG17" s="63" t="s">
        <v>2165</v>
      </c>
      <c r="AH17" s="62">
        <v>0.08</v>
      </c>
      <c r="AI17" s="62">
        <f t="shared" si="3"/>
        <v>4.0640000000000001E-4</v>
      </c>
      <c r="AJ17" s="63" t="s">
        <v>2165</v>
      </c>
      <c r="AK17" s="4" t="s">
        <v>2165</v>
      </c>
      <c r="AL17" s="4" t="s">
        <v>2165</v>
      </c>
      <c r="AM17" t="s">
        <v>104</v>
      </c>
      <c r="AN17" t="s">
        <v>240</v>
      </c>
      <c r="AO17" s="4" t="s">
        <v>2165</v>
      </c>
      <c r="AP17" s="4" t="s">
        <v>2165</v>
      </c>
      <c r="AQ17" s="72" t="str">
        <f t="shared" si="4"/>
        <v>COMNET-REV9WholeBuildingBA HotelVent</v>
      </c>
      <c r="AR17" s="2">
        <v>1.5641288209999999</v>
      </c>
      <c r="AS17" s="2">
        <v>16.836282629999999</v>
      </c>
      <c r="AT17" s="2">
        <v>0</v>
      </c>
      <c r="AU17" s="2">
        <v>0.5</v>
      </c>
      <c r="AV17" s="2">
        <v>0</v>
      </c>
      <c r="AW17" t="s">
        <v>104</v>
      </c>
      <c r="AX17" t="s">
        <v>105</v>
      </c>
      <c r="AY17" t="s">
        <v>334</v>
      </c>
      <c r="AZ17" s="72" t="str">
        <f t="shared" si="5"/>
        <v>COMNET-REV9NREL 956/Eley AnalysisDOEPrototypeBA HotelElectricalEquipDef</v>
      </c>
      <c r="BA17" t="s">
        <v>340</v>
      </c>
      <c r="BB17" s="50">
        <v>0.53</v>
      </c>
      <c r="BC17" s="2">
        <v>5.7048699999999997</v>
      </c>
      <c r="BD17" s="2">
        <v>0.37</v>
      </c>
      <c r="BE17" s="2">
        <v>0.2</v>
      </c>
      <c r="BF17" t="s">
        <v>2567</v>
      </c>
      <c r="BG17" s="4"/>
      <c r="BH17" t="s">
        <v>2579</v>
      </c>
      <c r="BI17" s="72" t="str">
        <f t="shared" si="6"/>
        <v>IECC Table C405.3.2(1)Hotel/Motel; radiant/visible fraction split retained from original WA/COMNET-REV9 sourceLightingDef</v>
      </c>
      <c r="BJ17" t="s">
        <v>369</v>
      </c>
      <c r="BK17" s="3">
        <v>0.20408764099999999</v>
      </c>
      <c r="BL17" s="3">
        <v>0.69634703200000003</v>
      </c>
      <c r="BM17" s="2">
        <v>7.4954794519999997</v>
      </c>
      <c r="BN17" s="3">
        <v>0</v>
      </c>
      <c r="BO17" s="3">
        <v>0.5</v>
      </c>
      <c r="BP17" s="3">
        <v>0</v>
      </c>
      <c r="BQ17" t="s">
        <v>104</v>
      </c>
      <c r="BR17" t="s">
        <v>133</v>
      </c>
      <c r="BS17" s="7" t="s">
        <v>334</v>
      </c>
      <c r="BT17" s="72" t="str">
        <f t="shared" si="7"/>
        <v>COMNET-REV9California Commercial End-Use Survey (CEUS)DOEPrototypeBA HotelGasEquipDef</v>
      </c>
      <c r="BU17" t="s">
        <v>328</v>
      </c>
      <c r="BW17">
        <v>0.7</v>
      </c>
      <c r="BY17" t="s">
        <v>2660</v>
      </c>
      <c r="BZ17" t="s">
        <v>2661</v>
      </c>
      <c r="CB17" s="50" t="str">
        <f t="shared" si="8"/>
        <v>Hotel_WholeBuilding</v>
      </c>
      <c r="CC17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HotelInfil</v>
      </c>
      <c r="CD17" t="s">
        <v>266</v>
      </c>
      <c r="CE17" t="s">
        <v>111</v>
      </c>
      <c r="CF17" t="s">
        <v>240</v>
      </c>
      <c r="CG17" s="4"/>
      <c r="CH17" s="4">
        <v>2</v>
      </c>
      <c r="CI17" s="4"/>
      <c r="CJ17" s="4" t="s">
        <v>2181</v>
      </c>
      <c r="CK17" s="4">
        <v>0.15</v>
      </c>
      <c r="CL17" s="4">
        <v>0.12</v>
      </c>
      <c r="CM17" s="4">
        <v>540</v>
      </c>
      <c r="CN17" s="4">
        <v>1210</v>
      </c>
      <c r="CO17" s="4">
        <v>0.9</v>
      </c>
      <c r="CP17" s="4">
        <v>0.7</v>
      </c>
      <c r="CQ17" s="4">
        <v>0.7</v>
      </c>
      <c r="CR17" s="4" t="s">
        <v>2203</v>
      </c>
      <c r="CS17" s="4" t="s">
        <v>2204</v>
      </c>
      <c r="CT17" s="4" t="s">
        <v>2165</v>
      </c>
      <c r="CU17" s="4" t="s">
        <v>2165</v>
      </c>
      <c r="CV17" t="str">
        <f t="shared" si="15"/>
        <v>Std Wood 6inch</v>
      </c>
      <c r="CW17" s="72" t="str">
        <f t="shared" si="16"/>
        <v>OpenStudio-Prototype-BuildingsStd Wood 6inchInternalMassDef</v>
      </c>
    </row>
    <row r="18" spans="1:101" x14ac:dyDescent="0.35">
      <c r="A18" t="s">
        <v>14</v>
      </c>
      <c r="B18" s="50" t="str">
        <f t="shared" si="12"/>
        <v>2025_AU_NCC</v>
      </c>
      <c r="C18" s="50" t="str">
        <f t="shared" si="13"/>
        <v>Library</v>
      </c>
      <c r="D18" s="50" t="s">
        <v>2446</v>
      </c>
      <c r="E18" t="s">
        <v>240</v>
      </c>
      <c r="F18" s="62">
        <v>2025</v>
      </c>
      <c r="G18" s="62" t="s">
        <v>2522</v>
      </c>
      <c r="H18" t="s">
        <v>2523</v>
      </c>
      <c r="I18">
        <v>255</v>
      </c>
      <c r="J18">
        <v>255</v>
      </c>
      <c r="K18">
        <v>255</v>
      </c>
      <c r="L18" s="50" t="str">
        <f t="shared" si="0"/>
        <v>BA Library_2025AUNCC</v>
      </c>
      <c r="M18" s="50" t="str">
        <f t="shared" si="14"/>
        <v>BA Library_2025AUNCCScheduleSet</v>
      </c>
      <c r="N18" s="62">
        <v>100</v>
      </c>
      <c r="O18" s="6">
        <v>10</v>
      </c>
      <c r="P18" s="38">
        <v>0.107639151</v>
      </c>
      <c r="Q18">
        <v>255.91</v>
      </c>
      <c r="R18" s="6">
        <v>75</v>
      </c>
      <c r="S18">
        <v>187.67</v>
      </c>
      <c r="T18" s="6">
        <v>55</v>
      </c>
      <c r="U18" s="6"/>
      <c r="V18" s="6"/>
      <c r="W18" s="6">
        <v>130</v>
      </c>
      <c r="X18" s="2">
        <v>0.57692307700000001</v>
      </c>
      <c r="Y18" t="s">
        <v>2524</v>
      </c>
      <c r="Z18" t="s">
        <v>2525</v>
      </c>
      <c r="AA18" s="4"/>
      <c r="AB18" s="4"/>
      <c r="AC18" s="50" t="str">
        <f t="shared" si="1"/>
        <v>NCC S35C2nOther applications (non-dining)BA LibraryPeopleDef</v>
      </c>
      <c r="AD18" t="s">
        <v>353</v>
      </c>
      <c r="AE18" s="50" t="str">
        <f t="shared" si="2"/>
        <v>BA LibraryActivity</v>
      </c>
      <c r="AF18" s="63" t="s">
        <v>2165</v>
      </c>
      <c r="AG18" s="63" t="s">
        <v>2165</v>
      </c>
      <c r="AH18" s="62">
        <v>0.11</v>
      </c>
      <c r="AI18" s="62">
        <f t="shared" si="3"/>
        <v>5.5880000000000003E-4</v>
      </c>
      <c r="AJ18" s="63" t="s">
        <v>2165</v>
      </c>
      <c r="AK18" s="4" t="s">
        <v>2165</v>
      </c>
      <c r="AL18" s="4" t="s">
        <v>2165</v>
      </c>
      <c r="AM18" t="s">
        <v>104</v>
      </c>
      <c r="AN18" t="s">
        <v>240</v>
      </c>
      <c r="AO18" s="4" t="s">
        <v>2165</v>
      </c>
      <c r="AP18" s="4" t="s">
        <v>2165</v>
      </c>
      <c r="AQ18" s="72" t="str">
        <f t="shared" si="4"/>
        <v>COMNET-REV9WholeBuildingBA LibraryVent</v>
      </c>
      <c r="AR18" s="2">
        <v>0</v>
      </c>
      <c r="AS18" s="2">
        <v>0</v>
      </c>
      <c r="AT18" s="2">
        <v>0</v>
      </c>
      <c r="AU18" s="2">
        <v>0.5</v>
      </c>
      <c r="AV18" s="2">
        <v>0</v>
      </c>
      <c r="AW18" t="s">
        <v>2528</v>
      </c>
      <c r="AX18" t="s">
        <v>105</v>
      </c>
      <c r="AY18" t="s">
        <v>2533</v>
      </c>
      <c r="AZ18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LibraryElectricalEquipDef</v>
      </c>
      <c r="BA18" t="s">
        <v>336</v>
      </c>
      <c r="BB18" s="50">
        <v>0.41806399999999999</v>
      </c>
      <c r="BC18" s="2">
        <v>4.5</v>
      </c>
      <c r="BD18" s="2">
        <v>0.37</v>
      </c>
      <c r="BE18" s="2">
        <v>0.2</v>
      </c>
      <c r="BF18" t="s">
        <v>2569</v>
      </c>
      <c r="BG18" s="4"/>
      <c r="BH18" t="s">
        <v>2580</v>
      </c>
      <c r="BI18" s="72" t="str">
        <f t="shared" si="6"/>
        <v>NCC J7D3aLibrary - reading room and general areas; radiant/visible fraction split retained from original WA/COMNET-REV9 source (AIRAH Technical Handbook does not publish this split)LightingDef</v>
      </c>
      <c r="BJ18" t="s">
        <v>365</v>
      </c>
      <c r="BK18" s="3">
        <v>6.6913980000000003E-3</v>
      </c>
      <c r="BL18" s="3">
        <v>2.2831049999999999E-2</v>
      </c>
      <c r="BM18" s="2">
        <v>0.245753425</v>
      </c>
      <c r="BN18" s="3">
        <v>0.01</v>
      </c>
      <c r="BO18" s="3">
        <v>0.4</v>
      </c>
      <c r="BP18" s="3">
        <v>0.4</v>
      </c>
      <c r="BQ18" t="s">
        <v>104</v>
      </c>
      <c r="BR18" t="s">
        <v>133</v>
      </c>
      <c r="BS18" t="s">
        <v>333</v>
      </c>
      <c r="BT18" s="72" t="str">
        <f t="shared" si="7"/>
        <v>COMNET-REV9California Commercial End-Use Survey (CEUS)60%ThermEffProcessBA LibraryGasEquipDef</v>
      </c>
      <c r="BU18" s="8" t="s">
        <v>336</v>
      </c>
      <c r="BW18">
        <v>0.7</v>
      </c>
      <c r="BY18" t="s">
        <v>2660</v>
      </c>
      <c r="BZ18" t="s">
        <v>2661</v>
      </c>
      <c r="CB18" s="50" t="str">
        <f t="shared" si="8"/>
        <v>Library_WholeBuilding</v>
      </c>
      <c r="CC18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LibraryInfil</v>
      </c>
      <c r="CD18" t="s">
        <v>266</v>
      </c>
      <c r="CE18" t="s">
        <v>112</v>
      </c>
      <c r="CF18" t="s">
        <v>240</v>
      </c>
      <c r="CG18" s="4"/>
      <c r="CH18" s="4">
        <v>2</v>
      </c>
      <c r="CI18" s="4"/>
      <c r="CJ18" s="4" t="s">
        <v>2181</v>
      </c>
      <c r="CK18" s="4">
        <v>0.15</v>
      </c>
      <c r="CL18" s="4">
        <v>0.12</v>
      </c>
      <c r="CM18" s="4">
        <v>540</v>
      </c>
      <c r="CN18" s="4">
        <v>1210</v>
      </c>
      <c r="CO18" s="4">
        <v>0.9</v>
      </c>
      <c r="CP18" s="4">
        <v>0.7</v>
      </c>
      <c r="CQ18" s="4">
        <v>0.7</v>
      </c>
      <c r="CR18" s="4" t="s">
        <v>2203</v>
      </c>
      <c r="CS18" s="4" t="s">
        <v>2204</v>
      </c>
      <c r="CT18" s="4" t="s">
        <v>2165</v>
      </c>
      <c r="CU18" s="4" t="s">
        <v>2165</v>
      </c>
      <c r="CV18" t="str">
        <f t="shared" si="15"/>
        <v>Std Wood 6inch</v>
      </c>
      <c r="CW18" s="72" t="str">
        <f t="shared" si="16"/>
        <v>OpenStudio-Prototype-BuildingsStd Wood 6inchInternalMassDef</v>
      </c>
    </row>
    <row r="19" spans="1:101" x14ac:dyDescent="0.35">
      <c r="A19" t="s">
        <v>15</v>
      </c>
      <c r="B19" s="50" t="str">
        <f t="shared" si="12"/>
        <v>2025_AU_NCC</v>
      </c>
      <c r="C19" s="50" t="str">
        <f t="shared" si="13"/>
        <v>Manufacturing Facility</v>
      </c>
      <c r="D19" s="50" t="s">
        <v>2446</v>
      </c>
      <c r="E19" t="s">
        <v>240</v>
      </c>
      <c r="F19" s="62">
        <v>2025</v>
      </c>
      <c r="G19" s="62" t="s">
        <v>2522</v>
      </c>
      <c r="H19" t="s">
        <v>2523</v>
      </c>
      <c r="I19">
        <v>255</v>
      </c>
      <c r="J19">
        <v>255</v>
      </c>
      <c r="K19">
        <v>255</v>
      </c>
      <c r="L19" s="50" t="str">
        <f t="shared" si="0"/>
        <v>BA Manufacturing Facility_2025AUNCC</v>
      </c>
      <c r="M19" s="50" t="str">
        <f t="shared" si="14"/>
        <v>BA Manufacturing Facility_2025AUNCCScheduleSet</v>
      </c>
      <c r="N19" s="62">
        <v>143</v>
      </c>
      <c r="O19" s="6">
        <v>6.9930069929999998</v>
      </c>
      <c r="P19" s="38">
        <v>7.5272133000000005E-2</v>
      </c>
      <c r="Q19">
        <v>255.91</v>
      </c>
      <c r="R19" s="6">
        <v>75</v>
      </c>
      <c r="S19">
        <v>187.67</v>
      </c>
      <c r="T19" s="6">
        <v>55</v>
      </c>
      <c r="U19" s="6"/>
      <c r="V19" s="6"/>
      <c r="W19" s="6">
        <v>130</v>
      </c>
      <c r="X19" s="2">
        <v>0.57692307700000001</v>
      </c>
      <c r="Y19" t="s">
        <v>2524</v>
      </c>
      <c r="Z19" t="s">
        <v>2525</v>
      </c>
      <c r="AA19" s="4"/>
      <c r="AB19" s="4"/>
      <c r="AC19" s="50" t="str">
        <f t="shared" si="1"/>
        <v>NCC S35C2nOther applications (non-dining)BA Manufacturing FacilityPeopleDef</v>
      </c>
      <c r="AD19" t="s">
        <v>354</v>
      </c>
      <c r="AE19" s="50" t="str">
        <f t="shared" si="2"/>
        <v>BA Manufacturing FacilityActivity</v>
      </c>
      <c r="AF19" s="63" t="s">
        <v>2165</v>
      </c>
      <c r="AG19" s="63" t="s">
        <v>2165</v>
      </c>
      <c r="AH19" s="62">
        <v>0.25</v>
      </c>
      <c r="AI19" s="62">
        <f t="shared" si="3"/>
        <v>1.2700000000000001E-3</v>
      </c>
      <c r="AJ19" s="63" t="s">
        <v>2165</v>
      </c>
      <c r="AK19" s="4" t="s">
        <v>2165</v>
      </c>
      <c r="AL19" s="4" t="s">
        <v>2165</v>
      </c>
      <c r="AM19" t="s">
        <v>104</v>
      </c>
      <c r="AN19" t="s">
        <v>240</v>
      </c>
      <c r="AO19" s="4" t="s">
        <v>2165</v>
      </c>
      <c r="AP19" s="4" t="s">
        <v>2165</v>
      </c>
      <c r="AQ19" s="72" t="str">
        <f t="shared" si="4"/>
        <v>COMNET-REV9WholeBuildingBA Manufacturing FacilityVent</v>
      </c>
      <c r="AR19" s="2">
        <v>0</v>
      </c>
      <c r="AS19" s="2">
        <v>0</v>
      </c>
      <c r="AT19" s="2">
        <v>0</v>
      </c>
      <c r="AU19" s="2">
        <v>0.5</v>
      </c>
      <c r="AV19" s="2">
        <v>0</v>
      </c>
      <c r="AW19" t="s">
        <v>2528</v>
      </c>
      <c r="AX19" t="s">
        <v>105</v>
      </c>
      <c r="AY19" t="s">
        <v>2537</v>
      </c>
      <c r="AZ19" s="72" t="str">
        <f t="shared" si="5"/>
        <v>NCC S35C2lNREL 956/Eley AnalysisClass 8 (Other applications) - no equipment load per S35C2l; radiant/latent/lost fraction split retained from original WA/COMNET-REV9 source (AIRAH Technical Handbook does not publish this split)BA Manufacturing FacilityElectricalEquipDef</v>
      </c>
      <c r="BA19" t="s">
        <v>337</v>
      </c>
      <c r="BB19" s="50">
        <v>0.82</v>
      </c>
      <c r="BC19" s="2">
        <v>8.8264099999999992</v>
      </c>
      <c r="BD19" s="2">
        <v>0.37</v>
      </c>
      <c r="BE19" s="2">
        <v>0.2</v>
      </c>
      <c r="BF19" t="s">
        <v>2567</v>
      </c>
      <c r="BG19" s="4"/>
      <c r="BH19" t="s">
        <v>2581</v>
      </c>
      <c r="BI19" s="72" t="str">
        <f t="shared" si="6"/>
        <v>IECC Table C405.3.2(1)Manufacturing facility; radiant/visible fraction split retained from original WA/COMNET-REV9 sourceLightingDef</v>
      </c>
      <c r="BJ19" t="s">
        <v>366</v>
      </c>
      <c r="BK19" s="3">
        <v>0.220816136</v>
      </c>
      <c r="BL19" s="3">
        <v>0.75342465800000002</v>
      </c>
      <c r="BM19" s="2">
        <v>8.1098630140000001</v>
      </c>
      <c r="BN19" s="3">
        <v>0</v>
      </c>
      <c r="BO19" s="3">
        <v>0.75</v>
      </c>
      <c r="BP19" s="3">
        <v>0.25</v>
      </c>
      <c r="BQ19" t="s">
        <v>104</v>
      </c>
      <c r="BR19" t="s">
        <v>133</v>
      </c>
      <c r="BS19" t="s">
        <v>327</v>
      </c>
      <c r="BT19" s="72" t="str">
        <f t="shared" si="7"/>
        <v>COMNET-REV9California Commercial End-Use Survey (CEUS)93%ThermEffRadiantBA Manufacturing FacilityGasEquipDef</v>
      </c>
      <c r="BU19" s="8" t="s">
        <v>337</v>
      </c>
      <c r="BW19">
        <v>0.7</v>
      </c>
      <c r="BY19" t="s">
        <v>2660</v>
      </c>
      <c r="BZ19" t="s">
        <v>2661</v>
      </c>
      <c r="CB19" s="50" t="str">
        <f t="shared" si="8"/>
        <v>Manufacturing facility_WholeBuilding</v>
      </c>
      <c r="CC19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Manufacturing FacilityInfil</v>
      </c>
      <c r="CD19" t="s">
        <v>266</v>
      </c>
      <c r="CE19" t="s">
        <v>113</v>
      </c>
      <c r="CF19" t="s">
        <v>240</v>
      </c>
      <c r="CG19" s="4"/>
      <c r="CH19" s="4">
        <v>2</v>
      </c>
      <c r="CI19" s="4"/>
      <c r="CJ19" s="4" t="s">
        <v>2181</v>
      </c>
      <c r="CK19" s="4">
        <v>0.15</v>
      </c>
      <c r="CL19" s="4">
        <v>0.12</v>
      </c>
      <c r="CM19" s="4">
        <v>540</v>
      </c>
      <c r="CN19" s="4">
        <v>1210</v>
      </c>
      <c r="CO19" s="4">
        <v>0.9</v>
      </c>
      <c r="CP19" s="4">
        <v>0.7</v>
      </c>
      <c r="CQ19" s="4">
        <v>0.7</v>
      </c>
      <c r="CR19" s="4" t="s">
        <v>2203</v>
      </c>
      <c r="CS19" s="4" t="s">
        <v>2204</v>
      </c>
      <c r="CT19" s="4" t="s">
        <v>2165</v>
      </c>
      <c r="CU19" s="4" t="s">
        <v>2165</v>
      </c>
      <c r="CV19" t="str">
        <f t="shared" si="15"/>
        <v>Std Wood 6inch</v>
      </c>
      <c r="CW19" s="72" t="str">
        <f t="shared" si="16"/>
        <v>OpenStudio-Prototype-BuildingsStd Wood 6inchInternalMassDef</v>
      </c>
    </row>
    <row r="20" spans="1:101" x14ac:dyDescent="0.35">
      <c r="A20" t="s">
        <v>16</v>
      </c>
      <c r="B20" s="50" t="str">
        <f t="shared" si="12"/>
        <v>2025_AU_NCC</v>
      </c>
      <c r="C20" s="50" t="str">
        <f t="shared" si="13"/>
        <v>Motel</v>
      </c>
      <c r="D20" s="50" t="s">
        <v>2446</v>
      </c>
      <c r="E20" t="s">
        <v>240</v>
      </c>
      <c r="F20" s="62">
        <v>2025</v>
      </c>
      <c r="G20" s="62" t="s">
        <v>2522</v>
      </c>
      <c r="H20" t="s">
        <v>2523</v>
      </c>
      <c r="I20">
        <v>255</v>
      </c>
      <c r="J20">
        <v>255</v>
      </c>
      <c r="K20">
        <v>255</v>
      </c>
      <c r="L20" s="50" t="str">
        <f t="shared" si="0"/>
        <v>BA Motel_2025AUNCC</v>
      </c>
      <c r="M20" s="50" t="str">
        <f t="shared" si="14"/>
        <v>BA Motel_2025AUNCCScheduleSet</v>
      </c>
      <c r="N20" s="62">
        <v>250</v>
      </c>
      <c r="O20" s="6">
        <v>4</v>
      </c>
      <c r="P20" s="38">
        <v>4.3055660000000003E-2</v>
      </c>
      <c r="Q20">
        <v>255.91</v>
      </c>
      <c r="R20" s="6">
        <v>75</v>
      </c>
      <c r="S20">
        <v>187.67</v>
      </c>
      <c r="T20" s="6">
        <v>55</v>
      </c>
      <c r="U20" s="6"/>
      <c r="V20" s="6"/>
      <c r="W20" s="6">
        <v>130</v>
      </c>
      <c r="X20" s="2">
        <v>0.57692307700000001</v>
      </c>
      <c r="Y20" t="s">
        <v>2524</v>
      </c>
      <c r="Z20" t="s">
        <v>2525</v>
      </c>
      <c r="AA20" s="4"/>
      <c r="AB20" s="4"/>
      <c r="AC20" s="50" t="str">
        <f t="shared" si="1"/>
        <v>NCC S35C2nOther applications (non-dining)BA MotelPeopleDef</v>
      </c>
      <c r="AD20" t="s">
        <v>357</v>
      </c>
      <c r="AE20" s="50" t="str">
        <f t="shared" si="2"/>
        <v>BA MotelActivity</v>
      </c>
      <c r="AF20" s="63" t="s">
        <v>2165</v>
      </c>
      <c r="AG20" s="63" t="s">
        <v>2165</v>
      </c>
      <c r="AH20" s="62">
        <v>0.08</v>
      </c>
      <c r="AI20" s="62">
        <f t="shared" si="3"/>
        <v>4.0640000000000001E-4</v>
      </c>
      <c r="AJ20" s="63" t="s">
        <v>2165</v>
      </c>
      <c r="AK20" s="4" t="s">
        <v>2165</v>
      </c>
      <c r="AL20" s="4" t="s">
        <v>2165</v>
      </c>
      <c r="AM20" t="s">
        <v>104</v>
      </c>
      <c r="AN20" t="s">
        <v>240</v>
      </c>
      <c r="AO20" s="4" t="s">
        <v>2165</v>
      </c>
      <c r="AP20" s="4" t="s">
        <v>2165</v>
      </c>
      <c r="AQ20" s="72" t="str">
        <f t="shared" si="4"/>
        <v>COMNET-REV9WholeBuildingBA MotelVent</v>
      </c>
      <c r="AR20" s="2">
        <v>1.5641288209999999</v>
      </c>
      <c r="AS20" s="2">
        <v>16.836282629999999</v>
      </c>
      <c r="AT20" s="2">
        <v>0</v>
      </c>
      <c r="AU20" s="2">
        <v>0.5</v>
      </c>
      <c r="AV20" s="2">
        <v>0</v>
      </c>
      <c r="AW20" t="s">
        <v>104</v>
      </c>
      <c r="AX20" t="s">
        <v>105</v>
      </c>
      <c r="AY20" t="s">
        <v>334</v>
      </c>
      <c r="AZ20" s="72" t="str">
        <f t="shared" si="5"/>
        <v>COMNET-REV9NREL 956/Eley AnalysisDOEPrototypeBA MotelElectricalEquipDef</v>
      </c>
      <c r="BA20" t="s">
        <v>340</v>
      </c>
      <c r="BB20" s="50">
        <v>0.53</v>
      </c>
      <c r="BC20" s="2">
        <v>5.7048699999999997</v>
      </c>
      <c r="BD20" s="2">
        <v>0.37</v>
      </c>
      <c r="BE20" s="2">
        <v>0.2</v>
      </c>
      <c r="BF20" t="s">
        <v>2567</v>
      </c>
      <c r="BG20" s="4"/>
      <c r="BH20" t="s">
        <v>2579</v>
      </c>
      <c r="BI20" s="72" t="str">
        <f t="shared" si="6"/>
        <v>IECC Table C405.3.2(1)Hotel/Motel; radiant/visible fraction split retained from original WA/COMNET-REV9 sourceLightingDef</v>
      </c>
      <c r="BJ20" t="s">
        <v>369</v>
      </c>
      <c r="BK20" s="3">
        <v>0.20408764099999999</v>
      </c>
      <c r="BL20" s="3">
        <v>0.69634703200000003</v>
      </c>
      <c r="BM20" s="2">
        <v>7.4954794519999997</v>
      </c>
      <c r="BN20" s="3">
        <v>0.01</v>
      </c>
      <c r="BO20" s="3">
        <v>0.4</v>
      </c>
      <c r="BP20" s="3">
        <v>0.4</v>
      </c>
      <c r="BQ20" t="s">
        <v>104</v>
      </c>
      <c r="BR20" t="s">
        <v>133</v>
      </c>
      <c r="BS20" t="s">
        <v>333</v>
      </c>
      <c r="BT20" s="72" t="str">
        <f t="shared" si="7"/>
        <v>COMNET-REV9California Commercial End-Use Survey (CEUS)60%ThermEffProcessBA MotelGasEquipDef</v>
      </c>
      <c r="BU20" s="8" t="s">
        <v>340</v>
      </c>
      <c r="BW20">
        <v>0.7</v>
      </c>
      <c r="BY20" t="s">
        <v>2660</v>
      </c>
      <c r="BZ20" t="s">
        <v>2661</v>
      </c>
      <c r="CB20" s="50" t="str">
        <f t="shared" si="8"/>
        <v>Motel_WholeBuilding</v>
      </c>
      <c r="CC20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MotelInfil</v>
      </c>
      <c r="CD20" t="s">
        <v>266</v>
      </c>
      <c r="CE20" t="s">
        <v>258</v>
      </c>
      <c r="CF20" t="s">
        <v>240</v>
      </c>
      <c r="CG20" s="4"/>
      <c r="CH20" s="4">
        <v>2</v>
      </c>
      <c r="CI20" s="4"/>
      <c r="CJ20" s="4" t="s">
        <v>2181</v>
      </c>
      <c r="CK20" s="4">
        <v>0.15</v>
      </c>
      <c r="CL20" s="4">
        <v>0.12</v>
      </c>
      <c r="CM20" s="4">
        <v>540</v>
      </c>
      <c r="CN20" s="4">
        <v>1210</v>
      </c>
      <c r="CO20" s="4">
        <v>0.9</v>
      </c>
      <c r="CP20" s="4">
        <v>0.7</v>
      </c>
      <c r="CQ20" s="4">
        <v>0.7</v>
      </c>
      <c r="CR20" s="4" t="s">
        <v>2203</v>
      </c>
      <c r="CS20" s="4" t="s">
        <v>2204</v>
      </c>
      <c r="CT20" s="4" t="s">
        <v>2165</v>
      </c>
      <c r="CU20" s="4" t="s">
        <v>2165</v>
      </c>
      <c r="CV20" t="str">
        <f t="shared" si="15"/>
        <v>Std Wood 6inch</v>
      </c>
      <c r="CW20" s="72" t="str">
        <f t="shared" si="16"/>
        <v>OpenStudio-Prototype-BuildingsStd Wood 6inchInternalMassDef</v>
      </c>
    </row>
    <row r="21" spans="1:101" x14ac:dyDescent="0.35">
      <c r="A21" t="s">
        <v>17</v>
      </c>
      <c r="B21" s="50" t="str">
        <f t="shared" si="12"/>
        <v>2025_AU_NCC</v>
      </c>
      <c r="C21" s="50" t="str">
        <f t="shared" si="13"/>
        <v>Motion Picture Theater</v>
      </c>
      <c r="D21" s="50" t="s">
        <v>2446</v>
      </c>
      <c r="E21" t="s">
        <v>240</v>
      </c>
      <c r="F21" s="62">
        <v>2025</v>
      </c>
      <c r="G21" s="62" t="s">
        <v>2522</v>
      </c>
      <c r="H21" t="s">
        <v>2523</v>
      </c>
      <c r="I21">
        <v>255</v>
      </c>
      <c r="J21">
        <v>255</v>
      </c>
      <c r="K21">
        <v>255</v>
      </c>
      <c r="L21" s="50" t="str">
        <f t="shared" si="0"/>
        <v>BA Motion Picture Theater_2025AUNCC</v>
      </c>
      <c r="M21" s="50" t="str">
        <f t="shared" si="14"/>
        <v>BA Motion Picture Theater_2025AUNCCScheduleSet</v>
      </c>
      <c r="N21" s="62">
        <v>7</v>
      </c>
      <c r="O21" s="6">
        <v>142.85714290000001</v>
      </c>
      <c r="P21" s="38">
        <v>1.5377021500000001</v>
      </c>
      <c r="Q21">
        <v>255.91</v>
      </c>
      <c r="R21" s="6">
        <v>75</v>
      </c>
      <c r="S21">
        <v>187.67</v>
      </c>
      <c r="T21" s="6">
        <v>55</v>
      </c>
      <c r="U21" s="6"/>
      <c r="V21" s="6"/>
      <c r="W21" s="6">
        <v>130</v>
      </c>
      <c r="X21" s="2">
        <v>0.57692307700000001</v>
      </c>
      <c r="Y21" t="s">
        <v>2524</v>
      </c>
      <c r="Z21" t="s">
        <v>2525</v>
      </c>
      <c r="AA21" s="4"/>
      <c r="AB21" s="4"/>
      <c r="AC21" s="50" t="str">
        <f t="shared" si="1"/>
        <v>NCC S35C2nOther applications (non-dining)BA Motion Picture TheaterPeopleDef</v>
      </c>
      <c r="AD21" t="s">
        <v>353</v>
      </c>
      <c r="AE21" s="50" t="str">
        <f t="shared" si="2"/>
        <v>BA Motion Picture TheaterActivity</v>
      </c>
      <c r="AF21" s="63" t="s">
        <v>2165</v>
      </c>
      <c r="AG21" s="63" t="s">
        <v>2165</v>
      </c>
      <c r="AH21" s="62">
        <v>1.19</v>
      </c>
      <c r="AI21" s="62">
        <f t="shared" si="3"/>
        <v>6.0451999999999997E-3</v>
      </c>
      <c r="AJ21" s="63" t="s">
        <v>2165</v>
      </c>
      <c r="AK21" s="4" t="s">
        <v>2165</v>
      </c>
      <c r="AL21" s="4" t="s">
        <v>2165</v>
      </c>
      <c r="AM21" t="s">
        <v>104</v>
      </c>
      <c r="AN21" t="s">
        <v>240</v>
      </c>
      <c r="AO21" s="4" t="s">
        <v>2165</v>
      </c>
      <c r="AP21" s="4" t="s">
        <v>2165</v>
      </c>
      <c r="AQ21" s="72" t="str">
        <f t="shared" si="4"/>
        <v>COMNET-REV9WholeBuildingBA Motion Picture TheaterVent</v>
      </c>
      <c r="AR21" s="2">
        <v>0</v>
      </c>
      <c r="AS21" s="2">
        <v>0</v>
      </c>
      <c r="AT21" s="2">
        <v>0</v>
      </c>
      <c r="AU21" s="2">
        <v>0.5</v>
      </c>
      <c r="AV21" s="2">
        <v>0</v>
      </c>
      <c r="AW21" t="s">
        <v>2528</v>
      </c>
      <c r="AX21" t="s">
        <v>105</v>
      </c>
      <c r="AY21" t="s">
        <v>2533</v>
      </c>
      <c r="AZ21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Motion Picture TheaterElectricalEquipDef</v>
      </c>
      <c r="BA21" t="s">
        <v>336</v>
      </c>
      <c r="BB21" s="50">
        <v>0.743224</v>
      </c>
      <c r="BC21" s="2">
        <v>8</v>
      </c>
      <c r="BD21" s="2">
        <v>0.37</v>
      </c>
      <c r="BE21" s="2">
        <v>0.2</v>
      </c>
      <c r="BF21" t="s">
        <v>2569</v>
      </c>
      <c r="BG21" s="4"/>
      <c r="BH21" t="s">
        <v>2582</v>
      </c>
      <c r="BI21" s="72" t="str">
        <f t="shared" si="6"/>
        <v>NCC J7D3aAuditorium, church and public hall (nearest; no dedicated cinema row); radiant/visible fraction split retained from original WA/COMNET-REV9 source (AIRAH Technical Handbook does not publish this split)LightingDef</v>
      </c>
      <c r="BJ21" t="s">
        <v>365</v>
      </c>
      <c r="BK21" s="3">
        <v>6.6913980000000003E-3</v>
      </c>
      <c r="BL21" s="3">
        <v>2.2831049999999999E-2</v>
      </c>
      <c r="BM21" s="2">
        <v>0.245753425</v>
      </c>
      <c r="BN21" s="3">
        <v>0.01</v>
      </c>
      <c r="BO21" s="3">
        <v>0.4</v>
      </c>
      <c r="BP21" s="3">
        <v>0.4</v>
      </c>
      <c r="BQ21" t="s">
        <v>104</v>
      </c>
      <c r="BR21" t="s">
        <v>133</v>
      </c>
      <c r="BS21" t="s">
        <v>333</v>
      </c>
      <c r="BT21" s="72" t="str">
        <f t="shared" si="7"/>
        <v>COMNET-REV9California Commercial End-Use Survey (CEUS)60%ThermEffProcessBA Motion Picture TheaterGasEquipDef</v>
      </c>
      <c r="BU21" s="8" t="s">
        <v>336</v>
      </c>
      <c r="BW21">
        <v>0.7</v>
      </c>
      <c r="BY21" t="s">
        <v>2660</v>
      </c>
      <c r="BZ21" t="s">
        <v>2661</v>
      </c>
      <c r="CB21" s="50" t="str">
        <f t="shared" si="8"/>
        <v>Motion picture theatre_WholeBuilding</v>
      </c>
      <c r="CC21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Motion Picture TheaterInfil</v>
      </c>
      <c r="CD21" t="s">
        <v>266</v>
      </c>
      <c r="CE21" t="s">
        <v>259</v>
      </c>
      <c r="CF21" t="s">
        <v>240</v>
      </c>
      <c r="CG21" s="4"/>
      <c r="CH21" s="4">
        <v>2</v>
      </c>
      <c r="CI21" s="4"/>
      <c r="CJ21" s="4" t="s">
        <v>2181</v>
      </c>
      <c r="CK21" s="4">
        <v>0.15</v>
      </c>
      <c r="CL21" s="4">
        <v>0.12</v>
      </c>
      <c r="CM21" s="4">
        <v>540</v>
      </c>
      <c r="CN21" s="4">
        <v>1210</v>
      </c>
      <c r="CO21" s="4">
        <v>0.9</v>
      </c>
      <c r="CP21" s="4">
        <v>0.7</v>
      </c>
      <c r="CQ21" s="4">
        <v>0.7</v>
      </c>
      <c r="CR21" s="4" t="s">
        <v>2203</v>
      </c>
      <c r="CS21" s="4" t="s">
        <v>2204</v>
      </c>
      <c r="CT21" s="4" t="s">
        <v>2165</v>
      </c>
      <c r="CU21" s="4" t="s">
        <v>2165</v>
      </c>
      <c r="CV21" t="str">
        <f t="shared" si="15"/>
        <v>Std Wood 6inch</v>
      </c>
      <c r="CW21" s="72" t="str">
        <f t="shared" si="16"/>
        <v>OpenStudio-Prototype-BuildingsStd Wood 6inchInternalMassDef</v>
      </c>
    </row>
    <row r="22" spans="1:101" x14ac:dyDescent="0.35">
      <c r="A22" t="s">
        <v>18</v>
      </c>
      <c r="B22" s="50" t="str">
        <f t="shared" si="12"/>
        <v>2025_AU_NCC</v>
      </c>
      <c r="C22" s="50" t="str">
        <f t="shared" si="13"/>
        <v>Multifamily</v>
      </c>
      <c r="D22" s="50" t="s">
        <v>2446</v>
      </c>
      <c r="E22" t="s">
        <v>240</v>
      </c>
      <c r="F22" s="62">
        <v>2025</v>
      </c>
      <c r="G22" s="62" t="s">
        <v>2522</v>
      </c>
      <c r="H22" t="s">
        <v>2523</v>
      </c>
      <c r="I22">
        <v>255</v>
      </c>
      <c r="J22">
        <v>255</v>
      </c>
      <c r="K22">
        <v>255</v>
      </c>
      <c r="L22" s="50" t="str">
        <f t="shared" si="0"/>
        <v>BA Multifamily_2025AUNCC</v>
      </c>
      <c r="M22" s="50" t="str">
        <f t="shared" si="14"/>
        <v>BA Multifamily_2025AUNCCScheduleSet</v>
      </c>
      <c r="N22" s="62">
        <v>380</v>
      </c>
      <c r="O22" s="6">
        <v>2.6315789469999999</v>
      </c>
      <c r="P22" s="38">
        <v>2.8326092000000001E-2</v>
      </c>
      <c r="Q22">
        <v>255.91</v>
      </c>
      <c r="R22" s="6">
        <v>75</v>
      </c>
      <c r="S22">
        <v>187.67</v>
      </c>
      <c r="T22" s="6">
        <v>55</v>
      </c>
      <c r="U22" s="6"/>
      <c r="V22" s="6"/>
      <c r="W22" s="6">
        <v>130</v>
      </c>
      <c r="X22" s="2">
        <v>0.57692307700000001</v>
      </c>
      <c r="Y22" t="s">
        <v>2524</v>
      </c>
      <c r="Z22" t="s">
        <v>2525</v>
      </c>
      <c r="AA22" s="4"/>
      <c r="AB22" s="4"/>
      <c r="AC22" s="50" t="str">
        <f t="shared" si="1"/>
        <v>NCC S35C2nOther applications (non-dining)BA MultifamilyPeopleDef</v>
      </c>
      <c r="AD22" t="s">
        <v>356</v>
      </c>
      <c r="AE22" s="50" t="str">
        <f t="shared" si="2"/>
        <v>BA MultifamilyActivity</v>
      </c>
      <c r="AF22" s="63" t="s">
        <v>2165</v>
      </c>
      <c r="AG22" s="63" t="s">
        <v>2165</v>
      </c>
      <c r="AH22" s="62">
        <v>0.06</v>
      </c>
      <c r="AI22" s="62">
        <f t="shared" si="3"/>
        <v>3.0479999999999998E-4</v>
      </c>
      <c r="AJ22" s="63" t="s">
        <v>2165</v>
      </c>
      <c r="AK22" s="4" t="s">
        <v>2165</v>
      </c>
      <c r="AL22" s="4" t="s">
        <v>2165</v>
      </c>
      <c r="AM22" t="s">
        <v>104</v>
      </c>
      <c r="AN22" t="s">
        <v>240</v>
      </c>
      <c r="AO22" s="4" t="s">
        <v>2165</v>
      </c>
      <c r="AP22" s="4" t="s">
        <v>2165</v>
      </c>
      <c r="AQ22" s="72" t="str">
        <f t="shared" si="4"/>
        <v>COMNET-REV9WholeBuildingBA MultifamilyVent</v>
      </c>
      <c r="AR22" s="2">
        <v>1.4244758689999999</v>
      </c>
      <c r="AS22" s="2">
        <v>15.333058250000001</v>
      </c>
      <c r="AT22" s="2">
        <v>0</v>
      </c>
      <c r="AU22" s="2">
        <v>0.5</v>
      </c>
      <c r="AV22" s="2">
        <v>0</v>
      </c>
      <c r="AW22" t="s">
        <v>104</v>
      </c>
      <c r="AX22" t="s">
        <v>105</v>
      </c>
      <c r="AY22" t="s">
        <v>334</v>
      </c>
      <c r="AZ22" s="72" t="str">
        <f t="shared" si="5"/>
        <v>COMNET-REV9NREL 956/Eley AnalysisDOEPrototypeBA MultifamilyElectricalEquipDef</v>
      </c>
      <c r="BA22" t="s">
        <v>339</v>
      </c>
      <c r="BB22" s="50">
        <v>0.46</v>
      </c>
      <c r="BC22" s="2">
        <v>4.9513999999999996</v>
      </c>
      <c r="BD22" s="2">
        <v>0.37</v>
      </c>
      <c r="BE22" s="2">
        <v>0.2</v>
      </c>
      <c r="BF22" t="s">
        <v>2567</v>
      </c>
      <c r="BG22" s="4"/>
      <c r="BH22" t="s">
        <v>2583</v>
      </c>
      <c r="BI22" s="72" t="str">
        <f t="shared" si="6"/>
        <v>IECC Table C405.3.2(1)Multiple-family; radiant/visible fraction split retained from original WA/COMNET-REV9 sourceLightingDef</v>
      </c>
      <c r="BJ22" t="s">
        <v>368</v>
      </c>
      <c r="BK22" s="3">
        <v>0.20408764099999999</v>
      </c>
      <c r="BL22" s="3">
        <v>0.69634703200000003</v>
      </c>
      <c r="BM22" s="2">
        <v>7.4954794519999997</v>
      </c>
      <c r="BN22" s="3">
        <v>0.01</v>
      </c>
      <c r="BO22" s="3">
        <v>0.4</v>
      </c>
      <c r="BP22" s="3">
        <v>0.4</v>
      </c>
      <c r="BQ22" t="s">
        <v>104</v>
      </c>
      <c r="BR22" t="s">
        <v>133</v>
      </c>
      <c r="BS22" t="s">
        <v>333</v>
      </c>
      <c r="BT22" s="72" t="str">
        <f t="shared" si="7"/>
        <v>COMNET-REV9California Commercial End-Use Survey (CEUS)60%ThermEffProcessBA MultifamilyGasEquipDef</v>
      </c>
      <c r="BU22" s="8" t="s">
        <v>339</v>
      </c>
      <c r="BW22">
        <v>0.7</v>
      </c>
      <c r="BY22" t="s">
        <v>2660</v>
      </c>
      <c r="BZ22" t="s">
        <v>2661</v>
      </c>
      <c r="CB22" s="50" t="str">
        <f t="shared" si="8"/>
        <v>Multi-unit residential_WholeBuilding</v>
      </c>
      <c r="CC22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MultifamilyInfil</v>
      </c>
      <c r="CD22" t="s">
        <v>266</v>
      </c>
      <c r="CE22" t="s">
        <v>260</v>
      </c>
      <c r="CF22" t="s">
        <v>240</v>
      </c>
      <c r="CG22" s="4"/>
      <c r="CH22" s="4">
        <v>2</v>
      </c>
      <c r="CI22" s="4"/>
      <c r="CJ22" s="4" t="s">
        <v>2181</v>
      </c>
      <c r="CK22" s="4">
        <v>0.15</v>
      </c>
      <c r="CL22" s="4">
        <v>0.12</v>
      </c>
      <c r="CM22" s="4">
        <v>540</v>
      </c>
      <c r="CN22" s="4">
        <v>1210</v>
      </c>
      <c r="CO22" s="4">
        <v>0.9</v>
      </c>
      <c r="CP22" s="4">
        <v>0.7</v>
      </c>
      <c r="CQ22" s="4">
        <v>0.7</v>
      </c>
      <c r="CR22" s="4" t="s">
        <v>2203</v>
      </c>
      <c r="CS22" s="4" t="s">
        <v>2204</v>
      </c>
      <c r="CT22" s="4" t="s">
        <v>2165</v>
      </c>
      <c r="CU22" s="4" t="s">
        <v>2165</v>
      </c>
      <c r="CV22" t="str">
        <f t="shared" si="15"/>
        <v>Std Wood 6inch</v>
      </c>
      <c r="CW22" s="72" t="str">
        <f t="shared" si="16"/>
        <v>OpenStudio-Prototype-BuildingsStd Wood 6inchInternalMassDef</v>
      </c>
    </row>
    <row r="23" spans="1:101" x14ac:dyDescent="0.35">
      <c r="A23" t="s">
        <v>19</v>
      </c>
      <c r="B23" s="50" t="str">
        <f t="shared" si="12"/>
        <v>2025_AU_NCC</v>
      </c>
      <c r="C23" s="50" t="str">
        <f t="shared" si="13"/>
        <v>Museum</v>
      </c>
      <c r="D23" s="50" t="s">
        <v>2446</v>
      </c>
      <c r="E23" t="s">
        <v>240</v>
      </c>
      <c r="F23" s="62">
        <v>2025</v>
      </c>
      <c r="G23" s="62" t="s">
        <v>2522</v>
      </c>
      <c r="H23" t="s">
        <v>2523</v>
      </c>
      <c r="I23">
        <v>255</v>
      </c>
      <c r="J23">
        <v>255</v>
      </c>
      <c r="K23">
        <v>255</v>
      </c>
      <c r="L23" s="50" t="str">
        <f t="shared" si="0"/>
        <v>BA Museum_2025AUNCC</v>
      </c>
      <c r="M23" s="50" t="str">
        <f t="shared" si="14"/>
        <v>BA Museum_2025AUNCCScheduleSet</v>
      </c>
      <c r="N23" s="62">
        <v>25</v>
      </c>
      <c r="O23" s="6">
        <v>40</v>
      </c>
      <c r="P23" s="38">
        <v>0.43055660200000001</v>
      </c>
      <c r="Q23">
        <v>255.91</v>
      </c>
      <c r="R23" s="6">
        <v>75</v>
      </c>
      <c r="S23">
        <v>187.67</v>
      </c>
      <c r="T23" s="6">
        <v>55</v>
      </c>
      <c r="U23" s="6"/>
      <c r="V23" s="6"/>
      <c r="W23" s="6">
        <v>130</v>
      </c>
      <c r="X23" s="2">
        <v>0.57692307700000001</v>
      </c>
      <c r="Y23" t="s">
        <v>2524</v>
      </c>
      <c r="Z23" t="s">
        <v>2525</v>
      </c>
      <c r="AA23" s="4"/>
      <c r="AB23" s="4"/>
      <c r="AC23" s="50" t="str">
        <f t="shared" si="1"/>
        <v>NCC S35C2nOther applications (non-dining)BA MuseumPeopleDef</v>
      </c>
      <c r="AD23" t="s">
        <v>353</v>
      </c>
      <c r="AE23" s="50" t="str">
        <f t="shared" si="2"/>
        <v>BA MuseumActivity</v>
      </c>
      <c r="AF23" s="63" t="s">
        <v>2165</v>
      </c>
      <c r="AG23" s="63" t="s">
        <v>2165</v>
      </c>
      <c r="AH23" s="62">
        <v>0.36</v>
      </c>
      <c r="AI23" s="62">
        <f t="shared" si="3"/>
        <v>1.8288E-3</v>
      </c>
      <c r="AJ23" s="63" t="s">
        <v>2165</v>
      </c>
      <c r="AK23" s="4" t="s">
        <v>2165</v>
      </c>
      <c r="AL23" s="4" t="s">
        <v>2165</v>
      </c>
      <c r="AM23" t="s">
        <v>104</v>
      </c>
      <c r="AN23" t="s">
        <v>240</v>
      </c>
      <c r="AO23" s="4" t="s">
        <v>2165</v>
      </c>
      <c r="AP23" s="4" t="s">
        <v>2165</v>
      </c>
      <c r="AQ23" s="72" t="str">
        <f t="shared" si="4"/>
        <v>COMNET-REV9WholeBuildingBA MuseumVent</v>
      </c>
      <c r="AR23" s="2">
        <v>0</v>
      </c>
      <c r="AS23" s="2">
        <v>0</v>
      </c>
      <c r="AT23" s="2">
        <v>0</v>
      </c>
      <c r="AU23" s="2">
        <v>0.5</v>
      </c>
      <c r="AV23" s="2">
        <v>0</v>
      </c>
      <c r="AW23" t="s">
        <v>2528</v>
      </c>
      <c r="AX23" t="s">
        <v>105</v>
      </c>
      <c r="AY23" t="s">
        <v>2533</v>
      </c>
      <c r="AZ23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MuseumElectricalEquipDef</v>
      </c>
      <c r="BA23" t="s">
        <v>336</v>
      </c>
      <c r="BB23" s="50">
        <v>0.23225799999999999</v>
      </c>
      <c r="BC23" s="2">
        <v>2.5</v>
      </c>
      <c r="BD23" s="2">
        <v>0.37</v>
      </c>
      <c r="BE23" s="2">
        <v>0.2</v>
      </c>
      <c r="BF23" t="s">
        <v>2569</v>
      </c>
      <c r="BG23" s="4"/>
      <c r="BH23" t="s">
        <v>2584</v>
      </c>
      <c r="BI23" s="72" t="str">
        <f t="shared" si="6"/>
        <v>NCC J7D3aMuseum and gallery - circulation, cleaning and service lighting; radiant/visible fraction split retained from original WA/COMNET-REV9 source (AIRAH Technical Handbook does not publish this split)LightingDef</v>
      </c>
      <c r="BJ23" t="s">
        <v>365</v>
      </c>
      <c r="BK23" s="3">
        <v>6.6913980000000003E-3</v>
      </c>
      <c r="BL23" s="3">
        <v>2.2831049999999999E-2</v>
      </c>
      <c r="BM23" s="2">
        <v>0.245753425</v>
      </c>
      <c r="BN23" s="3">
        <v>0</v>
      </c>
      <c r="BO23" s="3">
        <v>0.75</v>
      </c>
      <c r="BP23" s="3">
        <v>0.25</v>
      </c>
      <c r="BQ23" t="s">
        <v>104</v>
      </c>
      <c r="BR23" t="s">
        <v>133</v>
      </c>
      <c r="BS23" t="s">
        <v>327</v>
      </c>
      <c r="BT23" s="72" t="str">
        <f t="shared" si="7"/>
        <v>COMNET-REV9California Commercial End-Use Survey (CEUS)93%ThermEffRadiantBA MuseumGasEquipDef</v>
      </c>
      <c r="BU23" s="8" t="s">
        <v>337</v>
      </c>
      <c r="BW23">
        <v>0.7</v>
      </c>
      <c r="BY23" t="s">
        <v>2660</v>
      </c>
      <c r="BZ23" t="s">
        <v>2661</v>
      </c>
      <c r="CB23" s="50" t="str">
        <f t="shared" si="8"/>
        <v>Museum_WholeBuilding</v>
      </c>
      <c r="CC23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MuseumInfil</v>
      </c>
      <c r="CD23" t="s">
        <v>266</v>
      </c>
      <c r="CE23" t="s">
        <v>114</v>
      </c>
      <c r="CF23" t="s">
        <v>240</v>
      </c>
      <c r="CG23" s="4"/>
      <c r="CH23" s="4">
        <v>2</v>
      </c>
      <c r="CI23" s="4"/>
      <c r="CJ23" s="4" t="s">
        <v>2181</v>
      </c>
      <c r="CK23" s="4">
        <v>0.15</v>
      </c>
      <c r="CL23" s="4">
        <v>0.12</v>
      </c>
      <c r="CM23" s="4">
        <v>540</v>
      </c>
      <c r="CN23" s="4">
        <v>1210</v>
      </c>
      <c r="CO23" s="4">
        <v>0.9</v>
      </c>
      <c r="CP23" s="4">
        <v>0.7</v>
      </c>
      <c r="CQ23" s="4">
        <v>0.7</v>
      </c>
      <c r="CR23" s="4" t="s">
        <v>2203</v>
      </c>
      <c r="CS23" s="4" t="s">
        <v>2204</v>
      </c>
      <c r="CT23" s="4" t="s">
        <v>2165</v>
      </c>
      <c r="CU23" s="4" t="s">
        <v>2165</v>
      </c>
      <c r="CV23" t="str">
        <f t="shared" si="15"/>
        <v>Std Wood 6inch</v>
      </c>
      <c r="CW23" s="72" t="str">
        <f t="shared" si="16"/>
        <v>OpenStudio-Prototype-BuildingsStd Wood 6inchInternalMassDef</v>
      </c>
    </row>
    <row r="24" spans="1:101" x14ac:dyDescent="0.35">
      <c r="A24" t="s">
        <v>20</v>
      </c>
      <c r="B24" s="50" t="str">
        <f t="shared" si="12"/>
        <v>2025_AU_NCC</v>
      </c>
      <c r="C24" s="50" t="str">
        <f t="shared" si="13"/>
        <v>Office</v>
      </c>
      <c r="D24" s="50" t="s">
        <v>2446</v>
      </c>
      <c r="E24" t="s">
        <v>240</v>
      </c>
      <c r="F24" s="62">
        <v>2025</v>
      </c>
      <c r="G24" s="62" t="s">
        <v>2522</v>
      </c>
      <c r="H24" t="s">
        <v>2523</v>
      </c>
      <c r="I24">
        <v>255</v>
      </c>
      <c r="J24">
        <v>255</v>
      </c>
      <c r="K24">
        <v>255</v>
      </c>
      <c r="L24" s="50" t="str">
        <f t="shared" si="0"/>
        <v>BA Office_2025AUNCC</v>
      </c>
      <c r="M24" s="50" t="str">
        <f t="shared" si="14"/>
        <v>BA Office_2025AUNCCScheduleSet</v>
      </c>
      <c r="N24" s="62">
        <v>200</v>
      </c>
      <c r="O24" s="6">
        <v>5</v>
      </c>
      <c r="P24" s="38">
        <v>5.3819575000000001E-2</v>
      </c>
      <c r="Q24">
        <v>255.91</v>
      </c>
      <c r="R24" s="6">
        <v>75</v>
      </c>
      <c r="S24">
        <v>187.67</v>
      </c>
      <c r="T24" s="6">
        <v>55</v>
      </c>
      <c r="U24" s="6"/>
      <c r="V24" s="6"/>
      <c r="W24" s="6">
        <v>130</v>
      </c>
      <c r="X24" s="2">
        <v>0.57692307700000001</v>
      </c>
      <c r="Y24" t="s">
        <v>2524</v>
      </c>
      <c r="Z24" t="s">
        <v>2527</v>
      </c>
      <c r="AA24" s="4"/>
      <c r="AB24" s="4"/>
      <c r="AC24" s="50" t="str">
        <f t="shared" si="1"/>
        <v>NCC S35C2nClass 5 (Office) - Other applications (non-dining)BA OfficePeopleDef</v>
      </c>
      <c r="AD24" t="s">
        <v>354</v>
      </c>
      <c r="AE24" s="50" t="str">
        <f t="shared" si="2"/>
        <v>BA OfficeActivity</v>
      </c>
      <c r="AF24" s="63" t="s">
        <v>2165</v>
      </c>
      <c r="AG24" s="63" t="s">
        <v>2165</v>
      </c>
      <c r="AH24" s="62">
        <v>0.09</v>
      </c>
      <c r="AI24" s="62">
        <f t="shared" ref="AI24:AI60" si="17">AH24*0.00508</f>
        <v>4.572E-4</v>
      </c>
      <c r="AJ24" s="63" t="s">
        <v>2165</v>
      </c>
      <c r="AK24" s="4" t="s">
        <v>2165</v>
      </c>
      <c r="AL24" s="4" t="s">
        <v>2165</v>
      </c>
      <c r="AM24" t="s">
        <v>104</v>
      </c>
      <c r="AN24" t="s">
        <v>240</v>
      </c>
      <c r="AO24" s="4" t="s">
        <v>2165</v>
      </c>
      <c r="AP24" s="4" t="s">
        <v>2165</v>
      </c>
      <c r="AQ24" s="72" t="str">
        <f t="shared" si="4"/>
        <v>COMNET-REV9WholeBuildingBA OfficeVent</v>
      </c>
      <c r="AR24" s="2">
        <v>1.021933</v>
      </c>
      <c r="AS24" s="2">
        <v>11</v>
      </c>
      <c r="AT24" s="2">
        <v>0</v>
      </c>
      <c r="AU24" s="2">
        <v>0.5</v>
      </c>
      <c r="AV24" s="2">
        <v>0</v>
      </c>
      <c r="AW24" t="s">
        <v>2528</v>
      </c>
      <c r="AX24" t="s">
        <v>104</v>
      </c>
      <c r="AY24" t="s">
        <v>2538</v>
      </c>
      <c r="AZ24" s="72" t="str">
        <f t="shared" si="5"/>
        <v>NCC S35C2lCOMNET-REV9NCC S35C2l for equipment W/m2; radiant/latent/lost fraction split retained from original WA/COMNET-REV9 source (AIRAH Technical Handbook does not publish this split)BA OfficeElectricalEquipDef</v>
      </c>
      <c r="BA24" t="s">
        <v>337</v>
      </c>
      <c r="BB24" s="50">
        <v>0.41806399999999999</v>
      </c>
      <c r="BC24" s="2">
        <v>4.5</v>
      </c>
      <c r="BD24" s="2">
        <v>0.37</v>
      </c>
      <c r="BE24" s="2">
        <v>0.2</v>
      </c>
      <c r="BF24" t="s">
        <v>2569</v>
      </c>
      <c r="BG24" s="4" t="s">
        <v>104</v>
      </c>
      <c r="BH24" t="s">
        <v>2585</v>
      </c>
      <c r="BI24" s="72" t="str">
        <f t="shared" si="6"/>
        <v>NCC J7D3aCOMNET-REV9NCC J7D3a for lighting W/m2 (office &gt;= 200 lux row); radiant/visible fraction split retained from original WA/COMNET-REV9 source (AIRAH Technical Handbook does not publish this split)LightingDef</v>
      </c>
      <c r="BJ24" t="s">
        <v>366</v>
      </c>
      <c r="BK24" s="3">
        <v>0</v>
      </c>
      <c r="BL24" s="3">
        <v>0</v>
      </c>
      <c r="BM24" s="2">
        <v>0</v>
      </c>
      <c r="BN24" s="3">
        <v>0</v>
      </c>
      <c r="BO24" s="3">
        <v>0</v>
      </c>
      <c r="BP24" s="3">
        <v>0</v>
      </c>
      <c r="BQ24" t="s">
        <v>2658</v>
      </c>
      <c r="BS24" t="s">
        <v>2659</v>
      </c>
      <c r="BT24" s="72" t="str">
        <f t="shared" si="7"/>
        <v>N/ANo gas appliances assumed for Class 5 office; consistent with NCC Spec 35 (no gas equipment profile modelled for offices)BA OfficeGasEquipDef</v>
      </c>
      <c r="BU24" t="s">
        <v>344</v>
      </c>
      <c r="BW24">
        <v>0.7</v>
      </c>
      <c r="BY24" t="s">
        <v>2660</v>
      </c>
      <c r="BZ24" t="s">
        <v>2661</v>
      </c>
      <c r="CB24" s="50" t="str">
        <f t="shared" si="8"/>
        <v>Office_WholeBuilding</v>
      </c>
      <c r="CC24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OfficeInfil</v>
      </c>
      <c r="CD24" t="s">
        <v>266</v>
      </c>
      <c r="CE24" t="s">
        <v>115</v>
      </c>
      <c r="CF24" t="s">
        <v>240</v>
      </c>
      <c r="CG24" s="4"/>
      <c r="CH24" s="4">
        <v>2</v>
      </c>
      <c r="CI24" s="4"/>
      <c r="CJ24" s="4" t="s">
        <v>2181</v>
      </c>
      <c r="CK24" s="4">
        <v>0.15</v>
      </c>
      <c r="CL24" s="4">
        <v>0.12</v>
      </c>
      <c r="CM24" s="4">
        <v>540</v>
      </c>
      <c r="CN24" s="4">
        <v>1210</v>
      </c>
      <c r="CO24" s="4">
        <v>0.9</v>
      </c>
      <c r="CP24" s="4">
        <v>0.7</v>
      </c>
      <c r="CQ24" s="4">
        <v>0.7</v>
      </c>
      <c r="CR24" s="4" t="s">
        <v>2203</v>
      </c>
      <c r="CS24" s="4" t="s">
        <v>2204</v>
      </c>
      <c r="CT24" s="4" t="s">
        <v>2165</v>
      </c>
      <c r="CU24" s="4" t="s">
        <v>2165</v>
      </c>
      <c r="CV24" t="str">
        <f t="shared" si="15"/>
        <v>Std Wood 6inch</v>
      </c>
      <c r="CW24" s="72" t="str">
        <f t="shared" si="16"/>
        <v>OpenStudio-Prototype-BuildingsStd Wood 6inchInternalMassDef</v>
      </c>
    </row>
    <row r="25" spans="1:101" x14ac:dyDescent="0.35">
      <c r="A25" t="s">
        <v>21</v>
      </c>
      <c r="B25" s="50" t="str">
        <f t="shared" si="12"/>
        <v>2025_AU_NCC</v>
      </c>
      <c r="C25" s="50" t="str">
        <f t="shared" si="13"/>
        <v>Parking Garage</v>
      </c>
      <c r="D25" s="50" t="s">
        <v>2446</v>
      </c>
      <c r="E25" t="s">
        <v>240</v>
      </c>
      <c r="F25" s="62">
        <v>2025</v>
      </c>
      <c r="G25" s="62" t="s">
        <v>2522</v>
      </c>
      <c r="H25" t="s">
        <v>2523</v>
      </c>
      <c r="I25">
        <v>255</v>
      </c>
      <c r="J25">
        <v>255</v>
      </c>
      <c r="K25">
        <v>255</v>
      </c>
      <c r="L25" s="50" t="str">
        <f t="shared" si="0"/>
        <v>BA Parking Garage_2025AUNCC</v>
      </c>
      <c r="M25" s="50" t="str">
        <f t="shared" si="14"/>
        <v>BA Parking Garage_2025AUNCCScheduleSet</v>
      </c>
      <c r="N25" s="63"/>
      <c r="O25" s="4"/>
      <c r="P25" s="4"/>
      <c r="Q25" s="4">
        <v>255.91</v>
      </c>
      <c r="R25" s="4">
        <v>75</v>
      </c>
      <c r="S25" s="4">
        <v>187.67</v>
      </c>
      <c r="T25" s="4">
        <v>55</v>
      </c>
      <c r="U25" s="46"/>
      <c r="V25" s="46"/>
      <c r="W25" s="46">
        <v>130</v>
      </c>
      <c r="X25" s="48">
        <v>0.57692307700000001</v>
      </c>
      <c r="Y25" s="4" t="s">
        <v>2524</v>
      </c>
      <c r="Z25" s="4" t="s">
        <v>2525</v>
      </c>
      <c r="AA25" s="46"/>
      <c r="AB25" s="46"/>
      <c r="AC25" s="54" t="s">
        <v>2165</v>
      </c>
      <c r="AD25" s="46" t="s">
        <v>2165</v>
      </c>
      <c r="AE25" s="54" t="s">
        <v>2165</v>
      </c>
      <c r="AF25" s="63" t="s">
        <v>2165</v>
      </c>
      <c r="AG25" s="63" t="s">
        <v>2165</v>
      </c>
      <c r="AH25" s="63" t="s">
        <v>2165</v>
      </c>
      <c r="AI25" s="63" t="s">
        <v>2165</v>
      </c>
      <c r="AJ25" s="63" t="s">
        <v>2165</v>
      </c>
      <c r="AK25" s="4" t="s">
        <v>2165</v>
      </c>
      <c r="AL25" s="4" t="s">
        <v>2165</v>
      </c>
      <c r="AM25" s="4" t="s">
        <v>2165</v>
      </c>
      <c r="AN25" s="4" t="s">
        <v>2165</v>
      </c>
      <c r="AO25" s="4" t="s">
        <v>2165</v>
      </c>
      <c r="AP25" s="4" t="s">
        <v>2165</v>
      </c>
      <c r="AQ25" s="51" t="s">
        <v>2165</v>
      </c>
      <c r="AR25" s="2">
        <v>0</v>
      </c>
      <c r="AS25" s="2">
        <v>0</v>
      </c>
      <c r="AT25" s="2">
        <v>0</v>
      </c>
      <c r="AU25" s="2">
        <v>0.06</v>
      </c>
      <c r="AV25" s="2">
        <v>0.88</v>
      </c>
      <c r="AW25" s="4" t="s">
        <v>2528</v>
      </c>
      <c r="AX25" t="s">
        <v>2171</v>
      </c>
      <c r="AY25" t="s">
        <v>2539</v>
      </c>
      <c r="AZ25" s="72" t="str">
        <f t="shared" si="5"/>
        <v>NCC S35C2lMedium Estimate: Workplace, 20% of Spaces with Level 2 Charger12%lost to heatClass 7a (Other applications) - no equipment load per S35C2l; radiant/latent/lost fraction split retained from original WA/COMNET-REV9 source (AIRAH Technical Handbook does not publish this split)BA Parking GarageElectricalEquipDef</v>
      </c>
      <c r="BA25" t="s">
        <v>341</v>
      </c>
      <c r="BB25" s="50">
        <v>0.185806</v>
      </c>
      <c r="BC25" s="2">
        <v>2</v>
      </c>
      <c r="BD25" s="2">
        <v>0.37</v>
      </c>
      <c r="BE25" s="2">
        <v>0.2</v>
      </c>
      <c r="BF25" t="s">
        <v>2569</v>
      </c>
      <c r="BG25" s="4"/>
      <c r="BH25" t="s">
        <v>2586</v>
      </c>
      <c r="BI25" s="72" t="str">
        <f t="shared" si="6"/>
        <v>NCC J7D3aCarpark - general; radiant/visible fraction split retained from original WA/COMNET-REV9 source (AIRAH Technical Handbook does not publish this split)LightingDef</v>
      </c>
      <c r="BJ25" t="s">
        <v>370</v>
      </c>
      <c r="BK25" s="3">
        <v>0</v>
      </c>
      <c r="BL25" s="3">
        <v>0</v>
      </c>
      <c r="BM25" s="2">
        <v>0</v>
      </c>
      <c r="BN25" s="3">
        <v>0</v>
      </c>
      <c r="BO25" s="3">
        <v>0.75</v>
      </c>
      <c r="BP25" s="3">
        <v>0.25</v>
      </c>
      <c r="BQ25" t="s">
        <v>104</v>
      </c>
      <c r="BR25" t="s">
        <v>133</v>
      </c>
      <c r="BS25" t="s">
        <v>327</v>
      </c>
      <c r="BT25" s="72" t="str">
        <f t="shared" si="7"/>
        <v>COMNET-REV9California Commercial End-Use Survey (CEUS)93%ThermEffRadiantBA Parking GarageGasEquipDef</v>
      </c>
      <c r="BU25" s="8" t="s">
        <v>341</v>
      </c>
      <c r="BW25">
        <v>0.7</v>
      </c>
      <c r="BY25" t="s">
        <v>2660</v>
      </c>
      <c r="BZ25" t="s">
        <v>2661</v>
      </c>
      <c r="CB25" s="50" t="str">
        <f t="shared" si="8"/>
        <v>Parking garage_WholeBuilding</v>
      </c>
      <c r="CC25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Parking GarageInfil</v>
      </c>
      <c r="CD25" t="s">
        <v>266</v>
      </c>
      <c r="CE25" t="s">
        <v>116</v>
      </c>
      <c r="CF25" t="s">
        <v>240</v>
      </c>
      <c r="CG25" s="4"/>
      <c r="CH25" s="4">
        <v>2</v>
      </c>
      <c r="CI25" s="4"/>
      <c r="CJ25" s="4" t="s">
        <v>2181</v>
      </c>
      <c r="CK25" s="4">
        <v>0.15</v>
      </c>
      <c r="CL25" s="4">
        <v>0.12</v>
      </c>
      <c r="CM25" s="4">
        <v>540</v>
      </c>
      <c r="CN25" s="4">
        <v>1210</v>
      </c>
      <c r="CO25" s="4">
        <v>0.9</v>
      </c>
      <c r="CP25" s="4">
        <v>0.7</v>
      </c>
      <c r="CQ25" s="4">
        <v>0.7</v>
      </c>
      <c r="CR25" s="4" t="s">
        <v>2203</v>
      </c>
      <c r="CS25" s="4" t="s">
        <v>2204</v>
      </c>
      <c r="CT25" s="4" t="s">
        <v>2165</v>
      </c>
      <c r="CU25" s="4" t="s">
        <v>2165</v>
      </c>
      <c r="CV25" t="str">
        <f t="shared" si="15"/>
        <v>Std Wood 6inch</v>
      </c>
      <c r="CW25" s="72" t="str">
        <f t="shared" si="16"/>
        <v>OpenStudio-Prototype-BuildingsStd Wood 6inchInternalMassDef</v>
      </c>
    </row>
    <row r="26" spans="1:101" x14ac:dyDescent="0.35">
      <c r="A26" t="s">
        <v>22</v>
      </c>
      <c r="B26" s="50" t="str">
        <f t="shared" si="12"/>
        <v>2025_AU_NCC</v>
      </c>
      <c r="C26" s="50" t="str">
        <f t="shared" si="13"/>
        <v>Penitentiary</v>
      </c>
      <c r="D26" s="50" t="s">
        <v>2446</v>
      </c>
      <c r="E26" t="s">
        <v>240</v>
      </c>
      <c r="F26" s="62">
        <v>2025</v>
      </c>
      <c r="G26" s="62" t="s">
        <v>2522</v>
      </c>
      <c r="H26" t="s">
        <v>2523</v>
      </c>
      <c r="I26">
        <v>255</v>
      </c>
      <c r="J26">
        <v>255</v>
      </c>
      <c r="K26">
        <v>255</v>
      </c>
      <c r="L26" s="50" t="str">
        <f t="shared" si="0"/>
        <v>BA Penitentiary_2025AUNCC</v>
      </c>
      <c r="M26" s="50" t="str">
        <f t="shared" si="14"/>
        <v>BA Penitentiary_2025AUNCCScheduleSet</v>
      </c>
      <c r="N26" s="62">
        <v>40</v>
      </c>
      <c r="O26" s="6">
        <v>25</v>
      </c>
      <c r="P26" s="38">
        <v>0.26909787600000001</v>
      </c>
      <c r="Q26">
        <v>255.91</v>
      </c>
      <c r="R26" s="6">
        <v>75</v>
      </c>
      <c r="S26">
        <v>187.67</v>
      </c>
      <c r="T26" s="6">
        <v>55</v>
      </c>
      <c r="U26" s="6"/>
      <c r="V26" s="6"/>
      <c r="W26" s="6">
        <v>130</v>
      </c>
      <c r="X26" s="2">
        <v>0.57692307700000001</v>
      </c>
      <c r="Y26" t="s">
        <v>2524</v>
      </c>
      <c r="Z26" t="s">
        <v>2525</v>
      </c>
      <c r="AA26" s="4"/>
      <c r="AB26" s="4"/>
      <c r="AC26" s="50" t="str">
        <f t="shared" ref="AC26:AC32" si="18">CONCATENATE(Y26,Z26,AA26,AB26,A26,"PeopleDef")</f>
        <v>NCC S35C2nOther applications (non-dining)BA PenitentiaryPeopleDef</v>
      </c>
      <c r="AD26" t="s">
        <v>358</v>
      </c>
      <c r="AE26" s="50" t="str">
        <f t="shared" ref="AE26:AE32" si="19">CONCATENATE(A26,"Activity")</f>
        <v>BA PenitentiaryActivity</v>
      </c>
      <c r="AF26" s="63" t="s">
        <v>2165</v>
      </c>
      <c r="AG26" s="63" t="s">
        <v>2165</v>
      </c>
      <c r="AH26" s="62">
        <v>0.25</v>
      </c>
      <c r="AI26" s="62">
        <f t="shared" si="17"/>
        <v>1.2700000000000001E-3</v>
      </c>
      <c r="AJ26" s="63" t="s">
        <v>2165</v>
      </c>
      <c r="AK26" s="4" t="s">
        <v>2165</v>
      </c>
      <c r="AL26" s="4" t="s">
        <v>2165</v>
      </c>
      <c r="AM26" t="s">
        <v>104</v>
      </c>
      <c r="AN26" t="s">
        <v>240</v>
      </c>
      <c r="AO26" s="4" t="s">
        <v>2165</v>
      </c>
      <c r="AP26" s="4" t="s">
        <v>2165</v>
      </c>
      <c r="AQ26" s="72" t="str">
        <f t="shared" ref="AQ26:AQ37" si="20">CONCATENATE(AM26,AN26,AO26,AP26,A26,"Vent")</f>
        <v>COMNET-REV9WholeBuildingBA PenitentiaryVent</v>
      </c>
      <c r="AR26" s="2">
        <v>1.492832266</v>
      </c>
      <c r="AS26" s="2">
        <v>16.06884651</v>
      </c>
      <c r="AT26" s="2">
        <v>0</v>
      </c>
      <c r="AU26" s="2">
        <v>0.5</v>
      </c>
      <c r="AV26" s="2">
        <v>0</v>
      </c>
      <c r="AW26" t="s">
        <v>104</v>
      </c>
      <c r="AX26" t="s">
        <v>105</v>
      </c>
      <c r="AY26" t="s">
        <v>334</v>
      </c>
      <c r="AZ26" s="72" t="str">
        <f t="shared" si="5"/>
        <v>COMNET-REV9NREL 956/Eley AnalysisDOEPrototypeBA PenitentiaryElectricalEquipDef</v>
      </c>
      <c r="BA26" t="s">
        <v>341</v>
      </c>
      <c r="BB26" s="50">
        <v>0.65</v>
      </c>
      <c r="BC26" s="2">
        <v>6.9965400000000004</v>
      </c>
      <c r="BD26" s="2">
        <v>0.37</v>
      </c>
      <c r="BE26" s="2">
        <v>0.2</v>
      </c>
      <c r="BF26" t="s">
        <v>2567</v>
      </c>
      <c r="BG26" s="4"/>
      <c r="BH26" t="s">
        <v>2587</v>
      </c>
      <c r="BI26" s="72" t="str">
        <f t="shared" si="6"/>
        <v>IECC Table C405.3.2(1)Penitentiary; radiant/visible fraction split retained from original WA/COMNET-REV9 sourceLightingDef</v>
      </c>
      <c r="BJ26" t="s">
        <v>370</v>
      </c>
      <c r="BK26" s="3">
        <v>0.20408764099999999</v>
      </c>
      <c r="BL26" s="3">
        <v>0.69634703200000003</v>
      </c>
      <c r="BM26" s="2">
        <v>7.4954794519999997</v>
      </c>
      <c r="BN26" s="3">
        <v>0</v>
      </c>
      <c r="BO26" s="3">
        <v>0.75</v>
      </c>
      <c r="BP26" s="3">
        <v>0.25</v>
      </c>
      <c r="BQ26" t="s">
        <v>104</v>
      </c>
      <c r="BR26" t="s">
        <v>133</v>
      </c>
      <c r="BS26" t="s">
        <v>327</v>
      </c>
      <c r="BT26" s="72" t="str">
        <f t="shared" si="7"/>
        <v>COMNET-REV9California Commercial End-Use Survey (CEUS)93%ThermEffRadiantBA PenitentiaryGasEquipDef</v>
      </c>
      <c r="BU26" s="8" t="s">
        <v>351</v>
      </c>
      <c r="BW26">
        <v>0.7</v>
      </c>
      <c r="BY26" t="s">
        <v>2660</v>
      </c>
      <c r="BZ26" t="s">
        <v>2661</v>
      </c>
      <c r="CB26" s="50" t="str">
        <f t="shared" si="8"/>
        <v>Penitentiary_WholeBuilding</v>
      </c>
      <c r="CC26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PenitentiaryInfil</v>
      </c>
      <c r="CD26" t="s">
        <v>266</v>
      </c>
      <c r="CE26" t="s">
        <v>117</v>
      </c>
      <c r="CF26" t="s">
        <v>240</v>
      </c>
      <c r="CG26" s="4"/>
      <c r="CH26" s="4">
        <v>2</v>
      </c>
      <c r="CI26" s="4"/>
      <c r="CJ26" s="4" t="s">
        <v>2181</v>
      </c>
      <c r="CK26" s="4">
        <v>0.15</v>
      </c>
      <c r="CL26" s="4">
        <v>0.12</v>
      </c>
      <c r="CM26" s="4">
        <v>540</v>
      </c>
      <c r="CN26" s="4">
        <v>1210</v>
      </c>
      <c r="CO26" s="4">
        <v>0.9</v>
      </c>
      <c r="CP26" s="4">
        <v>0.7</v>
      </c>
      <c r="CQ26" s="4">
        <v>0.7</v>
      </c>
      <c r="CR26" s="4" t="s">
        <v>2203</v>
      </c>
      <c r="CS26" s="4" t="s">
        <v>2204</v>
      </c>
      <c r="CT26" s="4" t="s">
        <v>2165</v>
      </c>
      <c r="CU26" s="4" t="s">
        <v>2165</v>
      </c>
      <c r="CV26" t="str">
        <f t="shared" si="15"/>
        <v>Std Wood 6inch</v>
      </c>
      <c r="CW26" s="72" t="str">
        <f t="shared" si="16"/>
        <v>OpenStudio-Prototype-BuildingsStd Wood 6inchInternalMassDef</v>
      </c>
    </row>
    <row r="27" spans="1:101" x14ac:dyDescent="0.35">
      <c r="A27" t="s">
        <v>23</v>
      </c>
      <c r="B27" s="50" t="str">
        <f t="shared" si="12"/>
        <v>2025_AU_NCC</v>
      </c>
      <c r="C27" s="50" t="str">
        <f t="shared" si="13"/>
        <v>Performing Arts Theater</v>
      </c>
      <c r="D27" s="50" t="s">
        <v>2446</v>
      </c>
      <c r="E27" t="s">
        <v>240</v>
      </c>
      <c r="F27" s="62">
        <v>2025</v>
      </c>
      <c r="G27" s="62" t="s">
        <v>2522</v>
      </c>
      <c r="H27" t="s">
        <v>2523</v>
      </c>
      <c r="I27">
        <v>255</v>
      </c>
      <c r="J27">
        <v>255</v>
      </c>
      <c r="K27">
        <v>255</v>
      </c>
      <c r="L27" s="50" t="str">
        <f t="shared" si="0"/>
        <v>BA Performing Arts Theater_2025AUNCC</v>
      </c>
      <c r="M27" s="50" t="str">
        <f t="shared" si="14"/>
        <v>BA Performing Arts Theater_2025AUNCCScheduleSet</v>
      </c>
      <c r="N27" s="62">
        <v>14</v>
      </c>
      <c r="O27" s="6">
        <v>71.428571430000005</v>
      </c>
      <c r="P27" s="38">
        <v>0.76885107500000005</v>
      </c>
      <c r="Q27">
        <v>255.91</v>
      </c>
      <c r="R27" s="6">
        <v>75</v>
      </c>
      <c r="S27">
        <v>187.67</v>
      </c>
      <c r="T27" s="6">
        <v>55</v>
      </c>
      <c r="U27" s="6"/>
      <c r="V27" s="6"/>
      <c r="W27" s="6">
        <v>130</v>
      </c>
      <c r="X27" s="2">
        <v>0.57692307700000001</v>
      </c>
      <c r="Y27" t="s">
        <v>2524</v>
      </c>
      <c r="Z27" t="s">
        <v>2525</v>
      </c>
      <c r="AA27" s="4"/>
      <c r="AB27" s="4"/>
      <c r="AC27" s="50" t="str">
        <f t="shared" si="18"/>
        <v>NCC S35C2nOther applications (non-dining)BA Performing Arts TheaterPeopleDef</v>
      </c>
      <c r="AD27" t="s">
        <v>353</v>
      </c>
      <c r="AE27" s="50" t="str">
        <f t="shared" si="19"/>
        <v>BA Performing Arts TheaterActivity</v>
      </c>
      <c r="AF27" s="63" t="s">
        <v>2165</v>
      </c>
      <c r="AG27" s="63" t="s">
        <v>2165</v>
      </c>
      <c r="AH27" s="62">
        <v>0.76</v>
      </c>
      <c r="AI27" s="62">
        <f t="shared" si="17"/>
        <v>3.8608000000000002E-3</v>
      </c>
      <c r="AJ27" s="63" t="s">
        <v>2165</v>
      </c>
      <c r="AK27" s="4" t="s">
        <v>2165</v>
      </c>
      <c r="AL27" s="4" t="s">
        <v>2165</v>
      </c>
      <c r="AM27" t="s">
        <v>104</v>
      </c>
      <c r="AN27" t="s">
        <v>240</v>
      </c>
      <c r="AO27" s="4" t="s">
        <v>2165</v>
      </c>
      <c r="AP27" s="4" t="s">
        <v>2165</v>
      </c>
      <c r="AQ27" s="72" t="str">
        <f t="shared" si="20"/>
        <v>COMNET-REV9WholeBuildingBA Performing Arts TheaterVent</v>
      </c>
      <c r="AR27" s="2">
        <v>0</v>
      </c>
      <c r="AS27" s="2">
        <v>0</v>
      </c>
      <c r="AT27" s="2">
        <v>0</v>
      </c>
      <c r="AU27" s="2">
        <v>0.5</v>
      </c>
      <c r="AV27" s="2">
        <v>0</v>
      </c>
      <c r="AW27" t="s">
        <v>2528</v>
      </c>
      <c r="AX27" t="s">
        <v>105</v>
      </c>
      <c r="AY27" t="s">
        <v>2533</v>
      </c>
      <c r="AZ27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Performing Arts TheaterElectricalEquipDef</v>
      </c>
      <c r="BA27" t="s">
        <v>336</v>
      </c>
      <c r="BB27" s="50">
        <v>0.743224</v>
      </c>
      <c r="BC27" s="2">
        <v>8</v>
      </c>
      <c r="BD27" s="2">
        <v>0.37</v>
      </c>
      <c r="BE27" s="2">
        <v>0.2</v>
      </c>
      <c r="BF27" t="s">
        <v>2569</v>
      </c>
      <c r="BG27" s="4"/>
      <c r="BH27" t="s">
        <v>2588</v>
      </c>
      <c r="BI27" s="72" t="str">
        <f t="shared" si="6"/>
        <v>NCC J7D3aAuditorium, church and public hall (nearest; no dedicated theatre row); radiant/visible fraction split retained from original WA/COMNET-REV9 source (AIRAH Technical Handbook does not publish this split)LightingDef</v>
      </c>
      <c r="BJ27" t="s">
        <v>365</v>
      </c>
      <c r="BK27" s="3">
        <v>6.6913980000000003E-3</v>
      </c>
      <c r="BL27" s="3">
        <v>2.2831049999999999E-2</v>
      </c>
      <c r="BM27" s="2">
        <v>0.245753425</v>
      </c>
      <c r="BN27" s="3">
        <v>0.01</v>
      </c>
      <c r="BO27" s="3">
        <v>0.4</v>
      </c>
      <c r="BP27" s="3">
        <v>0.4</v>
      </c>
      <c r="BQ27" t="s">
        <v>104</v>
      </c>
      <c r="BR27" t="s">
        <v>133</v>
      </c>
      <c r="BS27" t="s">
        <v>333</v>
      </c>
      <c r="BT27" s="72" t="str">
        <f t="shared" si="7"/>
        <v>COMNET-REV9California Commercial End-Use Survey (CEUS)60%ThermEffProcessBA Performing Arts TheaterGasEquipDef</v>
      </c>
      <c r="BU27" s="8" t="s">
        <v>336</v>
      </c>
      <c r="BW27">
        <v>0.7</v>
      </c>
      <c r="BY27" t="s">
        <v>2660</v>
      </c>
      <c r="BZ27" t="s">
        <v>2661</v>
      </c>
      <c r="CB27" s="50" t="str">
        <f t="shared" si="8"/>
        <v>Performing arts theatre_WholeBuilding</v>
      </c>
      <c r="CC27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Performing Arts TheaterInfil</v>
      </c>
      <c r="CD27" t="s">
        <v>266</v>
      </c>
      <c r="CE27" t="s">
        <v>261</v>
      </c>
      <c r="CF27" t="s">
        <v>240</v>
      </c>
      <c r="CG27" s="4"/>
      <c r="CH27" s="4">
        <v>2</v>
      </c>
      <c r="CI27" s="4"/>
      <c r="CJ27" s="4" t="s">
        <v>2181</v>
      </c>
      <c r="CK27" s="4">
        <v>0.15</v>
      </c>
      <c r="CL27" s="4">
        <v>0.12</v>
      </c>
      <c r="CM27" s="4">
        <v>540</v>
      </c>
      <c r="CN27" s="4">
        <v>1210</v>
      </c>
      <c r="CO27" s="4">
        <v>0.9</v>
      </c>
      <c r="CP27" s="4">
        <v>0.7</v>
      </c>
      <c r="CQ27" s="4">
        <v>0.7</v>
      </c>
      <c r="CR27" s="4" t="s">
        <v>2203</v>
      </c>
      <c r="CS27" s="4" t="s">
        <v>2204</v>
      </c>
      <c r="CT27" s="4" t="s">
        <v>2165</v>
      </c>
      <c r="CU27" s="4" t="s">
        <v>2165</v>
      </c>
      <c r="CV27" t="str">
        <f t="shared" si="15"/>
        <v>Std Wood 6inch</v>
      </c>
      <c r="CW27" s="72" t="str">
        <f t="shared" si="16"/>
        <v>OpenStudio-Prototype-BuildingsStd Wood 6inchInternalMassDef</v>
      </c>
    </row>
    <row r="28" spans="1:101" x14ac:dyDescent="0.35">
      <c r="A28" t="s">
        <v>24</v>
      </c>
      <c r="B28" s="50" t="str">
        <f t="shared" si="12"/>
        <v>2025_AU_NCC</v>
      </c>
      <c r="C28" s="50" t="str">
        <f t="shared" si="13"/>
        <v>Police Station</v>
      </c>
      <c r="D28" s="50" t="s">
        <v>2446</v>
      </c>
      <c r="E28" t="s">
        <v>240</v>
      </c>
      <c r="F28" s="62">
        <v>2025</v>
      </c>
      <c r="G28" s="62" t="s">
        <v>2522</v>
      </c>
      <c r="H28" t="s">
        <v>2523</v>
      </c>
      <c r="I28">
        <v>255</v>
      </c>
      <c r="J28">
        <v>255</v>
      </c>
      <c r="K28">
        <v>255</v>
      </c>
      <c r="L28" s="50" t="str">
        <f t="shared" si="0"/>
        <v>BA Police Station_2025AUNCC</v>
      </c>
      <c r="M28" s="50" t="str">
        <f t="shared" si="14"/>
        <v>BA Police Station_2025AUNCCScheduleSet</v>
      </c>
      <c r="N28" s="62">
        <v>33</v>
      </c>
      <c r="O28" s="6">
        <v>30.3030303</v>
      </c>
      <c r="P28" s="38">
        <v>0.32617924399999998</v>
      </c>
      <c r="Q28">
        <v>255.91</v>
      </c>
      <c r="R28" s="6">
        <v>75</v>
      </c>
      <c r="S28">
        <v>187.67</v>
      </c>
      <c r="T28" s="6">
        <v>55</v>
      </c>
      <c r="U28" s="6"/>
      <c r="V28" s="6"/>
      <c r="W28" s="6">
        <v>130</v>
      </c>
      <c r="X28" s="2">
        <v>0.57692307700000001</v>
      </c>
      <c r="Y28" t="s">
        <v>2524</v>
      </c>
      <c r="Z28" t="s">
        <v>2525</v>
      </c>
      <c r="AA28" s="4"/>
      <c r="AB28" s="4"/>
      <c r="AC28" s="50" t="str">
        <f t="shared" si="18"/>
        <v>NCC S35C2nOther applications (non-dining)BA Police StationPeopleDef</v>
      </c>
      <c r="AD28" t="s">
        <v>358</v>
      </c>
      <c r="AE28" s="50" t="str">
        <f t="shared" si="19"/>
        <v>BA Police StationActivity</v>
      </c>
      <c r="AF28" s="63" t="s">
        <v>2165</v>
      </c>
      <c r="AG28" s="63" t="s">
        <v>2165</v>
      </c>
      <c r="AH28" s="62">
        <v>0.21</v>
      </c>
      <c r="AI28" s="62">
        <f t="shared" si="17"/>
        <v>1.0668000000000001E-3</v>
      </c>
      <c r="AJ28" s="63" t="s">
        <v>2165</v>
      </c>
      <c r="AK28" s="4" t="s">
        <v>2165</v>
      </c>
      <c r="AL28" s="4" t="s">
        <v>2165</v>
      </c>
      <c r="AM28" t="s">
        <v>104</v>
      </c>
      <c r="AN28" t="s">
        <v>240</v>
      </c>
      <c r="AO28" s="4" t="s">
        <v>2165</v>
      </c>
      <c r="AP28" s="4" t="s">
        <v>2165</v>
      </c>
      <c r="AQ28" s="72" t="str">
        <f t="shared" si="20"/>
        <v>COMNET-REV9WholeBuildingBA Police StationVent</v>
      </c>
      <c r="AR28" s="2">
        <v>0.56206299999999998</v>
      </c>
      <c r="AS28" s="2">
        <v>6.05</v>
      </c>
      <c r="AT28" s="2">
        <v>0</v>
      </c>
      <c r="AU28" s="2">
        <v>0.5</v>
      </c>
      <c r="AV28" s="2">
        <v>0</v>
      </c>
      <c r="AW28" t="s">
        <v>2528</v>
      </c>
      <c r="AX28" t="s">
        <v>105</v>
      </c>
      <c r="AY28" t="s">
        <v>2540</v>
      </c>
      <c r="AZ28" s="72" t="str">
        <f t="shared" si="5"/>
        <v>NCC S35C2lNREL 956/Eley AnalysisAUTHOR-ASSUMED area-weighted composite (not a direct NCC table value) - Police Station is not a single NCC building class, decomposed as: Office / Admin / Records (Class 5) 55%; Public Reception / Waiting (Class 9b, other applications) 25%; Detention / Holding (no distinct NCC class) 20%. Equipment W/m2 per component per S35C2l, blended by area fraction. Adjust fractions to match actual floor plan; radiant/latent/lost fraction split retained from original WA/COMNET-REV9 source (AIRAH Technical Handbook does not publish this split)BA Police StationElectricalEquipDef</v>
      </c>
      <c r="BA28" t="s">
        <v>341</v>
      </c>
      <c r="BB28" s="50">
        <v>0.49470900000000001</v>
      </c>
      <c r="BC28" s="2">
        <v>5.33</v>
      </c>
      <c r="BD28" s="2">
        <v>0.37</v>
      </c>
      <c r="BE28" s="2">
        <v>0.2</v>
      </c>
      <c r="BF28" t="s">
        <v>2569</v>
      </c>
      <c r="BG28" s="4"/>
      <c r="BH28" t="s">
        <v>2589</v>
      </c>
      <c r="BI28" s="72" t="str">
        <f t="shared" si="6"/>
        <v>NCC J7D3aAUTHOR-ASSUMED area-weighted composite (not a direct NCC table value) - Office / Admin / Records (Class 5) 55% -&gt; Office - artificially lit to &gt;= 200 lux (4.5 W/m2); Public Reception / Waiting (Class 9b, other applications) 25% -&gt; Entry lobby from outside the building (9.0 W/m2); Detention / Holding (no distinct NCC class) 20% -&gt; Toilet, locker room, staff room, rest room and the like (utilitarian proxy - no dedicated holding-cell row) (3.0 W/m2). Adjust fractions to match actual floor plan; radiant/latent/lost fraction split retained from original WA/COMNET-REV9 source (AIRAH Technical Handbook does not publish this split)LightingDef</v>
      </c>
      <c r="BJ28" t="s">
        <v>370</v>
      </c>
      <c r="BK28" s="3">
        <v>0.220816136</v>
      </c>
      <c r="BL28" s="3">
        <v>0.75342465800000002</v>
      </c>
      <c r="BM28" s="2">
        <v>8.1098630140000001</v>
      </c>
      <c r="BN28" s="3">
        <v>0</v>
      </c>
      <c r="BO28" s="3">
        <v>0.75</v>
      </c>
      <c r="BP28" s="3">
        <v>0.25</v>
      </c>
      <c r="BQ28" t="s">
        <v>104</v>
      </c>
      <c r="BR28" t="s">
        <v>133</v>
      </c>
      <c r="BS28" t="s">
        <v>327</v>
      </c>
      <c r="BT28" s="72" t="str">
        <f t="shared" si="7"/>
        <v>COMNET-REV9California Commercial End-Use Survey (CEUS)93%ThermEffRadiantBA Police StationGasEquipDef</v>
      </c>
      <c r="BU28" s="8" t="s">
        <v>341</v>
      </c>
      <c r="BW28">
        <v>0.7</v>
      </c>
      <c r="BY28" t="s">
        <v>2660</v>
      </c>
      <c r="BZ28" t="s">
        <v>2661</v>
      </c>
      <c r="CB28" s="50" t="str">
        <f t="shared" si="8"/>
        <v>Police station_WholeBuilding</v>
      </c>
      <c r="CC28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Police StationInfil</v>
      </c>
      <c r="CD28" t="s">
        <v>266</v>
      </c>
      <c r="CE28" t="s">
        <v>118</v>
      </c>
      <c r="CF28" t="s">
        <v>240</v>
      </c>
      <c r="CG28" s="4"/>
      <c r="CH28" s="4">
        <v>2</v>
      </c>
      <c r="CI28" s="4"/>
      <c r="CJ28" s="4" t="s">
        <v>2181</v>
      </c>
      <c r="CK28" s="4">
        <v>0.15</v>
      </c>
      <c r="CL28" s="4">
        <v>0.12</v>
      </c>
      <c r="CM28" s="4">
        <v>540</v>
      </c>
      <c r="CN28" s="4">
        <v>1210</v>
      </c>
      <c r="CO28" s="4">
        <v>0.9</v>
      </c>
      <c r="CP28" s="4">
        <v>0.7</v>
      </c>
      <c r="CQ28" s="4">
        <v>0.7</v>
      </c>
      <c r="CR28" s="4" t="s">
        <v>2203</v>
      </c>
      <c r="CS28" s="4" t="s">
        <v>2204</v>
      </c>
      <c r="CT28" s="4" t="s">
        <v>2165</v>
      </c>
      <c r="CU28" s="4" t="s">
        <v>2165</v>
      </c>
      <c r="CV28" t="str">
        <f t="shared" si="15"/>
        <v>Std Wood 6inch</v>
      </c>
      <c r="CW28" s="72" t="str">
        <f t="shared" si="16"/>
        <v>OpenStudio-Prototype-BuildingsStd Wood 6inchInternalMassDef</v>
      </c>
    </row>
    <row r="29" spans="1:101" x14ac:dyDescent="0.35">
      <c r="A29" t="s">
        <v>25</v>
      </c>
      <c r="B29" s="50" t="str">
        <f t="shared" si="12"/>
        <v>2025_AU_NCC</v>
      </c>
      <c r="C29" s="50" t="str">
        <f t="shared" si="13"/>
        <v>Post Office</v>
      </c>
      <c r="D29" s="50" t="s">
        <v>2446</v>
      </c>
      <c r="E29" t="s">
        <v>240</v>
      </c>
      <c r="F29" s="62">
        <v>2025</v>
      </c>
      <c r="G29" s="62" t="s">
        <v>2522</v>
      </c>
      <c r="H29" t="s">
        <v>2523</v>
      </c>
      <c r="I29">
        <v>255</v>
      </c>
      <c r="J29">
        <v>255</v>
      </c>
      <c r="K29">
        <v>255</v>
      </c>
      <c r="L29" s="50" t="str">
        <f t="shared" si="0"/>
        <v>BA Post Office_2025AUNCC</v>
      </c>
      <c r="M29" s="50" t="str">
        <f t="shared" si="14"/>
        <v>BA Post Office_2025AUNCCScheduleSet</v>
      </c>
      <c r="N29" s="62">
        <v>33</v>
      </c>
      <c r="O29" s="6">
        <v>30.3030303</v>
      </c>
      <c r="P29" s="38">
        <v>0.32617924399999998</v>
      </c>
      <c r="Q29">
        <v>255.91</v>
      </c>
      <c r="R29" s="6">
        <v>75</v>
      </c>
      <c r="S29">
        <v>187.67</v>
      </c>
      <c r="T29" s="6">
        <v>55</v>
      </c>
      <c r="U29" s="6"/>
      <c r="V29" s="6"/>
      <c r="W29" s="6">
        <v>130</v>
      </c>
      <c r="X29" s="2">
        <v>0.57692307700000001</v>
      </c>
      <c r="Y29" t="s">
        <v>2524</v>
      </c>
      <c r="Z29" t="s">
        <v>2525</v>
      </c>
      <c r="AA29" s="4"/>
      <c r="AB29" s="4"/>
      <c r="AC29" s="50" t="str">
        <f t="shared" si="18"/>
        <v>NCC S35C2nOther applications (non-dining)BA Post OfficePeopleDef</v>
      </c>
      <c r="AD29" t="s">
        <v>354</v>
      </c>
      <c r="AE29" s="50" t="str">
        <f t="shared" si="19"/>
        <v>BA Post OfficeActivity</v>
      </c>
      <c r="AF29" s="63" t="s">
        <v>2165</v>
      </c>
      <c r="AG29" s="63" t="s">
        <v>2165</v>
      </c>
      <c r="AH29" s="62">
        <v>0.21</v>
      </c>
      <c r="AI29" s="62">
        <f t="shared" si="17"/>
        <v>1.0668000000000001E-3</v>
      </c>
      <c r="AJ29" s="63" t="s">
        <v>2165</v>
      </c>
      <c r="AK29" s="4" t="s">
        <v>2165</v>
      </c>
      <c r="AL29" s="4" t="s">
        <v>2165</v>
      </c>
      <c r="AM29" t="s">
        <v>104</v>
      </c>
      <c r="AN29" t="s">
        <v>240</v>
      </c>
      <c r="AO29" s="4" t="s">
        <v>2165</v>
      </c>
      <c r="AP29" s="4" t="s">
        <v>2165</v>
      </c>
      <c r="AQ29" s="72" t="str">
        <f t="shared" si="20"/>
        <v>COMNET-REV9WholeBuildingBA Post OfficeVent</v>
      </c>
      <c r="AR29" s="2">
        <v>0.90907201599999998</v>
      </c>
      <c r="AS29" s="2">
        <v>9.7852511750000009</v>
      </c>
      <c r="AT29" s="2">
        <v>0</v>
      </c>
      <c r="AU29" s="2">
        <v>0.5</v>
      </c>
      <c r="AV29" s="2">
        <v>0</v>
      </c>
      <c r="AW29" t="s">
        <v>104</v>
      </c>
      <c r="AX29" t="s">
        <v>105</v>
      </c>
      <c r="AY29" t="s">
        <v>334</v>
      </c>
      <c r="AZ29" s="72" t="str">
        <f t="shared" si="5"/>
        <v>COMNET-REV9NREL 956/Eley AnalysisDOEPrototypeBA Post OfficeElectricalEquipDef</v>
      </c>
      <c r="BA29" t="s">
        <v>337</v>
      </c>
      <c r="BB29" s="50">
        <v>0.64</v>
      </c>
      <c r="BC29" s="2">
        <v>6.8888999999999996</v>
      </c>
      <c r="BD29" s="2">
        <v>0.37</v>
      </c>
      <c r="BE29" s="2">
        <v>0.2</v>
      </c>
      <c r="BF29" t="s">
        <v>2567</v>
      </c>
      <c r="BG29" s="4"/>
      <c r="BH29" t="s">
        <v>2590</v>
      </c>
      <c r="BI29" s="72" t="str">
        <f t="shared" si="6"/>
        <v>IECC Table C405.3.2(1)Post office; radiant/visible fraction split retained from original WA/COMNET-REV9 sourceLightingDef</v>
      </c>
      <c r="BJ29" t="s">
        <v>366</v>
      </c>
      <c r="BK29" s="3">
        <v>0.220816136</v>
      </c>
      <c r="BL29" s="3">
        <v>0.75342465800000002</v>
      </c>
      <c r="BM29" s="2">
        <v>8.1098630140000001</v>
      </c>
      <c r="BN29" s="3">
        <v>0</v>
      </c>
      <c r="BO29" s="3">
        <v>0.75</v>
      </c>
      <c r="BP29" s="3">
        <v>0.25</v>
      </c>
      <c r="BQ29" t="s">
        <v>104</v>
      </c>
      <c r="BR29" t="s">
        <v>133</v>
      </c>
      <c r="BS29" t="s">
        <v>327</v>
      </c>
      <c r="BT29" s="72" t="str">
        <f t="shared" si="7"/>
        <v>COMNET-REV9California Commercial End-Use Survey (CEUS)93%ThermEffRadiantBA Post OfficeGasEquipDef</v>
      </c>
      <c r="BU29" s="8" t="s">
        <v>337</v>
      </c>
      <c r="BW29">
        <v>0.7</v>
      </c>
      <c r="BY29" t="s">
        <v>2660</v>
      </c>
      <c r="BZ29" t="s">
        <v>2661</v>
      </c>
      <c r="CB29" s="50" t="str">
        <f t="shared" si="8"/>
        <v>Post office_WholeBuilding</v>
      </c>
      <c r="CC29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Post OfficeInfil</v>
      </c>
      <c r="CD29" t="s">
        <v>266</v>
      </c>
      <c r="CE29" t="s">
        <v>119</v>
      </c>
      <c r="CF29" t="s">
        <v>240</v>
      </c>
      <c r="CG29" s="4"/>
      <c r="CH29" s="4">
        <v>2</v>
      </c>
      <c r="CI29" s="4"/>
      <c r="CJ29" s="4" t="s">
        <v>2181</v>
      </c>
      <c r="CK29" s="4">
        <v>0.15</v>
      </c>
      <c r="CL29" s="4">
        <v>0.12</v>
      </c>
      <c r="CM29" s="4">
        <v>540</v>
      </c>
      <c r="CN29" s="4">
        <v>1210</v>
      </c>
      <c r="CO29" s="4">
        <v>0.9</v>
      </c>
      <c r="CP29" s="4">
        <v>0.7</v>
      </c>
      <c r="CQ29" s="4">
        <v>0.7</v>
      </c>
      <c r="CR29" s="4" t="s">
        <v>2203</v>
      </c>
      <c r="CS29" s="4" t="s">
        <v>2204</v>
      </c>
      <c r="CT29" s="4" t="s">
        <v>2165</v>
      </c>
      <c r="CU29" s="4" t="s">
        <v>2165</v>
      </c>
      <c r="CV29" t="str">
        <f t="shared" si="15"/>
        <v>Std Wood 6inch</v>
      </c>
      <c r="CW29" s="72" t="str">
        <f t="shared" si="16"/>
        <v>OpenStudio-Prototype-BuildingsStd Wood 6inchInternalMassDef</v>
      </c>
    </row>
    <row r="30" spans="1:101" x14ac:dyDescent="0.35">
      <c r="A30" t="s">
        <v>26</v>
      </c>
      <c r="B30" s="50" t="str">
        <f t="shared" si="12"/>
        <v>2025_AU_NCC</v>
      </c>
      <c r="C30" s="50" t="str">
        <f t="shared" si="13"/>
        <v>Religious Building</v>
      </c>
      <c r="D30" s="50" t="s">
        <v>2446</v>
      </c>
      <c r="E30" t="s">
        <v>240</v>
      </c>
      <c r="F30" s="62">
        <v>2025</v>
      </c>
      <c r="G30" s="62" t="s">
        <v>2522</v>
      </c>
      <c r="H30" t="s">
        <v>2523</v>
      </c>
      <c r="I30">
        <v>255</v>
      </c>
      <c r="J30">
        <v>255</v>
      </c>
      <c r="K30">
        <v>255</v>
      </c>
      <c r="L30" s="50" t="str">
        <f t="shared" si="0"/>
        <v>BA Religious Building_2025AUNCC</v>
      </c>
      <c r="M30" s="50" t="str">
        <f t="shared" si="14"/>
        <v>BA Religious Building_2025AUNCCScheduleSet</v>
      </c>
      <c r="N30" s="62">
        <v>8</v>
      </c>
      <c r="O30" s="6">
        <v>125</v>
      </c>
      <c r="P30" s="38">
        <v>1.3454893809999999</v>
      </c>
      <c r="Q30">
        <v>255.91</v>
      </c>
      <c r="R30" s="6">
        <v>75</v>
      </c>
      <c r="S30">
        <v>187.67</v>
      </c>
      <c r="T30" s="6">
        <v>55</v>
      </c>
      <c r="U30" s="6"/>
      <c r="V30" s="6"/>
      <c r="W30" s="6">
        <v>130</v>
      </c>
      <c r="X30" s="2">
        <v>0.57692307700000001</v>
      </c>
      <c r="Y30" t="s">
        <v>2524</v>
      </c>
      <c r="Z30" t="s">
        <v>2525</v>
      </c>
      <c r="AA30" s="4"/>
      <c r="AB30" s="4"/>
      <c r="AC30" s="50" t="str">
        <f t="shared" si="18"/>
        <v>NCC S35C2nOther applications (non-dining)BA Religious BuildingPeopleDef</v>
      </c>
      <c r="AD30" t="s">
        <v>359</v>
      </c>
      <c r="AE30" s="50" t="str">
        <f t="shared" si="19"/>
        <v>BA Religious BuildingActivity</v>
      </c>
      <c r="AF30" s="63" t="s">
        <v>2165</v>
      </c>
      <c r="AG30" s="63" t="s">
        <v>2165</v>
      </c>
      <c r="AH30" s="62">
        <v>0.66</v>
      </c>
      <c r="AI30" s="62">
        <f t="shared" si="17"/>
        <v>3.3528000000000004E-3</v>
      </c>
      <c r="AJ30" s="63" t="s">
        <v>2165</v>
      </c>
      <c r="AK30" s="4" t="s">
        <v>2165</v>
      </c>
      <c r="AL30" s="4" t="s">
        <v>2165</v>
      </c>
      <c r="AM30" t="s">
        <v>104</v>
      </c>
      <c r="AN30" t="s">
        <v>240</v>
      </c>
      <c r="AO30" s="4" t="s">
        <v>2165</v>
      </c>
      <c r="AP30" s="4" t="s">
        <v>2165</v>
      </c>
      <c r="AQ30" s="72" t="str">
        <f t="shared" si="20"/>
        <v>COMNET-REV9WholeBuildingBA Religious BuildingVent</v>
      </c>
      <c r="AR30" s="2">
        <v>0</v>
      </c>
      <c r="AS30" s="2">
        <v>0</v>
      </c>
      <c r="AT30" s="2">
        <v>0</v>
      </c>
      <c r="AU30" s="2">
        <v>0.5</v>
      </c>
      <c r="AV30" s="2">
        <v>0</v>
      </c>
      <c r="AW30" t="s">
        <v>2528</v>
      </c>
      <c r="AX30" t="s">
        <v>105</v>
      </c>
      <c r="AY30" t="s">
        <v>2533</v>
      </c>
      <c r="AZ30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Religious BuildingElectricalEquipDef</v>
      </c>
      <c r="BA30" t="s">
        <v>342</v>
      </c>
      <c r="BB30" s="50">
        <v>0.743224</v>
      </c>
      <c r="BC30" s="2">
        <v>8</v>
      </c>
      <c r="BD30" s="2">
        <v>0.37</v>
      </c>
      <c r="BE30" s="2">
        <v>0.2</v>
      </c>
      <c r="BF30" t="s">
        <v>2569</v>
      </c>
      <c r="BG30" s="4"/>
      <c r="BH30" t="s">
        <v>2591</v>
      </c>
      <c r="BI30" s="72" t="str">
        <f t="shared" si="6"/>
        <v>NCC J7D3aAuditorium, church and public hall; radiant/visible fraction split retained from original WA/COMNET-REV9 source (AIRAH Technical Handbook does not publish this split)LightingDef</v>
      </c>
      <c r="BJ30" t="s">
        <v>371</v>
      </c>
      <c r="BK30" s="3">
        <v>6.6913980000000003E-3</v>
      </c>
      <c r="BL30" s="3">
        <v>2.2831049999999999E-2</v>
      </c>
      <c r="BM30" s="2">
        <v>0.245753425</v>
      </c>
      <c r="BN30" s="3">
        <v>0.03</v>
      </c>
      <c r="BO30" s="3">
        <v>0.4</v>
      </c>
      <c r="BP30" s="3">
        <v>0.4</v>
      </c>
      <c r="BQ30" t="s">
        <v>104</v>
      </c>
      <c r="BR30" t="s">
        <v>133</v>
      </c>
      <c r="BS30" t="s">
        <v>333</v>
      </c>
      <c r="BT30" s="72" t="str">
        <f t="shared" si="7"/>
        <v>COMNET-REV9California Commercial End-Use Survey (CEUS)60%ThermEffProcessBA Religious BuildingGasEquipDef</v>
      </c>
      <c r="BU30" s="8" t="s">
        <v>342</v>
      </c>
      <c r="BW30">
        <v>0.7</v>
      </c>
      <c r="BY30" t="s">
        <v>2660</v>
      </c>
      <c r="BZ30" t="s">
        <v>2661</v>
      </c>
      <c r="CB30" s="50" t="str">
        <f t="shared" si="8"/>
        <v>Religious_WholeBuilding</v>
      </c>
      <c r="CC30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Religious BuildingInfil</v>
      </c>
      <c r="CD30" t="s">
        <v>266</v>
      </c>
      <c r="CE30" t="s">
        <v>262</v>
      </c>
      <c r="CF30" t="s">
        <v>240</v>
      </c>
      <c r="CG30" s="4"/>
      <c r="CH30" s="4">
        <v>2</v>
      </c>
      <c r="CI30" s="4"/>
      <c r="CJ30" s="4" t="s">
        <v>2181</v>
      </c>
      <c r="CK30" s="4">
        <v>0.15</v>
      </c>
      <c r="CL30" s="4">
        <v>0.12</v>
      </c>
      <c r="CM30" s="4">
        <v>540</v>
      </c>
      <c r="CN30" s="4">
        <v>1210</v>
      </c>
      <c r="CO30" s="4">
        <v>0.9</v>
      </c>
      <c r="CP30" s="4">
        <v>0.7</v>
      </c>
      <c r="CQ30" s="4">
        <v>0.7</v>
      </c>
      <c r="CR30" s="4" t="s">
        <v>2203</v>
      </c>
      <c r="CS30" s="4" t="s">
        <v>2204</v>
      </c>
      <c r="CT30" s="4" t="s">
        <v>2165</v>
      </c>
      <c r="CU30" s="4" t="s">
        <v>2165</v>
      </c>
      <c r="CV30" t="str">
        <f t="shared" si="15"/>
        <v>Std Wood 6inch</v>
      </c>
      <c r="CW30" s="72" t="str">
        <f t="shared" si="16"/>
        <v>OpenStudio-Prototype-BuildingsStd Wood 6inchInternalMassDef</v>
      </c>
    </row>
    <row r="31" spans="1:101" x14ac:dyDescent="0.35">
      <c r="A31" t="s">
        <v>27</v>
      </c>
      <c r="B31" s="50" t="str">
        <f t="shared" si="12"/>
        <v>2025_AU_NCC</v>
      </c>
      <c r="C31" s="50" t="str">
        <f t="shared" si="13"/>
        <v>Retail</v>
      </c>
      <c r="D31" s="50" t="s">
        <v>2446</v>
      </c>
      <c r="E31" t="s">
        <v>240</v>
      </c>
      <c r="F31" s="62">
        <v>2025</v>
      </c>
      <c r="G31" s="62" t="s">
        <v>2522</v>
      </c>
      <c r="H31" t="s">
        <v>2523</v>
      </c>
      <c r="I31">
        <v>255</v>
      </c>
      <c r="J31">
        <v>255</v>
      </c>
      <c r="K31">
        <v>255</v>
      </c>
      <c r="L31" s="50" t="str">
        <f t="shared" si="0"/>
        <v>BA Retail_2025AUNCC</v>
      </c>
      <c r="M31" s="50" t="str">
        <f t="shared" si="14"/>
        <v>BA Retail_2025AUNCCScheduleSet</v>
      </c>
      <c r="N31" s="62">
        <v>67</v>
      </c>
      <c r="O31" s="6">
        <v>14.925373130000001</v>
      </c>
      <c r="P31" s="38">
        <v>0.16065544900000001</v>
      </c>
      <c r="Q31">
        <v>255.91</v>
      </c>
      <c r="R31" s="6">
        <v>75</v>
      </c>
      <c r="S31">
        <v>187.67</v>
      </c>
      <c r="T31" s="6">
        <v>55</v>
      </c>
      <c r="U31" s="6"/>
      <c r="V31" s="6"/>
      <c r="W31" s="6">
        <v>130</v>
      </c>
      <c r="X31" s="2">
        <v>0.57692307700000001</v>
      </c>
      <c r="Y31" t="s">
        <v>2524</v>
      </c>
      <c r="Z31" t="s">
        <v>2525</v>
      </c>
      <c r="AA31" s="4"/>
      <c r="AB31" s="4"/>
      <c r="AC31" s="50" t="str">
        <f t="shared" si="18"/>
        <v>NCC S35C2nOther applications (non-dining)BA RetailPeopleDef</v>
      </c>
      <c r="AD31" t="s">
        <v>353</v>
      </c>
      <c r="AE31" s="50" t="str">
        <f t="shared" si="19"/>
        <v>BA RetailActivity</v>
      </c>
      <c r="AF31" s="63" t="s">
        <v>2165</v>
      </c>
      <c r="AG31" s="63" t="s">
        <v>2165</v>
      </c>
      <c r="AH31" s="62">
        <v>0.23</v>
      </c>
      <c r="AI31" s="62">
        <f t="shared" si="17"/>
        <v>1.1684000000000002E-3</v>
      </c>
      <c r="AJ31" s="63" t="s">
        <v>2165</v>
      </c>
      <c r="AK31" s="4" t="s">
        <v>2165</v>
      </c>
      <c r="AL31" s="4" t="s">
        <v>2165</v>
      </c>
      <c r="AM31" t="s">
        <v>104</v>
      </c>
      <c r="AN31" t="s">
        <v>240</v>
      </c>
      <c r="AO31" s="4" t="s">
        <v>2165</v>
      </c>
      <c r="AP31" s="4" t="s">
        <v>2165</v>
      </c>
      <c r="AQ31" s="72" t="str">
        <f t="shared" si="20"/>
        <v>COMNET-REV9WholeBuildingBA RetailVent</v>
      </c>
      <c r="AR31" s="2">
        <v>0.46451500000000001</v>
      </c>
      <c r="AS31" s="2">
        <v>5</v>
      </c>
      <c r="AT31" s="2">
        <v>0</v>
      </c>
      <c r="AU31" s="2">
        <v>0.5</v>
      </c>
      <c r="AV31" s="2">
        <v>0</v>
      </c>
      <c r="AW31" t="s">
        <v>2528</v>
      </c>
      <c r="AX31" t="s">
        <v>105</v>
      </c>
      <c r="AY31" t="s">
        <v>2541</v>
      </c>
      <c r="AZ31" s="72" t="str">
        <f t="shared" si="5"/>
        <v>NCC S35C2lNREL 956/Eley AnalysisClass 6 shop/shopping centre; radiant/latent/lost fraction split retained from original WA/COMNET-REV9 source (AIRAH Technical Handbook does not publish this split)BA RetailElectricalEquipDef</v>
      </c>
      <c r="BA31" t="s">
        <v>336</v>
      </c>
      <c r="BB31" s="50">
        <v>1.300643</v>
      </c>
      <c r="BC31" s="2">
        <v>14</v>
      </c>
      <c r="BD31" s="2">
        <v>0.37</v>
      </c>
      <c r="BE31" s="2">
        <v>0.2</v>
      </c>
      <c r="BF31" t="s">
        <v>2569</v>
      </c>
      <c r="BG31" s="4"/>
      <c r="BH31" t="s">
        <v>2592</v>
      </c>
      <c r="BI31" s="72" t="str">
        <f t="shared" si="6"/>
        <v>NCC J7D3aRetail space including a museum and gallery whose purpose is the sale of objects; radiant/visible fraction split retained from original WA/COMNET-REV9 source (AIRAH Technical Handbook does not publish this split)LightingDef</v>
      </c>
      <c r="BJ31" t="s">
        <v>365</v>
      </c>
      <c r="BK31" s="3">
        <v>2.6765592000000001E-2</v>
      </c>
      <c r="BL31" s="3">
        <v>9.1324200999999994E-2</v>
      </c>
      <c r="BM31" s="2">
        <v>0.98301369900000002</v>
      </c>
      <c r="BN31" s="3">
        <v>0.01</v>
      </c>
      <c r="BO31" s="3">
        <v>0.4</v>
      </c>
      <c r="BP31" s="3">
        <v>0.4</v>
      </c>
      <c r="BQ31" t="s">
        <v>104</v>
      </c>
      <c r="BR31" t="s">
        <v>133</v>
      </c>
      <c r="BS31" t="s">
        <v>333</v>
      </c>
      <c r="BT31" s="72" t="str">
        <f t="shared" si="7"/>
        <v>COMNET-REV9California Commercial End-Use Survey (CEUS)60%ThermEffProcessBA RetailGasEquipDef</v>
      </c>
      <c r="BU31" t="s">
        <v>343</v>
      </c>
      <c r="BW31">
        <v>0.7</v>
      </c>
      <c r="BY31" t="s">
        <v>2660</v>
      </c>
      <c r="BZ31" t="s">
        <v>2661</v>
      </c>
      <c r="CB31" s="50" t="str">
        <f t="shared" si="8"/>
        <v>Retail_WholeBuilding</v>
      </c>
      <c r="CC31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RetailInfil</v>
      </c>
      <c r="CD31" t="s">
        <v>266</v>
      </c>
      <c r="CE31" t="s">
        <v>120</v>
      </c>
      <c r="CF31" t="s">
        <v>240</v>
      </c>
      <c r="CG31" s="4"/>
      <c r="CH31" s="4">
        <v>2</v>
      </c>
      <c r="CI31" s="4"/>
      <c r="CJ31" s="4" t="s">
        <v>2181</v>
      </c>
      <c r="CK31" s="4">
        <v>0.15</v>
      </c>
      <c r="CL31" s="4">
        <v>0.12</v>
      </c>
      <c r="CM31" s="4">
        <v>540</v>
      </c>
      <c r="CN31" s="4">
        <v>1210</v>
      </c>
      <c r="CO31" s="4">
        <v>0.9</v>
      </c>
      <c r="CP31" s="4">
        <v>0.7</v>
      </c>
      <c r="CQ31" s="4">
        <v>0.7</v>
      </c>
      <c r="CR31" s="4" t="s">
        <v>2203</v>
      </c>
      <c r="CS31" s="4" t="s">
        <v>2204</v>
      </c>
      <c r="CT31" s="4" t="s">
        <v>2165</v>
      </c>
      <c r="CU31" s="4" t="s">
        <v>2165</v>
      </c>
      <c r="CV31" t="str">
        <f t="shared" si="15"/>
        <v>Std Wood 6inch</v>
      </c>
      <c r="CW31" s="72" t="str">
        <f t="shared" si="16"/>
        <v>OpenStudio-Prototype-BuildingsStd Wood 6inchInternalMassDef</v>
      </c>
    </row>
    <row r="32" spans="1:101" x14ac:dyDescent="0.35">
      <c r="A32" t="s">
        <v>28</v>
      </c>
      <c r="B32" s="50" t="str">
        <f t="shared" si="12"/>
        <v>2025_AU_NCC</v>
      </c>
      <c r="C32" s="50" t="str">
        <f t="shared" si="13"/>
        <v>School/University</v>
      </c>
      <c r="D32" s="50" t="s">
        <v>2446</v>
      </c>
      <c r="E32" t="s">
        <v>240</v>
      </c>
      <c r="F32" s="62">
        <v>2025</v>
      </c>
      <c r="G32" s="62" t="s">
        <v>2522</v>
      </c>
      <c r="H32" t="s">
        <v>2523</v>
      </c>
      <c r="I32">
        <v>255</v>
      </c>
      <c r="J32">
        <v>255</v>
      </c>
      <c r="K32">
        <v>255</v>
      </c>
      <c r="L32" s="50" t="str">
        <f t="shared" si="0"/>
        <v>BA School/University_2025AUNCC</v>
      </c>
      <c r="M32" s="50" t="str">
        <f t="shared" si="14"/>
        <v>BA School/University_2025AUNCCScheduleSet</v>
      </c>
      <c r="N32" s="62">
        <v>40</v>
      </c>
      <c r="O32" s="6">
        <v>25</v>
      </c>
      <c r="P32" s="38">
        <v>0.26909787600000001</v>
      </c>
      <c r="Q32">
        <v>255.91</v>
      </c>
      <c r="R32" s="6">
        <v>75</v>
      </c>
      <c r="S32">
        <v>187.67</v>
      </c>
      <c r="T32" s="6">
        <v>55</v>
      </c>
      <c r="U32" s="6"/>
      <c r="V32" s="6"/>
      <c r="W32" s="6">
        <v>130</v>
      </c>
      <c r="X32" s="2">
        <v>0.57692307700000001</v>
      </c>
      <c r="Y32" t="s">
        <v>2524</v>
      </c>
      <c r="Z32" t="s">
        <v>2525</v>
      </c>
      <c r="AA32" s="4"/>
      <c r="AB32" s="4"/>
      <c r="AC32" s="50" t="str">
        <f t="shared" si="18"/>
        <v>NCC S35C2nOther applications (non-dining)BA School/UniversityPeopleDef</v>
      </c>
      <c r="AD32" t="s">
        <v>360</v>
      </c>
      <c r="AE32" s="50" t="str">
        <f t="shared" si="19"/>
        <v>BA School/UniversityActivity</v>
      </c>
      <c r="AF32" s="63" t="s">
        <v>2165</v>
      </c>
      <c r="AG32" s="63" t="s">
        <v>2165</v>
      </c>
      <c r="AH32" s="62">
        <v>0.47</v>
      </c>
      <c r="AI32" s="62">
        <f t="shared" si="17"/>
        <v>2.3876000000000001E-3</v>
      </c>
      <c r="AJ32" s="63" t="s">
        <v>2165</v>
      </c>
      <c r="AK32" s="4" t="s">
        <v>2165</v>
      </c>
      <c r="AL32" s="4" t="s">
        <v>2165</v>
      </c>
      <c r="AM32" t="s">
        <v>104</v>
      </c>
      <c r="AN32" t="s">
        <v>240</v>
      </c>
      <c r="AO32" s="4" t="s">
        <v>2165</v>
      </c>
      <c r="AP32" s="4" t="s">
        <v>2165</v>
      </c>
      <c r="AQ32" s="72" t="str">
        <f t="shared" si="20"/>
        <v>COMNET-REV9WholeBuildingBA School/UniversityVent</v>
      </c>
      <c r="AR32" s="2">
        <v>0.46451500000000001</v>
      </c>
      <c r="AS32" s="2">
        <v>5</v>
      </c>
      <c r="AT32" s="2">
        <v>0</v>
      </c>
      <c r="AU32" s="2">
        <v>0.5</v>
      </c>
      <c r="AV32" s="2">
        <v>0</v>
      </c>
      <c r="AW32" t="s">
        <v>2528</v>
      </c>
      <c r="AX32" t="s">
        <v>105</v>
      </c>
      <c r="AY32" t="s">
        <v>2542</v>
      </c>
      <c r="AZ32" s="72" t="str">
        <f t="shared" si="5"/>
        <v>NCC S35C2lNREL 956/Eley AnalysisClass 9b school; radiant/latent/lost fraction split retained from original WA/COMNET-REV9 source (AIRAH Technical Handbook does not publish this split)BA School/UniversityElectricalEquipDef</v>
      </c>
      <c r="BA32" t="s">
        <v>351</v>
      </c>
      <c r="BB32" s="50">
        <v>0.41806399999999999</v>
      </c>
      <c r="BC32" s="2">
        <v>4.5</v>
      </c>
      <c r="BD32" s="2">
        <v>0.37</v>
      </c>
      <c r="BE32" s="2">
        <v>0.2</v>
      </c>
      <c r="BF32" t="s">
        <v>2569</v>
      </c>
      <c r="BG32" s="4"/>
      <c r="BH32" t="s">
        <v>2593</v>
      </c>
      <c r="BI32" s="72" t="str">
        <f t="shared" si="6"/>
        <v>NCC J7D3aSchool - general purpose learning areas and tutorial rooms; radiant/visible fraction split retained from original WA/COMNET-REV9 source (AIRAH Technical Handbook does not publish this split)LightingDef</v>
      </c>
      <c r="BJ32" t="s">
        <v>372</v>
      </c>
      <c r="BK32" s="3">
        <v>4.0148388E-2</v>
      </c>
      <c r="BL32" s="3">
        <v>0.136986301</v>
      </c>
      <c r="BM32" s="2">
        <v>1.4745205480000001</v>
      </c>
      <c r="BN32" s="3">
        <v>0.01</v>
      </c>
      <c r="BO32" s="3">
        <v>0.4</v>
      </c>
      <c r="BP32" s="3">
        <v>0.4</v>
      </c>
      <c r="BQ32" t="s">
        <v>104</v>
      </c>
      <c r="BR32" t="s">
        <v>133</v>
      </c>
      <c r="BS32" t="s">
        <v>333</v>
      </c>
      <c r="BT32" s="72" t="str">
        <f t="shared" si="7"/>
        <v>COMNET-REV9California Commercial End-Use Survey (CEUS)60%ThermEffProcessBA School/UniversityGasEquipDef</v>
      </c>
      <c r="BU32" s="7" t="s">
        <v>346</v>
      </c>
      <c r="BW32">
        <v>0.7</v>
      </c>
      <c r="BY32" t="s">
        <v>2660</v>
      </c>
      <c r="BZ32" t="s">
        <v>2661</v>
      </c>
      <c r="CB32" s="50" t="str">
        <f t="shared" si="8"/>
        <v>School/university_WholeBuilding</v>
      </c>
      <c r="CC32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School/UniversityInfil</v>
      </c>
      <c r="CD32" t="s">
        <v>266</v>
      </c>
      <c r="CE32" t="s">
        <v>121</v>
      </c>
      <c r="CF32" t="s">
        <v>240</v>
      </c>
      <c r="CG32" s="4"/>
      <c r="CH32" s="4">
        <v>2</v>
      </c>
      <c r="CI32" s="4"/>
      <c r="CJ32" s="4" t="s">
        <v>2181</v>
      </c>
      <c r="CK32" s="4">
        <v>0.15</v>
      </c>
      <c r="CL32" s="4">
        <v>0.12</v>
      </c>
      <c r="CM32" s="4">
        <v>540</v>
      </c>
      <c r="CN32" s="4">
        <v>1210</v>
      </c>
      <c r="CO32" s="4">
        <v>0.9</v>
      </c>
      <c r="CP32" s="4">
        <v>0.7</v>
      </c>
      <c r="CQ32" s="4">
        <v>0.7</v>
      </c>
      <c r="CR32" s="4" t="s">
        <v>2203</v>
      </c>
      <c r="CS32" s="4" t="s">
        <v>2204</v>
      </c>
      <c r="CT32" s="4" t="s">
        <v>2165</v>
      </c>
      <c r="CU32" s="4" t="s">
        <v>2165</v>
      </c>
      <c r="CV32" t="str">
        <f t="shared" si="15"/>
        <v>Std Wood 6inch</v>
      </c>
      <c r="CW32" s="72" t="str">
        <f t="shared" si="16"/>
        <v>OpenStudio-Prototype-BuildingsStd Wood 6inchInternalMassDef</v>
      </c>
    </row>
    <row r="33" spans="1:101" x14ac:dyDescent="0.35">
      <c r="A33" t="s">
        <v>29</v>
      </c>
      <c r="B33" s="50" t="str">
        <f t="shared" si="12"/>
        <v>2025_AU_NCC</v>
      </c>
      <c r="C33" s="50" t="str">
        <f t="shared" si="13"/>
        <v>Sports Arena</v>
      </c>
      <c r="D33" s="50" t="s">
        <v>2446</v>
      </c>
      <c r="E33" t="s">
        <v>240</v>
      </c>
      <c r="F33" s="62">
        <v>2025</v>
      </c>
      <c r="G33" s="62" t="s">
        <v>2522</v>
      </c>
      <c r="H33" t="s">
        <v>2523</v>
      </c>
      <c r="I33">
        <v>255</v>
      </c>
      <c r="J33">
        <v>255</v>
      </c>
      <c r="K33">
        <v>255</v>
      </c>
      <c r="L33" s="50" t="str">
        <f t="shared" si="0"/>
        <v>BA Sports Arena_2025AUNCC</v>
      </c>
      <c r="M33" s="50" t="str">
        <f t="shared" si="14"/>
        <v>BA Sports Arena_2025AUNCCScheduleSet</v>
      </c>
      <c r="N33" s="63"/>
      <c r="O33" s="4"/>
      <c r="P33" s="47"/>
      <c r="Q33" s="4">
        <v>255.91</v>
      </c>
      <c r="R33" s="4">
        <v>75</v>
      </c>
      <c r="S33" s="4">
        <v>187.67</v>
      </c>
      <c r="T33" s="4">
        <v>55</v>
      </c>
      <c r="U33" s="46"/>
      <c r="V33" s="46"/>
      <c r="W33" s="46">
        <v>130</v>
      </c>
      <c r="X33" s="48">
        <v>0.57692307700000001</v>
      </c>
      <c r="Y33" s="4" t="s">
        <v>2524</v>
      </c>
      <c r="Z33" s="4" t="s">
        <v>2525</v>
      </c>
      <c r="AA33" s="4"/>
      <c r="AB33" s="4"/>
      <c r="AC33" s="51" t="s">
        <v>2165</v>
      </c>
      <c r="AD33" s="4" t="s">
        <v>2165</v>
      </c>
      <c r="AE33" s="51" t="s">
        <v>2165</v>
      </c>
      <c r="AF33" s="63" t="s">
        <v>2165</v>
      </c>
      <c r="AG33" s="63" t="s">
        <v>2165</v>
      </c>
      <c r="AH33" s="62">
        <v>0.3</v>
      </c>
      <c r="AI33" s="62">
        <f t="shared" si="17"/>
        <v>1.524E-3</v>
      </c>
      <c r="AJ33" s="63" t="s">
        <v>2165</v>
      </c>
      <c r="AK33" s="4" t="s">
        <v>2165</v>
      </c>
      <c r="AL33" s="4" t="s">
        <v>2165</v>
      </c>
      <c r="AM33" t="s">
        <v>104</v>
      </c>
      <c r="AN33" t="s">
        <v>240</v>
      </c>
      <c r="AO33" s="4" t="s">
        <v>2165</v>
      </c>
      <c r="AP33" s="4" t="s">
        <v>2165</v>
      </c>
      <c r="AQ33" s="72" t="str">
        <f t="shared" si="20"/>
        <v>COMNET-REV9WholeBuildingBA Sports ArenaVent</v>
      </c>
      <c r="AR33" s="2">
        <v>0</v>
      </c>
      <c r="AS33" s="2">
        <v>0</v>
      </c>
      <c r="AT33" s="2">
        <v>0</v>
      </c>
      <c r="AU33" s="2">
        <v>0.5</v>
      </c>
      <c r="AV33" s="2">
        <v>0</v>
      </c>
      <c r="AW33" t="s">
        <v>2528</v>
      </c>
      <c r="AX33" t="s">
        <v>105</v>
      </c>
      <c r="AY33" t="s">
        <v>2533</v>
      </c>
      <c r="AZ33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Sports ArenaElectricalEquipDef</v>
      </c>
      <c r="BA33" t="s">
        <v>338</v>
      </c>
      <c r="BB33" s="50">
        <v>0.73</v>
      </c>
      <c r="BC33" s="2">
        <v>7.8576499999999996</v>
      </c>
      <c r="BD33" s="2">
        <v>0.37</v>
      </c>
      <c r="BE33" s="2">
        <v>0.2</v>
      </c>
      <c r="BF33" t="s">
        <v>2567</v>
      </c>
      <c r="BG33" s="4"/>
      <c r="BH33" t="s">
        <v>2594</v>
      </c>
      <c r="BI33" s="72" t="str">
        <f t="shared" si="6"/>
        <v>IECC Table C405.3.2(1)Sports arena; radiant/visible fraction split retained from original WA/COMNET-REV9 sourceLightingDef</v>
      </c>
      <c r="BJ33" t="s">
        <v>367</v>
      </c>
      <c r="BK33" s="3">
        <v>6.6913980000000003E-3</v>
      </c>
      <c r="BL33" s="3">
        <v>2.2831049999999999E-2</v>
      </c>
      <c r="BM33" s="2">
        <v>0.245753425</v>
      </c>
      <c r="BN33" s="3">
        <v>0</v>
      </c>
      <c r="BO33" s="3">
        <v>0.75</v>
      </c>
      <c r="BP33" s="3">
        <v>0.25</v>
      </c>
      <c r="BQ33" t="s">
        <v>104</v>
      </c>
      <c r="BR33" t="s">
        <v>133</v>
      </c>
      <c r="BS33" t="s">
        <v>327</v>
      </c>
      <c r="BT33" s="72" t="str">
        <f t="shared" si="7"/>
        <v>COMNET-REV9California Commercial End-Use Survey (CEUS)93%ThermEffRadiantBA Sports ArenaGasEquipDef</v>
      </c>
      <c r="BU33" s="8" t="s">
        <v>338</v>
      </c>
      <c r="BW33">
        <v>0.7</v>
      </c>
      <c r="BY33" t="s">
        <v>2660</v>
      </c>
      <c r="BZ33" t="s">
        <v>2661</v>
      </c>
      <c r="CB33" s="50" t="str">
        <f t="shared" si="8"/>
        <v>Sports arena_WholeBuilding</v>
      </c>
      <c r="CC33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Sports ArenaInfil</v>
      </c>
      <c r="CD33" t="s">
        <v>266</v>
      </c>
      <c r="CE33" t="s">
        <v>122</v>
      </c>
      <c r="CF33" t="s">
        <v>240</v>
      </c>
      <c r="CG33" s="4"/>
      <c r="CH33" s="4">
        <v>2</v>
      </c>
      <c r="CI33" s="4"/>
      <c r="CJ33" s="4" t="s">
        <v>2181</v>
      </c>
      <c r="CK33" s="4">
        <v>0.15</v>
      </c>
      <c r="CL33" s="4">
        <v>0.12</v>
      </c>
      <c r="CM33" s="4">
        <v>540</v>
      </c>
      <c r="CN33" s="4">
        <v>1210</v>
      </c>
      <c r="CO33" s="4">
        <v>0.9</v>
      </c>
      <c r="CP33" s="4">
        <v>0.7</v>
      </c>
      <c r="CQ33" s="4">
        <v>0.7</v>
      </c>
      <c r="CR33" s="4" t="s">
        <v>2203</v>
      </c>
      <c r="CS33" s="4" t="s">
        <v>2204</v>
      </c>
      <c r="CT33" s="4" t="s">
        <v>2165</v>
      </c>
      <c r="CU33" s="4" t="s">
        <v>2165</v>
      </c>
      <c r="CV33" t="str">
        <f t="shared" si="15"/>
        <v>Std Wood 6inch</v>
      </c>
      <c r="CW33" s="72" t="str">
        <f t="shared" si="16"/>
        <v>OpenStudio-Prototype-BuildingsStd Wood 6inchInternalMassDef</v>
      </c>
    </row>
    <row r="34" spans="1:101" x14ac:dyDescent="0.35">
      <c r="A34" t="s">
        <v>30</v>
      </c>
      <c r="B34" s="50" t="str">
        <f t="shared" si="12"/>
        <v>2025_AU_NCC</v>
      </c>
      <c r="C34" s="50" t="str">
        <f t="shared" si="13"/>
        <v>Town Hall</v>
      </c>
      <c r="D34" s="50" t="s">
        <v>2446</v>
      </c>
      <c r="E34" t="s">
        <v>240</v>
      </c>
      <c r="F34" s="62">
        <v>2025</v>
      </c>
      <c r="G34" s="62" t="s">
        <v>2522</v>
      </c>
      <c r="H34" t="s">
        <v>2523</v>
      </c>
      <c r="I34">
        <v>255</v>
      </c>
      <c r="J34">
        <v>255</v>
      </c>
      <c r="K34">
        <v>255</v>
      </c>
      <c r="L34" s="50" t="str">
        <f t="shared" si="0"/>
        <v>BA Town Hall_2025AUNCC</v>
      </c>
      <c r="M34" s="50" t="str">
        <f t="shared" si="14"/>
        <v>BA Town Hall_2025AUNCCScheduleSet</v>
      </c>
      <c r="N34" s="62">
        <v>200</v>
      </c>
      <c r="O34" s="6">
        <v>5</v>
      </c>
      <c r="P34" s="38">
        <v>5.3819575000000001E-2</v>
      </c>
      <c r="Q34">
        <v>255.91</v>
      </c>
      <c r="R34" s="6">
        <v>75</v>
      </c>
      <c r="S34">
        <v>187.67</v>
      </c>
      <c r="T34" s="6">
        <v>55</v>
      </c>
      <c r="U34" s="6"/>
      <c r="V34" s="6"/>
      <c r="W34" s="6">
        <v>130</v>
      </c>
      <c r="X34" s="2">
        <v>0.57692307700000001</v>
      </c>
      <c r="Y34" t="s">
        <v>2524</v>
      </c>
      <c r="Z34" t="s">
        <v>2525</v>
      </c>
      <c r="AA34" s="4"/>
      <c r="AB34" s="4"/>
      <c r="AC34" s="50" t="str">
        <f>CONCATENATE(Y34,Z34,AA34,AB34,A34,"PeopleDef")</f>
        <v>NCC S35C2nOther applications (non-dining)BA Town HallPeopleDef</v>
      </c>
      <c r="AD34" t="s">
        <v>360</v>
      </c>
      <c r="AE34" s="50" t="str">
        <f>CONCATENATE(A34,"Activity")</f>
        <v>BA Town HallActivity</v>
      </c>
      <c r="AF34" s="63" t="s">
        <v>2165</v>
      </c>
      <c r="AG34" s="63" t="s">
        <v>2165</v>
      </c>
      <c r="AH34" s="62">
        <v>0.09</v>
      </c>
      <c r="AI34" s="62">
        <f t="shared" si="17"/>
        <v>4.572E-4</v>
      </c>
      <c r="AJ34" s="63" t="s">
        <v>2165</v>
      </c>
      <c r="AK34" s="4" t="s">
        <v>2165</v>
      </c>
      <c r="AL34" s="4" t="s">
        <v>2165</v>
      </c>
      <c r="AM34" t="s">
        <v>104</v>
      </c>
      <c r="AN34" t="s">
        <v>240</v>
      </c>
      <c r="AO34" s="4" t="s">
        <v>2165</v>
      </c>
      <c r="AP34" s="4" t="s">
        <v>2165</v>
      </c>
      <c r="AQ34" s="72" t="str">
        <f t="shared" si="20"/>
        <v>COMNET-REV9WholeBuildingBA Town HallVent</v>
      </c>
      <c r="AR34" s="2">
        <v>0</v>
      </c>
      <c r="AS34" s="2">
        <v>0</v>
      </c>
      <c r="AT34" s="2">
        <v>0</v>
      </c>
      <c r="AU34" s="2">
        <v>0.5</v>
      </c>
      <c r="AV34" s="2">
        <v>0</v>
      </c>
      <c r="AW34" t="s">
        <v>2528</v>
      </c>
      <c r="AX34" t="s">
        <v>105</v>
      </c>
      <c r="AY34" t="s">
        <v>2533</v>
      </c>
      <c r="AZ34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Town HallElectricalEquipDef</v>
      </c>
      <c r="BA34" t="s">
        <v>351</v>
      </c>
      <c r="BB34" s="50">
        <v>0.743224</v>
      </c>
      <c r="BC34" s="2">
        <v>8</v>
      </c>
      <c r="BD34" s="2">
        <v>0.37</v>
      </c>
      <c r="BE34" s="2">
        <v>0.2</v>
      </c>
      <c r="BF34" t="s">
        <v>2569</v>
      </c>
      <c r="BG34" s="4"/>
      <c r="BH34" t="s">
        <v>2591</v>
      </c>
      <c r="BI34" s="72" t="str">
        <f t="shared" si="6"/>
        <v>NCC J7D3aAuditorium, church and public hall; radiant/visible fraction split retained from original WA/COMNET-REV9 source (AIRAH Technical Handbook does not publish this split)LightingDef</v>
      </c>
      <c r="BJ34" t="s">
        <v>372</v>
      </c>
      <c r="BK34" s="3">
        <v>3.6802689E-2</v>
      </c>
      <c r="BL34" s="3">
        <v>0.125570776</v>
      </c>
      <c r="BM34" s="2">
        <v>1.351643836</v>
      </c>
      <c r="BN34" s="3">
        <v>0.01</v>
      </c>
      <c r="BO34" s="3">
        <v>0.4</v>
      </c>
      <c r="BP34" s="3">
        <v>0.4</v>
      </c>
      <c r="BQ34" t="s">
        <v>104</v>
      </c>
      <c r="BR34" t="s">
        <v>133</v>
      </c>
      <c r="BS34" t="s">
        <v>333</v>
      </c>
      <c r="BT34" s="72" t="str">
        <f t="shared" si="7"/>
        <v>COMNET-REV9California Commercial End-Use Survey (CEUS)60%ThermEffProcessBA Town HallGasEquipDef</v>
      </c>
      <c r="BU34" s="8" t="s">
        <v>351</v>
      </c>
      <c r="BW34">
        <v>0.7</v>
      </c>
      <c r="BY34" t="s">
        <v>2660</v>
      </c>
      <c r="BZ34" t="s">
        <v>2661</v>
      </c>
      <c r="CB34" s="50" t="str">
        <f t="shared" si="8"/>
        <v>Town hall_WholeBuilding</v>
      </c>
      <c r="CC34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Town HallInfil</v>
      </c>
      <c r="CD34" t="s">
        <v>266</v>
      </c>
      <c r="CE34" t="s">
        <v>123</v>
      </c>
      <c r="CF34" t="s">
        <v>240</v>
      </c>
      <c r="CG34" s="4"/>
      <c r="CH34" s="4">
        <v>2</v>
      </c>
      <c r="CI34" s="4"/>
      <c r="CJ34" s="4" t="s">
        <v>2181</v>
      </c>
      <c r="CK34" s="4">
        <v>0.15</v>
      </c>
      <c r="CL34" s="4">
        <v>0.12</v>
      </c>
      <c r="CM34" s="4">
        <v>540</v>
      </c>
      <c r="CN34" s="4">
        <v>1210</v>
      </c>
      <c r="CO34" s="4">
        <v>0.9</v>
      </c>
      <c r="CP34" s="4">
        <v>0.7</v>
      </c>
      <c r="CQ34" s="4">
        <v>0.7</v>
      </c>
      <c r="CR34" s="4" t="s">
        <v>2203</v>
      </c>
      <c r="CS34" s="4" t="s">
        <v>2204</v>
      </c>
      <c r="CT34" s="4" t="s">
        <v>2165</v>
      </c>
      <c r="CU34" s="4" t="s">
        <v>2165</v>
      </c>
      <c r="CV34" t="str">
        <f t="shared" si="15"/>
        <v>Std Wood 6inch</v>
      </c>
      <c r="CW34" s="72" t="str">
        <f t="shared" si="16"/>
        <v>OpenStudio-Prototype-BuildingsStd Wood 6inchInternalMassDef</v>
      </c>
    </row>
    <row r="35" spans="1:101" x14ac:dyDescent="0.35">
      <c r="A35" t="s">
        <v>31</v>
      </c>
      <c r="B35" s="50" t="str">
        <f t="shared" si="12"/>
        <v>2025_AU_NCC</v>
      </c>
      <c r="C35" s="50" t="str">
        <f t="shared" si="13"/>
        <v>Transportation</v>
      </c>
      <c r="D35" s="50" t="s">
        <v>2446</v>
      </c>
      <c r="E35" t="s">
        <v>240</v>
      </c>
      <c r="F35" s="62">
        <v>2025</v>
      </c>
      <c r="G35" s="62" t="s">
        <v>2522</v>
      </c>
      <c r="H35" t="s">
        <v>2523</v>
      </c>
      <c r="I35">
        <v>255</v>
      </c>
      <c r="J35">
        <v>255</v>
      </c>
      <c r="K35">
        <v>255</v>
      </c>
      <c r="L35" s="50" t="str">
        <f t="shared" si="0"/>
        <v>BA Transportation_2025AUNCC</v>
      </c>
      <c r="M35" s="50" t="str">
        <f t="shared" si="14"/>
        <v>BA Transportation_2025AUNCCScheduleSet</v>
      </c>
      <c r="N35" s="62">
        <v>10</v>
      </c>
      <c r="O35" s="6">
        <v>100</v>
      </c>
      <c r="P35" s="38">
        <v>1.0763915049999999</v>
      </c>
      <c r="Q35">
        <v>255.91</v>
      </c>
      <c r="R35" s="6">
        <v>75</v>
      </c>
      <c r="S35">
        <v>187.67</v>
      </c>
      <c r="T35" s="6">
        <v>55</v>
      </c>
      <c r="U35" s="6"/>
      <c r="V35" s="6"/>
      <c r="W35" s="6">
        <v>130</v>
      </c>
      <c r="X35" s="2">
        <v>0.57692307700000001</v>
      </c>
      <c r="Y35" t="s">
        <v>2524</v>
      </c>
      <c r="Z35" t="s">
        <v>2525</v>
      </c>
      <c r="AA35" s="4"/>
      <c r="AB35" s="4"/>
      <c r="AC35" s="50" t="str">
        <f>CONCATENATE(Y35,Z35,AA35,AB35,A35,"PeopleDef")</f>
        <v>NCC S35C2nOther applications (non-dining)BA TransportationPeopleDef</v>
      </c>
      <c r="AD35" t="s">
        <v>358</v>
      </c>
      <c r="AE35" s="50" t="str">
        <f>CONCATENATE(A35,"Activity")</f>
        <v>BA TransportationActivity</v>
      </c>
      <c r="AF35" s="63" t="s">
        <v>2165</v>
      </c>
      <c r="AG35" s="63" t="s">
        <v>2165</v>
      </c>
      <c r="AH35" s="62">
        <v>0.81</v>
      </c>
      <c r="AI35" s="62">
        <f t="shared" si="17"/>
        <v>4.1148000000000009E-3</v>
      </c>
      <c r="AJ35" s="63" t="s">
        <v>2165</v>
      </c>
      <c r="AK35" s="4" t="s">
        <v>2165</v>
      </c>
      <c r="AL35" s="4" t="s">
        <v>2165</v>
      </c>
      <c r="AM35" t="s">
        <v>104</v>
      </c>
      <c r="AN35" t="s">
        <v>240</v>
      </c>
      <c r="AO35" s="4" t="s">
        <v>2165</v>
      </c>
      <c r="AP35" s="4" t="s">
        <v>2165</v>
      </c>
      <c r="AQ35" s="72" t="str">
        <f t="shared" si="20"/>
        <v>COMNET-REV9WholeBuildingBA TransportationVent</v>
      </c>
      <c r="AR35" s="2">
        <v>0</v>
      </c>
      <c r="AS35" s="2">
        <v>0</v>
      </c>
      <c r="AT35" s="2">
        <v>0</v>
      </c>
      <c r="AU35" s="2">
        <v>0.5</v>
      </c>
      <c r="AV35" s="2">
        <v>0</v>
      </c>
      <c r="AW35" t="s">
        <v>2528</v>
      </c>
      <c r="AX35" t="s">
        <v>105</v>
      </c>
      <c r="AY35" t="s">
        <v>2533</v>
      </c>
      <c r="AZ35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split)BA TransportationElectricalEquipDef</v>
      </c>
      <c r="BA35" t="s">
        <v>341</v>
      </c>
      <c r="BB35" s="50">
        <v>0.56000000000000005</v>
      </c>
      <c r="BC35" s="2">
        <v>6.0277900000000004</v>
      </c>
      <c r="BD35" s="2">
        <v>0.37</v>
      </c>
      <c r="BE35" s="2">
        <v>0.2</v>
      </c>
      <c r="BF35" t="s">
        <v>2567</v>
      </c>
      <c r="BG35" s="4"/>
      <c r="BH35" t="s">
        <v>2595</v>
      </c>
      <c r="BI35" s="72" t="str">
        <f t="shared" si="6"/>
        <v>IECC Table C405.3.2(1)Transportation; radiant/visible fraction split retained from original WA/COMNET-REV9 sourceLightingDef</v>
      </c>
      <c r="BJ35" t="s">
        <v>370</v>
      </c>
      <c r="BK35" s="3">
        <v>6.6913980000000003E-3</v>
      </c>
      <c r="BL35" s="3">
        <v>2.2831049999999999E-2</v>
      </c>
      <c r="BM35" s="2">
        <v>0.245753425</v>
      </c>
      <c r="BN35" s="3">
        <v>0</v>
      </c>
      <c r="BO35" s="3">
        <v>0.75</v>
      </c>
      <c r="BP35" s="3">
        <v>0.25</v>
      </c>
      <c r="BQ35" t="s">
        <v>104</v>
      </c>
      <c r="BR35" t="s">
        <v>133</v>
      </c>
      <c r="BS35" t="s">
        <v>327</v>
      </c>
      <c r="BT35" s="72" t="str">
        <f t="shared" si="7"/>
        <v>COMNET-REV9California Commercial End-Use Survey (CEUS)93%ThermEffRadiantBA TransportationGasEquipDef</v>
      </c>
      <c r="BU35" s="8" t="s">
        <v>341</v>
      </c>
      <c r="BW35">
        <v>0.7</v>
      </c>
      <c r="BY35" t="s">
        <v>2660</v>
      </c>
      <c r="BZ35" t="s">
        <v>2661</v>
      </c>
      <c r="CB35" s="50" t="str">
        <f t="shared" si="8"/>
        <v>Transportation_WholeBuilding</v>
      </c>
      <c r="CC35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TransportationInfil</v>
      </c>
      <c r="CD35" t="s">
        <v>266</v>
      </c>
      <c r="CE35" t="s">
        <v>124</v>
      </c>
      <c r="CF35" t="s">
        <v>240</v>
      </c>
      <c r="CG35" s="4"/>
      <c r="CH35" s="4">
        <v>2</v>
      </c>
      <c r="CI35" s="4"/>
      <c r="CJ35" s="4" t="s">
        <v>2181</v>
      </c>
      <c r="CK35" s="4">
        <v>0.15</v>
      </c>
      <c r="CL35" s="4">
        <v>0.12</v>
      </c>
      <c r="CM35" s="4">
        <v>540</v>
      </c>
      <c r="CN35" s="4">
        <v>1210</v>
      </c>
      <c r="CO35" s="4">
        <v>0.9</v>
      </c>
      <c r="CP35" s="4">
        <v>0.7</v>
      </c>
      <c r="CQ35" s="4">
        <v>0.7</v>
      </c>
      <c r="CR35" s="4" t="s">
        <v>2203</v>
      </c>
      <c r="CS35" s="4" t="s">
        <v>2204</v>
      </c>
      <c r="CT35" s="4" t="s">
        <v>2165</v>
      </c>
      <c r="CU35" s="4" t="s">
        <v>2165</v>
      </c>
      <c r="CV35" t="str">
        <f t="shared" si="15"/>
        <v>Std Wood 6inch</v>
      </c>
      <c r="CW35" s="72" t="str">
        <f t="shared" si="16"/>
        <v>OpenStudio-Prototype-BuildingsStd Wood 6inchInternalMassDef</v>
      </c>
    </row>
    <row r="36" spans="1:101" x14ac:dyDescent="0.35">
      <c r="A36" t="s">
        <v>32</v>
      </c>
      <c r="B36" s="50" t="str">
        <f t="shared" si="12"/>
        <v>2025_AU_NCC</v>
      </c>
      <c r="C36" s="50" t="str">
        <f t="shared" si="13"/>
        <v>Warehouse</v>
      </c>
      <c r="D36" s="50" t="s">
        <v>2446</v>
      </c>
      <c r="E36" t="s">
        <v>240</v>
      </c>
      <c r="F36" s="62">
        <v>2025</v>
      </c>
      <c r="G36" s="62" t="s">
        <v>2522</v>
      </c>
      <c r="H36" t="s">
        <v>2523</v>
      </c>
      <c r="I36">
        <v>255</v>
      </c>
      <c r="J36">
        <v>255</v>
      </c>
      <c r="K36">
        <v>255</v>
      </c>
      <c r="L36" s="50" t="str">
        <f t="shared" si="0"/>
        <v>BA Warehouse_2025AUNCC</v>
      </c>
      <c r="M36" s="50" t="str">
        <f t="shared" si="14"/>
        <v>BA Warehouse_2025AUNCCScheduleSet</v>
      </c>
      <c r="N36" s="63"/>
      <c r="O36" s="4"/>
      <c r="P36" s="4"/>
      <c r="Q36" s="4">
        <v>255.91</v>
      </c>
      <c r="R36" s="4">
        <v>75</v>
      </c>
      <c r="S36" s="4">
        <v>187.67</v>
      </c>
      <c r="T36" s="4">
        <v>55</v>
      </c>
      <c r="U36" s="46"/>
      <c r="V36" s="46"/>
      <c r="W36" s="46">
        <v>130</v>
      </c>
      <c r="X36" s="48">
        <v>0.57692307700000001</v>
      </c>
      <c r="Y36" s="4" t="s">
        <v>2524</v>
      </c>
      <c r="Z36" s="4" t="s">
        <v>2525</v>
      </c>
      <c r="AA36" s="4"/>
      <c r="AB36" s="4"/>
      <c r="AC36" s="51" t="s">
        <v>2165</v>
      </c>
      <c r="AD36" s="4" t="s">
        <v>2165</v>
      </c>
      <c r="AE36" s="51" t="s">
        <v>2165</v>
      </c>
      <c r="AF36" s="63" t="s">
        <v>2165</v>
      </c>
      <c r="AG36" s="63" t="s">
        <v>2165</v>
      </c>
      <c r="AH36" s="62">
        <v>0.06</v>
      </c>
      <c r="AI36" s="62">
        <f t="shared" si="17"/>
        <v>3.0479999999999998E-4</v>
      </c>
      <c r="AJ36" s="63" t="s">
        <v>2165</v>
      </c>
      <c r="AK36" s="4" t="s">
        <v>2165</v>
      </c>
      <c r="AL36" s="4" t="s">
        <v>2165</v>
      </c>
      <c r="AM36" t="s">
        <v>104</v>
      </c>
      <c r="AN36" t="s">
        <v>240</v>
      </c>
      <c r="AO36" s="4" t="s">
        <v>2165</v>
      </c>
      <c r="AP36" s="4" t="s">
        <v>2165</v>
      </c>
      <c r="AQ36" s="72" t="str">
        <f t="shared" si="20"/>
        <v>COMNET-REV9WholeBuildingBA WarehouseVent</v>
      </c>
      <c r="AR36" s="2">
        <v>0</v>
      </c>
      <c r="AS36" s="2">
        <v>0</v>
      </c>
      <c r="AT36" s="2">
        <v>0</v>
      </c>
      <c r="AU36" s="2">
        <v>0.5</v>
      </c>
      <c r="AV36" s="2">
        <v>0</v>
      </c>
      <c r="AW36" t="s">
        <v>2528</v>
      </c>
      <c r="AX36" t="s">
        <v>105</v>
      </c>
      <c r="AY36" t="s">
        <v>2543</v>
      </c>
      <c r="AZ36" s="72" t="str">
        <f t="shared" si="5"/>
        <v>NCC S35C2lNREL 956/Eley AnalysisClass 7b (Other applications) - no equipment load per S35C2l; radiant/latent/lost fraction split retained from original WA/COMNET-REV9 source (AIRAH Technical Handbook does not publish this split)BA WarehouseElectricalEquipDef</v>
      </c>
      <c r="BA36" t="s">
        <v>337</v>
      </c>
      <c r="BB36" s="50">
        <v>0.13935500000000001</v>
      </c>
      <c r="BC36" s="2">
        <v>1.5</v>
      </c>
      <c r="BD36" s="2">
        <v>0.37</v>
      </c>
      <c r="BE36" s="2">
        <v>0.2</v>
      </c>
      <c r="BF36" t="s">
        <v>2569</v>
      </c>
      <c r="BG36" s="4"/>
      <c r="BH36" t="s">
        <v>2596</v>
      </c>
      <c r="BI36" s="72" t="str">
        <f t="shared" si="6"/>
        <v>NCC J7D3aStorage; radiant/visible fraction split retained from original WA/COMNET-REV9 source (AIRAH Technical Handbook does not publish this split)LightingDef</v>
      </c>
      <c r="BJ36" t="s">
        <v>366</v>
      </c>
      <c r="BK36" s="3">
        <v>0</v>
      </c>
      <c r="BL36" s="3">
        <v>0</v>
      </c>
      <c r="BM36" s="2">
        <v>0</v>
      </c>
      <c r="BN36" s="3">
        <v>0</v>
      </c>
      <c r="BO36" s="3">
        <v>0.75</v>
      </c>
      <c r="BP36" s="3">
        <v>0.25</v>
      </c>
      <c r="BQ36" t="s">
        <v>104</v>
      </c>
      <c r="BR36" t="s">
        <v>133</v>
      </c>
      <c r="BS36" t="s">
        <v>327</v>
      </c>
      <c r="BT36" s="72" t="str">
        <f t="shared" si="7"/>
        <v>COMNET-REV9California Commercial End-Use Survey (CEUS)93%ThermEffRadiantBA WarehouseGasEquipDef</v>
      </c>
      <c r="BU36" s="8" t="s">
        <v>337</v>
      </c>
      <c r="BW36">
        <v>0.7</v>
      </c>
      <c r="BY36" t="s">
        <v>2660</v>
      </c>
      <c r="BZ36" t="s">
        <v>2661</v>
      </c>
      <c r="CB36" s="50" t="str">
        <f t="shared" si="8"/>
        <v>Warehouse_WholeBuilding</v>
      </c>
      <c r="CC36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WarehouseInfil</v>
      </c>
      <c r="CD36" t="s">
        <v>266</v>
      </c>
      <c r="CE36" t="s">
        <v>125</v>
      </c>
      <c r="CF36" t="s">
        <v>240</v>
      </c>
      <c r="CG36" s="4"/>
      <c r="CH36" s="4">
        <v>2</v>
      </c>
      <c r="CI36" s="4"/>
      <c r="CJ36" s="4" t="s">
        <v>2181</v>
      </c>
      <c r="CK36" s="4">
        <v>0.15</v>
      </c>
      <c r="CL36" s="4">
        <v>0.12</v>
      </c>
      <c r="CM36" s="4">
        <v>540</v>
      </c>
      <c r="CN36" s="4">
        <v>1210</v>
      </c>
      <c r="CO36" s="4">
        <v>0.9</v>
      </c>
      <c r="CP36" s="4">
        <v>0.7</v>
      </c>
      <c r="CQ36" s="4">
        <v>0.7</v>
      </c>
      <c r="CR36" s="4" t="s">
        <v>2203</v>
      </c>
      <c r="CS36" s="4" t="s">
        <v>2204</v>
      </c>
      <c r="CT36" s="4" t="s">
        <v>2165</v>
      </c>
      <c r="CU36" s="4" t="s">
        <v>2165</v>
      </c>
      <c r="CV36" t="str">
        <f t="shared" si="15"/>
        <v>Std Wood 6inch</v>
      </c>
      <c r="CW36" s="72" t="str">
        <f t="shared" si="16"/>
        <v>OpenStudio-Prototype-BuildingsStd Wood 6inchInternalMassDef</v>
      </c>
    </row>
    <row r="37" spans="1:101" x14ac:dyDescent="0.35">
      <c r="A37" t="s">
        <v>33</v>
      </c>
      <c r="B37" s="50" t="str">
        <f t="shared" si="12"/>
        <v>2025_AU_NCC</v>
      </c>
      <c r="C37" s="50" t="str">
        <f t="shared" si="13"/>
        <v>Workshop</v>
      </c>
      <c r="D37" s="50" t="s">
        <v>2446</v>
      </c>
      <c r="E37" t="s">
        <v>240</v>
      </c>
      <c r="F37" s="62">
        <v>2025</v>
      </c>
      <c r="G37" s="62" t="s">
        <v>2522</v>
      </c>
      <c r="H37" t="s">
        <v>2523</v>
      </c>
      <c r="I37">
        <v>255</v>
      </c>
      <c r="J37">
        <v>255</v>
      </c>
      <c r="K37">
        <v>255</v>
      </c>
      <c r="L37" s="50" t="str">
        <f t="shared" ref="L37:L68" si="21">CONCATENATE(A37,"_",F37,G37,H37)</f>
        <v>BA Workshop_2025AUNCC</v>
      </c>
      <c r="M37" s="50" t="str">
        <f t="shared" si="14"/>
        <v>BA Workshop_2025AUNCCScheduleSet</v>
      </c>
      <c r="N37" s="62">
        <v>143</v>
      </c>
      <c r="O37" s="6">
        <v>6.9930069929999998</v>
      </c>
      <c r="P37" s="38">
        <v>7.5272133000000005E-2</v>
      </c>
      <c r="Q37">
        <v>255.91</v>
      </c>
      <c r="R37" s="6">
        <v>75</v>
      </c>
      <c r="S37">
        <v>187.67</v>
      </c>
      <c r="T37" s="6">
        <v>55</v>
      </c>
      <c r="U37" s="6"/>
      <c r="V37" s="6"/>
      <c r="W37" s="6">
        <v>130</v>
      </c>
      <c r="X37" s="2">
        <v>0.57692307700000001</v>
      </c>
      <c r="Y37" t="s">
        <v>2524</v>
      </c>
      <c r="Z37" t="s">
        <v>2525</v>
      </c>
      <c r="AA37" s="4"/>
      <c r="AB37" s="4"/>
      <c r="AC37" s="50" t="str">
        <f>CONCATENATE(Y37,Z37,AA37,AB37,A37,"PeopleDef")</f>
        <v>NCC S35C2nOther applications (non-dining)BA WorkshopPeopleDef</v>
      </c>
      <c r="AD37" t="s">
        <v>354</v>
      </c>
      <c r="AE37" s="50" t="str">
        <f t="shared" ref="AE37:AE48" si="22">CONCATENATE(A37,"Activity")</f>
        <v>BA WorkshopActivity</v>
      </c>
      <c r="AF37" s="63" t="s">
        <v>2165</v>
      </c>
      <c r="AG37" s="63" t="s">
        <v>2165</v>
      </c>
      <c r="AH37" s="62">
        <v>0.25</v>
      </c>
      <c r="AI37" s="62">
        <f t="shared" si="17"/>
        <v>1.2700000000000001E-3</v>
      </c>
      <c r="AJ37" s="63" t="s">
        <v>2165</v>
      </c>
      <c r="AK37" s="4" t="s">
        <v>2165</v>
      </c>
      <c r="AL37" s="4" t="s">
        <v>2165</v>
      </c>
      <c r="AM37" t="s">
        <v>104</v>
      </c>
      <c r="AN37" t="s">
        <v>240</v>
      </c>
      <c r="AO37" s="4" t="s">
        <v>2165</v>
      </c>
      <c r="AP37" s="4" t="s">
        <v>2165</v>
      </c>
      <c r="AQ37" s="72" t="str">
        <f t="shared" si="20"/>
        <v>COMNET-REV9WholeBuildingBA WorkshopVent</v>
      </c>
      <c r="AR37" s="2">
        <v>0</v>
      </c>
      <c r="AS37" s="2">
        <v>0</v>
      </c>
      <c r="AT37" s="2">
        <v>0</v>
      </c>
      <c r="AU37" s="2">
        <v>0.5</v>
      </c>
      <c r="AV37" s="2">
        <v>0</v>
      </c>
      <c r="AW37" t="s">
        <v>2528</v>
      </c>
      <c r="AX37" t="s">
        <v>105</v>
      </c>
      <c r="AY37" t="s">
        <v>2537</v>
      </c>
      <c r="AZ37" s="72" t="str">
        <f t="shared" si="5"/>
        <v>NCC S35C2lNREL 956/Eley AnalysisClass 8 (Other applications) - no equipment load per S35C2l; radiant/latent/lost fraction split retained from original WA/COMNET-REV9 source (AIRAH Technical Handbook does not publish this split)BA WorkshopElectricalEquipDef</v>
      </c>
      <c r="BA37" t="s">
        <v>337</v>
      </c>
      <c r="BB37" s="50">
        <v>0.86</v>
      </c>
      <c r="BC37" s="2">
        <v>9.2569599999999994</v>
      </c>
      <c r="BD37" s="2">
        <v>0.37</v>
      </c>
      <c r="BE37" s="2">
        <v>0.2</v>
      </c>
      <c r="BF37" t="s">
        <v>2567</v>
      </c>
      <c r="BG37" s="4"/>
      <c r="BH37" t="s">
        <v>2597</v>
      </c>
      <c r="BI37" s="72" t="str">
        <f t="shared" ref="BI37:BI68" si="23">CONCATENATE(BF37,BG37,BH37,"LightingDef")</f>
        <v>IECC Table C405.3.2(1)Workshop; radiant/visible fraction split retained from original WA/COMNET-REV9 sourceLightingDef</v>
      </c>
      <c r="BJ37" t="s">
        <v>366</v>
      </c>
      <c r="BK37" s="3">
        <v>0.220816136</v>
      </c>
      <c r="BL37" s="3">
        <v>0.75342465800000002</v>
      </c>
      <c r="BM37" s="2">
        <v>8.1098630140000001</v>
      </c>
      <c r="BN37" s="3">
        <v>0</v>
      </c>
      <c r="BO37" s="3">
        <v>0.75</v>
      </c>
      <c r="BP37" s="3">
        <v>0.25</v>
      </c>
      <c r="BQ37" t="s">
        <v>104</v>
      </c>
      <c r="BR37" t="s">
        <v>133</v>
      </c>
      <c r="BS37" t="s">
        <v>327</v>
      </c>
      <c r="BT37" s="72" t="str">
        <f t="shared" si="7"/>
        <v>COMNET-REV9California Commercial End-Use Survey (CEUS)93%ThermEffRadiantBA WorkshopGasEquipDef</v>
      </c>
      <c r="BU37" s="8" t="s">
        <v>337</v>
      </c>
      <c r="BW37">
        <v>0.7</v>
      </c>
      <c r="BY37" t="s">
        <v>2660</v>
      </c>
      <c r="BZ37" t="s">
        <v>2661</v>
      </c>
      <c r="CB37" s="50" t="str">
        <f t="shared" ref="CB37:CB68" si="24">CONCATENATE(CE37,"_",CF37)</f>
        <v>Workshop_WholeBuilding</v>
      </c>
      <c r="CC37" s="72" t="str">
        <f t="shared" si="9"/>
        <v>NCC S34C2(6)0.7 ACH assumed as design infiltration for periods without mechanical outdoor air supply; NCC also specifies 0.35 ACH when mechanical OA is operating (to be applied via infiltration schedule once developed)BA WorkshopInfil</v>
      </c>
      <c r="CD37" t="s">
        <v>266</v>
      </c>
      <c r="CE37" t="s">
        <v>126</v>
      </c>
      <c r="CF37" t="s">
        <v>240</v>
      </c>
      <c r="CG37" s="4"/>
      <c r="CH37" s="4">
        <v>2</v>
      </c>
      <c r="CI37" s="4"/>
      <c r="CJ37" s="4" t="s">
        <v>2181</v>
      </c>
      <c r="CK37" s="4">
        <v>0.15</v>
      </c>
      <c r="CL37" s="4">
        <v>0.12</v>
      </c>
      <c r="CM37" s="4">
        <v>540</v>
      </c>
      <c r="CN37" s="4">
        <v>1210</v>
      </c>
      <c r="CO37" s="4">
        <v>0.9</v>
      </c>
      <c r="CP37" s="4">
        <v>0.7</v>
      </c>
      <c r="CQ37" s="4">
        <v>0.7</v>
      </c>
      <c r="CR37" s="4" t="s">
        <v>2203</v>
      </c>
      <c r="CS37" s="4" t="s">
        <v>2204</v>
      </c>
      <c r="CT37" s="4" t="s">
        <v>2165</v>
      </c>
      <c r="CU37" s="4" t="s">
        <v>2165</v>
      </c>
      <c r="CV37" t="str">
        <f t="shared" si="15"/>
        <v>Std Wood 6inch</v>
      </c>
      <c r="CW37" s="72" t="str">
        <f t="shared" si="16"/>
        <v>OpenStudio-Prototype-BuildingsStd Wood 6inchInternalMassDef</v>
      </c>
    </row>
    <row r="38" spans="1:101" x14ac:dyDescent="0.35">
      <c r="A38" t="s">
        <v>134</v>
      </c>
      <c r="B38" s="50" t="str">
        <f t="shared" si="12"/>
        <v>2025_AU_NCC</v>
      </c>
      <c r="C38" s="50" t="s">
        <v>269</v>
      </c>
      <c r="D38" s="50" t="s">
        <v>2447</v>
      </c>
      <c r="E38" t="s">
        <v>269</v>
      </c>
      <c r="F38" s="62">
        <v>2025</v>
      </c>
      <c r="G38" s="62" t="s">
        <v>2522</v>
      </c>
      <c r="H38" t="s">
        <v>2523</v>
      </c>
      <c r="I38">
        <v>230</v>
      </c>
      <c r="J38">
        <v>196</v>
      </c>
      <c r="K38">
        <v>120</v>
      </c>
      <c r="L38" s="50" t="str">
        <f t="shared" si="21"/>
        <v>CS Audience Seating Area - Auditorium_2025AUNCC</v>
      </c>
      <c r="M38" s="50" t="str">
        <f t="shared" si="14"/>
        <v>CS Audience Seating Area - Auditorium_2025AUNCCScheduleSet</v>
      </c>
      <c r="N38" s="68">
        <v>6.6666666670000003</v>
      </c>
      <c r="O38">
        <v>150</v>
      </c>
      <c r="P38" s="38">
        <v>1.614587258</v>
      </c>
      <c r="Q38">
        <v>255.91</v>
      </c>
      <c r="R38" s="6">
        <v>75</v>
      </c>
      <c r="S38">
        <v>187.67</v>
      </c>
      <c r="T38" s="6">
        <v>55</v>
      </c>
      <c r="U38" s="6"/>
      <c r="V38" s="6"/>
      <c r="W38" s="6">
        <v>130</v>
      </c>
      <c r="X38" s="2">
        <v>0.57692307700000001</v>
      </c>
      <c r="Y38" t="s">
        <v>2524</v>
      </c>
      <c r="Z38" t="s">
        <v>2525</v>
      </c>
      <c r="AB38" s="4"/>
      <c r="AC38" s="50" t="str">
        <f t="shared" ref="AC38:AC48" si="25">CONCATENATE(Y38,Z38,AA38,AB38,"PeopleDef")</f>
        <v>NCC S35C2nOther applications (non-dining)PeopleDef</v>
      </c>
      <c r="AD38" t="s">
        <v>1845</v>
      </c>
      <c r="AE38" s="50" t="str">
        <f t="shared" si="22"/>
        <v>CS Audience Seating Area - AuditoriumActivity</v>
      </c>
      <c r="AF38" s="62">
        <v>5</v>
      </c>
      <c r="AG38" s="62">
        <f>AF38/2119</f>
        <v>2.3596035865974517E-3</v>
      </c>
      <c r="AH38" s="62">
        <v>0.06</v>
      </c>
      <c r="AI38" s="62">
        <f t="shared" si="17"/>
        <v>3.0479999999999998E-4</v>
      </c>
      <c r="AJ38" s="63" t="s">
        <v>2165</v>
      </c>
      <c r="AK38" s="4" t="s">
        <v>2165</v>
      </c>
      <c r="AL38" s="4" t="s">
        <v>2165</v>
      </c>
      <c r="AM38" t="s">
        <v>37</v>
      </c>
      <c r="AN38" t="s">
        <v>39</v>
      </c>
      <c r="AO38" s="4" t="s">
        <v>2165</v>
      </c>
      <c r="AP38" s="4" t="s">
        <v>2165</v>
      </c>
      <c r="AQ38" s="72" t="str">
        <f t="shared" ref="AQ38:AQ59" si="26">CONCATENATE(AM38,AN38,AO38,AP38,"Vent")</f>
        <v>Washington State Mechanical Code TABLE 403.3.1.1Education_AuditoriumsVent</v>
      </c>
      <c r="AR38" s="2">
        <v>0</v>
      </c>
      <c r="AS38" s="2">
        <v>0</v>
      </c>
      <c r="AT38" s="2">
        <v>0</v>
      </c>
      <c r="AU38" s="2">
        <v>0.5</v>
      </c>
      <c r="AV38" s="2">
        <v>0</v>
      </c>
      <c r="AW38" t="s">
        <v>2528</v>
      </c>
      <c r="AX38" t="s">
        <v>105</v>
      </c>
      <c r="AY38" t="s">
        <v>2533</v>
      </c>
      <c r="AZ38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AuditoriumElectricalEquipDef</v>
      </c>
      <c r="BA38" s="7" t="s">
        <v>346</v>
      </c>
      <c r="BB38" s="50">
        <v>0.743224</v>
      </c>
      <c r="BC38" s="2">
        <v>8</v>
      </c>
      <c r="BD38" s="2">
        <v>0.37</v>
      </c>
      <c r="BE38" s="2">
        <v>0.2</v>
      </c>
      <c r="BF38" t="s">
        <v>2569</v>
      </c>
      <c r="BG38" s="4"/>
      <c r="BH38" t="s">
        <v>2591</v>
      </c>
      <c r="BI38" s="72" t="str">
        <f t="shared" si="23"/>
        <v>NCC J7D3aAuditorium, church and public hall; radiant/visible fraction split retained from original WA/COMNET-REV9 source (AIRAH Technical Handbook does not publish this split)LightingDef</v>
      </c>
      <c r="BJ38" t="s">
        <v>1843</v>
      </c>
      <c r="BK38" s="45"/>
      <c r="BL38" s="45"/>
      <c r="BM38" s="45"/>
      <c r="BN38" s="45"/>
      <c r="BO38" s="45"/>
      <c r="BP38" s="45"/>
      <c r="BQ38" s="4"/>
      <c r="BR38" s="4"/>
      <c r="BS38" s="4"/>
      <c r="BT38" s="73" t="s">
        <v>2165</v>
      </c>
      <c r="BU38" s="45" t="s">
        <v>2165</v>
      </c>
      <c r="BW38">
        <v>0.7</v>
      </c>
      <c r="BY38" t="s">
        <v>2660</v>
      </c>
      <c r="BZ38" s="7" t="s">
        <v>2661</v>
      </c>
      <c r="CB38" s="50" t="str">
        <f t="shared" si="24"/>
        <v>SecondarySchool_Auditorium</v>
      </c>
      <c r="CC38" s="72" t="str">
        <f>CONCATENATE(BY38,BZ38,CA38,CB38,"Infil")</f>
        <v>NCC S34C2(6)0.7 ACH assumed as design infiltration for periods without mechanical outdoor air supply; NCC also specifies 0.35 ACH when mechanical OA is operating (to be applied via infiltration schedule once developed)SecondarySchool_AuditoriumInfil</v>
      </c>
      <c r="CD38" t="s">
        <v>265</v>
      </c>
      <c r="CE38" s="7" t="s">
        <v>323</v>
      </c>
      <c r="CF38" s="7" t="s">
        <v>269</v>
      </c>
      <c r="CH38">
        <v>2.11</v>
      </c>
      <c r="CJ38" t="s">
        <v>2205</v>
      </c>
      <c r="CK38">
        <v>3.32E-2</v>
      </c>
      <c r="CL38">
        <v>0.96599999999999997</v>
      </c>
      <c r="CM38">
        <v>219</v>
      </c>
      <c r="CN38">
        <v>859</v>
      </c>
      <c r="CO38">
        <v>0.9</v>
      </c>
      <c r="CP38">
        <v>0.65</v>
      </c>
      <c r="CQ38">
        <v>0.65</v>
      </c>
      <c r="CR38" t="s">
        <v>2215</v>
      </c>
      <c r="CS38" t="s">
        <v>2206</v>
      </c>
      <c r="CT38" t="s">
        <v>2309</v>
      </c>
      <c r="CV38" t="str">
        <f>CR38</f>
        <v>Mixed_AudienceSeating_Auditorium_33mm</v>
      </c>
      <c r="CW38" s="72" t="str">
        <f>CONCATENATE(CS38,CT38,CU38,CV38,"InternalMassDef")</f>
        <v>CalculatedEstimateFoldingUpholsteredSeatsWithSteelPedestalsMixed_AudienceSeating_Auditorium_33mmInternalMassDef</v>
      </c>
    </row>
    <row r="39" spans="1:101" x14ac:dyDescent="0.35">
      <c r="A39" t="s">
        <v>135</v>
      </c>
      <c r="B39" s="50" t="str">
        <f t="shared" si="12"/>
        <v>2025_AU_NCC</v>
      </c>
      <c r="C39" s="50" t="s">
        <v>2422</v>
      </c>
      <c r="D39" s="50" t="s">
        <v>2447</v>
      </c>
      <c r="E39" t="s">
        <v>275</v>
      </c>
      <c r="F39" s="62">
        <v>2025</v>
      </c>
      <c r="G39" s="62" t="s">
        <v>2522</v>
      </c>
      <c r="H39" t="s">
        <v>2523</v>
      </c>
      <c r="I39">
        <v>230</v>
      </c>
      <c r="J39">
        <v>196</v>
      </c>
      <c r="K39">
        <v>120</v>
      </c>
      <c r="L39" s="50" t="str">
        <f t="shared" si="21"/>
        <v>CS Audience Seating Area - Convention Center_2025AUNCC</v>
      </c>
      <c r="M39" s="50" t="str">
        <f t="shared" si="14"/>
        <v>CS Audience Seating Area - Convention Center_2025AUNCCScheduleSet</v>
      </c>
      <c r="N39" s="68">
        <v>6.6666666670000003</v>
      </c>
      <c r="O39">
        <v>150</v>
      </c>
      <c r="P39" s="38">
        <v>1.614587258</v>
      </c>
      <c r="Q39">
        <v>255.91</v>
      </c>
      <c r="R39" s="6">
        <v>75</v>
      </c>
      <c r="S39">
        <v>187.67</v>
      </c>
      <c r="T39" s="6">
        <v>55</v>
      </c>
      <c r="U39" s="6"/>
      <c r="V39" s="6"/>
      <c r="W39" s="6">
        <v>130</v>
      </c>
      <c r="X39" s="2">
        <v>0.57692307700000001</v>
      </c>
      <c r="Y39" t="s">
        <v>2524</v>
      </c>
      <c r="Z39" t="s">
        <v>2525</v>
      </c>
      <c r="AB39" s="4"/>
      <c r="AC39" s="50" t="str">
        <f t="shared" si="25"/>
        <v>NCC S35C2nOther applications (non-dining)PeopleDef</v>
      </c>
      <c r="AD39" t="s">
        <v>353</v>
      </c>
      <c r="AE39" s="50" t="str">
        <f t="shared" si="22"/>
        <v>CS Audience Seating Area - Convention CenterActivity</v>
      </c>
      <c r="AF39" s="62">
        <v>5</v>
      </c>
      <c r="AG39" s="62">
        <f t="shared" ref="AG39:AG102" si="27">AF39/2119</f>
        <v>2.3596035865974517E-3</v>
      </c>
      <c r="AH39" s="62">
        <v>0.06</v>
      </c>
      <c r="AI39" s="62">
        <f t="shared" si="17"/>
        <v>3.0479999999999998E-4</v>
      </c>
      <c r="AJ39" s="63" t="s">
        <v>2165</v>
      </c>
      <c r="AK39" s="4" t="s">
        <v>2165</v>
      </c>
      <c r="AL39" s="4" t="s">
        <v>2165</v>
      </c>
      <c r="AM39" t="s">
        <v>37</v>
      </c>
      <c r="AN39" t="s">
        <v>39</v>
      </c>
      <c r="AO39" s="4" t="s">
        <v>2165</v>
      </c>
      <c r="AP39" s="4" t="s">
        <v>2165</v>
      </c>
      <c r="AQ39" s="72" t="str">
        <f t="shared" si="26"/>
        <v>Washington State Mechanical Code TABLE 403.3.1.1Education_AuditoriumsVent</v>
      </c>
      <c r="AR39" s="2">
        <v>0</v>
      </c>
      <c r="AS39" s="2">
        <v>0</v>
      </c>
      <c r="AT39" s="2">
        <v>0</v>
      </c>
      <c r="AU39" s="2">
        <v>0.5</v>
      </c>
      <c r="AV39" s="2">
        <v>0</v>
      </c>
      <c r="AW39" t="s">
        <v>2528</v>
      </c>
      <c r="AX39" t="s">
        <v>105</v>
      </c>
      <c r="AY39" t="s">
        <v>2533</v>
      </c>
      <c r="AZ39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Convention CenterElectricalEquipDef</v>
      </c>
      <c r="BA39" s="8" t="s">
        <v>336</v>
      </c>
      <c r="BB39" s="50">
        <v>0.743224</v>
      </c>
      <c r="BC39" s="2">
        <v>8</v>
      </c>
      <c r="BD39" s="2">
        <v>0.37</v>
      </c>
      <c r="BE39" s="2">
        <v>0.2</v>
      </c>
      <c r="BF39" t="s">
        <v>2569</v>
      </c>
      <c r="BG39" s="4"/>
      <c r="BH39" t="s">
        <v>2598</v>
      </c>
      <c r="BI39" s="72" t="str">
        <f t="shared" si="23"/>
        <v>NCC J7D3aAuditorium, church and public hall (nearest); radiant/visible fraction split retained from original WA/COMNET-REV9 source (AIRAH Technical Handbook does not publish this split)LightingDef</v>
      </c>
      <c r="BJ39" t="s">
        <v>365</v>
      </c>
      <c r="BK39" s="45"/>
      <c r="BL39" s="45"/>
      <c r="BM39" s="45"/>
      <c r="BN39" s="45"/>
      <c r="BO39" s="45"/>
      <c r="BP39" s="45"/>
      <c r="BQ39" s="4"/>
      <c r="BR39" s="4"/>
      <c r="BS39" s="4"/>
      <c r="BT39" s="73" t="s">
        <v>2165</v>
      </c>
      <c r="BU39" s="45" t="s">
        <v>2165</v>
      </c>
      <c r="BW39">
        <v>0.7</v>
      </c>
      <c r="BY39" t="s">
        <v>2660</v>
      </c>
      <c r="BZ39" t="s">
        <v>2661</v>
      </c>
      <c r="CB39" s="50" t="str">
        <f t="shared" si="24"/>
        <v>Space Function_Convention centre - audience</v>
      </c>
      <c r="CC39" s="72" t="str">
        <f t="shared" ref="CC39:CC102" si="28">CONCATENATE(BY39,BZ39,CA39,CB39,"Infil")</f>
        <v>NCC S34C2(6)0.7 ACH assumed as design infiltration for periods without mechanical outdoor air supply; NCC also specifies 0.35 ACH when mechanical OA is operating (to be applied via infiltration schedule once developed)Space Function_Convention centre - audienceInfil</v>
      </c>
      <c r="CD39" t="s">
        <v>266</v>
      </c>
      <c r="CE39" t="s">
        <v>250</v>
      </c>
      <c r="CF39" t="s">
        <v>275</v>
      </c>
      <c r="CH39">
        <v>1.05</v>
      </c>
      <c r="CJ39" t="s">
        <v>2205</v>
      </c>
      <c r="CK39">
        <v>8.3999999999999995E-3</v>
      </c>
      <c r="CL39">
        <v>3.73</v>
      </c>
      <c r="CM39">
        <v>636</v>
      </c>
      <c r="CN39">
        <v>562</v>
      </c>
      <c r="CO39">
        <v>0.9</v>
      </c>
      <c r="CP39">
        <v>0.7</v>
      </c>
      <c r="CQ39">
        <v>0.7</v>
      </c>
      <c r="CR39" t="s">
        <v>2216</v>
      </c>
      <c r="CS39" t="s">
        <v>2206</v>
      </c>
      <c r="CT39" t="s">
        <v>2310</v>
      </c>
      <c r="CV39" t="str">
        <f t="shared" ref="CV39:CV102" si="29">CR39</f>
        <v>Mixed_AudienceSeating_ConventionCenter_8mm</v>
      </c>
      <c r="CW39" s="72" t="str">
        <f t="shared" ref="CW39:CW40" si="30">CONCATENATE(CS39,CT39,CU39,CV39,"InternalMassDef")</f>
        <v>CalculatedEstimatePortableStackingConferenceChairsMixed_AudienceSeating_ConventionCenter_8mmInternalMassDef</v>
      </c>
    </row>
    <row r="40" spans="1:101" x14ac:dyDescent="0.35">
      <c r="A40" t="s">
        <v>136</v>
      </c>
      <c r="B40" s="50" t="str">
        <f t="shared" si="12"/>
        <v>2025_AU_NCC</v>
      </c>
      <c r="C40" s="50" t="s">
        <v>2423</v>
      </c>
      <c r="D40" s="50" t="s">
        <v>2447</v>
      </c>
      <c r="E40" t="s">
        <v>2040</v>
      </c>
      <c r="F40" s="62">
        <v>2025</v>
      </c>
      <c r="G40" s="62" t="s">
        <v>2522</v>
      </c>
      <c r="H40" t="s">
        <v>2523</v>
      </c>
      <c r="I40">
        <v>230</v>
      </c>
      <c r="J40">
        <v>196</v>
      </c>
      <c r="K40">
        <v>120</v>
      </c>
      <c r="L40" s="50" t="str">
        <f t="shared" si="21"/>
        <v>CS Audience Seating Area - Exercise Center_2025AUNCC</v>
      </c>
      <c r="M40" s="50" t="str">
        <f t="shared" si="14"/>
        <v>CS Audience Seating Area - Exercise Center_2025AUNCCScheduleSet</v>
      </c>
      <c r="N40" s="68">
        <v>6.6666666670000003</v>
      </c>
      <c r="O40">
        <v>150</v>
      </c>
      <c r="P40" s="38">
        <v>1.614587258</v>
      </c>
      <c r="Q40">
        <v>255.91</v>
      </c>
      <c r="R40" s="6">
        <v>75</v>
      </c>
      <c r="S40">
        <v>187.67</v>
      </c>
      <c r="T40" s="6">
        <v>55</v>
      </c>
      <c r="U40" s="6"/>
      <c r="V40" s="6"/>
      <c r="W40" s="6">
        <v>130</v>
      </c>
      <c r="X40" s="2">
        <v>0.57692307700000001</v>
      </c>
      <c r="Y40" t="s">
        <v>2524</v>
      </c>
      <c r="Z40" t="s">
        <v>2525</v>
      </c>
      <c r="AB40" s="4"/>
      <c r="AC40" s="50" t="str">
        <f t="shared" si="25"/>
        <v>NCC S35C2nOther applications (non-dining)PeopleDef</v>
      </c>
      <c r="AD40" t="s">
        <v>355</v>
      </c>
      <c r="AE40" s="50" t="str">
        <f t="shared" si="22"/>
        <v>CS Audience Seating Area - Exercise CenterActivity</v>
      </c>
      <c r="AF40" s="62">
        <v>7.5</v>
      </c>
      <c r="AG40" s="62">
        <f t="shared" si="27"/>
        <v>3.5394053798961773E-3</v>
      </c>
      <c r="AH40" s="62">
        <v>0.06</v>
      </c>
      <c r="AI40" s="62">
        <f t="shared" si="17"/>
        <v>3.0479999999999998E-4</v>
      </c>
      <c r="AJ40" s="63" t="s">
        <v>2165</v>
      </c>
      <c r="AK40" s="4" t="s">
        <v>2165</v>
      </c>
      <c r="AL40" s="4" t="s">
        <v>2165</v>
      </c>
      <c r="AM40" t="s">
        <v>37</v>
      </c>
      <c r="AN40" t="s">
        <v>43</v>
      </c>
      <c r="AO40" s="4" t="s">
        <v>2165</v>
      </c>
      <c r="AP40" s="4" t="s">
        <v>2165</v>
      </c>
      <c r="AQ40" s="72" t="str">
        <f t="shared" si="26"/>
        <v>Washington State Mechanical Code TABLE 403.3.1.1Sports and amusement_Spectator areasVent</v>
      </c>
      <c r="AR40" s="2">
        <v>0</v>
      </c>
      <c r="AS40" s="2">
        <v>0</v>
      </c>
      <c r="AT40" s="2">
        <v>0</v>
      </c>
      <c r="AU40" s="2">
        <v>0.5</v>
      </c>
      <c r="AV40" s="2">
        <v>0</v>
      </c>
      <c r="AW40" t="s">
        <v>2528</v>
      </c>
      <c r="AX40" t="s">
        <v>105</v>
      </c>
      <c r="AY40" t="s">
        <v>2533</v>
      </c>
      <c r="AZ40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Exercise CenterElectricalEquipDef</v>
      </c>
      <c r="BA40" s="8" t="s">
        <v>338</v>
      </c>
      <c r="BB40" s="50">
        <v>0.23</v>
      </c>
      <c r="BC40" s="2">
        <v>2.4756999999999998</v>
      </c>
      <c r="BD40" s="2">
        <v>0.37</v>
      </c>
      <c r="BE40" s="2">
        <v>0.2</v>
      </c>
      <c r="BF40" t="s">
        <v>2599</v>
      </c>
      <c r="BG40" s="4"/>
      <c r="BH40" t="s">
        <v>2600</v>
      </c>
      <c r="BI40" s="72" t="str">
        <f t="shared" si="23"/>
        <v>IECC Table C405.3.2(2)Audience seating area - in a gymnasium (nearest; no dedicated 'exercise center' row); radiant/visible fraction split retained from original WA/COMNET-REV9 sourceLightingDef</v>
      </c>
      <c r="BJ40" t="s">
        <v>367</v>
      </c>
      <c r="BK40" s="45"/>
      <c r="BL40" s="45"/>
      <c r="BM40" s="45"/>
      <c r="BN40" s="45"/>
      <c r="BO40" s="45"/>
      <c r="BP40" s="45"/>
      <c r="BQ40" s="4"/>
      <c r="BR40" s="4"/>
      <c r="BS40" s="4"/>
      <c r="BT40" s="73" t="s">
        <v>2165</v>
      </c>
      <c r="BU40" s="45" t="s">
        <v>2165</v>
      </c>
      <c r="BW40">
        <v>0.7</v>
      </c>
      <c r="BY40" t="s">
        <v>2660</v>
      </c>
      <c r="BZ40" t="s">
        <v>2661</v>
      </c>
      <c r="CB40" s="50" t="str">
        <f t="shared" si="24"/>
        <v>Space Function_Gym - audience</v>
      </c>
      <c r="CC40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Function_Gym - audienceInfil</v>
      </c>
      <c r="CD40" t="s">
        <v>266</v>
      </c>
      <c r="CE40" t="s">
        <v>250</v>
      </c>
      <c r="CF40" t="s">
        <v>2040</v>
      </c>
      <c r="CH40">
        <v>1.03</v>
      </c>
      <c r="CJ40" t="s">
        <v>2207</v>
      </c>
      <c r="CK40">
        <v>0.01</v>
      </c>
      <c r="CL40">
        <v>50</v>
      </c>
      <c r="CM40">
        <v>332</v>
      </c>
      <c r="CN40">
        <v>863</v>
      </c>
      <c r="CO40">
        <v>0.9</v>
      </c>
      <c r="CP40">
        <v>0.65</v>
      </c>
      <c r="CQ40">
        <v>0.65</v>
      </c>
      <c r="CR40" t="s">
        <v>2217</v>
      </c>
      <c r="CS40" t="s">
        <v>2206</v>
      </c>
      <c r="CT40" t="s">
        <v>2311</v>
      </c>
      <c r="CV40" t="str">
        <f t="shared" si="29"/>
        <v>Mixed_AudienceSeating_ExCtr_10mm</v>
      </c>
      <c r="CW40" s="72" t="str">
        <f t="shared" si="30"/>
        <v>CalculatedEstimateRetractableAluminumBleacherSystemMixed_AudienceSeating_ExCtr_10mmInternalMassDef</v>
      </c>
    </row>
    <row r="41" spans="1:101" x14ac:dyDescent="0.35">
      <c r="A41" t="s">
        <v>137</v>
      </c>
      <c r="B41" s="50" t="str">
        <f t="shared" si="12"/>
        <v>2025_AU_NCC</v>
      </c>
      <c r="C41" s="50" t="s">
        <v>109</v>
      </c>
      <c r="D41" s="50" t="s">
        <v>2447</v>
      </c>
      <c r="E41" t="s">
        <v>2040</v>
      </c>
      <c r="F41" s="62">
        <v>2025</v>
      </c>
      <c r="G41" s="62" t="s">
        <v>2522</v>
      </c>
      <c r="H41" t="s">
        <v>2523</v>
      </c>
      <c r="I41">
        <v>230</v>
      </c>
      <c r="J41">
        <v>196</v>
      </c>
      <c r="K41">
        <v>120</v>
      </c>
      <c r="L41" s="50" t="str">
        <f t="shared" si="21"/>
        <v>CS Audience Seating Area - Gymnasium_2025AUNCC</v>
      </c>
      <c r="M41" s="50" t="str">
        <f t="shared" si="14"/>
        <v>CS Audience Seating Area - Gymnasium_2025AUNCCScheduleSet</v>
      </c>
      <c r="N41" s="68">
        <v>6.6666666670000003</v>
      </c>
      <c r="O41">
        <v>150</v>
      </c>
      <c r="P41" s="38">
        <v>1.614587258</v>
      </c>
      <c r="Q41">
        <v>255.91</v>
      </c>
      <c r="R41" s="6">
        <v>75</v>
      </c>
      <c r="S41">
        <v>187.67</v>
      </c>
      <c r="T41" s="6">
        <v>55</v>
      </c>
      <c r="U41" s="6"/>
      <c r="V41" s="6"/>
      <c r="W41" s="6">
        <v>130</v>
      </c>
      <c r="X41" s="2">
        <v>0.57692307700000001</v>
      </c>
      <c r="Y41" t="s">
        <v>2524</v>
      </c>
      <c r="Z41" t="s">
        <v>2525</v>
      </c>
      <c r="AB41" s="4"/>
      <c r="AC41" s="50" t="str">
        <f t="shared" si="25"/>
        <v>NCC S35C2nOther applications (non-dining)PeopleDef</v>
      </c>
      <c r="AD41" t="s">
        <v>355</v>
      </c>
      <c r="AE41" s="50" t="str">
        <f t="shared" si="22"/>
        <v>CS Audience Seating Area - GymnasiumActivity</v>
      </c>
      <c r="AF41" s="62">
        <v>7.5</v>
      </c>
      <c r="AG41" s="62">
        <f t="shared" si="27"/>
        <v>3.5394053798961773E-3</v>
      </c>
      <c r="AH41" s="62">
        <v>0.06</v>
      </c>
      <c r="AI41" s="62">
        <f t="shared" si="17"/>
        <v>3.0479999999999998E-4</v>
      </c>
      <c r="AJ41" s="63" t="s">
        <v>2165</v>
      </c>
      <c r="AK41" s="4" t="s">
        <v>2165</v>
      </c>
      <c r="AL41" s="4" t="s">
        <v>2165</v>
      </c>
      <c r="AM41" t="s">
        <v>37</v>
      </c>
      <c r="AN41" t="s">
        <v>43</v>
      </c>
      <c r="AO41" s="4" t="s">
        <v>2165</v>
      </c>
      <c r="AP41" s="4" t="s">
        <v>2165</v>
      </c>
      <c r="AQ41" s="72" t="str">
        <f t="shared" si="26"/>
        <v>Washington State Mechanical Code TABLE 403.3.1.1Sports and amusement_Spectator areasVent</v>
      </c>
      <c r="AR41" s="2">
        <v>0</v>
      </c>
      <c r="AS41" s="2">
        <v>0</v>
      </c>
      <c r="AT41" s="2">
        <v>0</v>
      </c>
      <c r="AU41" s="2">
        <v>0.5</v>
      </c>
      <c r="AV41" s="2">
        <v>0</v>
      </c>
      <c r="AW41" t="s">
        <v>2528</v>
      </c>
      <c r="AX41" t="s">
        <v>105</v>
      </c>
      <c r="AY41" t="s">
        <v>2533</v>
      </c>
      <c r="AZ41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GymnasiumElectricalEquipDef</v>
      </c>
      <c r="BA41" t="s">
        <v>338</v>
      </c>
      <c r="BB41" s="50">
        <v>0.23</v>
      </c>
      <c r="BC41" s="2">
        <v>2.4756999999999998</v>
      </c>
      <c r="BD41" s="2">
        <v>0.37</v>
      </c>
      <c r="BE41" s="2">
        <v>0.2</v>
      </c>
      <c r="BF41" t="s">
        <v>2599</v>
      </c>
      <c r="BG41" s="4"/>
      <c r="BH41" t="s">
        <v>2601</v>
      </c>
      <c r="BI41" s="72" t="str">
        <f t="shared" si="23"/>
        <v>IECC Table C405.3.2(2)Audience seating area - in a gymnasium; radiant/visible fraction split retained from original WA/COMNET-REV9 sourceLightingDef</v>
      </c>
      <c r="BJ41" t="s">
        <v>367</v>
      </c>
      <c r="BK41" s="45"/>
      <c r="BL41" s="45"/>
      <c r="BM41" s="45"/>
      <c r="BN41" s="45"/>
      <c r="BO41" s="45"/>
      <c r="BP41" s="45"/>
      <c r="BQ41" s="4"/>
      <c r="BR41" s="4"/>
      <c r="BS41" s="4"/>
      <c r="BT41" s="73" t="s">
        <v>2165</v>
      </c>
      <c r="BU41" s="45" t="s">
        <v>2165</v>
      </c>
      <c r="BW41">
        <v>0.7</v>
      </c>
      <c r="BY41" t="s">
        <v>2660</v>
      </c>
      <c r="BZ41" s="7" t="s">
        <v>2661</v>
      </c>
      <c r="CB41" s="50" t="str">
        <f t="shared" si="24"/>
        <v>SecondarySchool_Gym</v>
      </c>
      <c r="CC41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developed)SecondarySchool_GymInfil</v>
      </c>
      <c r="CD41" t="s">
        <v>265</v>
      </c>
      <c r="CE41" t="s">
        <v>323</v>
      </c>
      <c r="CF41" t="s">
        <v>268</v>
      </c>
      <c r="CH41">
        <v>0.71</v>
      </c>
      <c r="CJ41" t="s">
        <v>2207</v>
      </c>
      <c r="CK41">
        <v>0.01</v>
      </c>
      <c r="CL41">
        <v>50</v>
      </c>
      <c r="CM41">
        <v>382</v>
      </c>
      <c r="CN41">
        <v>851</v>
      </c>
      <c r="CO41">
        <v>0.9</v>
      </c>
      <c r="CP41">
        <v>0.65</v>
      </c>
      <c r="CQ41">
        <v>0.65</v>
      </c>
      <c r="CR41" t="s">
        <v>2218</v>
      </c>
      <c r="CS41" t="s">
        <v>2206</v>
      </c>
      <c r="CT41" t="s">
        <v>2312</v>
      </c>
      <c r="CV41" t="str">
        <f t="shared" si="29"/>
        <v>Mixed_AudienceSeating_Gymnasium_10mm</v>
      </c>
      <c r="CW41" s="72" t="str">
        <f t="shared" ref="CW41:CW104" si="31">CONCATENATE(CS41,CT41,CU41,CV41,"InternalMassDef")</f>
        <v>CalculatedEstimateTelescopingAluminumBleacherSystemMixed_AudienceSeating_Gymnasium_10mmInternalMassDef</v>
      </c>
    </row>
    <row r="42" spans="1:101" x14ac:dyDescent="0.35">
      <c r="A42" t="s">
        <v>138</v>
      </c>
      <c r="B42" s="50" t="str">
        <f t="shared" si="12"/>
        <v>2025_AU_NCC</v>
      </c>
      <c r="C42" s="50" t="s">
        <v>2424</v>
      </c>
      <c r="D42" s="50" t="s">
        <v>2447</v>
      </c>
      <c r="E42" t="s">
        <v>270</v>
      </c>
      <c r="F42" s="62">
        <v>2025</v>
      </c>
      <c r="G42" s="62" t="s">
        <v>2522</v>
      </c>
      <c r="H42" t="s">
        <v>2523</v>
      </c>
      <c r="I42">
        <v>230</v>
      </c>
      <c r="J42">
        <v>196</v>
      </c>
      <c r="K42">
        <v>120</v>
      </c>
      <c r="L42" s="50" t="str">
        <f t="shared" si="21"/>
        <v>CS Audience Seating Area - Motion Picture Theater_2025AUNCC</v>
      </c>
      <c r="M42" s="50" t="str">
        <f t="shared" si="14"/>
        <v>CS Audience Seating Area - Motion Picture Theater_2025AUNCCScheduleSet</v>
      </c>
      <c r="N42" s="68">
        <v>6.6666666670000003</v>
      </c>
      <c r="O42">
        <v>150</v>
      </c>
      <c r="P42" s="38">
        <v>1.614587258</v>
      </c>
      <c r="Q42">
        <v>255.91</v>
      </c>
      <c r="R42" s="6">
        <v>75</v>
      </c>
      <c r="S42">
        <v>187.67</v>
      </c>
      <c r="T42" s="6">
        <v>55</v>
      </c>
      <c r="U42" s="6"/>
      <c r="V42" s="6"/>
      <c r="W42" s="6">
        <v>130</v>
      </c>
      <c r="X42" s="2">
        <v>0.57692307700000001</v>
      </c>
      <c r="Y42" t="s">
        <v>2524</v>
      </c>
      <c r="Z42" t="s">
        <v>2525</v>
      </c>
      <c r="AB42" s="4"/>
      <c r="AC42" s="50" t="str">
        <f t="shared" si="25"/>
        <v>NCC S35C2nOther applications (non-dining)PeopleDef</v>
      </c>
      <c r="AD42" t="s">
        <v>353</v>
      </c>
      <c r="AE42" s="50" t="str">
        <f t="shared" si="22"/>
        <v>CS Audience Seating Area - Motion Picture TheaterActivity</v>
      </c>
      <c r="AF42" s="62">
        <v>5</v>
      </c>
      <c r="AG42" s="62">
        <f t="shared" si="27"/>
        <v>2.3596035865974517E-3</v>
      </c>
      <c r="AH42" s="62">
        <v>0.06</v>
      </c>
      <c r="AI42" s="62">
        <f t="shared" si="17"/>
        <v>3.0479999999999998E-4</v>
      </c>
      <c r="AJ42" s="63" t="s">
        <v>2165</v>
      </c>
      <c r="AK42" s="4" t="s">
        <v>2165</v>
      </c>
      <c r="AL42" s="4" t="s">
        <v>2165</v>
      </c>
      <c r="AM42" t="s">
        <v>37</v>
      </c>
      <c r="AN42" t="s">
        <v>39</v>
      </c>
      <c r="AO42" s="4" t="s">
        <v>2165</v>
      </c>
      <c r="AP42" s="4" t="s">
        <v>2165</v>
      </c>
      <c r="AQ42" s="72" t="str">
        <f t="shared" si="26"/>
        <v>Washington State Mechanical Code TABLE 403.3.1.1Education_AuditoriumsVent</v>
      </c>
      <c r="AR42" s="2">
        <v>0</v>
      </c>
      <c r="AS42" s="2">
        <v>0</v>
      </c>
      <c r="AT42" s="2">
        <v>0</v>
      </c>
      <c r="AU42" s="2">
        <v>0.5</v>
      </c>
      <c r="AV42" s="2">
        <v>0</v>
      </c>
      <c r="AW42" t="s">
        <v>2528</v>
      </c>
      <c r="AX42" t="s">
        <v>105</v>
      </c>
      <c r="AY42" t="s">
        <v>2533</v>
      </c>
      <c r="AZ42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Motion Picture TheaterElectricalEquipDef</v>
      </c>
      <c r="BA42" s="8" t="s">
        <v>336</v>
      </c>
      <c r="BB42" s="50">
        <v>0.743224</v>
      </c>
      <c r="BC42" s="2">
        <v>8</v>
      </c>
      <c r="BD42" s="2">
        <v>0.37</v>
      </c>
      <c r="BE42" s="2">
        <v>0.2</v>
      </c>
      <c r="BF42" t="s">
        <v>2569</v>
      </c>
      <c r="BG42" s="4"/>
      <c r="BH42" t="s">
        <v>2598</v>
      </c>
      <c r="BI42" s="72" t="str">
        <f t="shared" si="23"/>
        <v>NCC J7D3aAuditorium, church and public hall (nearest); radiant/visible fraction split retained from original WA/COMNET-REV9 source (AIRAH Technical Handbook does not publish this split)LightingDef</v>
      </c>
      <c r="BJ42" t="s">
        <v>365</v>
      </c>
      <c r="BK42" s="45"/>
      <c r="BL42" s="45"/>
      <c r="BM42" s="45"/>
      <c r="BN42" s="45"/>
      <c r="BO42" s="45"/>
      <c r="BP42" s="45"/>
      <c r="BQ42" s="4"/>
      <c r="BR42" s="4"/>
      <c r="BS42" s="4"/>
      <c r="BT42" s="73" t="s">
        <v>2165</v>
      </c>
      <c r="BU42" s="45" t="s">
        <v>2165</v>
      </c>
      <c r="BW42">
        <v>0.7</v>
      </c>
      <c r="BY42" t="s">
        <v>2660</v>
      </c>
      <c r="BZ42" t="s">
        <v>2661</v>
      </c>
      <c r="CB42" s="50" t="str">
        <f t="shared" si="24"/>
        <v>Space Function_Audience - motion picture</v>
      </c>
      <c r="CC42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Function_Audience - motion pictureInfil</v>
      </c>
      <c r="CD42" t="s">
        <v>266</v>
      </c>
      <c r="CE42" t="s">
        <v>250</v>
      </c>
      <c r="CF42" t="s">
        <v>270</v>
      </c>
      <c r="CH42">
        <v>1.81</v>
      </c>
      <c r="CJ42" t="s">
        <v>2205</v>
      </c>
      <c r="CK42">
        <v>3.4099999999999998E-2</v>
      </c>
      <c r="CL42">
        <v>0.89100000000000001</v>
      </c>
      <c r="CM42">
        <v>210</v>
      </c>
      <c r="CN42">
        <v>876</v>
      </c>
      <c r="CO42">
        <v>0.9</v>
      </c>
      <c r="CP42">
        <v>0.65</v>
      </c>
      <c r="CQ42">
        <v>0.65</v>
      </c>
      <c r="CR42" t="s">
        <v>2219</v>
      </c>
      <c r="CS42" t="s">
        <v>2206</v>
      </c>
      <c r="CT42" t="s">
        <v>2313</v>
      </c>
      <c r="CV42" t="str">
        <f t="shared" si="29"/>
        <v>Mixed_AudienceSeating_MotionPictureTheater_34mm</v>
      </c>
      <c r="CW42" s="72" t="str">
        <f t="shared" si="31"/>
        <v>CalculatedEstimateFixedCinemaSeatsWithCupHoldersMixed_AudienceSeating_MotionPictureTheater_34mmInternalMassDef</v>
      </c>
    </row>
    <row r="43" spans="1:101" x14ac:dyDescent="0.35">
      <c r="A43" t="s">
        <v>139</v>
      </c>
      <c r="B43" s="50" t="str">
        <f t="shared" si="12"/>
        <v>2025_AU_NCC</v>
      </c>
      <c r="C43" s="50" t="s">
        <v>117</v>
      </c>
      <c r="D43" s="50" t="s">
        <v>2447</v>
      </c>
      <c r="E43" t="s">
        <v>272</v>
      </c>
      <c r="F43" s="62">
        <v>2025</v>
      </c>
      <c r="G43" s="62" t="s">
        <v>2522</v>
      </c>
      <c r="H43" t="s">
        <v>2523</v>
      </c>
      <c r="I43">
        <v>230</v>
      </c>
      <c r="J43">
        <v>196</v>
      </c>
      <c r="K43">
        <v>120</v>
      </c>
      <c r="L43" s="50" t="str">
        <f t="shared" si="21"/>
        <v>CS Audience Seating Area - Penitentiary_2025AUNCC</v>
      </c>
      <c r="M43" s="50" t="str">
        <f t="shared" si="14"/>
        <v>CS Audience Seating Area - Penitentiary_2025AUNCCScheduleSet</v>
      </c>
      <c r="N43" s="68">
        <v>20</v>
      </c>
      <c r="O43">
        <v>50</v>
      </c>
      <c r="P43" s="38">
        <v>0.538195753</v>
      </c>
      <c r="Q43">
        <v>255.91</v>
      </c>
      <c r="R43" s="6">
        <v>75</v>
      </c>
      <c r="S43">
        <v>187.67</v>
      </c>
      <c r="T43" s="6">
        <v>55</v>
      </c>
      <c r="U43" s="6"/>
      <c r="V43" s="6"/>
      <c r="W43" s="6">
        <v>130</v>
      </c>
      <c r="X43" s="2">
        <v>0.57692307700000001</v>
      </c>
      <c r="Y43" t="s">
        <v>2524</v>
      </c>
      <c r="Z43" t="s">
        <v>2525</v>
      </c>
      <c r="AB43" s="4"/>
      <c r="AC43" s="50" t="str">
        <f t="shared" si="25"/>
        <v>NCC S35C2nOther applications (non-dining)PeopleDef</v>
      </c>
      <c r="AD43" t="s">
        <v>353</v>
      </c>
      <c r="AE43" s="50" t="str">
        <f t="shared" si="22"/>
        <v>CS Audience Seating Area - PenitentiaryActivity</v>
      </c>
      <c r="AF43" s="62">
        <v>7.5</v>
      </c>
      <c r="AG43" s="62">
        <f t="shared" si="27"/>
        <v>3.5394053798961773E-3</v>
      </c>
      <c r="AH43" s="62">
        <v>0.06</v>
      </c>
      <c r="AI43" s="62">
        <f t="shared" si="17"/>
        <v>3.0479999999999998E-4</v>
      </c>
      <c r="AJ43" s="63" t="s">
        <v>2165</v>
      </c>
      <c r="AK43" s="4" t="s">
        <v>2165</v>
      </c>
      <c r="AL43" s="4" t="s">
        <v>2165</v>
      </c>
      <c r="AM43" t="s">
        <v>37</v>
      </c>
      <c r="AN43" t="s">
        <v>45</v>
      </c>
      <c r="AO43" s="4" t="s">
        <v>2165</v>
      </c>
      <c r="AP43" s="4" t="s">
        <v>2165</v>
      </c>
      <c r="AQ43" s="72" t="str">
        <f t="shared" si="26"/>
        <v>Washington State Mechanical Code TABLE 403.3.1.1Correctional facilities_Booking_waitingVent</v>
      </c>
      <c r="AR43" s="2">
        <v>0.74760799300000003</v>
      </c>
      <c r="AS43" s="2">
        <v>8.0472524320000005</v>
      </c>
      <c r="AT43" s="2">
        <v>0</v>
      </c>
      <c r="AU43" s="2">
        <v>0.5</v>
      </c>
      <c r="AV43" s="2">
        <v>0</v>
      </c>
      <c r="AW43" t="s">
        <v>104</v>
      </c>
      <c r="AX43" t="s">
        <v>105</v>
      </c>
      <c r="AY43" t="s">
        <v>334</v>
      </c>
      <c r="AZ43" s="72" t="str">
        <f t="shared" si="5"/>
        <v>COMNET-REV9NREL 956/Eley AnalysisDOEPrototypeCS Audience Seating Area - PenitentiaryElectricalEquipDef</v>
      </c>
      <c r="BA43" s="8" t="s">
        <v>336</v>
      </c>
      <c r="BB43" s="50">
        <v>0.56000000000000005</v>
      </c>
      <c r="BC43" s="2">
        <v>6.0277900000000004</v>
      </c>
      <c r="BD43" s="2">
        <v>0.37</v>
      </c>
      <c r="BE43" s="2">
        <v>0.2</v>
      </c>
      <c r="BF43" t="s">
        <v>2599</v>
      </c>
      <c r="BG43" s="4"/>
      <c r="BH43" t="s">
        <v>2602</v>
      </c>
      <c r="BI43" s="72" t="str">
        <f t="shared" si="23"/>
        <v>IECC Table C405.3.2(2)Audience seating area - in a penitentiary; radiant/visible fraction split retained from original WA/COMNET-REV9 sourceLightingDef</v>
      </c>
      <c r="BJ43" t="s">
        <v>365</v>
      </c>
      <c r="BK43" s="45"/>
      <c r="BL43" s="45"/>
      <c r="BM43" s="45"/>
      <c r="BN43" s="45"/>
      <c r="BO43" s="45"/>
      <c r="BP43" s="45"/>
      <c r="BQ43" s="4"/>
      <c r="BR43" s="4"/>
      <c r="BS43" s="4"/>
      <c r="BT43" s="73" t="s">
        <v>2165</v>
      </c>
      <c r="BU43" s="45" t="s">
        <v>2165</v>
      </c>
      <c r="BW43">
        <v>0.7</v>
      </c>
      <c r="BY43" t="s">
        <v>2660</v>
      </c>
      <c r="BZ43" t="s">
        <v>2661</v>
      </c>
      <c r="CB43" s="50" t="str">
        <f t="shared" si="24"/>
        <v>Space Function_Penitentiary - audience</v>
      </c>
      <c r="CC43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Function_Penitentiary - audienceInfil</v>
      </c>
      <c r="CD43" t="s">
        <v>266</v>
      </c>
      <c r="CE43" t="s">
        <v>250</v>
      </c>
      <c r="CF43" t="s">
        <v>272</v>
      </c>
      <c r="CH43">
        <v>1.17</v>
      </c>
      <c r="CJ43" t="s">
        <v>2181</v>
      </c>
      <c r="CK43">
        <v>1.2999999999999999E-3</v>
      </c>
      <c r="CL43">
        <v>50</v>
      </c>
      <c r="CM43">
        <v>7800</v>
      </c>
      <c r="CN43">
        <v>460</v>
      </c>
      <c r="CO43">
        <v>0.9</v>
      </c>
      <c r="CP43">
        <v>0.7</v>
      </c>
      <c r="CQ43">
        <v>0.7</v>
      </c>
      <c r="CR43" t="s">
        <v>2220</v>
      </c>
      <c r="CS43" t="s">
        <v>2206</v>
      </c>
      <c r="CT43" t="s">
        <v>2314</v>
      </c>
      <c r="CV43" t="str">
        <f t="shared" si="29"/>
        <v>Steel_AudienceSeating_Penitentiary_1mm</v>
      </c>
      <c r="CW43" s="72" t="str">
        <f t="shared" si="31"/>
        <v>CalculatedEstimateFixedAllMetalSecuritySeatingSteel_AudienceSeating_Penitentiary_1mmInternalMassDef</v>
      </c>
    </row>
    <row r="44" spans="1:101" x14ac:dyDescent="0.35">
      <c r="A44" t="s">
        <v>140</v>
      </c>
      <c r="B44" s="50" t="str">
        <f t="shared" si="12"/>
        <v>2025_AU_NCC</v>
      </c>
      <c r="C44" s="50" t="s">
        <v>2424</v>
      </c>
      <c r="D44" s="50" t="s">
        <v>2447</v>
      </c>
      <c r="E44" t="s">
        <v>2041</v>
      </c>
      <c r="F44" s="62">
        <v>2025</v>
      </c>
      <c r="G44" s="62" t="s">
        <v>2522</v>
      </c>
      <c r="H44" t="s">
        <v>2523</v>
      </c>
      <c r="I44">
        <v>230</v>
      </c>
      <c r="J44">
        <v>196</v>
      </c>
      <c r="K44">
        <v>120</v>
      </c>
      <c r="L44" s="50" t="str">
        <f t="shared" si="21"/>
        <v>CS Audience Seating Area - Performing Arts Theater_2025AUNCC</v>
      </c>
      <c r="M44" s="50" t="str">
        <f t="shared" si="14"/>
        <v>CS Audience Seating Area - Performing Arts Theater_2025AUNCCScheduleSet</v>
      </c>
      <c r="N44" s="68">
        <v>6.6666666670000003</v>
      </c>
      <c r="O44">
        <v>150</v>
      </c>
      <c r="P44" s="38">
        <v>1.614587258</v>
      </c>
      <c r="Q44">
        <v>255.91</v>
      </c>
      <c r="R44" s="6">
        <v>75</v>
      </c>
      <c r="S44">
        <v>187.67</v>
      </c>
      <c r="T44" s="6">
        <v>55</v>
      </c>
      <c r="U44" s="6"/>
      <c r="V44" s="6"/>
      <c r="W44" s="6">
        <v>130</v>
      </c>
      <c r="X44" s="2">
        <v>0.57692307700000001</v>
      </c>
      <c r="Y44" t="s">
        <v>2524</v>
      </c>
      <c r="Z44" t="s">
        <v>2525</v>
      </c>
      <c r="AB44" s="4"/>
      <c r="AC44" s="50" t="str">
        <f t="shared" si="25"/>
        <v>NCC S35C2nOther applications (non-dining)PeopleDef</v>
      </c>
      <c r="AD44" t="s">
        <v>353</v>
      </c>
      <c r="AE44" s="50" t="str">
        <f t="shared" si="22"/>
        <v>CS Audience Seating Area - Performing Arts TheaterActivity</v>
      </c>
      <c r="AF44" s="62">
        <v>5</v>
      </c>
      <c r="AG44" s="62">
        <f t="shared" si="27"/>
        <v>2.3596035865974517E-3</v>
      </c>
      <c r="AH44" s="62">
        <v>0.06</v>
      </c>
      <c r="AI44" s="62">
        <f t="shared" si="17"/>
        <v>3.0479999999999998E-4</v>
      </c>
      <c r="AJ44" s="63" t="s">
        <v>2165</v>
      </c>
      <c r="AK44" s="4" t="s">
        <v>2165</v>
      </c>
      <c r="AL44" s="4" t="s">
        <v>2165</v>
      </c>
      <c r="AM44" t="s">
        <v>37</v>
      </c>
      <c r="AN44" t="s">
        <v>39</v>
      </c>
      <c r="AO44" s="4" t="s">
        <v>2165</v>
      </c>
      <c r="AP44" s="4" t="s">
        <v>2165</v>
      </c>
      <c r="AQ44" s="72" t="str">
        <f t="shared" si="26"/>
        <v>Washington State Mechanical Code TABLE 403.3.1.1Education_AuditoriumsVent</v>
      </c>
      <c r="AR44" s="2">
        <v>0</v>
      </c>
      <c r="AS44" s="2">
        <v>0</v>
      </c>
      <c r="AT44" s="2">
        <v>0</v>
      </c>
      <c r="AU44" s="2">
        <v>0.5</v>
      </c>
      <c r="AV44" s="2">
        <v>0</v>
      </c>
      <c r="AW44" t="s">
        <v>2528</v>
      </c>
      <c r="AX44" t="s">
        <v>105</v>
      </c>
      <c r="AY44" t="s">
        <v>2533</v>
      </c>
      <c r="AZ44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Performing Arts TheaterElectricalEquipDef</v>
      </c>
      <c r="BA44" s="8" t="s">
        <v>336</v>
      </c>
      <c r="BB44" s="50">
        <v>0.743224</v>
      </c>
      <c r="BC44" s="2">
        <v>8</v>
      </c>
      <c r="BD44" s="2">
        <v>0.37</v>
      </c>
      <c r="BE44" s="2">
        <v>0.2</v>
      </c>
      <c r="BF44" t="s">
        <v>2569</v>
      </c>
      <c r="BG44" s="4"/>
      <c r="BH44" t="s">
        <v>2598</v>
      </c>
      <c r="BI44" s="72" t="str">
        <f t="shared" si="23"/>
        <v>NCC J7D3aAuditorium, church and public hall (nearest); radiant/visible fraction split retained from original WA/COMNET-REV9 source (AIRAH Technical Handbook does not publish this split)LightingDef</v>
      </c>
      <c r="BJ44" t="s">
        <v>365</v>
      </c>
      <c r="BK44" s="45"/>
      <c r="BL44" s="45"/>
      <c r="BM44" s="45"/>
      <c r="BN44" s="45"/>
      <c r="BO44" s="45"/>
      <c r="BP44" s="45"/>
      <c r="BQ44" s="4"/>
      <c r="BR44" s="4"/>
      <c r="BS44" s="4"/>
      <c r="BT44" s="73" t="s">
        <v>2165</v>
      </c>
      <c r="BU44" s="45" t="s">
        <v>2165</v>
      </c>
      <c r="BW44">
        <v>0.7</v>
      </c>
      <c r="BY44" t="s">
        <v>2660</v>
      </c>
      <c r="BZ44" s="7" t="s">
        <v>2661</v>
      </c>
      <c r="CB44" s="50" t="str">
        <f t="shared" si="24"/>
        <v>SecondarySchool_Auditorium</v>
      </c>
      <c r="CC44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developed)SecondarySchool_AuditoriumInfil</v>
      </c>
      <c r="CD44" s="7" t="s">
        <v>265</v>
      </c>
      <c r="CE44" t="s">
        <v>323</v>
      </c>
      <c r="CF44" s="7" t="s">
        <v>269</v>
      </c>
      <c r="CH44">
        <v>2.06</v>
      </c>
      <c r="CJ44" t="s">
        <v>2205</v>
      </c>
      <c r="CK44">
        <v>3.7900000000000003E-2</v>
      </c>
      <c r="CL44">
        <v>0.86299999999999999</v>
      </c>
      <c r="CM44">
        <v>200</v>
      </c>
      <c r="CN44">
        <v>879</v>
      </c>
      <c r="CO44">
        <v>0.9</v>
      </c>
      <c r="CP44">
        <v>0.65</v>
      </c>
      <c r="CQ44">
        <v>0.65</v>
      </c>
      <c r="CR44" t="s">
        <v>2221</v>
      </c>
      <c r="CS44" t="s">
        <v>2206</v>
      </c>
      <c r="CT44" t="s">
        <v>2315</v>
      </c>
      <c r="CV44" t="str">
        <f t="shared" si="29"/>
        <v>Mixed_AudienceSeating_PerformingArtsTheater_38mm</v>
      </c>
      <c r="CW44" s="72" t="str">
        <f t="shared" si="31"/>
        <v>CalculatedEstimateFixedUpholsteredSeatsWithAisleRailsMixed_AudienceSeating_PerformingArtsTheater_38mmInternalMassDef</v>
      </c>
    </row>
    <row r="45" spans="1:101" x14ac:dyDescent="0.35">
      <c r="A45" t="s">
        <v>141</v>
      </c>
      <c r="B45" s="50" t="str">
        <f t="shared" si="12"/>
        <v>2025_AU_NCC</v>
      </c>
      <c r="C45" s="50" t="s">
        <v>262</v>
      </c>
      <c r="D45" s="50" t="s">
        <v>2447</v>
      </c>
      <c r="E45" t="s">
        <v>273</v>
      </c>
      <c r="F45" s="62">
        <v>2025</v>
      </c>
      <c r="G45" s="62" t="s">
        <v>2522</v>
      </c>
      <c r="H45" t="s">
        <v>2523</v>
      </c>
      <c r="I45">
        <v>230</v>
      </c>
      <c r="J45">
        <v>196</v>
      </c>
      <c r="K45">
        <v>120</v>
      </c>
      <c r="L45" s="50" t="str">
        <f t="shared" si="21"/>
        <v>CS Audience Seating Area - Religious Building_2025AUNCC</v>
      </c>
      <c r="M45" s="50" t="str">
        <f t="shared" si="14"/>
        <v>CS Audience Seating Area - Religious Building_2025AUNCCScheduleSet</v>
      </c>
      <c r="N45" s="68">
        <v>6.6666666670000003</v>
      </c>
      <c r="O45">
        <v>150</v>
      </c>
      <c r="P45" s="38">
        <v>1.614587258</v>
      </c>
      <c r="Q45">
        <v>255.91</v>
      </c>
      <c r="R45" s="6">
        <v>75</v>
      </c>
      <c r="S45">
        <v>187.67</v>
      </c>
      <c r="T45" s="6">
        <v>55</v>
      </c>
      <c r="U45" s="6"/>
      <c r="V45" s="6"/>
      <c r="W45" s="6">
        <v>130</v>
      </c>
      <c r="X45" s="2">
        <v>0.57692307700000001</v>
      </c>
      <c r="Y45" t="s">
        <v>2524</v>
      </c>
      <c r="Z45" t="s">
        <v>2525</v>
      </c>
      <c r="AB45" s="4"/>
      <c r="AC45" s="50" t="str">
        <f t="shared" si="25"/>
        <v>NCC S35C2nOther applications (non-dining)PeopleDef</v>
      </c>
      <c r="AD45" t="s">
        <v>359</v>
      </c>
      <c r="AE45" s="50" t="str">
        <f t="shared" si="22"/>
        <v>CS Audience Seating Area - Religious BuildingActivity</v>
      </c>
      <c r="AF45" s="62">
        <v>5</v>
      </c>
      <c r="AG45" s="62">
        <f t="shared" si="27"/>
        <v>2.3596035865974517E-3</v>
      </c>
      <c r="AH45" s="62">
        <v>0.06</v>
      </c>
      <c r="AI45" s="62">
        <f t="shared" si="17"/>
        <v>3.0479999999999998E-4</v>
      </c>
      <c r="AJ45" s="63" t="s">
        <v>2165</v>
      </c>
      <c r="AK45" s="4" t="s">
        <v>2165</v>
      </c>
      <c r="AL45" s="4" t="s">
        <v>2165</v>
      </c>
      <c r="AM45" t="s">
        <v>37</v>
      </c>
      <c r="AN45" t="s">
        <v>39</v>
      </c>
      <c r="AO45" s="4" t="s">
        <v>2165</v>
      </c>
      <c r="AP45" s="4" t="s">
        <v>2165</v>
      </c>
      <c r="AQ45" s="72" t="str">
        <f t="shared" si="26"/>
        <v>Washington State Mechanical Code TABLE 403.3.1.1Education_AuditoriumsVent</v>
      </c>
      <c r="AR45" s="2">
        <v>0</v>
      </c>
      <c r="AS45" s="2">
        <v>0</v>
      </c>
      <c r="AT45" s="2">
        <v>0</v>
      </c>
      <c r="AU45" s="2">
        <v>0.5</v>
      </c>
      <c r="AV45" s="2">
        <v>0</v>
      </c>
      <c r="AW45" t="s">
        <v>2528</v>
      </c>
      <c r="AX45" t="s">
        <v>105</v>
      </c>
      <c r="AY45" t="s">
        <v>2533</v>
      </c>
      <c r="AZ45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Religious BuildingElectricalEquipDef</v>
      </c>
      <c r="BA45" s="8" t="s">
        <v>342</v>
      </c>
      <c r="BB45" s="50">
        <v>0.743224</v>
      </c>
      <c r="BC45" s="2">
        <v>8</v>
      </c>
      <c r="BD45" s="2">
        <v>0.37</v>
      </c>
      <c r="BE45" s="2">
        <v>0.2</v>
      </c>
      <c r="BF45" t="s">
        <v>2569</v>
      </c>
      <c r="BG45" s="4"/>
      <c r="BH45" t="s">
        <v>2591</v>
      </c>
      <c r="BI45" s="72" t="str">
        <f t="shared" si="23"/>
        <v>NCC J7D3aAuditorium, church and public hall; radiant/visible fraction split retained from original WA/COMNET-REV9 source (AIRAH Technical Handbook does not publish this split)LightingDef</v>
      </c>
      <c r="BJ45" t="s">
        <v>371</v>
      </c>
      <c r="BK45" s="45"/>
      <c r="BL45" s="45"/>
      <c r="BM45" s="45"/>
      <c r="BN45" s="45"/>
      <c r="BO45" s="45"/>
      <c r="BP45" s="45"/>
      <c r="BQ45" s="4"/>
      <c r="BR45" s="4"/>
      <c r="BS45" s="4"/>
      <c r="BT45" s="73" t="s">
        <v>2165</v>
      </c>
      <c r="BU45" s="45" t="s">
        <v>2165</v>
      </c>
      <c r="BW45">
        <v>0.7</v>
      </c>
      <c r="BY45" t="s">
        <v>2660</v>
      </c>
      <c r="BZ45" t="s">
        <v>2661</v>
      </c>
      <c r="CB45" s="50" t="str">
        <f t="shared" si="24"/>
        <v>Space Function_Religious - audience</v>
      </c>
      <c r="CC45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Function_Religious - audienceInfil</v>
      </c>
      <c r="CD45" t="s">
        <v>266</v>
      </c>
      <c r="CE45" t="s">
        <v>250</v>
      </c>
      <c r="CF45" t="s">
        <v>273</v>
      </c>
      <c r="CH45">
        <v>1.17</v>
      </c>
      <c r="CJ45" t="s">
        <v>2205</v>
      </c>
      <c r="CK45">
        <v>1.8200000000000001E-2</v>
      </c>
      <c r="CL45">
        <v>1.1850000000000001</v>
      </c>
      <c r="CM45">
        <v>255</v>
      </c>
      <c r="CN45">
        <v>785</v>
      </c>
      <c r="CO45">
        <v>0.9</v>
      </c>
      <c r="CP45">
        <v>0.7</v>
      </c>
      <c r="CQ45">
        <v>0.7</v>
      </c>
      <c r="CR45" t="s">
        <v>2222</v>
      </c>
      <c r="CS45" t="s">
        <v>2206</v>
      </c>
      <c r="CT45" t="s">
        <v>2316</v>
      </c>
      <c r="CV45" t="str">
        <f t="shared" si="29"/>
        <v>Mixed_AudienceSeating_ReligiousBuilding_18mm</v>
      </c>
      <c r="CW45" s="72" t="str">
        <f t="shared" si="31"/>
        <v>CalculatedEstimatePaddedStackableGangedChairsMixed_AudienceSeating_ReligiousBuilding_18mmInternalMassDef</v>
      </c>
    </row>
    <row r="46" spans="1:101" x14ac:dyDescent="0.35">
      <c r="A46" t="s">
        <v>142</v>
      </c>
      <c r="B46" s="50" t="str">
        <f t="shared" si="12"/>
        <v>2025_AU_NCC</v>
      </c>
      <c r="C46" s="50" t="s">
        <v>122</v>
      </c>
      <c r="D46" s="50" t="s">
        <v>2447</v>
      </c>
      <c r="E46" t="s">
        <v>274</v>
      </c>
      <c r="F46" s="62">
        <v>2025</v>
      </c>
      <c r="G46" s="62" t="s">
        <v>2522</v>
      </c>
      <c r="H46" t="s">
        <v>2523</v>
      </c>
      <c r="I46">
        <v>230</v>
      </c>
      <c r="J46">
        <v>196</v>
      </c>
      <c r="K46">
        <v>120</v>
      </c>
      <c r="L46" s="50" t="str">
        <f t="shared" si="21"/>
        <v>CS Audience Seating Area - Sports Arena_2025AUNCC</v>
      </c>
      <c r="M46" s="50" t="str">
        <f t="shared" si="14"/>
        <v>CS Audience Seating Area - Sports Arena_2025AUNCCScheduleSet</v>
      </c>
      <c r="N46" s="68">
        <v>6.6666666670000003</v>
      </c>
      <c r="O46">
        <v>150</v>
      </c>
      <c r="P46" s="38">
        <v>1.614587258</v>
      </c>
      <c r="Q46">
        <v>255.91</v>
      </c>
      <c r="R46" s="6">
        <v>75</v>
      </c>
      <c r="S46">
        <v>187.67</v>
      </c>
      <c r="T46" s="6">
        <v>55</v>
      </c>
      <c r="U46" s="6"/>
      <c r="V46" s="6"/>
      <c r="W46" s="6">
        <v>130</v>
      </c>
      <c r="X46" s="2">
        <v>0.57692307700000001</v>
      </c>
      <c r="Y46" t="s">
        <v>2524</v>
      </c>
      <c r="Z46" t="s">
        <v>2525</v>
      </c>
      <c r="AB46" s="4"/>
      <c r="AC46" s="50" t="str">
        <f t="shared" si="25"/>
        <v>NCC S35C2nOther applications (non-dining)PeopleDef</v>
      </c>
      <c r="AD46" t="s">
        <v>355</v>
      </c>
      <c r="AE46" s="50" t="str">
        <f t="shared" si="22"/>
        <v>CS Audience Seating Area - Sports ArenaActivity</v>
      </c>
      <c r="AF46" s="62">
        <v>7.5</v>
      </c>
      <c r="AG46" s="62">
        <f t="shared" si="27"/>
        <v>3.5394053798961773E-3</v>
      </c>
      <c r="AH46" s="62">
        <v>0.06</v>
      </c>
      <c r="AI46" s="62">
        <f t="shared" si="17"/>
        <v>3.0479999999999998E-4</v>
      </c>
      <c r="AJ46" s="63" t="s">
        <v>2165</v>
      </c>
      <c r="AK46" s="4" t="s">
        <v>2165</v>
      </c>
      <c r="AL46" s="4" t="s">
        <v>2165</v>
      </c>
      <c r="AM46" t="s">
        <v>37</v>
      </c>
      <c r="AN46" t="s">
        <v>43</v>
      </c>
      <c r="AO46" s="4" t="s">
        <v>2165</v>
      </c>
      <c r="AP46" s="4" t="s">
        <v>2165</v>
      </c>
      <c r="AQ46" s="72" t="str">
        <f t="shared" si="26"/>
        <v>Washington State Mechanical Code TABLE 403.3.1.1Sports and amusement_Spectator areasVent</v>
      </c>
      <c r="AR46" s="2">
        <v>0</v>
      </c>
      <c r="AS46" s="2">
        <v>0</v>
      </c>
      <c r="AT46" s="2">
        <v>0</v>
      </c>
      <c r="AU46" s="2">
        <v>0.5</v>
      </c>
      <c r="AV46" s="2">
        <v>0</v>
      </c>
      <c r="AW46" t="s">
        <v>2528</v>
      </c>
      <c r="AX46" t="s">
        <v>105</v>
      </c>
      <c r="AY46" t="s">
        <v>2533</v>
      </c>
      <c r="AZ46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Sports ArenaElectricalEquipDef</v>
      </c>
      <c r="BA46" s="8" t="s">
        <v>338</v>
      </c>
      <c r="BB46" s="50">
        <v>0.27</v>
      </c>
      <c r="BC46" s="2">
        <v>2.9062600000000001</v>
      </c>
      <c r="BD46" s="2">
        <v>0.37</v>
      </c>
      <c r="BE46" s="2">
        <v>0.2</v>
      </c>
      <c r="BF46" t="s">
        <v>2599</v>
      </c>
      <c r="BG46" s="4"/>
      <c r="BH46" t="s">
        <v>2603</v>
      </c>
      <c r="BI46" s="72" t="str">
        <f t="shared" si="23"/>
        <v>IECC Table C405.3.2(2)Audience seating area - in a sports arena; radiant/visible fraction split retained from original WA/COMNET-REV9 sourceLightingDef</v>
      </c>
      <c r="BJ46" t="s">
        <v>367</v>
      </c>
      <c r="BK46" s="45"/>
      <c r="BL46" s="45"/>
      <c r="BM46" s="45"/>
      <c r="BN46" s="45"/>
      <c r="BO46" s="45"/>
      <c r="BP46" s="45"/>
      <c r="BQ46" s="4"/>
      <c r="BR46" s="4"/>
      <c r="BS46" s="4"/>
      <c r="BT46" s="73" t="s">
        <v>2165</v>
      </c>
      <c r="BU46" s="45" t="s">
        <v>2165</v>
      </c>
      <c r="BW46">
        <v>0.7</v>
      </c>
      <c r="BY46" t="s">
        <v>2660</v>
      </c>
      <c r="BZ46" t="s">
        <v>2661</v>
      </c>
      <c r="CB46" s="50" t="str">
        <f t="shared" si="24"/>
        <v>Space Function_Sports arena - audience</v>
      </c>
      <c r="CC46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Function_Sports arena - audienceInfil</v>
      </c>
      <c r="CD46" t="s">
        <v>266</v>
      </c>
      <c r="CE46" t="s">
        <v>250</v>
      </c>
      <c r="CF46" t="s">
        <v>274</v>
      </c>
      <c r="CH46">
        <v>1.75</v>
      </c>
      <c r="CJ46" t="s">
        <v>2181</v>
      </c>
      <c r="CK46">
        <v>0.01</v>
      </c>
      <c r="CL46">
        <v>2.66</v>
      </c>
      <c r="CM46">
        <v>440</v>
      </c>
      <c r="CN46">
        <v>1401</v>
      </c>
      <c r="CO46">
        <v>0.9</v>
      </c>
      <c r="CP46">
        <v>0.65</v>
      </c>
      <c r="CQ46">
        <v>0.65</v>
      </c>
      <c r="CR46" t="s">
        <v>2223</v>
      </c>
      <c r="CS46" t="s">
        <v>2206</v>
      </c>
      <c r="CT46" t="s">
        <v>2317</v>
      </c>
      <c r="CV46" t="str">
        <f t="shared" si="29"/>
        <v>Mixed_AudienceSeating_SportsArena_10mm</v>
      </c>
      <c r="CW46" s="72" t="str">
        <f t="shared" si="31"/>
        <v>CalculatedEstimateFoldDownPolypropyleneStadiumSeatsMixed_AudienceSeating_SportsArena_10mmInternalMassDef</v>
      </c>
    </row>
    <row r="47" spans="1:101" x14ac:dyDescent="0.35">
      <c r="A47" t="s">
        <v>143</v>
      </c>
      <c r="B47" s="50" t="str">
        <f t="shared" si="12"/>
        <v>2025_AU_NCC</v>
      </c>
      <c r="C47" s="50" t="s">
        <v>2425</v>
      </c>
      <c r="D47" s="50" t="s">
        <v>2447</v>
      </c>
      <c r="E47" t="s">
        <v>267</v>
      </c>
      <c r="F47" s="62">
        <v>2025</v>
      </c>
      <c r="G47" s="62" t="s">
        <v>2522</v>
      </c>
      <c r="H47" t="s">
        <v>2523</v>
      </c>
      <c r="I47">
        <v>230</v>
      </c>
      <c r="J47">
        <v>196</v>
      </c>
      <c r="K47">
        <v>120</v>
      </c>
      <c r="L47" s="50" t="str">
        <f t="shared" si="21"/>
        <v>CS Audience Seating Area - Transportation Facility_2025AUNCC</v>
      </c>
      <c r="M47" s="50" t="str">
        <f t="shared" si="14"/>
        <v>CS Audience Seating Area - Transportation Facility_2025AUNCCScheduleSet</v>
      </c>
      <c r="N47" s="68">
        <v>10</v>
      </c>
      <c r="O47">
        <v>100</v>
      </c>
      <c r="P47" s="38">
        <v>1.0763915049999999</v>
      </c>
      <c r="Q47">
        <v>255.91</v>
      </c>
      <c r="R47" s="6">
        <v>75</v>
      </c>
      <c r="S47">
        <v>187.67</v>
      </c>
      <c r="T47" s="6">
        <v>55</v>
      </c>
      <c r="U47" s="6"/>
      <c r="V47" s="6"/>
      <c r="W47" s="6">
        <v>130</v>
      </c>
      <c r="X47" s="2">
        <v>0.57692307700000001</v>
      </c>
      <c r="Y47" t="s">
        <v>2524</v>
      </c>
      <c r="Z47" t="s">
        <v>2525</v>
      </c>
      <c r="AB47" s="4"/>
      <c r="AC47" s="50" t="str">
        <f t="shared" si="25"/>
        <v>NCC S35C2nOther applications (non-dining)PeopleDef</v>
      </c>
      <c r="AD47" t="s">
        <v>358</v>
      </c>
      <c r="AE47" s="50" t="str">
        <f t="shared" si="22"/>
        <v>CS Audience Seating Area - Transportation FacilityActivity</v>
      </c>
      <c r="AF47" s="62">
        <v>7.5</v>
      </c>
      <c r="AG47" s="62">
        <f t="shared" si="27"/>
        <v>3.5394053798961773E-3</v>
      </c>
      <c r="AH47" s="62">
        <v>0.06</v>
      </c>
      <c r="AI47" s="62">
        <f t="shared" si="17"/>
        <v>3.0479999999999998E-4</v>
      </c>
      <c r="AJ47" s="63" t="s">
        <v>2165</v>
      </c>
      <c r="AK47" s="4" t="s">
        <v>2165</v>
      </c>
      <c r="AL47" s="4" t="s">
        <v>2165</v>
      </c>
      <c r="AM47" t="s">
        <v>37</v>
      </c>
      <c r="AN47" t="s">
        <v>44</v>
      </c>
      <c r="AO47" s="4" t="s">
        <v>2165</v>
      </c>
      <c r="AP47" s="4" t="s">
        <v>2165</v>
      </c>
      <c r="AQ47" s="72" t="str">
        <f t="shared" si="26"/>
        <v>Washington State Mechanical Code TABLE 403.3.1.1Transportation_Transportation waitingVent</v>
      </c>
      <c r="AR47" s="2">
        <v>0</v>
      </c>
      <c r="AS47" s="2">
        <v>0</v>
      </c>
      <c r="AT47" s="2">
        <v>0</v>
      </c>
      <c r="AU47" s="2">
        <v>0.5</v>
      </c>
      <c r="AV47" s="2">
        <v>0</v>
      </c>
      <c r="AW47" t="s">
        <v>2528</v>
      </c>
      <c r="AX47" t="s">
        <v>105</v>
      </c>
      <c r="AY47" t="s">
        <v>2533</v>
      </c>
      <c r="AZ47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Transportation FacilityElectricalEquipDef</v>
      </c>
      <c r="BA47" s="8" t="s">
        <v>341</v>
      </c>
      <c r="BB47" s="50">
        <v>0.33</v>
      </c>
      <c r="BC47" s="2">
        <v>3.5520900000000002</v>
      </c>
      <c r="BD47" s="2">
        <v>0.37</v>
      </c>
      <c r="BE47" s="2">
        <v>0.2</v>
      </c>
      <c r="BF47" t="s">
        <v>2599</v>
      </c>
      <c r="BG47" s="4"/>
      <c r="BH47" t="s">
        <v>2604</v>
      </c>
      <c r="BI47" s="72" t="str">
        <f t="shared" si="23"/>
        <v>IECC Table C405.3.2(2)Audience seating area - otherwise (no dedicated transportation-facility row); radiant/visible fraction split retained from original WA/COMNET-REV9 sourceLightingDef</v>
      </c>
      <c r="BJ47" t="s">
        <v>370</v>
      </c>
      <c r="BK47" s="45"/>
      <c r="BL47" s="45"/>
      <c r="BM47" s="45"/>
      <c r="BN47" s="45"/>
      <c r="BO47" s="45"/>
      <c r="BP47" s="45"/>
      <c r="BQ47" s="4"/>
      <c r="BR47" s="4"/>
      <c r="BS47" s="4"/>
      <c r="BT47" s="73" t="s">
        <v>2165</v>
      </c>
      <c r="BU47" s="45" t="s">
        <v>2165</v>
      </c>
      <c r="BW47">
        <v>0.7</v>
      </c>
      <c r="BY47" t="s">
        <v>2660</v>
      </c>
      <c r="BZ47" t="s">
        <v>2661</v>
      </c>
      <c r="CB47" s="50" t="str">
        <f t="shared" si="24"/>
        <v>Space Function_Transp. seating</v>
      </c>
      <c r="CC47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Function_Transp. seatingInfil</v>
      </c>
      <c r="CD47" t="s">
        <v>266</v>
      </c>
      <c r="CE47" t="s">
        <v>250</v>
      </c>
      <c r="CF47" t="s">
        <v>267</v>
      </c>
      <c r="CH47">
        <v>0.66</v>
      </c>
      <c r="CJ47" t="s">
        <v>2205</v>
      </c>
      <c r="CK47">
        <v>0.01</v>
      </c>
      <c r="CL47">
        <v>3.06</v>
      </c>
      <c r="CM47">
        <v>638</v>
      </c>
      <c r="CN47">
        <v>658</v>
      </c>
      <c r="CO47">
        <v>0.9</v>
      </c>
      <c r="CP47">
        <v>0.6</v>
      </c>
      <c r="CQ47">
        <v>0.6</v>
      </c>
      <c r="CR47" t="s">
        <v>2224</v>
      </c>
      <c r="CS47" t="s">
        <v>2206</v>
      </c>
      <c r="CT47" t="s">
        <v>2318</v>
      </c>
      <c r="CV47" t="str">
        <f t="shared" si="29"/>
        <v>Mixed_AudienceSeating_Transportation_10mm</v>
      </c>
      <c r="CW47" s="72" t="str">
        <f t="shared" si="31"/>
        <v>CalculatedEstimateGangedModularWaitingSeatsMixed_AudienceSeating_Transportation_10mmInternalMassDef</v>
      </c>
    </row>
    <row r="48" spans="1:101" x14ac:dyDescent="0.35">
      <c r="A48" t="s">
        <v>144</v>
      </c>
      <c r="B48" s="50" t="str">
        <f t="shared" si="12"/>
        <v>2025_AU_NCC</v>
      </c>
      <c r="C48" s="50" t="s">
        <v>2426</v>
      </c>
      <c r="D48" s="50" t="s">
        <v>2447</v>
      </c>
      <c r="E48" t="s">
        <v>276</v>
      </c>
      <c r="F48" s="62">
        <v>2025</v>
      </c>
      <c r="G48" s="62" t="s">
        <v>2522</v>
      </c>
      <c r="H48" t="s">
        <v>2523</v>
      </c>
      <c r="I48">
        <v>230</v>
      </c>
      <c r="J48">
        <v>196</v>
      </c>
      <c r="K48">
        <v>120</v>
      </c>
      <c r="L48" s="50" t="str">
        <f t="shared" si="21"/>
        <v>CS Audience Seating Area - Other_2025AUNCC</v>
      </c>
      <c r="M48" s="50" t="str">
        <f t="shared" si="14"/>
        <v>CS Audience Seating Area - Other_2025AUNCCScheduleSet</v>
      </c>
      <c r="N48" s="68">
        <v>10</v>
      </c>
      <c r="O48">
        <v>100</v>
      </c>
      <c r="P48" s="38">
        <v>1.0763915049999999</v>
      </c>
      <c r="Q48">
        <v>255.91</v>
      </c>
      <c r="R48" s="6">
        <v>75</v>
      </c>
      <c r="S48">
        <v>187.67</v>
      </c>
      <c r="T48" s="6">
        <v>55</v>
      </c>
      <c r="U48" s="6"/>
      <c r="V48" s="6"/>
      <c r="W48" s="6">
        <v>130</v>
      </c>
      <c r="X48" s="2">
        <v>0.57692307700000001</v>
      </c>
      <c r="Y48" t="s">
        <v>2524</v>
      </c>
      <c r="Z48" t="s">
        <v>2525</v>
      </c>
      <c r="AC48" s="50" t="str">
        <f t="shared" si="25"/>
        <v>NCC S35C2nOther applications (non-dining)PeopleDef</v>
      </c>
      <c r="AD48" t="s">
        <v>353</v>
      </c>
      <c r="AE48" s="50" t="str">
        <f t="shared" si="22"/>
        <v>CS Audience Seating Area - OtherActivity</v>
      </c>
      <c r="AF48" s="62">
        <v>7.5</v>
      </c>
      <c r="AG48" s="62">
        <f t="shared" si="27"/>
        <v>3.5394053798961773E-3</v>
      </c>
      <c r="AH48" s="62">
        <v>0.06</v>
      </c>
      <c r="AI48" s="62">
        <f t="shared" si="17"/>
        <v>3.0479999999999998E-4</v>
      </c>
      <c r="AJ48" s="63" t="s">
        <v>2165</v>
      </c>
      <c r="AK48" s="4" t="s">
        <v>2165</v>
      </c>
      <c r="AL48" s="4" t="s">
        <v>2165</v>
      </c>
      <c r="AM48" t="s">
        <v>37</v>
      </c>
      <c r="AN48" t="s">
        <v>42</v>
      </c>
      <c r="AO48" s="4" t="s">
        <v>2165</v>
      </c>
      <c r="AP48" s="4" t="s">
        <v>2165</v>
      </c>
      <c r="AQ48" s="72" t="str">
        <f t="shared" si="26"/>
        <v>Washington State Mechanical Code TABLE 403.3.1.1Education_Multiuse assemblyVent</v>
      </c>
      <c r="AR48" s="2">
        <v>0</v>
      </c>
      <c r="AS48" s="2">
        <v>0</v>
      </c>
      <c r="AT48" s="2">
        <v>0</v>
      </c>
      <c r="AU48" s="2">
        <v>0.5</v>
      </c>
      <c r="AV48" s="2">
        <v>0</v>
      </c>
      <c r="AW48" t="s">
        <v>2528</v>
      </c>
      <c r="AX48" t="s">
        <v>105</v>
      </c>
      <c r="AY48" t="s">
        <v>2533</v>
      </c>
      <c r="AZ48" s="72" t="str">
        <f t="shared" si="5"/>
        <v>NCC S35C2lNREL 956/Eley AnalysisClass 9b (Other applications) - no equipment load per S35C2l; radiant/latent/lost fraction split retained from original WA/COMNET-REV9 source (AIRAH Technical Handbook does not publish this split)CS Audience Seating Area - OtherElectricalEquipDef</v>
      </c>
      <c r="BA48" s="8" t="s">
        <v>336</v>
      </c>
      <c r="BB48" s="50">
        <v>0.743224</v>
      </c>
      <c r="BC48" s="2">
        <v>8</v>
      </c>
      <c r="BD48" s="2">
        <v>0.37</v>
      </c>
      <c r="BE48" s="2">
        <v>0.2</v>
      </c>
      <c r="BF48" t="s">
        <v>2569</v>
      </c>
      <c r="BG48" s="4"/>
      <c r="BH48" t="s">
        <v>2605</v>
      </c>
      <c r="BI48" s="72" t="str">
        <f t="shared" si="23"/>
        <v>NCC J7D3aAuditorium, church and public hall (generic assembly fallback); radiant/visible fraction split retained from original WA/COMNET-REV9 source (AIRAH Technical Handbook does not publish this split)LightingDef</v>
      </c>
      <c r="BJ48" t="s">
        <v>365</v>
      </c>
      <c r="BK48" s="45"/>
      <c r="BL48" s="45"/>
      <c r="BM48" s="45"/>
      <c r="BN48" s="45"/>
      <c r="BO48" s="45"/>
      <c r="BP48" s="45"/>
      <c r="BQ48" s="4"/>
      <c r="BR48" s="4"/>
      <c r="BS48" s="4"/>
      <c r="BT48" s="73" t="s">
        <v>2165</v>
      </c>
      <c r="BU48" s="45" t="s">
        <v>2165</v>
      </c>
      <c r="BW48">
        <v>0.7</v>
      </c>
      <c r="BY48" t="s">
        <v>2660</v>
      </c>
      <c r="BZ48" t="s">
        <v>2661</v>
      </c>
      <c r="CB48" s="50" t="str">
        <f t="shared" si="24"/>
        <v>Space Function_Audience - auditorium</v>
      </c>
      <c r="CC48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Function_Audience - auditoriumInfil</v>
      </c>
      <c r="CD48" t="s">
        <v>266</v>
      </c>
      <c r="CE48" t="s">
        <v>250</v>
      </c>
      <c r="CF48" t="s">
        <v>276</v>
      </c>
      <c r="CH48">
        <v>1.1299999999999999</v>
      </c>
      <c r="CJ48" t="s">
        <v>2205</v>
      </c>
      <c r="CK48">
        <v>7.9000000000000008E-3</v>
      </c>
      <c r="CL48">
        <v>1.86</v>
      </c>
      <c r="CM48">
        <v>364</v>
      </c>
      <c r="CN48">
        <v>691</v>
      </c>
      <c r="CO48">
        <v>0.9</v>
      </c>
      <c r="CP48">
        <v>0.65</v>
      </c>
      <c r="CQ48">
        <v>0.65</v>
      </c>
      <c r="CR48" t="s">
        <v>2225</v>
      </c>
      <c r="CS48" t="s">
        <v>2206</v>
      </c>
      <c r="CT48" t="s">
        <v>2319</v>
      </c>
      <c r="CV48" t="str">
        <f t="shared" si="29"/>
        <v>Mixed_AudienceSeating_Other_8mm</v>
      </c>
      <c r="CW48" s="72" t="str">
        <f t="shared" si="31"/>
        <v>CalculatedEstimatePortablePaddedFoldingChairsMixed_AudienceSeating_Other_8mmInternalMassDef</v>
      </c>
    </row>
    <row r="49" spans="1:101" x14ac:dyDescent="0.35">
      <c r="A49" t="s">
        <v>145</v>
      </c>
      <c r="B49" s="50" t="str">
        <f t="shared" si="12"/>
        <v>2025_AU_NCC</v>
      </c>
      <c r="C49" s="51" t="s">
        <v>2414</v>
      </c>
      <c r="D49" s="50" t="s">
        <v>2448</v>
      </c>
      <c r="E49" t="s">
        <v>2414</v>
      </c>
      <c r="F49" s="62">
        <v>2025</v>
      </c>
      <c r="G49" s="62" t="s">
        <v>2522</v>
      </c>
      <c r="H49" t="s">
        <v>2523</v>
      </c>
      <c r="I49">
        <v>255</v>
      </c>
      <c r="J49">
        <v>255</v>
      </c>
      <c r="K49">
        <v>0</v>
      </c>
      <c r="L49" s="50" t="str">
        <f t="shared" si="21"/>
        <v>CS Atrium - Less than or equal to 40 ft_2025AUNCC</v>
      </c>
      <c r="M49" s="50" t="str">
        <f t="shared" si="14"/>
        <v>CS Atrium - Less than or equal to 40 ft_2025AUNCCScheduleSet</v>
      </c>
      <c r="N49" s="69"/>
      <c r="O49" s="46"/>
      <c r="P49" s="46"/>
      <c r="Q49" s="46">
        <v>255.91</v>
      </c>
      <c r="R49" s="46">
        <v>75</v>
      </c>
      <c r="S49" s="46">
        <v>187.67</v>
      </c>
      <c r="T49" s="46">
        <v>55</v>
      </c>
      <c r="U49" s="46"/>
      <c r="V49" s="46"/>
      <c r="W49" s="46">
        <v>130</v>
      </c>
      <c r="X49" s="48">
        <v>0.57692307700000001</v>
      </c>
      <c r="Y49" s="4" t="s">
        <v>2524</v>
      </c>
      <c r="Z49" s="4" t="s">
        <v>2525</v>
      </c>
      <c r="AA49" s="4"/>
      <c r="AB49" s="4"/>
      <c r="AC49" s="51" t="s">
        <v>2165</v>
      </c>
      <c r="AD49" s="4" t="s">
        <v>2165</v>
      </c>
      <c r="AE49" s="51" t="s">
        <v>2165</v>
      </c>
      <c r="AF49" s="63" t="s">
        <v>2165</v>
      </c>
      <c r="AG49" s="63" t="s">
        <v>2165</v>
      </c>
      <c r="AH49" s="62">
        <v>0.06</v>
      </c>
      <c r="AI49" s="62">
        <f t="shared" si="17"/>
        <v>3.0479999999999998E-4</v>
      </c>
      <c r="AJ49" s="63" t="s">
        <v>2165</v>
      </c>
      <c r="AK49" s="4" t="s">
        <v>2165</v>
      </c>
      <c r="AL49" s="4" t="s">
        <v>2165</v>
      </c>
      <c r="AM49" t="s">
        <v>37</v>
      </c>
      <c r="AN49" t="s">
        <v>46</v>
      </c>
      <c r="AO49" s="4" t="s">
        <v>2165</v>
      </c>
      <c r="AP49" s="4" t="s">
        <v>2165</v>
      </c>
      <c r="AQ49" s="72" t="str">
        <f t="shared" si="26"/>
        <v>Washington State Mechanical Code TABLE 403.3.1.1Public spaces_Corridors other than Group RVent</v>
      </c>
      <c r="AR49" s="4">
        <v>0</v>
      </c>
      <c r="AS49" s="48">
        <v>0</v>
      </c>
      <c r="AT49" s="4"/>
      <c r="AU49" s="4"/>
      <c r="AV49" s="4"/>
      <c r="AW49" s="4" t="s">
        <v>2528</v>
      </c>
      <c r="AX49" s="4"/>
      <c r="AY49" s="4" t="s">
        <v>2544</v>
      </c>
      <c r="AZ49" s="73" t="s">
        <v>2165</v>
      </c>
      <c r="BA49" s="4" t="s">
        <v>2165</v>
      </c>
      <c r="BB49" s="50">
        <v>0.41</v>
      </c>
      <c r="BC49" s="2">
        <v>4.4131999999999998</v>
      </c>
      <c r="BD49" s="2">
        <v>0.37</v>
      </c>
      <c r="BE49" s="2">
        <v>0.2</v>
      </c>
      <c r="BF49" t="s">
        <v>2599</v>
      </c>
      <c r="BG49" s="4"/>
      <c r="BH49" t="s">
        <v>2606</v>
      </c>
      <c r="BI49" s="72" t="str">
        <f t="shared" si="23"/>
        <v>IECC Table C405.3.2(2)Atrium - less than or equal to 40 feet in height; radiant/visible fraction split retained from original WA/COMNET-REV9 sourceLightingDef</v>
      </c>
      <c r="BJ49" t="s">
        <v>365</v>
      </c>
      <c r="BK49" s="45"/>
      <c r="BL49" s="45"/>
      <c r="BM49" s="45"/>
      <c r="BN49" s="45"/>
      <c r="BO49" s="45"/>
      <c r="BP49" s="45"/>
      <c r="BQ49" s="4"/>
      <c r="BR49" s="4"/>
      <c r="BS49" s="4"/>
      <c r="BT49" s="73" t="s">
        <v>2165</v>
      </c>
      <c r="BU49" s="45" t="s">
        <v>2165</v>
      </c>
      <c r="BW49">
        <v>0.7</v>
      </c>
      <c r="BY49" t="s">
        <v>2660</v>
      </c>
      <c r="BZ49" t="s">
        <v>2661</v>
      </c>
      <c r="CB49" s="50" t="str">
        <f t="shared" si="24"/>
        <v>Space Function_Atrium - H &lt; 13m</v>
      </c>
      <c r="CC49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Function_Atrium - H &lt; 13mInfil</v>
      </c>
      <c r="CD49" t="s">
        <v>266</v>
      </c>
      <c r="CE49" t="s">
        <v>250</v>
      </c>
      <c r="CF49" t="s">
        <v>2085</v>
      </c>
      <c r="CG49" s="4"/>
      <c r="CH49">
        <v>0.31</v>
      </c>
      <c r="CI49" s="4"/>
      <c r="CJ49" t="s">
        <v>2205</v>
      </c>
      <c r="CK49">
        <v>8.5000000000000006E-2</v>
      </c>
      <c r="CL49">
        <v>2.56</v>
      </c>
      <c r="CM49">
        <v>904</v>
      </c>
      <c r="CN49">
        <v>1122</v>
      </c>
      <c r="CO49">
        <v>0.9</v>
      </c>
      <c r="CP49">
        <v>0.7</v>
      </c>
      <c r="CQ49">
        <v>0.7</v>
      </c>
      <c r="CR49" t="s">
        <v>2226</v>
      </c>
      <c r="CS49" t="s">
        <v>2206</v>
      </c>
      <c r="CT49" t="s">
        <v>2320</v>
      </c>
      <c r="CU49" s="4" t="s">
        <v>2165</v>
      </c>
      <c r="CV49" t="str">
        <f t="shared" si="29"/>
        <v>Mixed_Atrium_LTE40ft_85mm</v>
      </c>
      <c r="CW49" s="72" t="str">
        <f t="shared" si="31"/>
        <v>CalculatedEstimateLightWoodTrussesOrSmallSteelBeamsMixed_Atrium_LTE40ft_85mmInternalMassDef</v>
      </c>
    </row>
    <row r="50" spans="1:101" x14ac:dyDescent="0.35">
      <c r="A50" t="s">
        <v>146</v>
      </c>
      <c r="B50" s="50" t="str">
        <f t="shared" si="12"/>
        <v>2025_AU_NCC</v>
      </c>
      <c r="C50" s="51" t="s">
        <v>2414</v>
      </c>
      <c r="D50" s="50" t="s">
        <v>2449</v>
      </c>
      <c r="E50" t="s">
        <v>2414</v>
      </c>
      <c r="F50" s="62">
        <v>2025</v>
      </c>
      <c r="G50" s="62" t="s">
        <v>2522</v>
      </c>
      <c r="H50" t="s">
        <v>2523</v>
      </c>
      <c r="I50">
        <v>255</v>
      </c>
      <c r="J50">
        <v>255</v>
      </c>
      <c r="K50">
        <v>0</v>
      </c>
      <c r="L50" s="50" t="str">
        <f t="shared" si="21"/>
        <v>CS Atrium - More than 40 ft_2025AUNCC</v>
      </c>
      <c r="M50" s="50" t="str">
        <f t="shared" si="14"/>
        <v>CS Atrium - More than 40 ft_2025AUNCCScheduleSet</v>
      </c>
      <c r="N50" s="69"/>
      <c r="O50" s="46"/>
      <c r="P50" s="46"/>
      <c r="Q50" s="46">
        <v>255.91</v>
      </c>
      <c r="R50" s="46">
        <v>75</v>
      </c>
      <c r="S50" s="46">
        <v>187.67</v>
      </c>
      <c r="T50" s="46">
        <v>55</v>
      </c>
      <c r="U50" s="46"/>
      <c r="V50" s="46"/>
      <c r="W50" s="46">
        <v>130</v>
      </c>
      <c r="X50" s="48">
        <v>0.57692307700000001</v>
      </c>
      <c r="Y50" s="4" t="s">
        <v>2524</v>
      </c>
      <c r="Z50" s="4" t="s">
        <v>2525</v>
      </c>
      <c r="AA50" s="4"/>
      <c r="AB50" s="4"/>
      <c r="AC50" s="51" t="s">
        <v>2165</v>
      </c>
      <c r="AD50" s="4" t="s">
        <v>2165</v>
      </c>
      <c r="AE50" s="51" t="s">
        <v>2165</v>
      </c>
      <c r="AF50" s="63" t="s">
        <v>2165</v>
      </c>
      <c r="AG50" s="63" t="s">
        <v>2165</v>
      </c>
      <c r="AH50" s="62">
        <v>0.06</v>
      </c>
      <c r="AI50" s="62">
        <f t="shared" si="17"/>
        <v>3.0479999999999998E-4</v>
      </c>
      <c r="AJ50" s="63" t="s">
        <v>2165</v>
      </c>
      <c r="AK50" s="4" t="s">
        <v>2165</v>
      </c>
      <c r="AL50" s="4" t="s">
        <v>2165</v>
      </c>
      <c r="AM50" t="s">
        <v>37</v>
      </c>
      <c r="AN50" t="s">
        <v>46</v>
      </c>
      <c r="AO50" s="4" t="s">
        <v>2165</v>
      </c>
      <c r="AP50" s="4" t="s">
        <v>2165</v>
      </c>
      <c r="AQ50" s="72" t="str">
        <f t="shared" si="26"/>
        <v>Washington State Mechanical Code TABLE 403.3.1.1Public spaces_Corridors other than Group RVent</v>
      </c>
      <c r="AR50" s="4">
        <v>0</v>
      </c>
      <c r="AS50" s="48">
        <v>0</v>
      </c>
      <c r="AT50" s="4"/>
      <c r="AU50" s="4"/>
      <c r="AV50" s="4"/>
      <c r="AW50" s="4" t="s">
        <v>2528</v>
      </c>
      <c r="AX50" s="4"/>
      <c r="AY50" s="4" t="s">
        <v>2544</v>
      </c>
      <c r="AZ50" s="73" t="s">
        <v>2165</v>
      </c>
      <c r="BA50" s="4" t="s">
        <v>2165</v>
      </c>
      <c r="BB50" s="50">
        <v>0.51</v>
      </c>
      <c r="BC50" s="2">
        <v>5.4895899999999997</v>
      </c>
      <c r="BD50" s="2">
        <v>0.37</v>
      </c>
      <c r="BE50" s="2">
        <v>0.2</v>
      </c>
      <c r="BF50" t="s">
        <v>2599</v>
      </c>
      <c r="BG50" s="4"/>
      <c r="BH50" t="s">
        <v>2607</v>
      </c>
      <c r="BI50" s="72" t="str">
        <f t="shared" si="23"/>
        <v>IECC Table C405.3.2(2)Atrium - greater than 40 feet in height; radiant/visible fraction split retained from original WA/COMNET-REV9 sourceLightingDef</v>
      </c>
      <c r="BJ50" t="s">
        <v>365</v>
      </c>
      <c r="BK50" s="45"/>
      <c r="BL50" s="45"/>
      <c r="BM50" s="45"/>
      <c r="BN50" s="45"/>
      <c r="BO50" s="45"/>
      <c r="BP50" s="45"/>
      <c r="BQ50" s="4"/>
      <c r="BR50" s="4"/>
      <c r="BS50" s="4"/>
      <c r="BT50" s="73" t="s">
        <v>2165</v>
      </c>
      <c r="BU50" s="45" t="s">
        <v>2165</v>
      </c>
      <c r="BW50">
        <v>0.7</v>
      </c>
      <c r="BY50" t="s">
        <v>2660</v>
      </c>
      <c r="BZ50" t="s">
        <v>2661</v>
      </c>
      <c r="CB50" s="50" t="str">
        <f t="shared" si="24"/>
        <v>Space Function_Atrium - H &gt; 13m</v>
      </c>
      <c r="CC50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Function_Atrium - H &gt; 13mInfil</v>
      </c>
      <c r="CD50" t="s">
        <v>266</v>
      </c>
      <c r="CE50" t="s">
        <v>250</v>
      </c>
      <c r="CF50" t="s">
        <v>2086</v>
      </c>
      <c r="CG50" s="4"/>
      <c r="CH50">
        <v>0.36</v>
      </c>
      <c r="CI50" s="4"/>
      <c r="CJ50" t="s">
        <v>2205</v>
      </c>
      <c r="CK50">
        <v>0.12939999999999999</v>
      </c>
      <c r="CL50">
        <v>3.01</v>
      </c>
      <c r="CM50">
        <v>886</v>
      </c>
      <c r="CN50">
        <v>1270</v>
      </c>
      <c r="CO50">
        <v>0.9</v>
      </c>
      <c r="CP50">
        <v>0.7</v>
      </c>
      <c r="CQ50">
        <v>0.7</v>
      </c>
      <c r="CR50" t="s">
        <v>2227</v>
      </c>
      <c r="CS50" t="s">
        <v>2206</v>
      </c>
      <c r="CT50" t="s">
        <v>2321</v>
      </c>
      <c r="CU50" s="4" t="s">
        <v>2165</v>
      </c>
      <c r="CV50" t="str">
        <f t="shared" si="29"/>
        <v>Mixed_Atrium_GT40ft_129mm</v>
      </c>
      <c r="CW50" s="72" t="str">
        <f t="shared" si="31"/>
        <v>CalculatedEstimateHeavyGlulamBeamsOrSteelMembersMixed_Atrium_GT40ft_129mmInternalMassDef</v>
      </c>
    </row>
    <row r="51" spans="1:101" x14ac:dyDescent="0.35">
      <c r="A51" t="s">
        <v>215</v>
      </c>
      <c r="B51" s="50" t="str">
        <f t="shared" si="12"/>
        <v>2025_AU_NCC</v>
      </c>
      <c r="C51" s="50" t="s">
        <v>2427</v>
      </c>
      <c r="D51" s="50" t="s">
        <v>2450</v>
      </c>
      <c r="E51" t="s">
        <v>278</v>
      </c>
      <c r="F51" s="62">
        <v>2025</v>
      </c>
      <c r="G51" s="62" t="s">
        <v>2522</v>
      </c>
      <c r="H51" t="s">
        <v>2523</v>
      </c>
      <c r="I51">
        <v>204</v>
      </c>
      <c r="J51">
        <v>255</v>
      </c>
      <c r="K51">
        <v>229</v>
      </c>
      <c r="L51" s="50" t="str">
        <f t="shared" si="21"/>
        <v>CS Banking Activity Area_2025AUNCC</v>
      </c>
      <c r="M51" s="50" t="str">
        <f t="shared" si="14"/>
        <v>CS Banking Activity Area_2025AUNCCScheduleSet</v>
      </c>
      <c r="N51" s="68">
        <v>25</v>
      </c>
      <c r="O51">
        <v>40</v>
      </c>
      <c r="P51" s="38">
        <v>0.43055660200000001</v>
      </c>
      <c r="Q51">
        <v>255.91</v>
      </c>
      <c r="R51" s="6">
        <v>75</v>
      </c>
      <c r="S51">
        <v>187.67</v>
      </c>
      <c r="T51" s="6">
        <v>55</v>
      </c>
      <c r="U51" s="6"/>
      <c r="V51" s="6"/>
      <c r="W51" s="6">
        <v>130</v>
      </c>
      <c r="X51" s="2">
        <v>0.57692307700000001</v>
      </c>
      <c r="Y51" t="s">
        <v>2524</v>
      </c>
      <c r="Z51" t="s">
        <v>2525</v>
      </c>
      <c r="AB51" s="4"/>
      <c r="AC51" s="50" t="str">
        <f>CONCATENATE(Y51,Z51,AA51,AB51,"PeopleDef")</f>
        <v>NCC S35C2nOther applications (non-dining)PeopleDef</v>
      </c>
      <c r="AD51" t="s">
        <v>354</v>
      </c>
      <c r="AE51" s="50" t="str">
        <f t="shared" ref="AE51:AE57" si="32">CONCATENATE(A51,"Activity")</f>
        <v>CS Banking Activity AreaActivity</v>
      </c>
      <c r="AF51" s="62">
        <v>7.5</v>
      </c>
      <c r="AG51" s="62">
        <f t="shared" si="27"/>
        <v>3.5394053798961773E-3</v>
      </c>
      <c r="AH51" s="62">
        <v>0.06</v>
      </c>
      <c r="AI51" s="62">
        <f t="shared" si="17"/>
        <v>3.0479999999999998E-4</v>
      </c>
      <c r="AJ51" s="63" t="s">
        <v>2165</v>
      </c>
      <c r="AK51" s="4" t="s">
        <v>2165</v>
      </c>
      <c r="AL51" s="4" t="s">
        <v>2165</v>
      </c>
      <c r="AM51" t="s">
        <v>37</v>
      </c>
      <c r="AN51" t="s">
        <v>47</v>
      </c>
      <c r="AO51" s="4" t="s">
        <v>2165</v>
      </c>
      <c r="AP51" s="4" t="s">
        <v>2165</v>
      </c>
      <c r="AQ51" s="72" t="str">
        <f t="shared" si="26"/>
        <v>Washington State Mechanical Code TABLE 403.3.1.1Public spaces_Museums/galleries Vent</v>
      </c>
      <c r="AR51" s="2">
        <v>0.46451500000000001</v>
      </c>
      <c r="AS51" s="2">
        <v>5</v>
      </c>
      <c r="AT51" s="2">
        <v>0</v>
      </c>
      <c r="AU51" s="2">
        <v>0.5</v>
      </c>
      <c r="AV51" s="2">
        <v>0</v>
      </c>
      <c r="AW51" t="s">
        <v>2528</v>
      </c>
      <c r="AX51" t="s">
        <v>105</v>
      </c>
      <c r="AY51" t="s">
        <v>2545</v>
      </c>
      <c r="AZ51" s="72" t="str">
        <f t="shared" ref="AZ51:AZ83" si="33">CONCATENATE(AW51,AX51,AY51,A51,"ElectricalEquipDef")</f>
        <v>NCC S35C2lNREL 956/Eley AnalysisClass 6 shop/shopping centre (bank treated as retail/counter service - judgment call, no distinct NCC bank category); radiant/latent/lost fraction split retained from original WA/COMNET-REV9 source (AIRAH Technical Handbook does not publish this split)CS Banking Activity AreaElectricalEquipDef</v>
      </c>
      <c r="BA51" s="8" t="s">
        <v>337</v>
      </c>
      <c r="BB51" s="50">
        <v>0.41806399999999999</v>
      </c>
      <c r="BC51" s="2">
        <v>4.5</v>
      </c>
      <c r="BD51" s="2">
        <v>0.37</v>
      </c>
      <c r="BE51" s="2">
        <v>0.2</v>
      </c>
      <c r="BF51" t="s">
        <v>2569</v>
      </c>
      <c r="BG51" s="4"/>
      <c r="BH51" t="s">
        <v>2608</v>
      </c>
      <c r="BI51" s="72" t="str">
        <f t="shared" si="23"/>
        <v>NCC J7D3aOffice - artificially lit to &gt;= 200 lux (teller/counter areas judged closer to office than retail merchandising); radiant/visible fraction split retained from original WA/COMNET-REV9 source (AIRAH Technical Handbook does not publish this split)LightingDef</v>
      </c>
      <c r="BJ51" t="s">
        <v>366</v>
      </c>
      <c r="BK51" s="45"/>
      <c r="BL51" s="45"/>
      <c r="BM51" s="45"/>
      <c r="BN51" s="45"/>
      <c r="BO51" s="45"/>
      <c r="BP51" s="45"/>
      <c r="BQ51" s="4"/>
      <c r="BR51" s="4"/>
      <c r="BS51" s="4"/>
      <c r="BT51" s="73" t="s">
        <v>2165</v>
      </c>
      <c r="BU51" s="45" t="s">
        <v>2165</v>
      </c>
      <c r="BW51">
        <v>0.7</v>
      </c>
      <c r="BY51" t="s">
        <v>2660</v>
      </c>
      <c r="BZ51" t="s">
        <v>2661</v>
      </c>
      <c r="CB51" s="50" t="str">
        <f t="shared" si="24"/>
        <v>Space Function_Bank - banking and offices</v>
      </c>
      <c r="CC51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Function_Bank - banking and officesInfil</v>
      </c>
      <c r="CD51" t="s">
        <v>266</v>
      </c>
      <c r="CE51" t="s">
        <v>250</v>
      </c>
      <c r="CF51" t="s">
        <v>278</v>
      </c>
      <c r="CG51" s="4"/>
      <c r="CH51">
        <v>0.69</v>
      </c>
      <c r="CI51" s="4"/>
      <c r="CJ51" t="s">
        <v>2205</v>
      </c>
      <c r="CK51">
        <v>1.5100000000000001E-2</v>
      </c>
      <c r="CL51">
        <v>5.2430000000000003</v>
      </c>
      <c r="CM51">
        <v>1547</v>
      </c>
      <c r="CN51">
        <v>811</v>
      </c>
      <c r="CO51">
        <v>0.9</v>
      </c>
      <c r="CP51">
        <v>0.7</v>
      </c>
      <c r="CQ51">
        <v>0.7</v>
      </c>
      <c r="CR51" t="s">
        <v>2228</v>
      </c>
      <c r="CS51" t="s">
        <v>2206</v>
      </c>
      <c r="CT51" t="s">
        <v>2322</v>
      </c>
      <c r="CU51" s="4" t="s">
        <v>2165</v>
      </c>
      <c r="CV51" t="str">
        <f t="shared" si="29"/>
        <v>Mixed_Banking_ActivityArea_15mm</v>
      </c>
      <c r="CW51" s="72" t="str">
        <f t="shared" si="31"/>
        <v>CalculatedEstimateTellerCountersAndSecurityTransactionWindowsMixed_Banking_ActivityArea_15mmInternalMassDef</v>
      </c>
    </row>
    <row r="52" spans="1:101" x14ac:dyDescent="0.35">
      <c r="A52" t="s">
        <v>147</v>
      </c>
      <c r="B52" s="50" t="str">
        <f t="shared" si="12"/>
        <v>2025_AU_NCC</v>
      </c>
      <c r="C52" s="50" t="s">
        <v>117</v>
      </c>
      <c r="D52" s="50" t="s">
        <v>2451</v>
      </c>
      <c r="E52" t="s">
        <v>2042</v>
      </c>
      <c r="F52" s="62">
        <v>2025</v>
      </c>
      <c r="G52" s="62" t="s">
        <v>2522</v>
      </c>
      <c r="H52" t="s">
        <v>2523</v>
      </c>
      <c r="I52">
        <v>204</v>
      </c>
      <c r="J52">
        <v>120</v>
      </c>
      <c r="K52">
        <v>230</v>
      </c>
      <c r="L52" s="50" t="str">
        <f t="shared" si="21"/>
        <v>CS Classroom/Lecture/Training - Penitentiary_2025AUNCC</v>
      </c>
      <c r="M52" s="50" t="str">
        <f t="shared" si="14"/>
        <v>CS Classroom/Lecture/Training - Penitentiary_2025AUNCCScheduleSet</v>
      </c>
      <c r="N52" s="68">
        <v>15.38461538</v>
      </c>
      <c r="O52">
        <v>65</v>
      </c>
      <c r="P52" s="38">
        <v>0.69965447800000002</v>
      </c>
      <c r="Q52">
        <v>255.91</v>
      </c>
      <c r="R52" s="6">
        <v>75</v>
      </c>
      <c r="S52">
        <v>187.67</v>
      </c>
      <c r="T52" s="6">
        <v>55</v>
      </c>
      <c r="U52" s="6"/>
      <c r="V52" s="6"/>
      <c r="W52" s="6">
        <v>130</v>
      </c>
      <c r="X52" s="2">
        <v>0.57692307700000001</v>
      </c>
      <c r="Y52" t="s">
        <v>2524</v>
      </c>
      <c r="Z52" t="s">
        <v>2525</v>
      </c>
      <c r="AB52" s="4"/>
      <c r="AC52" s="50" t="str">
        <f>CONCATENATE(Y52,Z52,AA52,AB52,"PeopleDef")</f>
        <v>NCC S35C2nOther applications (non-dining)PeopleDef</v>
      </c>
      <c r="AD52" t="s">
        <v>360</v>
      </c>
      <c r="AE52" s="50" t="str">
        <f t="shared" si="32"/>
        <v>CS Classroom/Lecture/Training - PenitentiaryActivity</v>
      </c>
      <c r="AF52" s="62">
        <v>7.5</v>
      </c>
      <c r="AG52" s="62">
        <f t="shared" si="27"/>
        <v>3.5394053798961773E-3</v>
      </c>
      <c r="AH52" s="62">
        <v>0.06</v>
      </c>
      <c r="AI52" s="62">
        <f t="shared" si="17"/>
        <v>3.0479999999999998E-4</v>
      </c>
      <c r="AJ52" s="63" t="s">
        <v>2165</v>
      </c>
      <c r="AK52" s="4" t="s">
        <v>2165</v>
      </c>
      <c r="AL52" s="4" t="s">
        <v>2165</v>
      </c>
      <c r="AM52" t="s">
        <v>37</v>
      </c>
      <c r="AN52" t="s">
        <v>48</v>
      </c>
      <c r="AO52" s="4" t="s">
        <v>2165</v>
      </c>
      <c r="AP52" s="4" t="s">
        <v>2165</v>
      </c>
      <c r="AQ52" s="72" t="str">
        <f t="shared" si="26"/>
        <v>Washington State Mechanical Code TABLE 403.3.1.1Education_Lecture classroom Vent</v>
      </c>
      <c r="AR52" s="2">
        <v>0.58912884099999996</v>
      </c>
      <c r="AS52" s="2">
        <v>6.3413828399999996</v>
      </c>
      <c r="AT52" s="2">
        <v>0</v>
      </c>
      <c r="AU52" s="2">
        <v>0.5</v>
      </c>
      <c r="AV52" s="2">
        <v>0</v>
      </c>
      <c r="AW52" t="s">
        <v>104</v>
      </c>
      <c r="AX52" t="s">
        <v>105</v>
      </c>
      <c r="AY52" t="s">
        <v>334</v>
      </c>
      <c r="AZ52" s="72" t="str">
        <f t="shared" si="33"/>
        <v>COMNET-REV9NREL 956/Eley AnalysisDOEPrototypeCS Classroom/Lecture/Training - PenitentiaryElectricalEquipDef</v>
      </c>
      <c r="BA52" s="8" t="s">
        <v>351</v>
      </c>
      <c r="BB52" s="50">
        <v>0.74</v>
      </c>
      <c r="BC52" s="2">
        <v>7.9652900000000004</v>
      </c>
      <c r="BD52" s="2">
        <v>0.37</v>
      </c>
      <c r="BE52" s="2">
        <v>0.2</v>
      </c>
      <c r="BF52" t="s">
        <v>2599</v>
      </c>
      <c r="BG52" s="4"/>
      <c r="BH52" t="s">
        <v>2609</v>
      </c>
      <c r="BI52" s="72" t="str">
        <f t="shared" si="23"/>
        <v>IECC Table C405.3.2(2)Classroom/lecture hall/training room - in a penitentiary; radiant/visible fraction split retained from original WA/COMNET-REV9 sourceLightingDef</v>
      </c>
      <c r="BJ52" t="s">
        <v>372</v>
      </c>
      <c r="BK52" s="45"/>
      <c r="BL52" s="45"/>
      <c r="BM52" s="45"/>
      <c r="BN52" s="45"/>
      <c r="BO52" s="45"/>
      <c r="BP52" s="45"/>
      <c r="BQ52" s="4"/>
      <c r="BR52" s="4"/>
      <c r="BS52" s="4"/>
      <c r="BT52" s="73" t="s">
        <v>2165</v>
      </c>
      <c r="BU52" s="45" t="s">
        <v>2165</v>
      </c>
      <c r="BW52">
        <v>0.7</v>
      </c>
      <c r="BY52" t="s">
        <v>2660</v>
      </c>
      <c r="BZ52" t="s">
        <v>2661</v>
      </c>
      <c r="CB52" s="50" t="str">
        <f t="shared" si="24"/>
        <v>Space Function_Classroom/lecture/training</v>
      </c>
      <c r="CC52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Function_Classroom/lecture/trainingInfil</v>
      </c>
      <c r="CD52" t="s">
        <v>266</v>
      </c>
      <c r="CE52" t="s">
        <v>250</v>
      </c>
      <c r="CF52" t="s">
        <v>279</v>
      </c>
      <c r="CG52" s="4"/>
      <c r="CH52">
        <v>0.85</v>
      </c>
      <c r="CI52" s="4"/>
      <c r="CJ52" t="s">
        <v>2181</v>
      </c>
      <c r="CK52">
        <v>4.3E-3</v>
      </c>
      <c r="CL52">
        <v>9.44</v>
      </c>
      <c r="CM52">
        <v>1923</v>
      </c>
      <c r="CN52">
        <v>895</v>
      </c>
      <c r="CO52">
        <v>0.9</v>
      </c>
      <c r="CP52">
        <v>0.55000000000000004</v>
      </c>
      <c r="CQ52">
        <v>0.5</v>
      </c>
      <c r="CR52" t="s">
        <v>2229</v>
      </c>
      <c r="CS52" t="s">
        <v>2206</v>
      </c>
      <c r="CT52" t="s">
        <v>2323</v>
      </c>
      <c r="CU52" s="4" t="s">
        <v>2165</v>
      </c>
      <c r="CV52" t="str">
        <f t="shared" si="29"/>
        <v>Mixed_Classroom_Penitentiary_4mm</v>
      </c>
      <c r="CW52" s="72" t="str">
        <f t="shared" si="31"/>
        <v>CalculatedEstimateLaminateDeskSteelChairInstitutionalMixed_Classroom_Penitentiary_4mmInternalMassDef</v>
      </c>
    </row>
    <row r="53" spans="1:101" x14ac:dyDescent="0.35">
      <c r="A53" t="s">
        <v>148</v>
      </c>
      <c r="B53" s="50" t="str">
        <f t="shared" si="12"/>
        <v>2025_AU_NCC</v>
      </c>
      <c r="C53" s="50" t="s">
        <v>2428</v>
      </c>
      <c r="D53" s="50" t="s">
        <v>2452</v>
      </c>
      <c r="E53" t="s">
        <v>2088</v>
      </c>
      <c r="F53" s="62">
        <v>2025</v>
      </c>
      <c r="G53" s="62" t="s">
        <v>2522</v>
      </c>
      <c r="H53" t="s">
        <v>2523</v>
      </c>
      <c r="I53">
        <v>204</v>
      </c>
      <c r="J53">
        <v>120</v>
      </c>
      <c r="K53">
        <v>230</v>
      </c>
      <c r="L53" s="50" t="str">
        <f t="shared" si="21"/>
        <v>CS Classroom/Lecture/Training - K-12 - laboratory and shops_2025AUNCC</v>
      </c>
      <c r="M53" s="50" t="str">
        <f t="shared" si="14"/>
        <v>CS Classroom/Lecture/Training - K-12 - laboratory and shops_2025AUNCCScheduleSet</v>
      </c>
      <c r="N53" s="68">
        <v>15.38461538</v>
      </c>
      <c r="O53">
        <v>65</v>
      </c>
      <c r="P53" s="38">
        <v>0.69965447800000002</v>
      </c>
      <c r="Q53">
        <v>255.91</v>
      </c>
      <c r="R53" s="6">
        <v>75</v>
      </c>
      <c r="S53">
        <v>187.67</v>
      </c>
      <c r="T53" s="6">
        <v>55</v>
      </c>
      <c r="U53" s="6"/>
      <c r="V53" s="6"/>
      <c r="W53" s="6">
        <v>130</v>
      </c>
      <c r="X53" s="2">
        <v>0.57692307700000001</v>
      </c>
      <c r="Y53" t="s">
        <v>2524</v>
      </c>
      <c r="Z53" t="s">
        <v>2525</v>
      </c>
      <c r="AB53" s="4"/>
      <c r="AC53" s="50" t="str">
        <f>CONCATENATE(Y53,Z53,AA53,AB53,"PeopleDef")</f>
        <v>NCC S35C2nOther applications (non-dining)PeopleDef</v>
      </c>
      <c r="AD53" t="s">
        <v>1848</v>
      </c>
      <c r="AE53" s="50" t="str">
        <f t="shared" si="32"/>
        <v>CS Classroom/Lecture/Training - K-12 - laboratory and shopsActivity</v>
      </c>
      <c r="AF53" s="62">
        <v>7.5</v>
      </c>
      <c r="AG53" s="62">
        <f t="shared" si="27"/>
        <v>3.5394053798961773E-3</v>
      </c>
      <c r="AH53" s="62">
        <v>0.06</v>
      </c>
      <c r="AI53" s="62">
        <f t="shared" si="17"/>
        <v>3.0479999999999998E-4</v>
      </c>
      <c r="AJ53" s="63" t="s">
        <v>2165</v>
      </c>
      <c r="AK53" s="4" t="s">
        <v>2165</v>
      </c>
      <c r="AL53" s="4" t="s">
        <v>2165</v>
      </c>
      <c r="AM53" t="s">
        <v>37</v>
      </c>
      <c r="AN53" t="s">
        <v>48</v>
      </c>
      <c r="AO53" s="4" t="s">
        <v>2165</v>
      </c>
      <c r="AP53" s="4" t="s">
        <v>2165</v>
      </c>
      <c r="AQ53" s="72" t="str">
        <f t="shared" si="26"/>
        <v>Washington State Mechanical Code TABLE 403.3.1.1Education_Lecture classroom Vent</v>
      </c>
      <c r="AR53" s="2">
        <v>0.46451500000000001</v>
      </c>
      <c r="AS53" s="2">
        <v>5</v>
      </c>
      <c r="AT53" s="2">
        <v>0</v>
      </c>
      <c r="AU53" s="2">
        <v>0.5</v>
      </c>
      <c r="AV53" s="2">
        <v>0</v>
      </c>
      <c r="AW53" t="s">
        <v>2528</v>
      </c>
      <c r="AX53" t="s">
        <v>105</v>
      </c>
      <c r="AY53" t="s">
        <v>2542</v>
      </c>
      <c r="AZ53" s="72" t="str">
        <f t="shared" si="33"/>
        <v>NCC S35C2lNREL 956/Eley AnalysisClass 9b school; radiant/latent/lost fraction split retained from original WA/COMNET-REV9 source (AIRAH Technical Handbook does not publish this split)CS Classroom/Lecture/Training - K-12 - laboratory and shopsElectricalEquipDef</v>
      </c>
      <c r="BA53" s="7" t="s">
        <v>346</v>
      </c>
      <c r="BB53" s="50">
        <v>0.55741799999999997</v>
      </c>
      <c r="BC53" s="2">
        <v>6</v>
      </c>
      <c r="BD53" s="2">
        <v>0.37</v>
      </c>
      <c r="BE53" s="2">
        <v>0.2</v>
      </c>
      <c r="BF53" t="s">
        <v>2569</v>
      </c>
      <c r="BG53" s="4"/>
      <c r="BH53" t="s">
        <v>2610</v>
      </c>
      <c r="BI53" s="72" t="str">
        <f t="shared" si="23"/>
        <v>NCC J7D3aLaboratory - artificially lit to an ambient level of 400 lx or more (K-12 lab/shops variant); radiant/visible fraction split retained from original WA/COMNET-REV9 source (AIRAH Technical Handbook does not publish this split)LightingDef</v>
      </c>
      <c r="BJ53" t="s">
        <v>1839</v>
      </c>
      <c r="BK53" s="45"/>
      <c r="BL53" s="45"/>
      <c r="BM53" s="45"/>
      <c r="BN53" s="45"/>
      <c r="BO53" s="45"/>
      <c r="BP53" s="45"/>
      <c r="BQ53" s="4"/>
      <c r="BR53" s="4"/>
      <c r="BS53" s="4"/>
      <c r="BT53" s="73" t="s">
        <v>2165</v>
      </c>
      <c r="BU53" s="45" t="s">
        <v>2165</v>
      </c>
      <c r="BW53">
        <v>0.7</v>
      </c>
      <c r="BY53" t="s">
        <v>2660</v>
      </c>
      <c r="BZ53" t="s">
        <v>2661</v>
      </c>
      <c r="CB53" s="50" t="str">
        <f t="shared" si="24"/>
        <v>SecondarySchool_Classroom</v>
      </c>
      <c r="CC53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developed)SecondarySchool_ClassroomInfil</v>
      </c>
      <c r="CD53" t="s">
        <v>266</v>
      </c>
      <c r="CE53" t="s">
        <v>323</v>
      </c>
      <c r="CF53" t="s">
        <v>2087</v>
      </c>
      <c r="CG53" s="4"/>
      <c r="CH53">
        <v>2.35</v>
      </c>
      <c r="CI53" s="4"/>
      <c r="CJ53" t="s">
        <v>2205</v>
      </c>
      <c r="CK53">
        <v>4.28E-3</v>
      </c>
      <c r="CL53">
        <v>14</v>
      </c>
      <c r="CM53">
        <v>2572</v>
      </c>
      <c r="CN53">
        <v>659</v>
      </c>
      <c r="CO53">
        <v>0.9</v>
      </c>
      <c r="CP53">
        <v>0.7</v>
      </c>
      <c r="CQ53">
        <v>0.7</v>
      </c>
      <c r="CR53" t="s">
        <v>2230</v>
      </c>
      <c r="CS53" t="s">
        <v>2206</v>
      </c>
      <c r="CT53" t="s">
        <v>2324</v>
      </c>
      <c r="CU53" s="4" t="s">
        <v>2165</v>
      </c>
      <c r="CV53" t="str">
        <f t="shared" si="29"/>
        <v>Mixed_ClassroomK12_LabShop_4mm</v>
      </c>
      <c r="CW53" s="72" t="str">
        <f t="shared" si="31"/>
        <v>CalculatedEstimateSteelBenchesCaseworkAndShopMachinesMixed_ClassroomK12_LabShop_4mmInternalMassDef</v>
      </c>
    </row>
    <row r="54" spans="1:101" x14ac:dyDescent="0.35">
      <c r="A54" t="s">
        <v>149</v>
      </c>
      <c r="B54" s="50" t="str">
        <f t="shared" si="12"/>
        <v>2025_AU_NCC</v>
      </c>
      <c r="C54" s="50" t="s">
        <v>2429</v>
      </c>
      <c r="D54" s="50" t="s">
        <v>2451</v>
      </c>
      <c r="E54" t="s">
        <v>279</v>
      </c>
      <c r="F54" s="62">
        <v>2025</v>
      </c>
      <c r="G54" s="62" t="s">
        <v>2522</v>
      </c>
      <c r="H54" t="s">
        <v>2523</v>
      </c>
      <c r="I54">
        <v>204</v>
      </c>
      <c r="J54">
        <v>120</v>
      </c>
      <c r="K54">
        <v>230</v>
      </c>
      <c r="L54" s="50" t="str">
        <f t="shared" si="21"/>
        <v>CS Classroom/Lecture/Training - Other_2025AUNCC</v>
      </c>
      <c r="M54" s="50" t="str">
        <f t="shared" si="14"/>
        <v>CS Classroom/Lecture/Training - Other_2025AUNCCScheduleSet</v>
      </c>
      <c r="N54" s="68">
        <v>15.38461538</v>
      </c>
      <c r="O54">
        <v>65</v>
      </c>
      <c r="P54" s="38">
        <v>0.69965447800000002</v>
      </c>
      <c r="Q54">
        <v>255.91</v>
      </c>
      <c r="R54" s="6">
        <v>75</v>
      </c>
      <c r="S54">
        <v>187.67</v>
      </c>
      <c r="T54" s="6">
        <v>55</v>
      </c>
      <c r="U54" s="6"/>
      <c r="V54" s="6"/>
      <c r="W54" s="6">
        <v>130</v>
      </c>
      <c r="X54" s="2">
        <v>0.57692307700000001</v>
      </c>
      <c r="Y54" t="s">
        <v>2524</v>
      </c>
      <c r="Z54" t="s">
        <v>2525</v>
      </c>
      <c r="AC54" s="50" t="str">
        <f>CONCATENATE(Y54,Z54,AA54,AB54,"PeopleDef")</f>
        <v>NCC S35C2nOther applications (non-dining)PeopleDef</v>
      </c>
      <c r="AD54" t="s">
        <v>360</v>
      </c>
      <c r="AE54" s="50" t="str">
        <f t="shared" si="32"/>
        <v>CS Classroom/Lecture/Training - OtherActivity</v>
      </c>
      <c r="AF54" s="62">
        <v>7.5</v>
      </c>
      <c r="AG54" s="62">
        <f t="shared" si="27"/>
        <v>3.5394053798961773E-3</v>
      </c>
      <c r="AH54" s="62">
        <v>0.06</v>
      </c>
      <c r="AI54" s="62">
        <f t="shared" si="17"/>
        <v>3.0479999999999998E-4</v>
      </c>
      <c r="AJ54" s="63" t="s">
        <v>2165</v>
      </c>
      <c r="AK54" s="4" t="s">
        <v>2165</v>
      </c>
      <c r="AL54" s="4" t="s">
        <v>2165</v>
      </c>
      <c r="AM54" t="s">
        <v>37</v>
      </c>
      <c r="AN54" t="s">
        <v>48</v>
      </c>
      <c r="AO54" s="4" t="s">
        <v>2165</v>
      </c>
      <c r="AP54" s="4" t="s">
        <v>2165</v>
      </c>
      <c r="AQ54" s="72" t="str">
        <f t="shared" si="26"/>
        <v>Washington State Mechanical Code TABLE 403.3.1.1Education_Lecture classroom Vent</v>
      </c>
      <c r="AR54" s="2">
        <v>0.46451500000000001</v>
      </c>
      <c r="AS54" s="2">
        <v>5</v>
      </c>
      <c r="AT54" s="2">
        <v>0</v>
      </c>
      <c r="AU54" s="2">
        <v>0.5</v>
      </c>
      <c r="AV54" s="2">
        <v>0</v>
      </c>
      <c r="AW54" t="s">
        <v>2528</v>
      </c>
      <c r="AX54" t="s">
        <v>105</v>
      </c>
      <c r="AY54" t="s">
        <v>2542</v>
      </c>
      <c r="AZ54" s="72" t="str">
        <f t="shared" si="33"/>
        <v>NCC S35C2lNREL 956/Eley AnalysisClass 9b school; radiant/latent/lost fraction split retained from original WA/COMNET-REV9 source (AIRAH Technical Handbook does not publish this split)CS Classroom/Lecture/Training - OtherElectricalEquipDef</v>
      </c>
      <c r="BA54" s="8" t="s">
        <v>351</v>
      </c>
      <c r="BB54" s="50">
        <v>0.41806399999999999</v>
      </c>
      <c r="BC54" s="2">
        <v>4.5</v>
      </c>
      <c r="BD54" s="2">
        <v>0.37</v>
      </c>
      <c r="BE54" s="2">
        <v>0.2</v>
      </c>
      <c r="BF54" t="s">
        <v>2569</v>
      </c>
      <c r="BG54" s="4"/>
      <c r="BH54" t="s">
        <v>2593</v>
      </c>
      <c r="BI54" s="72" t="str">
        <f t="shared" si="23"/>
        <v>NCC J7D3aSchool - general purpose learning areas and tutorial rooms; radiant/visible fraction split retained from original WA/COMNET-REV9 source (AIRAH Technical Handbook does not publish this split)LightingDef</v>
      </c>
      <c r="BJ54" t="s">
        <v>372</v>
      </c>
      <c r="BK54" s="45"/>
      <c r="BL54" s="45"/>
      <c r="BM54" s="45"/>
      <c r="BN54" s="45"/>
      <c r="BO54" s="45"/>
      <c r="BP54" s="45"/>
      <c r="BQ54" s="4"/>
      <c r="BR54" s="4"/>
      <c r="BS54" s="4"/>
      <c r="BT54" s="73" t="s">
        <v>2165</v>
      </c>
      <c r="BU54" s="45" t="s">
        <v>2165</v>
      </c>
      <c r="BW54">
        <v>0.7</v>
      </c>
      <c r="BY54" t="s">
        <v>2660</v>
      </c>
      <c r="BZ54" t="s">
        <v>2661</v>
      </c>
      <c r="CB54" s="50" t="str">
        <f t="shared" si="24"/>
        <v>Space Function_Classroom/lecture/training</v>
      </c>
      <c r="CC54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Function_Classroom/lecture/trainingInfil</v>
      </c>
      <c r="CD54" t="s">
        <v>266</v>
      </c>
      <c r="CE54" t="s">
        <v>250</v>
      </c>
      <c r="CF54" t="s">
        <v>279</v>
      </c>
      <c r="CG54" s="4"/>
      <c r="CH54">
        <v>1.3</v>
      </c>
      <c r="CI54" s="4"/>
      <c r="CJ54" t="s">
        <v>2205</v>
      </c>
      <c r="CK54">
        <v>7.7999999999999996E-3</v>
      </c>
      <c r="CL54">
        <v>2.85</v>
      </c>
      <c r="CM54">
        <v>894</v>
      </c>
      <c r="CN54">
        <v>936</v>
      </c>
      <c r="CO54">
        <v>0.9</v>
      </c>
      <c r="CP54">
        <v>0.6</v>
      </c>
      <c r="CQ54">
        <v>0.6</v>
      </c>
      <c r="CR54" t="s">
        <v>2231</v>
      </c>
      <c r="CS54" t="s">
        <v>2206</v>
      </c>
      <c r="CT54" t="s">
        <v>2325</v>
      </c>
      <c r="CU54" s="4" t="s">
        <v>2165</v>
      </c>
      <c r="CV54" t="str">
        <f t="shared" si="29"/>
        <v>Mixed_ClassroomTraining_Other_8mm</v>
      </c>
      <c r="CW54" s="72" t="str">
        <f t="shared" si="31"/>
        <v>CalculatedEstimateMovableLaminateTablesAndStackingChairsMixed_ClassroomTraining_Other_8mmInternalMassDef</v>
      </c>
    </row>
    <row r="55" spans="1:101" x14ac:dyDescent="0.35">
      <c r="A55" t="s">
        <v>216</v>
      </c>
      <c r="B55" s="50" t="str">
        <f t="shared" si="12"/>
        <v>2025_AU_NCC</v>
      </c>
      <c r="C55" s="50" t="s">
        <v>115</v>
      </c>
      <c r="D55" s="50" t="s">
        <v>2453</v>
      </c>
      <c r="E55" t="s">
        <v>2043</v>
      </c>
      <c r="F55" s="62">
        <v>2025</v>
      </c>
      <c r="G55" s="62" t="s">
        <v>2522</v>
      </c>
      <c r="H55" t="s">
        <v>2523</v>
      </c>
      <c r="I55">
        <v>230</v>
      </c>
      <c r="J55">
        <v>196</v>
      </c>
      <c r="K55">
        <v>120</v>
      </c>
      <c r="L55" s="50" t="str">
        <f t="shared" si="21"/>
        <v>CS Conference/Meeting/Multipurpose_2025AUNCC</v>
      </c>
      <c r="M55" s="50" t="str">
        <f t="shared" si="14"/>
        <v>CS Conference/Meeting/Multipurpose_2025AUNCCScheduleSet</v>
      </c>
      <c r="N55" s="68">
        <v>20</v>
      </c>
      <c r="O55">
        <v>50</v>
      </c>
      <c r="P55" s="38">
        <v>0.538195753</v>
      </c>
      <c r="Q55">
        <v>255.91</v>
      </c>
      <c r="R55" s="6">
        <v>75</v>
      </c>
      <c r="S55">
        <v>187.67</v>
      </c>
      <c r="T55" s="6">
        <v>55</v>
      </c>
      <c r="U55" s="6"/>
      <c r="V55" s="6"/>
      <c r="W55" s="6">
        <v>130</v>
      </c>
      <c r="X55" s="2">
        <v>0.57692307700000001</v>
      </c>
      <c r="Y55" t="s">
        <v>2524</v>
      </c>
      <c r="Z55" t="s">
        <v>2525</v>
      </c>
      <c r="AC55" s="50" t="str">
        <f>CONCATENATE(Y55,Z55,AA55,AB55,"PeopleDef")</f>
        <v>NCC S35C2nOther applications (non-dining)PeopleDef</v>
      </c>
      <c r="AD55" t="s">
        <v>1188</v>
      </c>
      <c r="AE55" s="50" t="str">
        <f t="shared" si="32"/>
        <v>CS Conference/Meeting/MultipurposeActivity</v>
      </c>
      <c r="AF55" s="62">
        <v>5</v>
      </c>
      <c r="AG55" s="62">
        <f t="shared" si="27"/>
        <v>2.3596035865974517E-3</v>
      </c>
      <c r="AH55" s="62">
        <v>0.06</v>
      </c>
      <c r="AI55" s="62">
        <f t="shared" si="17"/>
        <v>3.0479999999999998E-4</v>
      </c>
      <c r="AJ55" s="63" t="s">
        <v>2165</v>
      </c>
      <c r="AK55" s="4" t="s">
        <v>2165</v>
      </c>
      <c r="AL55" s="4" t="s">
        <v>2165</v>
      </c>
      <c r="AM55" t="s">
        <v>37</v>
      </c>
      <c r="AN55" t="s">
        <v>49</v>
      </c>
      <c r="AO55" s="4" t="s">
        <v>2165</v>
      </c>
      <c r="AP55" s="4" t="s">
        <v>2165</v>
      </c>
      <c r="AQ55" s="72" t="str">
        <f t="shared" si="26"/>
        <v>Washington State Mechanical Code TABLE 403.3.1.1Office_Conference roomsVent</v>
      </c>
      <c r="AR55" s="2">
        <v>1.021933</v>
      </c>
      <c r="AS55" s="2">
        <v>11</v>
      </c>
      <c r="AT55" s="2">
        <v>0</v>
      </c>
      <c r="AU55" s="2">
        <v>0.5</v>
      </c>
      <c r="AV55" s="2">
        <v>0</v>
      </c>
      <c r="AW55" t="s">
        <v>2528</v>
      </c>
      <c r="AX55" t="s">
        <v>105</v>
      </c>
      <c r="AY55" t="s">
        <v>2546</v>
      </c>
      <c r="AZ55" s="72" t="str">
        <f t="shared" si="33"/>
        <v>NCC S35C2lNREL 956/Eley AnalysisClass 5 building; radiant/latent/lost fraction split retained from original WA/COMNET-REV9 source (AIRAH Technical Handbook does not publish this split)CS Conference/Meeting/MultipurposeElectricalEquipDef</v>
      </c>
      <c r="BA55" s="8" t="s">
        <v>344</v>
      </c>
      <c r="BB55" s="50">
        <v>0.46451500000000001</v>
      </c>
      <c r="BC55" s="2">
        <v>5</v>
      </c>
      <c r="BD55" s="2">
        <v>0.37</v>
      </c>
      <c r="BE55" s="2">
        <v>0.2</v>
      </c>
      <c r="BF55" t="s">
        <v>2569</v>
      </c>
      <c r="BG55" s="4"/>
      <c r="BH55" t="s">
        <v>2611</v>
      </c>
      <c r="BI55" s="72" t="str">
        <f t="shared" si="23"/>
        <v>NCC J7D3aBoard room and conference room; radiant/visible fraction split retained from original WA/COMNET-REV9 source (AIRAH Technical Handbook does not publish this split)LightingDef</v>
      </c>
      <c r="BJ55" t="s">
        <v>1187</v>
      </c>
      <c r="BK55" s="45"/>
      <c r="BL55" s="45"/>
      <c r="BM55" s="45"/>
      <c r="BN55" s="45"/>
      <c r="BO55" s="45"/>
      <c r="BP55" s="45"/>
      <c r="BQ55" s="4"/>
      <c r="BR55" s="4"/>
      <c r="BS55" s="4"/>
      <c r="BT55" s="73" t="s">
        <v>2165</v>
      </c>
      <c r="BU55" s="45" t="s">
        <v>2165</v>
      </c>
      <c r="BW55">
        <v>0.7</v>
      </c>
      <c r="BY55" t="s">
        <v>2660</v>
      </c>
      <c r="BZ55" t="s">
        <v>2661</v>
      </c>
      <c r="CB55" s="50" t="str">
        <f t="shared" si="24"/>
        <v>Space Function_Conf./meet./multi-purpose</v>
      </c>
      <c r="CC55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Function_Conf./meet./multi-purposeInfil</v>
      </c>
      <c r="CD55" t="s">
        <v>266</v>
      </c>
      <c r="CE55" t="s">
        <v>250</v>
      </c>
      <c r="CF55" t="s">
        <v>280</v>
      </c>
      <c r="CG55" s="4"/>
      <c r="CH55">
        <v>0.61</v>
      </c>
      <c r="CI55" s="4"/>
      <c r="CJ55" t="s">
        <v>2205</v>
      </c>
      <c r="CK55">
        <v>5.8999999999999999E-3</v>
      </c>
      <c r="CL55">
        <v>42.8</v>
      </c>
      <c r="CM55">
        <v>1804</v>
      </c>
      <c r="CN55">
        <v>1243</v>
      </c>
      <c r="CO55">
        <v>0.9</v>
      </c>
      <c r="CP55">
        <v>0.7</v>
      </c>
      <c r="CQ55">
        <v>0.65</v>
      </c>
      <c r="CR55" t="s">
        <v>2208</v>
      </c>
      <c r="CS55" t="s">
        <v>2206</v>
      </c>
      <c r="CT55" t="s">
        <v>2326</v>
      </c>
      <c r="CU55" s="4" t="s">
        <v>2165</v>
      </c>
      <c r="CV55" t="str">
        <f t="shared" si="29"/>
        <v>Conference_Meeting_Multipurpose_Material</v>
      </c>
      <c r="CW55" s="72" t="str">
        <f t="shared" si="31"/>
        <v>CalculatedEstimateConferenceTablesChairsAndCredenzaConference_Meeting_Multipurpose_MaterialInternalMassDef</v>
      </c>
    </row>
    <row r="56" spans="1:101" x14ac:dyDescent="0.35">
      <c r="A56" t="s">
        <v>217</v>
      </c>
      <c r="B56" s="50" t="str">
        <f t="shared" si="12"/>
        <v>2025_AU_NCC</v>
      </c>
      <c r="C56" s="50" t="s">
        <v>252</v>
      </c>
      <c r="D56" s="50" t="s">
        <v>2454</v>
      </c>
      <c r="E56" t="s">
        <v>271</v>
      </c>
      <c r="F56" s="62">
        <v>2025</v>
      </c>
      <c r="G56" s="62" t="s">
        <v>2522</v>
      </c>
      <c r="H56" t="s">
        <v>2523</v>
      </c>
      <c r="I56">
        <v>192</v>
      </c>
      <c r="J56">
        <v>192</v>
      </c>
      <c r="K56">
        <v>192</v>
      </c>
      <c r="L56" s="50" t="str">
        <f t="shared" si="21"/>
        <v>CS Confinment Cells_2025AUNCC</v>
      </c>
      <c r="M56" s="50" t="str">
        <f t="shared" si="14"/>
        <v>CS Confinment Cells_2025AUNCCScheduleSet</v>
      </c>
      <c r="N56" s="68">
        <v>40</v>
      </c>
      <c r="O56">
        <v>25</v>
      </c>
      <c r="P56" s="38">
        <v>0.26909787600000001</v>
      </c>
      <c r="Q56">
        <v>255.91</v>
      </c>
      <c r="R56" s="6">
        <v>75</v>
      </c>
      <c r="S56">
        <v>187.67</v>
      </c>
      <c r="T56" s="6">
        <v>55</v>
      </c>
      <c r="U56" s="6"/>
      <c r="V56" s="6"/>
      <c r="W56" s="6">
        <v>130</v>
      </c>
      <c r="X56" s="2">
        <v>0.57692307700000001</v>
      </c>
      <c r="Y56" t="s">
        <v>2524</v>
      </c>
      <c r="Z56" t="s">
        <v>2525</v>
      </c>
      <c r="AB56" s="4"/>
      <c r="AC56" s="50" t="str">
        <f>CONCATENATE(Y56,Z56,AA56,AB55,"PeopleDef")</f>
        <v>NCC S35C2nOther applications (non-dining)PeopleDef</v>
      </c>
      <c r="AD56" t="s">
        <v>358</v>
      </c>
      <c r="AE56" s="50" t="str">
        <f t="shared" si="32"/>
        <v>CS Confinment CellsActivity</v>
      </c>
      <c r="AF56" s="62">
        <v>5</v>
      </c>
      <c r="AG56" s="62">
        <f t="shared" si="27"/>
        <v>2.3596035865974517E-3</v>
      </c>
      <c r="AH56" s="62">
        <v>0.12</v>
      </c>
      <c r="AI56" s="62">
        <f t="shared" si="17"/>
        <v>6.0959999999999996E-4</v>
      </c>
      <c r="AJ56" s="63" t="s">
        <v>2165</v>
      </c>
      <c r="AK56" s="4" t="s">
        <v>2165</v>
      </c>
      <c r="AL56" s="4" t="s">
        <v>2165</v>
      </c>
      <c r="AM56" t="s">
        <v>37</v>
      </c>
      <c r="AN56" t="s">
        <v>50</v>
      </c>
      <c r="AO56" s="4" t="s">
        <v>2165</v>
      </c>
      <c r="AP56" s="4" t="s">
        <v>2165</v>
      </c>
      <c r="AQ56" s="72" t="str">
        <f t="shared" si="26"/>
        <v>Washington State Mechanical Code TABLE 403.3.1.1Correctional facilities_Cells With plumbing fixturesVent</v>
      </c>
      <c r="AR56" s="2">
        <v>1.492832266</v>
      </c>
      <c r="AS56" s="2">
        <v>16.06884651</v>
      </c>
      <c r="AT56" s="2">
        <v>0</v>
      </c>
      <c r="AU56" s="2">
        <v>0.5</v>
      </c>
      <c r="AV56" s="2">
        <v>0</v>
      </c>
      <c r="AW56" t="s">
        <v>104</v>
      </c>
      <c r="AX56" t="s">
        <v>105</v>
      </c>
      <c r="AY56" t="s">
        <v>334</v>
      </c>
      <c r="AZ56" s="72" t="str">
        <f t="shared" si="33"/>
        <v>COMNET-REV9NREL 956/Eley AnalysisDOEPrototypeCS Confinment CellsElectricalEquipDef</v>
      </c>
      <c r="BA56" s="8" t="s">
        <v>341</v>
      </c>
      <c r="BB56" s="50">
        <v>0.48</v>
      </c>
      <c r="BC56" s="2">
        <v>5.1666800000000004</v>
      </c>
      <c r="BD56" s="2">
        <v>0.37</v>
      </c>
      <c r="BE56" s="2">
        <v>0.2</v>
      </c>
      <c r="BF56" t="s">
        <v>2599</v>
      </c>
      <c r="BG56" s="4"/>
      <c r="BH56" t="s">
        <v>2612</v>
      </c>
      <c r="BI56" s="72" t="str">
        <f t="shared" si="23"/>
        <v>IECC Table C405.3.2(2)Dormitory - living quarters (nearest match for a private sleeping/holding room); radiant/visible fraction split retained from original WA/COMNET-REV9 sourceLightingDef</v>
      </c>
      <c r="BJ56" t="s">
        <v>370</v>
      </c>
      <c r="BK56" s="45"/>
      <c r="BL56" s="45"/>
      <c r="BM56" s="45"/>
      <c r="BN56" s="45"/>
      <c r="BO56" s="45"/>
      <c r="BP56" s="45"/>
      <c r="BQ56" s="4"/>
      <c r="BR56" s="4"/>
      <c r="BS56" s="4"/>
      <c r="BT56" s="73" t="s">
        <v>2165</v>
      </c>
      <c r="BU56" s="45" t="s">
        <v>2165</v>
      </c>
      <c r="BW56">
        <v>0.7</v>
      </c>
      <c r="BY56" t="s">
        <v>2660</v>
      </c>
      <c r="BZ56" t="s">
        <v>2661</v>
      </c>
      <c r="CB56" s="50" t="str">
        <f t="shared" si="24"/>
        <v>Office_Conference</v>
      </c>
      <c r="CC56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developed)Office_ConferenceInfil</v>
      </c>
      <c r="CD56" t="s">
        <v>320</v>
      </c>
      <c r="CE56" t="s">
        <v>115</v>
      </c>
      <c r="CF56" t="s">
        <v>281</v>
      </c>
      <c r="CG56" s="4"/>
      <c r="CH56">
        <v>0.73</v>
      </c>
      <c r="CI56" s="4"/>
      <c r="CJ56" t="s">
        <v>2207</v>
      </c>
      <c r="CK56">
        <v>4.3E-3</v>
      </c>
      <c r="CL56">
        <v>33.799999999999997</v>
      </c>
      <c r="CM56">
        <v>7746</v>
      </c>
      <c r="CN56">
        <v>492</v>
      </c>
      <c r="CO56">
        <v>0.9</v>
      </c>
      <c r="CP56">
        <v>0.7</v>
      </c>
      <c r="CQ56">
        <v>0.7</v>
      </c>
      <c r="CR56" t="s">
        <v>2209</v>
      </c>
      <c r="CS56" t="s">
        <v>2206</v>
      </c>
      <c r="CT56" t="s">
        <v>2327</v>
      </c>
      <c r="CU56" s="4" t="s">
        <v>2165</v>
      </c>
      <c r="CV56" t="str">
        <f t="shared" si="29"/>
        <v>Steel_Security_Fixtures_4mm</v>
      </c>
      <c r="CW56" s="72" t="str">
        <f t="shared" si="31"/>
        <v>CalculatedEstimateFixedSteelBedDeskAndToiletFixturesSteel_Security_Fixtures_4mmInternalMassDef</v>
      </c>
    </row>
    <row r="57" spans="1:101" x14ac:dyDescent="0.35">
      <c r="A57" t="s">
        <v>218</v>
      </c>
      <c r="B57" s="50" t="str">
        <f t="shared" si="12"/>
        <v>2025_AU_NCC</v>
      </c>
      <c r="C57" s="50" t="s">
        <v>115</v>
      </c>
      <c r="D57" s="50" t="s">
        <v>2455</v>
      </c>
      <c r="E57" t="s">
        <v>282</v>
      </c>
      <c r="F57" s="62">
        <v>2025</v>
      </c>
      <c r="G57" s="62" t="s">
        <v>2522</v>
      </c>
      <c r="H57" t="s">
        <v>2523</v>
      </c>
      <c r="I57">
        <v>41</v>
      </c>
      <c r="J57">
        <v>31</v>
      </c>
      <c r="K57">
        <v>169</v>
      </c>
      <c r="L57" s="50" t="str">
        <f t="shared" si="21"/>
        <v>CS Copy/Print Room_2025AUNCC</v>
      </c>
      <c r="M57" s="50" t="str">
        <f t="shared" si="14"/>
        <v>CS Copy/Print Room_2025AUNCCScheduleSet</v>
      </c>
      <c r="N57" s="68">
        <v>250</v>
      </c>
      <c r="O57">
        <v>4</v>
      </c>
      <c r="P57" s="38">
        <v>4.3055660000000003E-2</v>
      </c>
      <c r="Q57">
        <v>255.91</v>
      </c>
      <c r="R57" s="6">
        <v>75</v>
      </c>
      <c r="S57">
        <v>187.67</v>
      </c>
      <c r="T57" s="6">
        <v>55</v>
      </c>
      <c r="U57" s="6"/>
      <c r="V57" s="6"/>
      <c r="W57" s="6">
        <v>130</v>
      </c>
      <c r="X57" s="2">
        <v>0.57692307700000001</v>
      </c>
      <c r="Y57" t="s">
        <v>2524</v>
      </c>
      <c r="Z57" t="s">
        <v>2525</v>
      </c>
      <c r="AC57" s="50" t="str">
        <f>CONCATENATE(Y57,Z57,AA57,AB57,"PeopleDef")</f>
        <v>NCC S35C2nOther applications (non-dining)PeopleDef</v>
      </c>
      <c r="AD57" t="s">
        <v>1188</v>
      </c>
      <c r="AE57" s="50" t="str">
        <f t="shared" si="32"/>
        <v>CS Copy/Print RoomActivity</v>
      </c>
      <c r="AF57" s="62">
        <v>5</v>
      </c>
      <c r="AG57" s="62">
        <f t="shared" si="27"/>
        <v>2.3596035865974517E-3</v>
      </c>
      <c r="AH57" s="62">
        <v>0.06</v>
      </c>
      <c r="AI57" s="62">
        <f t="shared" si="17"/>
        <v>3.0479999999999998E-4</v>
      </c>
      <c r="AJ57" s="63" t="s">
        <v>2165</v>
      </c>
      <c r="AK57" s="4" t="s">
        <v>2165</v>
      </c>
      <c r="AL57" s="4" t="s">
        <v>2165</v>
      </c>
      <c r="AM57" t="s">
        <v>37</v>
      </c>
      <c r="AN57" t="s">
        <v>51</v>
      </c>
      <c r="AO57" s="4" t="s">
        <v>2165</v>
      </c>
      <c r="AP57" s="4" t="s">
        <v>2165</v>
      </c>
      <c r="AQ57" s="72" t="str">
        <f t="shared" si="26"/>
        <v>Washington State Mechanical Code TABLE 403.3.1.1Workrooms_Copy_printing rooms Vent</v>
      </c>
      <c r="AR57" s="2">
        <v>1.021933</v>
      </c>
      <c r="AS57" s="2">
        <v>11</v>
      </c>
      <c r="AT57" s="2">
        <v>0</v>
      </c>
      <c r="AU57" s="2">
        <v>0.5</v>
      </c>
      <c r="AV57" s="2">
        <v>0</v>
      </c>
      <c r="AW57" t="s">
        <v>2528</v>
      </c>
      <c r="AX57" t="s">
        <v>20</v>
      </c>
      <c r="AY57" t="s">
        <v>2546</v>
      </c>
      <c r="AZ57" s="72" t="str">
        <f t="shared" si="33"/>
        <v>NCC S35C2lBA OfficeClass 5 building; radiant/latent/lost fraction split retained from original WA/COMNET-REV9 source (AIRAH Technical Handbook does not publish this split)CS Copy/Print RoomElectricalEquipDef</v>
      </c>
      <c r="BA57" s="8" t="s">
        <v>344</v>
      </c>
      <c r="BB57" s="50">
        <v>0.41806399999999999</v>
      </c>
      <c r="BC57" s="2">
        <v>4.5</v>
      </c>
      <c r="BD57" s="2">
        <v>0.37</v>
      </c>
      <c r="BE57" s="2">
        <v>0.2</v>
      </c>
      <c r="BF57" t="s">
        <v>2569</v>
      </c>
      <c r="BG57" s="4"/>
      <c r="BH57" t="s">
        <v>2613</v>
      </c>
      <c r="BI57" s="72" t="str">
        <f t="shared" si="23"/>
        <v>NCC J7D3aOffice - artificially lit to &gt;= 200 lux (fallback; no dedicated print/copy room row); radiant/visible fraction split retained from original WA/COMNET-REV9 source (AIRAH Technical Handbook does not publish this split)LightingDef</v>
      </c>
      <c r="BJ57" t="s">
        <v>1187</v>
      </c>
      <c r="BK57" s="45"/>
      <c r="BL57" s="45"/>
      <c r="BM57" s="45"/>
      <c r="BN57" s="45"/>
      <c r="BO57" s="45"/>
      <c r="BP57" s="45"/>
      <c r="BQ57" s="4"/>
      <c r="BR57" s="4"/>
      <c r="BS57" s="4"/>
      <c r="BT57" s="73" t="s">
        <v>2165</v>
      </c>
      <c r="BU57" s="45" t="s">
        <v>2165</v>
      </c>
      <c r="BW57">
        <v>0.7</v>
      </c>
      <c r="BY57" t="s">
        <v>2660</v>
      </c>
      <c r="BZ57" t="s">
        <v>2661</v>
      </c>
      <c r="CB57" s="50" t="str">
        <f t="shared" si="24"/>
        <v>Office_PrintRoom</v>
      </c>
      <c r="CC57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developed)Office_PrintRoomInfil</v>
      </c>
      <c r="CD57" t="s">
        <v>320</v>
      </c>
      <c r="CE57" t="s">
        <v>115</v>
      </c>
      <c r="CF57" t="s">
        <v>282</v>
      </c>
      <c r="CG57" s="4"/>
      <c r="CH57">
        <v>1.52</v>
      </c>
      <c r="CI57" s="4"/>
      <c r="CJ57" t="s">
        <v>2205</v>
      </c>
      <c r="CK57">
        <v>1.5E-3</v>
      </c>
      <c r="CL57">
        <v>39.6</v>
      </c>
      <c r="CM57">
        <v>6545</v>
      </c>
      <c r="CN57">
        <v>629</v>
      </c>
      <c r="CO57">
        <v>0.9</v>
      </c>
      <c r="CP57">
        <v>0.7</v>
      </c>
      <c r="CQ57">
        <v>0.65</v>
      </c>
      <c r="CR57" t="s">
        <v>2210</v>
      </c>
      <c r="CS57" t="s">
        <v>2206</v>
      </c>
      <c r="CT57" t="s">
        <v>2328</v>
      </c>
      <c r="CU57" s="4" t="s">
        <v>2165</v>
      </c>
      <c r="CV57" t="str">
        <f t="shared" si="29"/>
        <v>Steel_Office_Equipment_2mm</v>
      </c>
      <c r="CW57" s="72" t="str">
        <f t="shared" si="31"/>
        <v>CalculatedEstimateCommercialCopierAndSteelStorageCabinetsSteel_Office_Equipment_2mmInternalMassDef</v>
      </c>
    </row>
    <row r="58" spans="1:101" x14ac:dyDescent="0.35">
      <c r="A58" t="s">
        <v>150</v>
      </c>
      <c r="B58" s="50" t="str">
        <f t="shared" si="12"/>
        <v>2025_AU_NCC</v>
      </c>
      <c r="C58" s="50" t="s">
        <v>2430</v>
      </c>
      <c r="D58" s="50" t="s">
        <v>283</v>
      </c>
      <c r="E58" t="s">
        <v>2421</v>
      </c>
      <c r="F58" s="62">
        <v>2025</v>
      </c>
      <c r="G58" s="62" t="s">
        <v>2522</v>
      </c>
      <c r="H58" t="s">
        <v>2523</v>
      </c>
      <c r="I58">
        <v>169</v>
      </c>
      <c r="J58">
        <v>31</v>
      </c>
      <c r="K58">
        <v>31</v>
      </c>
      <c r="L58" s="50" t="str">
        <f t="shared" si="21"/>
        <v>CS Corridor - Assisted Living_2025AUNCC</v>
      </c>
      <c r="M58" s="50" t="str">
        <f t="shared" si="14"/>
        <v>CS Corridor - Assisted Living_2025AUNCCScheduleSet</v>
      </c>
      <c r="N58" s="69"/>
      <c r="O58" s="4"/>
      <c r="P58" s="46"/>
      <c r="Q58" s="4">
        <v>255.91</v>
      </c>
      <c r="R58" s="46">
        <v>75</v>
      </c>
      <c r="S58" s="4">
        <v>187.67</v>
      </c>
      <c r="T58" s="46">
        <v>55</v>
      </c>
      <c r="U58" s="46"/>
      <c r="V58" s="46"/>
      <c r="W58" s="46">
        <v>130</v>
      </c>
      <c r="X58" s="48">
        <v>0.57692307700000001</v>
      </c>
      <c r="Y58" s="4" t="s">
        <v>2524</v>
      </c>
      <c r="Z58" s="4" t="s">
        <v>2525</v>
      </c>
      <c r="AA58" s="4"/>
      <c r="AB58" s="4"/>
      <c r="AC58" s="51" t="s">
        <v>2165</v>
      </c>
      <c r="AD58" s="4" t="s">
        <v>2165</v>
      </c>
      <c r="AE58" s="51" t="s">
        <v>2165</v>
      </c>
      <c r="AF58" s="63" t="s">
        <v>2165</v>
      </c>
      <c r="AG58" s="63" t="s">
        <v>2165</v>
      </c>
      <c r="AH58" s="62">
        <v>0.06</v>
      </c>
      <c r="AI58" s="62">
        <f t="shared" si="17"/>
        <v>3.0479999999999998E-4</v>
      </c>
      <c r="AJ58" s="63" t="s">
        <v>2165</v>
      </c>
      <c r="AK58" s="4" t="s">
        <v>2165</v>
      </c>
      <c r="AL58" s="4" t="s">
        <v>2165</v>
      </c>
      <c r="AM58" t="s">
        <v>37</v>
      </c>
      <c r="AN58" t="s">
        <v>52</v>
      </c>
      <c r="AO58" s="4" t="s">
        <v>2165</v>
      </c>
      <c r="AP58" s="4" t="s">
        <v>2165</v>
      </c>
      <c r="AQ58" s="72" t="str">
        <f t="shared" si="26"/>
        <v>Washington State Mechanical Code TABLE 403.3.1.1Public spaces_Corridors serving Group R Vent</v>
      </c>
      <c r="AR58" s="2">
        <v>0</v>
      </c>
      <c r="AS58" s="2">
        <v>0</v>
      </c>
      <c r="AT58" s="2">
        <v>0</v>
      </c>
      <c r="AU58" s="2">
        <v>0.5</v>
      </c>
      <c r="AV58" s="2">
        <v>0</v>
      </c>
      <c r="AW58" t="s">
        <v>2528</v>
      </c>
      <c r="AX58" s="4"/>
      <c r="AY58" t="s">
        <v>2547</v>
      </c>
      <c r="AZ58" s="72" t="str">
        <f t="shared" si="33"/>
        <v>NCC S35C2lClass 9c building: S35C2l's 160 W/room provision applies only to sole-occupancy resident rooms; a corridor is a communal/circulation space so it defaults to 'Other applications - No load'; radiant/latent/lost fraction split retained from original WA/COMNET-REV9 source (AIRAH Technical Handbook does not publish this split)CS Corridor - Assisted LivingElectricalEquipDef</v>
      </c>
      <c r="BA58" s="8" t="s">
        <v>344</v>
      </c>
      <c r="BB58" s="50">
        <v>0.46451500000000001</v>
      </c>
      <c r="BC58" s="2">
        <v>5</v>
      </c>
      <c r="BD58" s="2">
        <v>0.37</v>
      </c>
      <c r="BE58" s="2">
        <v>0.2</v>
      </c>
      <c r="BF58" t="s">
        <v>2569</v>
      </c>
      <c r="BG58" s="4"/>
      <c r="BH58" t="s">
        <v>2614</v>
      </c>
      <c r="BI58" s="72" t="str">
        <f t="shared" si="23"/>
        <v>NCC J7D3aCorridors (Class 9c aged care building - NCC 2025 Vol One Spec 35 Table S35C2k is the applicable occupancy profile table for future schedule work); radiant/latent/lost fraction split retained from original WA/COMNET-REV9 source (AIRAH Technical Handbook does not publish this split)LightingDef</v>
      </c>
      <c r="BJ58" t="s">
        <v>1187</v>
      </c>
      <c r="BK58" s="45"/>
      <c r="BL58" s="45"/>
      <c r="BM58" s="45"/>
      <c r="BN58" s="45"/>
      <c r="BO58" s="45"/>
      <c r="BP58" s="45"/>
      <c r="BQ58" s="4"/>
      <c r="BR58" s="4"/>
      <c r="BS58" s="4"/>
      <c r="BT58" s="73" t="s">
        <v>2165</v>
      </c>
      <c r="BU58" s="45" t="s">
        <v>2165</v>
      </c>
      <c r="BW58">
        <v>0.7</v>
      </c>
      <c r="BY58" t="s">
        <v>2660</v>
      </c>
      <c r="BZ58" t="s">
        <v>2661</v>
      </c>
      <c r="CB58" s="50" t="str">
        <f t="shared" si="24"/>
        <v>MidriseApartment_Corridor</v>
      </c>
      <c r="CC58" s="72" t="str">
        <f t="shared" si="28"/>
        <v>NCC S34C2(6)0.7 ACH assumed as design infiltration for periods without mechanical outdoor air supply; NCC also specifies 0.35 ACH when mechanical OA is operating (to be applied via infiltration schedule once developed)MidriseApartment_CorridorInfil</v>
      </c>
      <c r="CD58" t="s">
        <v>493</v>
      </c>
      <c r="CE58" t="s">
        <v>2089</v>
      </c>
      <c r="CF58" t="s">
        <v>283</v>
      </c>
      <c r="CG58" s="4"/>
      <c r="CH58">
        <v>0.19</v>
      </c>
      <c r="CI58" s="4"/>
      <c r="CJ58" t="s">
        <v>2207</v>
      </c>
      <c r="CK58">
        <v>2.7000000000000001E-3</v>
      </c>
      <c r="CL58">
        <v>182.5</v>
      </c>
      <c r="CM58">
        <v>3009</v>
      </c>
      <c r="CN58">
        <v>894</v>
      </c>
      <c r="CO58">
        <v>0.9</v>
      </c>
      <c r="CP58">
        <v>0.7</v>
      </c>
      <c r="CQ58">
        <v>0.7</v>
      </c>
      <c r="CR58" t="s">
        <v>2211</v>
      </c>
      <c r="CS58" t="s">
        <v>2206</v>
      </c>
      <c r="CT58" t="s">
        <v>2329</v>
      </c>
      <c r="CU58" s="4" t="s">
        <v>2165</v>
      </c>
      <c r="CV58" t="str">
        <f t="shared" si="29"/>
        <v>Aluminum_Corridor_Fixtures_3mm</v>
      </c>
      <c r="CW58" s="72" t="str">
        <f t="shared" si="31"/>
        <v>CalculatedEstimateAluminumHandrailsAndWayfindingSignageAluminum_Corridor_Fixtures_3mmInternalMassDef</v>
      </c>
    </row>
    <row r="59" spans="1:101" x14ac:dyDescent="0.35">
      <c r="A59" t="s">
        <v>151</v>
      </c>
      <c r="B59" s="50" t="str">
        <f t="shared" si="12"/>
        <v>2025_AU_NCC</v>
      </c>
      <c r="C59" s="50" t="s">
        <v>110</v>
      </c>
      <c r="D59" s="50" t="s">
        <v>283</v>
      </c>
      <c r="E59" t="s">
        <v>2044</v>
      </c>
      <c r="F59" s="62">
        <v>2025</v>
      </c>
      <c r="G59" s="62" t="s">
        <v>2522</v>
      </c>
      <c r="H59" t="s">
        <v>2523</v>
      </c>
      <c r="I59">
        <v>169</v>
      </c>
      <c r="J59">
        <v>31</v>
      </c>
      <c r="K59">
        <v>31</v>
      </c>
      <c r="L59" s="50" t="str">
        <f t="shared" si="21"/>
        <v>CS Corridor - Hospital_2025AUNCC</v>
      </c>
      <c r="M59" s="50" t="str">
        <f t="shared" si="14"/>
        <v>CS Corridor - Hospital_2025AUNCCScheduleSet</v>
      </c>
      <c r="N59" s="69"/>
      <c r="O59" s="4"/>
      <c r="P59" s="46"/>
      <c r="Q59" s="4">
        <v>255.91</v>
      </c>
      <c r="R59" s="46">
        <v>75</v>
      </c>
      <c r="S59" s="4">
        <v>187.67</v>
      </c>
      <c r="T59" s="46">
        <v>55</v>
      </c>
      <c r="U59" s="46"/>
      <c r="V59" s="46"/>
      <c r="W59" s="46">
        <v>130</v>
      </c>
      <c r="X59" s="48">
        <v>0.57692307700000001</v>
      </c>
      <c r="Y59" s="4" t="s">
        <v>2524</v>
      </c>
      <c r="Z59" s="4" t="s">
        <v>2525</v>
      </c>
      <c r="AA59" s="4"/>
      <c r="AB59" s="4"/>
      <c r="AC59" s="51" t="s">
        <v>2165</v>
      </c>
      <c r="AD59" s="4" t="s">
        <v>2165</v>
      </c>
      <c r="AE59" s="51" t="s">
        <v>2165</v>
      </c>
      <c r="AF59" s="63" t="s">
        <v>2165</v>
      </c>
      <c r="AG59" s="63" t="s">
        <v>2165</v>
      </c>
      <c r="AH59" s="62">
        <v>0.06</v>
      </c>
      <c r="AI59" s="62">
        <f t="shared" si="17"/>
        <v>3.0479999999999998E-4</v>
      </c>
      <c r="AJ59" s="63" t="s">
        <v>2165</v>
      </c>
      <c r="AK59" s="4" t="s">
        <v>2165</v>
      </c>
      <c r="AL59" s="4" t="s">
        <v>2165</v>
      </c>
      <c r="AM59" t="s">
        <v>37</v>
      </c>
      <c r="AN59" t="s">
        <v>46</v>
      </c>
      <c r="AO59" s="4" t="s">
        <v>2165</v>
      </c>
      <c r="AP59" s="4" t="s">
        <v>2165</v>
      </c>
      <c r="AQ59" s="72" t="str">
        <f t="shared" si="26"/>
        <v>Washington State Mechanical Code TABLE 403.3.1.1Public spaces_Corridors other than Group RVent</v>
      </c>
      <c r="AR59" s="2">
        <v>0.46451500000000001</v>
      </c>
      <c r="AS59" s="2">
        <v>5</v>
      </c>
      <c r="AT59" s="2">
        <v>0</v>
      </c>
      <c r="AU59" s="2">
        <v>0.5</v>
      </c>
      <c r="AV59" s="2">
        <v>0</v>
      </c>
      <c r="AW59" t="s">
        <v>2528</v>
      </c>
      <c r="AX59" s="4"/>
      <c r="AY59" t="s">
        <v>2548</v>
      </c>
      <c r="AZ59" s="72" t="str">
        <f t="shared" si="33"/>
        <v>NCC S35C2lClass 9a ward area (support/circulation default); radiant/latent/lost fraction split retained from original WA/COMNET-REV9 source (AIRAH Technical Handbook does not publish this split)CS Corridor - HospitalElectricalEquipDef</v>
      </c>
      <c r="BA59" s="8" t="s">
        <v>329</v>
      </c>
      <c r="BB59" s="50">
        <v>0.23225799999999999</v>
      </c>
      <c r="BC59" s="2">
        <v>2.5</v>
      </c>
      <c r="BD59" s="2">
        <v>0.37</v>
      </c>
      <c r="BE59" s="2">
        <v>0.2</v>
      </c>
      <c r="BF59" t="s">
        <v>2569</v>
      </c>
      <c r="BG59" s="4"/>
      <c r="BH59" t="s">
        <v>2578</v>
      </c>
      <c r="BI59" s="72" t="str">
        <f t="shared" si="23"/>
        <v>NCC J7D3aHealth-care - all other patient care areas including wards and corridors; radiant/visible fraction split retained from original WA/COMNET-REV9 source (AIRAH Technical Handbook does not publish this split)LightingDef</v>
      </c>
      <c r="BJ59" t="s">
        <v>538</v>
      </c>
      <c r="BK59" s="45"/>
      <c r="BL59" s="45"/>
      <c r="BM59" s="45"/>
      <c r="BN59" s="45"/>
      <c r="BO59" s="45"/>
      <c r="BP59" s="45"/>
      <c r="BQ59" s="4"/>
      <c r="BR59" s="4"/>
      <c r="BS59" s="4"/>
      <c r="BT59" s="73" t="s">
        <v>2165</v>
      </c>
      <c r="BU59" s="45" t="s">
        <v>2165</v>
      </c>
      <c r="BW59">
        <v>0.7</v>
      </c>
      <c r="BY59" t="s">
        <v>2660</v>
      </c>
      <c r="BZ59" t="s">
        <v>2661</v>
      </c>
      <c r="CB59" s="50" t="str">
        <f t="shared" si="24"/>
        <v>Hospital_Corridor</v>
      </c>
      <c r="CC59" s="72" t="str">
        <f t="shared" si="28"/>
        <v>NCC S34C2(6)0.7 ACH assumed as design infiltration for periods without mechanical outdoor air supply; NCC also specifies 0.35 ACH when mechanical OA is operating (to be applied via infiltration schedule once developed)Hospital_CorridorInfil</v>
      </c>
      <c r="CD59" t="s">
        <v>610</v>
      </c>
      <c r="CE59" t="s">
        <v>110</v>
      </c>
      <c r="CF59" t="s">
        <v>283</v>
      </c>
      <c r="CG59" s="4"/>
      <c r="CH59">
        <v>0.26</v>
      </c>
      <c r="CI59" s="4"/>
      <c r="CJ59" t="s">
        <v>2207</v>
      </c>
      <c r="CK59">
        <v>2.5000000000000001E-3</v>
      </c>
      <c r="CL59">
        <v>64.8</v>
      </c>
      <c r="CM59">
        <v>6330</v>
      </c>
      <c r="CN59">
        <v>644</v>
      </c>
      <c r="CO59">
        <v>0.9</v>
      </c>
      <c r="CP59">
        <v>0.7</v>
      </c>
      <c r="CQ59">
        <v>0.7</v>
      </c>
      <c r="CR59" t="s">
        <v>2212</v>
      </c>
      <c r="CS59" t="s">
        <v>2206</v>
      </c>
      <c r="CT59" t="s">
        <v>2330</v>
      </c>
      <c r="CU59" s="4" t="s">
        <v>2165</v>
      </c>
      <c r="CV59" t="str">
        <f t="shared" si="29"/>
        <v>Stainless_Aluminum_Hospital_3mm</v>
      </c>
      <c r="CW59" s="72" t="str">
        <f t="shared" si="31"/>
        <v>CalculatedEstimateStainlessHandrailsAndMedicalSignageStainless_Aluminum_Hospital_3mmInternalMassDef</v>
      </c>
    </row>
    <row r="60" spans="1:101" x14ac:dyDescent="0.35">
      <c r="A60" t="s">
        <v>152</v>
      </c>
      <c r="B60" s="50" t="str">
        <f t="shared" si="12"/>
        <v>2025_AU_NCC</v>
      </c>
      <c r="C60" s="50" t="s">
        <v>2431</v>
      </c>
      <c r="D60" s="50" t="s">
        <v>283</v>
      </c>
      <c r="E60" t="s">
        <v>2045</v>
      </c>
      <c r="F60" s="62">
        <v>2025</v>
      </c>
      <c r="G60" s="62" t="s">
        <v>2522</v>
      </c>
      <c r="H60" t="s">
        <v>2523</v>
      </c>
      <c r="I60">
        <v>169</v>
      </c>
      <c r="J60">
        <v>31</v>
      </c>
      <c r="K60">
        <v>31</v>
      </c>
      <c r="L60" s="50" t="str">
        <f t="shared" si="21"/>
        <v>CS Corridor - Manufacturing_2025AUNCC</v>
      </c>
      <c r="M60" s="50" t="str">
        <f t="shared" si="14"/>
        <v>CS Corridor - Manufacturing_2025AUNCCScheduleSet</v>
      </c>
      <c r="N60" s="68">
        <v>143</v>
      </c>
      <c r="O60" s="6">
        <v>6.9930069929999998</v>
      </c>
      <c r="P60" s="38">
        <v>7.5272133000000005E-2</v>
      </c>
      <c r="Q60" s="4">
        <v>255.91</v>
      </c>
      <c r="R60" s="6">
        <v>75</v>
      </c>
      <c r="S60" s="4">
        <v>187.67</v>
      </c>
      <c r="T60" s="6">
        <v>55</v>
      </c>
      <c r="U60" s="6"/>
      <c r="V60" s="6"/>
      <c r="W60" s="6">
        <v>130</v>
      </c>
      <c r="X60" s="2">
        <v>0.57692307700000001</v>
      </c>
      <c r="Y60" t="s">
        <v>2524</v>
      </c>
      <c r="Z60" s="4" t="s">
        <v>2525</v>
      </c>
      <c r="AA60" s="4"/>
      <c r="AB60" s="4"/>
      <c r="AC60" s="50" t="str">
        <f>CONCATENATE(Y60,Z60,AA60,A60,"PeopleDef")</f>
        <v>NCC S35C2nOther applications (non-dining)CS Corridor - ManufacturingPeopleDef</v>
      </c>
      <c r="AD60" t="s">
        <v>354</v>
      </c>
      <c r="AE60" s="50" t="str">
        <f>CONCATENATE(A60,"Activity")</f>
        <v>CS Corridor - ManufacturingActivity</v>
      </c>
      <c r="AF60" s="63" t="s">
        <v>2165</v>
      </c>
      <c r="AG60" s="63" t="s">
        <v>2165</v>
      </c>
      <c r="AH60" s="62">
        <v>0.25</v>
      </c>
      <c r="AI60" s="62">
        <f t="shared" si="17"/>
        <v>1.2700000000000001E-3</v>
      </c>
      <c r="AJ60" s="63" t="s">
        <v>2165</v>
      </c>
      <c r="AK60" s="4" t="s">
        <v>2165</v>
      </c>
      <c r="AL60" s="4" t="s">
        <v>2165</v>
      </c>
      <c r="AM60" t="s">
        <v>104</v>
      </c>
      <c r="AN60" s="4" t="s">
        <v>2165</v>
      </c>
      <c r="AO60" s="4" t="s">
        <v>2165</v>
      </c>
      <c r="AP60" s="4" t="s">
        <v>2165</v>
      </c>
      <c r="AQ60" s="72" t="str">
        <f>CONCATENATE(AM60,AN60,AO60,AP60,A60,"Vent")</f>
        <v>COMNET-REV9CS Corridor - ManufacturingVent</v>
      </c>
      <c r="AR60" s="2">
        <v>0</v>
      </c>
      <c r="AS60" s="2">
        <v>0</v>
      </c>
      <c r="AT60" s="2">
        <v>0</v>
      </c>
      <c r="AU60" s="2">
        <v>0.5</v>
      </c>
      <c r="AV60" s="2">
        <v>0</v>
      </c>
      <c r="AW60" t="s">
        <v>2528</v>
      </c>
      <c r="AX60" s="4"/>
      <c r="AY60" t="s">
        <v>2537</v>
      </c>
      <c r="AZ60" s="72" t="str">
        <f t="shared" si="33"/>
        <v>NCC S35C2lClass 8 (Other applications) - no equipment load per S35C2l; radiant/latent/lost fraction split retained from original WA/COMNET-REV9 source (AIRAH Technical Handbook does not publish this split)CS Corridor - ManufacturingElectricalEquipDef</v>
      </c>
      <c r="BA60" t="s">
        <v>337</v>
      </c>
      <c r="BB60" s="50">
        <v>0.46451500000000001</v>
      </c>
      <c r="BC60" s="2">
        <v>5</v>
      </c>
      <c r="BD60" s="2">
        <v>0.37</v>
      </c>
      <c r="BE60" s="2">
        <v>0.2</v>
      </c>
      <c r="BF60" t="s">
        <v>2569</v>
      </c>
      <c r="BG60" s="4"/>
      <c r="BH60" t="s">
        <v>2615</v>
      </c>
      <c r="BI60" s="72" t="str">
        <f t="shared" si="23"/>
        <v>NCC J7D3aCorridors; radiant/visible fraction split retained from original WA/COMNET-REV9 source (AIRAH Technical Handbook does not publish this split)LightingDef</v>
      </c>
      <c r="BJ60" t="s">
        <v>366</v>
      </c>
      <c r="BK60" s="45"/>
      <c r="BL60" s="45"/>
      <c r="BM60" s="45"/>
      <c r="BN60" s="45"/>
      <c r="BO60" s="45"/>
      <c r="BP60" s="45"/>
      <c r="BQ60" s="4"/>
      <c r="BR60" s="4"/>
      <c r="BS60" s="4"/>
      <c r="BT60" s="73" t="s">
        <v>2165</v>
      </c>
      <c r="BU60" s="45" t="s">
        <v>2165</v>
      </c>
      <c r="BW60">
        <v>0.7</v>
      </c>
      <c r="BY60" t="s">
        <v>2660</v>
      </c>
      <c r="BZ60" t="s">
        <v>2661</v>
      </c>
      <c r="CB60" s="50" t="str">
        <f t="shared" si="24"/>
        <v>Office_Corridor</v>
      </c>
      <c r="CC60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developed)Office_CorridorInfil</v>
      </c>
      <c r="CD60" t="s">
        <v>320</v>
      </c>
      <c r="CE60" t="s">
        <v>115</v>
      </c>
      <c r="CF60" t="s">
        <v>283</v>
      </c>
      <c r="CG60" s="4"/>
      <c r="CH60">
        <v>0.34</v>
      </c>
      <c r="CI60" s="4"/>
      <c r="CJ60" t="s">
        <v>2205</v>
      </c>
      <c r="CK60">
        <v>6.3E-3</v>
      </c>
      <c r="CL60">
        <v>82</v>
      </c>
      <c r="CM60">
        <v>5095</v>
      </c>
      <c r="CN60">
        <v>711</v>
      </c>
      <c r="CO60">
        <v>0.9</v>
      </c>
      <c r="CP60">
        <v>0.7</v>
      </c>
      <c r="CQ60">
        <v>0.7</v>
      </c>
      <c r="CR60" t="s">
        <v>2213</v>
      </c>
      <c r="CS60" t="s">
        <v>2206</v>
      </c>
      <c r="CT60" t="s">
        <v>2331</v>
      </c>
      <c r="CU60" s="4" t="s">
        <v>2165</v>
      </c>
      <c r="CV60" t="str">
        <f t="shared" si="29"/>
        <v>Steel_Aluminum_Industrial_6mm</v>
      </c>
      <c r="CW60" s="72" t="str">
        <f t="shared" si="31"/>
        <v>CalculatedEstimateSteelHandrailsAndSafetyBollardsSteel_Aluminum_Industrial_6mmInternalMassDef</v>
      </c>
    </row>
    <row r="61" spans="1:101" x14ac:dyDescent="0.35">
      <c r="A61" t="s">
        <v>153</v>
      </c>
      <c r="B61" s="50" t="str">
        <f t="shared" si="12"/>
        <v>2025_AU_NCC</v>
      </c>
      <c r="C61" s="50" t="s">
        <v>2426</v>
      </c>
      <c r="D61" s="50" t="s">
        <v>283</v>
      </c>
      <c r="E61" t="s">
        <v>2046</v>
      </c>
      <c r="F61" s="62">
        <v>2025</v>
      </c>
      <c r="G61" s="62" t="s">
        <v>2522</v>
      </c>
      <c r="H61" t="s">
        <v>2523</v>
      </c>
      <c r="I61">
        <v>169</v>
      </c>
      <c r="J61">
        <v>31</v>
      </c>
      <c r="K61">
        <v>31</v>
      </c>
      <c r="L61" s="50" t="str">
        <f t="shared" si="21"/>
        <v>CS Corridor - Other_2025AUNCC</v>
      </c>
      <c r="M61" s="50" t="str">
        <f t="shared" si="14"/>
        <v>CS Corridor - Other_2025AUNCCScheduleSet</v>
      </c>
      <c r="N61" s="69"/>
      <c r="O61" s="46"/>
      <c r="P61" s="46"/>
      <c r="Q61" s="46">
        <v>255.91</v>
      </c>
      <c r="R61" s="46">
        <v>75</v>
      </c>
      <c r="S61" s="46">
        <v>187.67</v>
      </c>
      <c r="T61" s="46">
        <v>55</v>
      </c>
      <c r="U61" s="46"/>
      <c r="V61" s="46"/>
      <c r="W61" s="46">
        <v>130</v>
      </c>
      <c r="X61" s="48">
        <v>0.57692307700000001</v>
      </c>
      <c r="Y61" s="46" t="s">
        <v>2524</v>
      </c>
      <c r="Z61" s="46" t="s">
        <v>2525</v>
      </c>
      <c r="AA61" s="46"/>
      <c r="AB61" s="46"/>
      <c r="AC61" s="54" t="s">
        <v>2165</v>
      </c>
      <c r="AD61" s="46" t="s">
        <v>2165</v>
      </c>
      <c r="AE61" s="54" t="s">
        <v>2165</v>
      </c>
      <c r="AF61" s="63" t="s">
        <v>2165</v>
      </c>
      <c r="AG61" s="63" t="s">
        <v>2165</v>
      </c>
      <c r="AH61" s="62">
        <v>0.06</v>
      </c>
      <c r="AI61" s="62">
        <f>AH61*0.00508</f>
        <v>3.0479999999999998E-4</v>
      </c>
      <c r="AJ61" s="63" t="s">
        <v>2165</v>
      </c>
      <c r="AK61" s="4" t="s">
        <v>2165</v>
      </c>
      <c r="AL61" s="4" t="s">
        <v>2165</v>
      </c>
      <c r="AM61" t="s">
        <v>37</v>
      </c>
      <c r="AN61" t="s">
        <v>46</v>
      </c>
      <c r="AO61" s="4" t="s">
        <v>2165</v>
      </c>
      <c r="AP61" s="4" t="s">
        <v>2165</v>
      </c>
      <c r="AQ61" s="72" t="str">
        <f t="shared" ref="AQ61:AQ92" si="34">CONCATENATE(AM61,AN61,AO61,AP61,"Vent")</f>
        <v>Washington State Mechanical Code TABLE 403.3.1.1Public spaces_Corridors other than Group RVent</v>
      </c>
      <c r="AR61" s="2">
        <v>0</v>
      </c>
      <c r="AS61" s="2">
        <v>0</v>
      </c>
      <c r="AT61" s="2">
        <v>0</v>
      </c>
      <c r="AU61" s="2">
        <v>0.5</v>
      </c>
      <c r="AV61" s="2">
        <v>0</v>
      </c>
      <c r="AW61" t="s">
        <v>2528</v>
      </c>
      <c r="AX61" t="s">
        <v>32</v>
      </c>
      <c r="AY61" t="s">
        <v>2544</v>
      </c>
      <c r="AZ61" s="72" t="str">
        <f t="shared" si="33"/>
        <v>NCC S35C2lBA WarehouseShared with host building class (Other applications) - no equipment load per S35C2l; radiant/latent/lost fraction split retained from original WA/COMNET-REV9 source (AIRAH Technical Handbook does not publish this split)CS Corridor - OtherElectricalEquipDef</v>
      </c>
      <c r="BA61" s="8" t="s">
        <v>346</v>
      </c>
      <c r="BB61" s="50">
        <v>0.46451500000000001</v>
      </c>
      <c r="BC61" s="2">
        <v>5</v>
      </c>
      <c r="BD61" s="2">
        <v>0.37</v>
      </c>
      <c r="BE61" s="2">
        <v>0.2</v>
      </c>
      <c r="BF61" t="s">
        <v>2569</v>
      </c>
      <c r="BG61" s="4"/>
      <c r="BH61" t="s">
        <v>2615</v>
      </c>
      <c r="BI61" s="72" t="str">
        <f t="shared" si="23"/>
        <v>NCC J7D3aCorridors; radiant/visible fraction split retained from original WA/COMNET-REV9 source (AIRAH Technical Handbook does not publish this split)LightingDef</v>
      </c>
      <c r="BJ61" t="s">
        <v>1838</v>
      </c>
      <c r="BK61" s="45"/>
      <c r="BL61" s="45"/>
      <c r="BM61" s="45"/>
      <c r="BN61" s="45"/>
      <c r="BO61" s="45"/>
      <c r="BP61" s="45"/>
      <c r="BQ61" s="4"/>
      <c r="BR61" s="4"/>
      <c r="BS61" s="4"/>
      <c r="BT61" s="73" t="s">
        <v>2165</v>
      </c>
      <c r="BU61" s="45" t="s">
        <v>2165</v>
      </c>
      <c r="BW61">
        <v>0.7</v>
      </c>
      <c r="BY61" t="s">
        <v>2660</v>
      </c>
      <c r="BZ61" t="s">
        <v>2661</v>
      </c>
      <c r="CB61" s="50" t="str">
        <f t="shared" si="24"/>
        <v>LargeHotel_Corridor</v>
      </c>
      <c r="CC61" s="72" t="str">
        <f t="shared" si="28"/>
        <v>NCC S34C2(6)0.7 ACH assumed as design infiltration for periods without mechanical outdoor air supply; NCC also specifies 0.35 ACH when mechanical OA is operating (to be applied via infiltration schedule once developed)LargeHotel_CorridorInfil</v>
      </c>
      <c r="CD61" t="s">
        <v>321</v>
      </c>
      <c r="CE61" t="s">
        <v>322</v>
      </c>
      <c r="CF61" t="s">
        <v>283</v>
      </c>
      <c r="CG61" s="4"/>
      <c r="CH61">
        <v>0.19</v>
      </c>
      <c r="CI61" s="4"/>
      <c r="CJ61" t="s">
        <v>2207</v>
      </c>
      <c r="CK61">
        <v>2.7000000000000001E-3</v>
      </c>
      <c r="CL61">
        <v>186.9</v>
      </c>
      <c r="CM61">
        <v>2928</v>
      </c>
      <c r="CN61">
        <v>898</v>
      </c>
      <c r="CO61">
        <v>0.9</v>
      </c>
      <c r="CP61">
        <v>0.7</v>
      </c>
      <c r="CQ61">
        <v>0.7</v>
      </c>
      <c r="CR61" t="s">
        <v>2214</v>
      </c>
      <c r="CS61" t="s">
        <v>2206</v>
      </c>
      <c r="CT61" t="s">
        <v>2332</v>
      </c>
      <c r="CU61" s="4" t="s">
        <v>2165</v>
      </c>
      <c r="CV61" t="str">
        <f t="shared" si="29"/>
        <v>Aluminum_Commercial_Fixtures_3mm</v>
      </c>
      <c r="CW61" s="72" t="str">
        <f t="shared" si="31"/>
        <v>CalculatedEstimateAluminumHandrailsAndDirectionalSignageAluminum_Commercial_Fixtures_3mmInternalMassDef</v>
      </c>
    </row>
    <row r="62" spans="1:101" x14ac:dyDescent="0.35">
      <c r="A62" t="s">
        <v>219</v>
      </c>
      <c r="B62" s="50" t="str">
        <f t="shared" si="12"/>
        <v>2025_AU_NCC</v>
      </c>
      <c r="C62" s="50" t="s">
        <v>252</v>
      </c>
      <c r="D62" s="50" t="s">
        <v>127</v>
      </c>
      <c r="E62" t="s">
        <v>284</v>
      </c>
      <c r="F62" s="62">
        <v>2025</v>
      </c>
      <c r="G62" s="62" t="s">
        <v>2522</v>
      </c>
      <c r="H62" t="s">
        <v>2523</v>
      </c>
      <c r="I62">
        <v>153</v>
      </c>
      <c r="J62">
        <v>76</v>
      </c>
      <c r="K62">
        <v>0</v>
      </c>
      <c r="L62" s="50" t="str">
        <f t="shared" si="21"/>
        <v>CS Courtroom_2025AUNCC</v>
      </c>
      <c r="M62" s="50" t="str">
        <f t="shared" si="14"/>
        <v>CS Courtroom_2025AUNCCScheduleSet</v>
      </c>
      <c r="N62" s="68">
        <v>14.28571429</v>
      </c>
      <c r="O62">
        <v>70</v>
      </c>
      <c r="P62" s="38">
        <v>0.753474054</v>
      </c>
      <c r="Q62">
        <v>255.91</v>
      </c>
      <c r="R62" s="6">
        <v>75</v>
      </c>
      <c r="S62">
        <v>187.67</v>
      </c>
      <c r="T62" s="6">
        <v>55</v>
      </c>
      <c r="U62" s="6"/>
      <c r="V62" s="6"/>
      <c r="W62" s="6">
        <v>130</v>
      </c>
      <c r="X62" s="2">
        <v>0.57692307700000001</v>
      </c>
      <c r="Y62" t="s">
        <v>2524</v>
      </c>
      <c r="Z62" t="s">
        <v>2525</v>
      </c>
      <c r="AB62" s="4"/>
      <c r="AC62" s="50" t="str">
        <f t="shared" ref="AC62:AC69" si="35">CONCATENATE(Y62,Z62,AA62,AB62,"PeopleDef")</f>
        <v>NCC S35C2nOther applications (non-dining)PeopleDef</v>
      </c>
      <c r="AD62" t="s">
        <v>354</v>
      </c>
      <c r="AE62" s="50" t="str">
        <f t="shared" ref="AE62:AE69" si="36">CONCATENATE(A62,"Activity")</f>
        <v>CS CourtroomActivity</v>
      </c>
      <c r="AF62" s="62">
        <v>5</v>
      </c>
      <c r="AG62" s="62">
        <f t="shared" si="27"/>
        <v>2.3596035865974517E-3</v>
      </c>
      <c r="AH62" s="62">
        <v>0.06</v>
      </c>
      <c r="AI62" s="62">
        <f t="shared" ref="AI62:AI91" si="37">AH62*0.00508</f>
        <v>3.0479999999999998E-4</v>
      </c>
      <c r="AJ62" s="63" t="s">
        <v>2165</v>
      </c>
      <c r="AK62" s="4" t="s">
        <v>2165</v>
      </c>
      <c r="AL62" s="4" t="s">
        <v>2165</v>
      </c>
      <c r="AM62" t="s">
        <v>37</v>
      </c>
      <c r="AN62" t="s">
        <v>53</v>
      </c>
      <c r="AO62" s="4" t="s">
        <v>2165</v>
      </c>
      <c r="AP62" s="4" t="s">
        <v>2165</v>
      </c>
      <c r="AQ62" s="72" t="str">
        <f t="shared" si="34"/>
        <v>Washington State Mechanical Code TABLE 403.3.1.1Public spaces_CourtroomsVent</v>
      </c>
      <c r="AR62" s="2">
        <v>0</v>
      </c>
      <c r="AS62" s="2">
        <v>0</v>
      </c>
      <c r="AT62" s="2">
        <v>0</v>
      </c>
      <c r="AU62" s="2">
        <v>0.5</v>
      </c>
      <c r="AV62" s="2">
        <v>0</v>
      </c>
      <c r="AW62" t="s">
        <v>2528</v>
      </c>
      <c r="AX62" s="4"/>
      <c r="AY62" t="s">
        <v>2530</v>
      </c>
      <c r="AZ62" s="72" t="str">
        <f t="shared" si="33"/>
        <v>NCC S35C2lClass 9b special (Other applications) - no equipment load per S35C2l; radiant/latent/lost fraction split retained from original WA/COMNET-REV9 source (AIRAH Technical Handbook does not publish this split)CS CourtroomElectricalEquipDef</v>
      </c>
      <c r="BA62" s="8" t="s">
        <v>337</v>
      </c>
      <c r="BB62" s="50">
        <v>0.41806399999999999</v>
      </c>
      <c r="BC62" s="2">
        <v>4.5</v>
      </c>
      <c r="BD62" s="2">
        <v>0.37</v>
      </c>
      <c r="BE62" s="2">
        <v>0.2</v>
      </c>
      <c r="BF62" t="s">
        <v>2569</v>
      </c>
      <c r="BG62" s="4"/>
      <c r="BH62" t="s">
        <v>2571</v>
      </c>
      <c r="BI62" s="72" t="str">
        <f t="shared" si="23"/>
        <v>NCC J7D3aCourtroom; radiant/visible fraction split retained from original WA/COMNET-REV9 source (AIRAH Technical Handbook does not publish this split)LightingDef</v>
      </c>
      <c r="BJ62" t="s">
        <v>366</v>
      </c>
      <c r="BK62" s="45"/>
      <c r="BL62" s="45"/>
      <c r="BM62" s="45"/>
      <c r="BN62" s="45"/>
      <c r="BO62" s="45"/>
      <c r="BP62" s="45"/>
      <c r="BQ62" s="4"/>
      <c r="BR62" s="4"/>
      <c r="BS62" s="4"/>
      <c r="BT62" s="73" t="s">
        <v>2165</v>
      </c>
      <c r="BU62" s="45" t="s">
        <v>2165</v>
      </c>
      <c r="BW62">
        <v>0.7</v>
      </c>
      <c r="BY62" t="s">
        <v>2660</v>
      </c>
      <c r="BZ62" t="s">
        <v>2661</v>
      </c>
      <c r="CB62" s="50" t="str">
        <f t="shared" si="24"/>
        <v>Space Function_Courthouse - courtroom</v>
      </c>
      <c r="CC62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Function_Courthouse - courtroomInfil</v>
      </c>
      <c r="CD62" t="s">
        <v>266</v>
      </c>
      <c r="CE62" t="s">
        <v>250</v>
      </c>
      <c r="CF62" t="s">
        <v>284</v>
      </c>
      <c r="CG62" s="4"/>
      <c r="CH62">
        <v>0.84</v>
      </c>
      <c r="CI62" s="4"/>
      <c r="CJ62" t="s">
        <v>2205</v>
      </c>
      <c r="CK62">
        <v>2.4E-2</v>
      </c>
      <c r="CL62">
        <v>3.54</v>
      </c>
      <c r="CM62">
        <v>596</v>
      </c>
      <c r="CN62">
        <v>1580</v>
      </c>
      <c r="CO62">
        <v>0.9</v>
      </c>
      <c r="CP62">
        <v>0.7</v>
      </c>
      <c r="CQ62">
        <v>0.65</v>
      </c>
      <c r="CR62" t="s">
        <v>2232</v>
      </c>
      <c r="CS62" t="s">
        <v>2206</v>
      </c>
      <c r="CT62" t="s">
        <v>2333</v>
      </c>
      <c r="CU62" s="4" t="s">
        <v>2165</v>
      </c>
      <c r="CV62" t="str">
        <f t="shared" si="29"/>
        <v>Wood_Courtroom_Furniture_24mm</v>
      </c>
      <c r="CW62" s="72" t="str">
        <f t="shared" si="31"/>
        <v>CalculatedEstimateSolidHardwoodBenchesAndGallerySeatingWood_Courtroom_Furniture_24mmInternalMassDef</v>
      </c>
    </row>
    <row r="63" spans="1:101" x14ac:dyDescent="0.35">
      <c r="A63" t="s">
        <v>220</v>
      </c>
      <c r="B63" s="50" t="str">
        <f t="shared" si="12"/>
        <v>2025_AU_NCC</v>
      </c>
      <c r="C63" s="50" t="s">
        <v>115</v>
      </c>
      <c r="D63" s="50" t="s">
        <v>2456</v>
      </c>
      <c r="E63" t="s">
        <v>2047</v>
      </c>
      <c r="F63" s="62">
        <v>2025</v>
      </c>
      <c r="G63" s="62" t="s">
        <v>2522</v>
      </c>
      <c r="H63" t="s">
        <v>2523</v>
      </c>
      <c r="I63">
        <v>41</v>
      </c>
      <c r="J63">
        <v>31</v>
      </c>
      <c r="K63">
        <v>169</v>
      </c>
      <c r="L63" s="50" t="str">
        <f t="shared" si="21"/>
        <v>CS Computer Room_2025AUNCC</v>
      </c>
      <c r="M63" s="50" t="str">
        <f t="shared" si="14"/>
        <v>CS Computer Room_2025AUNCCScheduleSet</v>
      </c>
      <c r="N63" s="68">
        <v>250</v>
      </c>
      <c r="O63">
        <v>4</v>
      </c>
      <c r="P63" s="38">
        <v>4.3055660000000003E-2</v>
      </c>
      <c r="Q63">
        <v>255.91</v>
      </c>
      <c r="R63" s="6">
        <v>75</v>
      </c>
      <c r="S63">
        <v>187.67</v>
      </c>
      <c r="T63" s="6">
        <v>55</v>
      </c>
      <c r="U63" s="6"/>
      <c r="V63" s="6"/>
      <c r="W63" s="6">
        <v>130</v>
      </c>
      <c r="X63" s="2">
        <v>0.57692307700000001</v>
      </c>
      <c r="Y63" t="s">
        <v>2524</v>
      </c>
      <c r="Z63" t="s">
        <v>2525</v>
      </c>
      <c r="AC63" s="50" t="str">
        <f t="shared" si="35"/>
        <v>NCC S35C2nOther applications (non-dining)PeopleDef</v>
      </c>
      <c r="AD63" t="s">
        <v>1188</v>
      </c>
      <c r="AE63" s="50" t="str">
        <f t="shared" si="36"/>
        <v>CS Computer RoomActivity</v>
      </c>
      <c r="AF63" s="62">
        <v>5</v>
      </c>
      <c r="AG63" s="62">
        <f t="shared" si="27"/>
        <v>2.3596035865974517E-3</v>
      </c>
      <c r="AH63" s="62">
        <v>0.06</v>
      </c>
      <c r="AI63" s="62">
        <f t="shared" si="37"/>
        <v>3.0479999999999998E-4</v>
      </c>
      <c r="AJ63" s="63" t="s">
        <v>2165</v>
      </c>
      <c r="AK63" s="4" t="s">
        <v>2165</v>
      </c>
      <c r="AL63" s="4" t="s">
        <v>2165</v>
      </c>
      <c r="AM63" t="s">
        <v>37</v>
      </c>
      <c r="AN63" t="s">
        <v>54</v>
      </c>
      <c r="AO63" s="4" t="s">
        <v>2165</v>
      </c>
      <c r="AP63" s="4" t="s">
        <v>2165</v>
      </c>
      <c r="AQ63" s="72" t="str">
        <f t="shared" si="34"/>
        <v>Washington State Mechanical Code TABLE 403.3.1.1Workrooms_Computer without printingVent</v>
      </c>
      <c r="AR63" s="2">
        <v>1.021933</v>
      </c>
      <c r="AS63" s="2">
        <v>11</v>
      </c>
      <c r="AT63" s="2">
        <v>0</v>
      </c>
      <c r="AU63" s="2">
        <v>0.5</v>
      </c>
      <c r="AV63" s="2">
        <v>0</v>
      </c>
      <c r="AW63" t="s">
        <v>2528</v>
      </c>
      <c r="AX63" s="4"/>
      <c r="AY63" t="s">
        <v>2546</v>
      </c>
      <c r="AZ63" s="72" t="str">
        <f t="shared" si="33"/>
        <v>NCC S35C2lClass 5 building; radiant/latent/lost fraction split retained from original WA/COMNET-REV9 source (AIRAH Technical Handbook does not publish this split)CS Computer RoomElectricalEquipDef</v>
      </c>
      <c r="BA63" t="s">
        <v>344</v>
      </c>
      <c r="BB63" s="50">
        <v>0.41806399999999999</v>
      </c>
      <c r="BC63" s="2">
        <v>4.5</v>
      </c>
      <c r="BD63" s="2">
        <v>0.37</v>
      </c>
      <c r="BE63" s="2">
        <v>0.2</v>
      </c>
      <c r="BF63" t="s">
        <v>2569</v>
      </c>
      <c r="BG63" s="4"/>
      <c r="BH63" t="s">
        <v>2616</v>
      </c>
      <c r="BI63" s="72" t="str">
        <f t="shared" si="23"/>
        <v>NCC J7D3aControl room, switch room and the like - constant monitoring; radiant/visible fraction split retained from original WA/COMNET-REV9 source (AIRAH Technical Handbook does not publish this split)LightingDef</v>
      </c>
      <c r="BJ63" t="s">
        <v>1187</v>
      </c>
      <c r="BK63" s="45"/>
      <c r="BL63" s="45"/>
      <c r="BM63" s="45"/>
      <c r="BN63" s="45"/>
      <c r="BO63" s="45"/>
      <c r="BP63" s="45"/>
      <c r="BQ63" s="4"/>
      <c r="BR63" s="4"/>
      <c r="BS63" s="4"/>
      <c r="BT63" s="73" t="s">
        <v>2165</v>
      </c>
      <c r="BU63" s="45" t="s">
        <v>2165</v>
      </c>
      <c r="BW63">
        <v>0.7</v>
      </c>
      <c r="BY63" t="s">
        <v>2660</v>
      </c>
      <c r="BZ63" t="s">
        <v>2661</v>
      </c>
      <c r="CB63" s="50" t="str">
        <f t="shared" si="24"/>
        <v>Office_IT_Room</v>
      </c>
      <c r="CC63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developed)Office_IT_RoomInfil</v>
      </c>
      <c r="CD63" t="s">
        <v>320</v>
      </c>
      <c r="CE63" t="s">
        <v>115</v>
      </c>
      <c r="CF63" t="s">
        <v>2090</v>
      </c>
      <c r="CG63" s="4"/>
      <c r="CH63">
        <v>1.62</v>
      </c>
      <c r="CI63" s="4"/>
      <c r="CJ63" t="s">
        <v>2205</v>
      </c>
      <c r="CK63">
        <v>2.2000000000000001E-3</v>
      </c>
      <c r="CL63">
        <v>59</v>
      </c>
      <c r="CM63">
        <v>4439</v>
      </c>
      <c r="CN63">
        <v>844</v>
      </c>
      <c r="CO63">
        <v>0.9</v>
      </c>
      <c r="CP63">
        <v>0.7</v>
      </c>
      <c r="CQ63">
        <v>0.65</v>
      </c>
      <c r="CR63" t="s">
        <v>2233</v>
      </c>
      <c r="CS63" t="s">
        <v>2206</v>
      </c>
      <c r="CT63" t="s">
        <v>2334</v>
      </c>
      <c r="CU63" s="4" t="s">
        <v>2165</v>
      </c>
      <c r="CV63" t="str">
        <f t="shared" si="29"/>
        <v>Steel_IT_Equipment_2mm</v>
      </c>
      <c r="CW63" s="72" t="str">
        <f t="shared" si="31"/>
        <v>CalculatedEstimateITWorkstationsAndServerRackSteel_IT_Equipment_2mmInternalMassDef</v>
      </c>
    </row>
    <row r="64" spans="1:101" x14ac:dyDescent="0.35">
      <c r="A64" t="s">
        <v>154</v>
      </c>
      <c r="B64" s="50" t="str">
        <f t="shared" si="12"/>
        <v>2025_AU_NCC</v>
      </c>
      <c r="C64" s="50" t="s">
        <v>117</v>
      </c>
      <c r="D64" s="50" t="s">
        <v>2457</v>
      </c>
      <c r="E64" t="s">
        <v>285</v>
      </c>
      <c r="F64" s="62">
        <v>2025</v>
      </c>
      <c r="G64" s="62" t="s">
        <v>2522</v>
      </c>
      <c r="H64" t="s">
        <v>2523</v>
      </c>
      <c r="I64">
        <v>31</v>
      </c>
      <c r="J64">
        <v>169</v>
      </c>
      <c r="K64">
        <v>34</v>
      </c>
      <c r="L64" s="50" t="str">
        <f t="shared" si="21"/>
        <v>CS Dining Area - Penitentiary_2025AUNCC</v>
      </c>
      <c r="M64" s="50" t="str">
        <f t="shared" si="14"/>
        <v>CS Dining Area - Penitentiary_2025AUNCCScheduleSet</v>
      </c>
      <c r="N64" s="68">
        <v>14.28571429</v>
      </c>
      <c r="O64">
        <v>70</v>
      </c>
      <c r="P64" s="38">
        <v>0.753474054</v>
      </c>
      <c r="Q64">
        <v>272.97000000000003</v>
      </c>
      <c r="R64" s="6">
        <v>80</v>
      </c>
      <c r="S64">
        <v>272.97000000000003</v>
      </c>
      <c r="T64" s="6">
        <v>80</v>
      </c>
      <c r="U64" s="6"/>
      <c r="V64" s="6"/>
      <c r="W64" s="6">
        <v>160</v>
      </c>
      <c r="X64" s="2">
        <v>0.5</v>
      </c>
      <c r="Y64" t="s">
        <v>2524</v>
      </c>
      <c r="Z64" t="s">
        <v>2526</v>
      </c>
      <c r="AB64" s="4"/>
      <c r="AC64" s="50" t="str">
        <f t="shared" si="35"/>
        <v>NCC S35C2nDining room/restaurant/cafePeopleDef</v>
      </c>
      <c r="AD64" t="s">
        <v>355</v>
      </c>
      <c r="AE64" s="50" t="str">
        <f t="shared" si="36"/>
        <v>CS Dining Area - PenitentiaryActivity</v>
      </c>
      <c r="AF64" s="62">
        <v>7.5</v>
      </c>
      <c r="AG64" s="62">
        <f t="shared" si="27"/>
        <v>3.5394053798961773E-3</v>
      </c>
      <c r="AH64" s="62">
        <v>0.18</v>
      </c>
      <c r="AI64" s="62">
        <f t="shared" si="37"/>
        <v>9.144E-4</v>
      </c>
      <c r="AJ64" s="63" t="s">
        <v>2165</v>
      </c>
      <c r="AK64" s="4" t="s">
        <v>2165</v>
      </c>
      <c r="AL64" s="4" t="s">
        <v>2165</v>
      </c>
      <c r="AM64" t="s">
        <v>37</v>
      </c>
      <c r="AN64" t="s">
        <v>56</v>
      </c>
      <c r="AO64" s="4" t="s">
        <v>2165</v>
      </c>
      <c r="AP64" s="4" t="s">
        <v>2165</v>
      </c>
      <c r="AQ64" s="72" t="str">
        <f t="shared" si="34"/>
        <v>Washington State Mechanical Code TABLE 403.3.1.1Food and beverage service_Dining roomsVent</v>
      </c>
      <c r="AR64" s="2">
        <v>1.2629966459999999</v>
      </c>
      <c r="AS64" s="2">
        <v>13.594895899999999</v>
      </c>
      <c r="AT64" s="2">
        <v>0</v>
      </c>
      <c r="AU64" s="2">
        <v>0.5</v>
      </c>
      <c r="AV64" s="2">
        <v>0</v>
      </c>
      <c r="AW64" t="s">
        <v>104</v>
      </c>
      <c r="AX64" s="4"/>
      <c r="AY64" t="s">
        <v>334</v>
      </c>
      <c r="AZ64" s="72" t="str">
        <f t="shared" si="33"/>
        <v>COMNET-REV9DOEPrototypeCS Dining Area - PenitentiaryElectricalEquipDef</v>
      </c>
      <c r="BA64" t="s">
        <v>338</v>
      </c>
      <c r="BB64" s="50">
        <v>0.35</v>
      </c>
      <c r="BC64" s="2">
        <v>3.7673700000000001</v>
      </c>
      <c r="BD64" s="2">
        <v>0.37</v>
      </c>
      <c r="BE64" s="2">
        <v>0.2</v>
      </c>
      <c r="BF64" t="s">
        <v>2599</v>
      </c>
      <c r="BG64" s="4"/>
      <c r="BH64" t="s">
        <v>2617</v>
      </c>
      <c r="BI64" s="72" t="str">
        <f t="shared" si="23"/>
        <v>IECC Table C405.3.2(2)Dining area - in a penitentiary; radiant/visible fraction split retained from original WA/COMNET-REV9 sourceLightingDef</v>
      </c>
      <c r="BJ64" t="s">
        <v>367</v>
      </c>
      <c r="BK64" s="45"/>
      <c r="BL64" s="45"/>
      <c r="BM64" s="45"/>
      <c r="BN64" s="45"/>
      <c r="BO64" s="45"/>
      <c r="BP64" s="45"/>
      <c r="BQ64" s="4"/>
      <c r="BR64" s="4"/>
      <c r="BS64" s="4"/>
      <c r="BT64" s="73" t="s">
        <v>2165</v>
      </c>
      <c r="BU64" s="45" t="s">
        <v>2165</v>
      </c>
      <c r="BW64">
        <v>0.7</v>
      </c>
      <c r="BY64" t="s">
        <v>2660</v>
      </c>
      <c r="BZ64" t="s">
        <v>2661</v>
      </c>
      <c r="CB64" s="50" t="str">
        <f t="shared" si="24"/>
        <v>Space Function_Penitentiary - dining</v>
      </c>
      <c r="CC64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Function_Penitentiary - diningInfil</v>
      </c>
      <c r="CD64" t="s">
        <v>266</v>
      </c>
      <c r="CE64" t="s">
        <v>250</v>
      </c>
      <c r="CF64" t="s">
        <v>285</v>
      </c>
      <c r="CG64" s="4"/>
      <c r="CH64">
        <v>0.74</v>
      </c>
      <c r="CI64" s="4"/>
      <c r="CJ64" t="s">
        <v>2207</v>
      </c>
      <c r="CK64">
        <v>2.7000000000000001E-3</v>
      </c>
      <c r="CL64">
        <v>42.6</v>
      </c>
      <c r="CM64">
        <v>7746</v>
      </c>
      <c r="CN64">
        <v>478</v>
      </c>
      <c r="CO64">
        <v>0.9</v>
      </c>
      <c r="CP64">
        <v>0.7</v>
      </c>
      <c r="CQ64">
        <v>0.7</v>
      </c>
      <c r="CR64" t="s">
        <v>2234</v>
      </c>
      <c r="CS64" t="s">
        <v>2206</v>
      </c>
      <c r="CT64" t="s">
        <v>2335</v>
      </c>
      <c r="CU64" s="4" t="s">
        <v>2165</v>
      </c>
      <c r="CV64" t="str">
        <f t="shared" si="29"/>
        <v>Steel_Security_Dining_3mm</v>
      </c>
      <c r="CW64" s="72" t="str">
        <f t="shared" si="31"/>
        <v>CalculatedEstimateFixedSteelTableBenchUnitsSteel_Security_Dining_3mmInternalMassDef</v>
      </c>
    </row>
    <row r="65" spans="1:101" x14ac:dyDescent="0.35">
      <c r="A65" t="s">
        <v>155</v>
      </c>
      <c r="B65" s="50" t="str">
        <f t="shared" si="12"/>
        <v>2025_AU_NCC</v>
      </c>
      <c r="C65" s="50" t="s">
        <v>2432</v>
      </c>
      <c r="D65" s="50" t="s">
        <v>2457</v>
      </c>
      <c r="E65" t="s">
        <v>2048</v>
      </c>
      <c r="F65" s="62">
        <v>2025</v>
      </c>
      <c r="G65" s="62" t="s">
        <v>2522</v>
      </c>
      <c r="H65" t="s">
        <v>2523</v>
      </c>
      <c r="I65">
        <v>31</v>
      </c>
      <c r="J65">
        <v>169</v>
      </c>
      <c r="K65">
        <v>34</v>
      </c>
      <c r="L65" s="50" t="str">
        <f t="shared" si="21"/>
        <v>CS Dining Area - Assisted Living_2025AUNCC</v>
      </c>
      <c r="M65" s="50" t="str">
        <f t="shared" si="14"/>
        <v>CS Dining Area - Assisted Living_2025AUNCCScheduleSet</v>
      </c>
      <c r="N65" s="68">
        <v>14.28571429</v>
      </c>
      <c r="O65">
        <v>70</v>
      </c>
      <c r="P65" s="38">
        <v>0.753474054</v>
      </c>
      <c r="Q65">
        <v>272.97000000000003</v>
      </c>
      <c r="R65" s="6">
        <v>80</v>
      </c>
      <c r="S65">
        <v>272.97000000000003</v>
      </c>
      <c r="T65" s="6">
        <v>80</v>
      </c>
      <c r="U65" s="6"/>
      <c r="V65" s="6"/>
      <c r="W65" s="6">
        <v>160</v>
      </c>
      <c r="X65" s="2">
        <v>0.5</v>
      </c>
      <c r="Y65" t="s">
        <v>2524</v>
      </c>
      <c r="Z65" t="s">
        <v>2526</v>
      </c>
      <c r="AB65" s="4"/>
      <c r="AC65" s="50" t="str">
        <f t="shared" si="35"/>
        <v>NCC S35C2nDining room/restaurant/cafePeopleDef</v>
      </c>
      <c r="AD65" t="s">
        <v>355</v>
      </c>
      <c r="AE65" s="50" t="str">
        <f t="shared" si="36"/>
        <v>CS Dining Area - Assisted LivingActivity</v>
      </c>
      <c r="AF65" s="62">
        <v>7.5</v>
      </c>
      <c r="AG65" s="62">
        <f t="shared" si="27"/>
        <v>3.5394053798961773E-3</v>
      </c>
      <c r="AH65" s="62">
        <v>0.18</v>
      </c>
      <c r="AI65" s="62">
        <f t="shared" si="37"/>
        <v>9.144E-4</v>
      </c>
      <c r="AJ65" s="63" t="s">
        <v>2165</v>
      </c>
      <c r="AK65" s="4" t="s">
        <v>2165</v>
      </c>
      <c r="AL65" s="4" t="s">
        <v>2165</v>
      </c>
      <c r="AM65" t="s">
        <v>37</v>
      </c>
      <c r="AN65" t="s">
        <v>56</v>
      </c>
      <c r="AO65" s="4" t="s">
        <v>2165</v>
      </c>
      <c r="AP65" s="4" t="s">
        <v>2165</v>
      </c>
      <c r="AQ65" s="72" t="str">
        <f t="shared" si="34"/>
        <v>Washington State Mechanical Code TABLE 403.3.1.1Food and beverage service_Dining roomsVent</v>
      </c>
      <c r="AR65" s="2">
        <v>0.46451500000000001</v>
      </c>
      <c r="AS65" s="2">
        <v>5</v>
      </c>
      <c r="AT65" s="2">
        <v>0</v>
      </c>
      <c r="AU65" s="2">
        <v>0.5</v>
      </c>
      <c r="AV65" s="2">
        <v>0</v>
      </c>
      <c r="AW65" t="s">
        <v>2528</v>
      </c>
      <c r="AX65" s="4"/>
      <c r="AY65" t="s">
        <v>2549</v>
      </c>
      <c r="AZ65" s="72" t="str">
        <f t="shared" si="33"/>
        <v>NCC S35C2lClass 6 cafe/restaurant (dining function, despite Class 3 host building); radiant/latent/lost fraction split retained from original WA/COMNET-REV9 source (AIRAH Technical Handbook does not publish this split)CS Dining Area - Assisted LivingElectricalEquipDef</v>
      </c>
      <c r="BA65" t="s">
        <v>338</v>
      </c>
      <c r="BB65" s="50">
        <v>1.300643</v>
      </c>
      <c r="BC65" s="2">
        <v>14</v>
      </c>
      <c r="BD65" s="2">
        <v>0.37</v>
      </c>
      <c r="BE65" s="2">
        <v>0.2</v>
      </c>
      <c r="BF65" t="s">
        <v>2569</v>
      </c>
      <c r="BG65" s="4"/>
      <c r="BH65" t="s">
        <v>2572</v>
      </c>
      <c r="BI65" s="72" t="str">
        <f t="shared" si="23"/>
        <v>NCC J7D3aRestaurant, cafe, bar, hotel lounge...; radiant/visible fraction split retained from original WA/COMNET-REV9 source (AIRAH Technical Handbook does not publish this split)LightingDef</v>
      </c>
      <c r="BJ65" t="s">
        <v>367</v>
      </c>
      <c r="BK65" s="45"/>
      <c r="BL65" s="45"/>
      <c r="BM65" s="45"/>
      <c r="BN65" s="45"/>
      <c r="BO65" s="45"/>
      <c r="BP65" s="45"/>
      <c r="BQ65" s="4"/>
      <c r="BR65" s="4"/>
      <c r="BS65" s="4"/>
      <c r="BT65" s="73" t="s">
        <v>2165</v>
      </c>
      <c r="BU65" s="45" t="s">
        <v>2165</v>
      </c>
      <c r="BW65">
        <v>0.7</v>
      </c>
      <c r="BY65" t="s">
        <v>2660</v>
      </c>
      <c r="BZ65" t="s">
        <v>2661</v>
      </c>
      <c r="CB65" s="50" t="str">
        <f t="shared" si="24"/>
        <v>Dining - family_WholeBuilding</v>
      </c>
      <c r="CC65" s="72" t="str">
        <f t="shared" si="28"/>
        <v>NCC S34C2(6)0.7 ACH assumed as design infiltration for periods without mechanical outdoor air supply; NCC also specifies 0.35 ACH when mechanical OA is operating (to be applied via infiltration schedule once developed)Dining - family_WholeBuildingInfil</v>
      </c>
      <c r="CD65" t="s">
        <v>266</v>
      </c>
      <c r="CE65" t="s">
        <v>255</v>
      </c>
      <c r="CF65" t="s">
        <v>240</v>
      </c>
      <c r="CG65" s="4"/>
      <c r="CH65">
        <v>1.44</v>
      </c>
      <c r="CI65" s="4"/>
      <c r="CJ65" t="s">
        <v>2205</v>
      </c>
      <c r="CK65">
        <v>7.4000000000000003E-3</v>
      </c>
      <c r="CL65">
        <v>6.95</v>
      </c>
      <c r="CM65">
        <v>877</v>
      </c>
      <c r="CN65">
        <v>1320</v>
      </c>
      <c r="CO65">
        <v>0.9</v>
      </c>
      <c r="CP65">
        <v>0.7</v>
      </c>
      <c r="CQ65">
        <v>0.65</v>
      </c>
      <c r="CR65" t="s">
        <v>2235</v>
      </c>
      <c r="CS65" t="s">
        <v>2206</v>
      </c>
      <c r="CT65" t="s">
        <v>2336</v>
      </c>
      <c r="CU65" s="4" t="s">
        <v>2165</v>
      </c>
      <c r="CV65" t="str">
        <f t="shared" si="29"/>
        <v>Wood_Composite_Residential_7mm</v>
      </c>
      <c r="CW65" s="72" t="str">
        <f t="shared" si="31"/>
        <v>CalculatedEstimateResidentialStyleDiningFurnitureWood_Composite_Residential_7mmInternalMassDef</v>
      </c>
    </row>
    <row r="66" spans="1:101" x14ac:dyDescent="0.35">
      <c r="A66" t="s">
        <v>156</v>
      </c>
      <c r="B66" s="50" t="str">
        <f t="shared" si="12"/>
        <v>2025_AU_NCC</v>
      </c>
      <c r="C66" s="50" t="s">
        <v>2435</v>
      </c>
      <c r="D66" s="50" t="s">
        <v>2457</v>
      </c>
      <c r="E66" t="s">
        <v>286</v>
      </c>
      <c r="F66" s="62">
        <v>2025</v>
      </c>
      <c r="G66" s="62" t="s">
        <v>2522</v>
      </c>
      <c r="H66" t="s">
        <v>2523</v>
      </c>
      <c r="I66">
        <v>31</v>
      </c>
      <c r="J66">
        <v>169</v>
      </c>
      <c r="K66">
        <v>34</v>
      </c>
      <c r="L66" s="50" t="str">
        <f t="shared" si="21"/>
        <v>CS Dining Area - Bar Lounge/Leisure   _2025AUNCC</v>
      </c>
      <c r="M66" s="50" t="str">
        <f t="shared" si="14"/>
        <v>CS Dining Area - Bar Lounge/Leisure   _2025AUNCCScheduleSet</v>
      </c>
      <c r="N66" s="68">
        <v>10</v>
      </c>
      <c r="O66">
        <v>100</v>
      </c>
      <c r="P66" s="38">
        <v>1.0763915049999999</v>
      </c>
      <c r="Q66">
        <v>272.97000000000003</v>
      </c>
      <c r="R66" s="6">
        <v>80</v>
      </c>
      <c r="S66">
        <v>272.97000000000003</v>
      </c>
      <c r="T66" s="6">
        <v>80</v>
      </c>
      <c r="U66" s="6"/>
      <c r="V66" s="6"/>
      <c r="W66" s="6">
        <v>160</v>
      </c>
      <c r="X66" s="2">
        <v>0.5</v>
      </c>
      <c r="Y66" t="s">
        <v>2524</v>
      </c>
      <c r="Z66" t="s">
        <v>2526</v>
      </c>
      <c r="AB66" s="4"/>
      <c r="AC66" s="50" t="str">
        <f t="shared" si="35"/>
        <v>NCC S35C2nDining room/restaurant/cafePeopleDef</v>
      </c>
      <c r="AD66" t="s">
        <v>355</v>
      </c>
      <c r="AE66" s="50" t="str">
        <f t="shared" si="36"/>
        <v>CS Dining Area - Bar Lounge/Leisure   Activity</v>
      </c>
      <c r="AF66" s="62">
        <v>7.5</v>
      </c>
      <c r="AG66" s="62">
        <f t="shared" si="27"/>
        <v>3.5394053798961773E-3</v>
      </c>
      <c r="AH66" s="62">
        <v>0.18</v>
      </c>
      <c r="AI66" s="62">
        <f t="shared" si="37"/>
        <v>9.144E-4</v>
      </c>
      <c r="AJ66" s="63" t="s">
        <v>2165</v>
      </c>
      <c r="AK66" s="4" t="s">
        <v>2165</v>
      </c>
      <c r="AL66" s="4" t="s">
        <v>2165</v>
      </c>
      <c r="AM66" t="s">
        <v>37</v>
      </c>
      <c r="AN66" t="s">
        <v>55</v>
      </c>
      <c r="AO66" s="4" t="s">
        <v>2165</v>
      </c>
      <c r="AP66" s="4" t="s">
        <v>2165</v>
      </c>
      <c r="AQ66" s="72" t="str">
        <f t="shared" si="34"/>
        <v>Washington State Mechanical Code TABLE 403.3.1.1Food and beverage service_Bars_cocktail loungesVent</v>
      </c>
      <c r="AR66" s="2">
        <v>0.46451500000000001</v>
      </c>
      <c r="AS66" s="2">
        <v>5</v>
      </c>
      <c r="AT66" s="7">
        <v>0.25</v>
      </c>
      <c r="AU66" s="7">
        <v>0.3</v>
      </c>
      <c r="AV66" s="7">
        <v>0</v>
      </c>
      <c r="AW66" t="s">
        <v>2528</v>
      </c>
      <c r="AX66" s="4"/>
      <c r="AY66" t="s">
        <v>2531</v>
      </c>
      <c r="AZ66" s="72" t="str">
        <f t="shared" si="33"/>
        <v>NCC S35C2lClass 6 cafe/restaurant; radiant/latent/lost fraction split retained from original WA/COMNET-REV9 source (AIRAH Technical Handbook does not publish this split)CS Dining Area - Bar Lounge/Leisure   ElectricalEquipDef</v>
      </c>
      <c r="BA66" t="s">
        <v>338</v>
      </c>
      <c r="BB66" s="50">
        <v>1.300643</v>
      </c>
      <c r="BC66" s="2">
        <v>14</v>
      </c>
      <c r="BD66" s="2">
        <v>0.37</v>
      </c>
      <c r="BE66" s="2">
        <v>0.2</v>
      </c>
      <c r="BF66" t="s">
        <v>2569</v>
      </c>
      <c r="BG66" s="4"/>
      <c r="BH66" t="s">
        <v>2572</v>
      </c>
      <c r="BI66" s="72" t="str">
        <f t="shared" si="23"/>
        <v>NCC J7D3aRestaurant, cafe, bar, hotel lounge...; radiant/visible fraction split retained from original WA/COMNET-REV9 source (AIRAH Technical Handbook does not publish this split)LightingDef</v>
      </c>
      <c r="BJ66" t="s">
        <v>367</v>
      </c>
      <c r="BK66" s="45"/>
      <c r="BL66" s="45"/>
      <c r="BM66" s="45"/>
      <c r="BN66" s="45"/>
      <c r="BO66" s="45"/>
      <c r="BP66" s="45"/>
      <c r="BQ66" s="4"/>
      <c r="BR66" s="4"/>
      <c r="BS66" s="4"/>
      <c r="BT66" s="73" t="s">
        <v>2165</v>
      </c>
      <c r="BU66" s="45" t="s">
        <v>2165</v>
      </c>
      <c r="BW66">
        <v>0.7</v>
      </c>
      <c r="BY66" t="s">
        <v>2660</v>
      </c>
      <c r="BZ66" t="s">
        <v>2661</v>
      </c>
      <c r="CB66" s="50" t="str">
        <f t="shared" si="24"/>
        <v>Space Function_Dining - bar lounge/leisure</v>
      </c>
      <c r="CC66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Function_Dining - bar lounge/leisureInfil</v>
      </c>
      <c r="CD66" t="s">
        <v>266</v>
      </c>
      <c r="CE66" t="s">
        <v>250</v>
      </c>
      <c r="CF66" t="s">
        <v>286</v>
      </c>
      <c r="CG66" s="4"/>
      <c r="CH66">
        <v>1.79</v>
      </c>
      <c r="CI66" s="4"/>
      <c r="CJ66" t="s">
        <v>2205</v>
      </c>
      <c r="CK66">
        <v>2.8E-3</v>
      </c>
      <c r="CL66">
        <v>9.7200000000000006</v>
      </c>
      <c r="CM66">
        <v>2241</v>
      </c>
      <c r="CN66">
        <v>1189</v>
      </c>
      <c r="CO66">
        <v>0.9</v>
      </c>
      <c r="CP66">
        <v>0.7</v>
      </c>
      <c r="CQ66">
        <v>0.65</v>
      </c>
      <c r="CR66" t="s">
        <v>2236</v>
      </c>
      <c r="CS66" t="s">
        <v>2206</v>
      </c>
      <c r="CT66" t="s">
        <v>2337</v>
      </c>
      <c r="CU66" s="4" t="s">
        <v>2165</v>
      </c>
      <c r="CV66" t="str">
        <f t="shared" si="29"/>
        <v>Mixed_Commercial_BarLounge_3mm</v>
      </c>
      <c r="CW66" s="72" t="str">
        <f t="shared" si="31"/>
        <v>CalculatedEstimateBarCounterAndMixedSeatingMixed_Commercial_BarLounge_3mmInternalMassDef</v>
      </c>
    </row>
    <row r="67" spans="1:101" x14ac:dyDescent="0.35">
      <c r="A67" t="s">
        <v>157</v>
      </c>
      <c r="B67" s="50" t="str">
        <f t="shared" si="12"/>
        <v>2025_AU_NCC</v>
      </c>
      <c r="C67" s="50" t="s">
        <v>2434</v>
      </c>
      <c r="D67" s="50" t="s">
        <v>2457</v>
      </c>
      <c r="E67" t="s">
        <v>2049</v>
      </c>
      <c r="F67" s="62">
        <v>2025</v>
      </c>
      <c r="G67" s="62" t="s">
        <v>2522</v>
      </c>
      <c r="H67" t="s">
        <v>2523</v>
      </c>
      <c r="I67">
        <v>31</v>
      </c>
      <c r="J67">
        <v>169</v>
      </c>
      <c r="K67">
        <v>34</v>
      </c>
      <c r="L67" s="50" t="str">
        <f t="shared" si="21"/>
        <v>CS Dining Area - Cafeteria or Fast Food _2025AUNCC</v>
      </c>
      <c r="M67" s="50" t="str">
        <f t="shared" si="14"/>
        <v>CS Dining Area - Cafeteria or Fast Food _2025AUNCCScheduleSet</v>
      </c>
      <c r="N67" s="68">
        <v>10</v>
      </c>
      <c r="O67">
        <v>100</v>
      </c>
      <c r="P67" s="38">
        <v>1.0763915049999999</v>
      </c>
      <c r="Q67">
        <v>272.97000000000003</v>
      </c>
      <c r="R67" s="6">
        <v>80</v>
      </c>
      <c r="S67">
        <v>272.97000000000003</v>
      </c>
      <c r="T67" s="6">
        <v>80</v>
      </c>
      <c r="U67" s="6"/>
      <c r="V67" s="6"/>
      <c r="W67" s="6">
        <v>160</v>
      </c>
      <c r="X67" s="2">
        <v>0.5</v>
      </c>
      <c r="Y67" t="s">
        <v>2524</v>
      </c>
      <c r="Z67" t="s">
        <v>2526</v>
      </c>
      <c r="AB67" s="4"/>
      <c r="AC67" s="50" t="str">
        <f t="shared" si="35"/>
        <v>NCC S35C2nDining room/restaurant/cafePeopleDef</v>
      </c>
      <c r="AD67" t="s">
        <v>1518</v>
      </c>
      <c r="AE67" s="50" t="str">
        <f t="shared" si="36"/>
        <v>CS Dining Area - Cafeteria or Fast Food Activity</v>
      </c>
      <c r="AF67" s="62">
        <v>7.5</v>
      </c>
      <c r="AG67" s="62">
        <f t="shared" si="27"/>
        <v>3.5394053798961773E-3</v>
      </c>
      <c r="AH67" s="62">
        <v>0.18</v>
      </c>
      <c r="AI67" s="62">
        <f t="shared" si="37"/>
        <v>9.144E-4</v>
      </c>
      <c r="AJ67" s="63" t="s">
        <v>2165</v>
      </c>
      <c r="AK67" s="4" t="s">
        <v>2165</v>
      </c>
      <c r="AL67" s="4" t="s">
        <v>2165</v>
      </c>
      <c r="AM67" t="s">
        <v>37</v>
      </c>
      <c r="AN67" t="s">
        <v>57</v>
      </c>
      <c r="AO67" s="4" t="s">
        <v>2165</v>
      </c>
      <c r="AP67" s="4" t="s">
        <v>2165</v>
      </c>
      <c r="AQ67" s="72" t="str">
        <f t="shared" si="34"/>
        <v>Washington State Mechanical Code TABLE 403.3.1.1Food and beverage service_Cafeteria_fast food Vent</v>
      </c>
      <c r="AR67" s="2">
        <v>0.46451500000000001</v>
      </c>
      <c r="AS67" s="2">
        <v>5</v>
      </c>
      <c r="AT67" s="7">
        <v>0.25</v>
      </c>
      <c r="AU67" s="7">
        <v>0.3</v>
      </c>
      <c r="AV67" s="7">
        <v>0</v>
      </c>
      <c r="AW67" t="s">
        <v>2528</v>
      </c>
      <c r="AX67" s="4"/>
      <c r="AY67" t="s">
        <v>2531</v>
      </c>
      <c r="AZ67" s="72" t="str">
        <f t="shared" si="33"/>
        <v>NCC S35C2lClass 6 cafe/restaurant; radiant/latent/lost fraction split retained from original WA/COMNET-REV9 source (AIRAH Technical Handbook does not publish this split)CS Dining Area - Cafeteria or Fast Food ElectricalEquipDef</v>
      </c>
      <c r="BA67" t="s">
        <v>347</v>
      </c>
      <c r="BB67" s="50">
        <v>1.300643</v>
      </c>
      <c r="BC67" s="2">
        <v>14</v>
      </c>
      <c r="BD67" s="2">
        <v>0.37</v>
      </c>
      <c r="BE67" s="2">
        <v>0.2</v>
      </c>
      <c r="BF67" t="s">
        <v>2569</v>
      </c>
      <c r="BG67" s="4"/>
      <c r="BH67" t="s">
        <v>2572</v>
      </c>
      <c r="BI67" s="72" t="str">
        <f t="shared" si="23"/>
        <v>NCC J7D3aRestaurant, cafe, bar, hotel lounge...; radiant/visible fraction split retained from original WA/COMNET-REV9 source (AIRAH Technical Handbook does not publish this split)LightingDef</v>
      </c>
      <c r="BJ67" t="s">
        <v>1513</v>
      </c>
      <c r="BK67" s="45"/>
      <c r="BL67" s="45"/>
      <c r="BM67" s="45"/>
      <c r="BN67" s="45"/>
      <c r="BO67" s="45"/>
      <c r="BP67" s="45"/>
      <c r="BQ67" s="4"/>
      <c r="BR67" s="4"/>
      <c r="BS67" s="4"/>
      <c r="BT67" s="73" t="s">
        <v>2165</v>
      </c>
      <c r="BU67" s="45" t="s">
        <v>2165</v>
      </c>
      <c r="BW67">
        <v>0.7</v>
      </c>
      <c r="BY67" t="s">
        <v>2660</v>
      </c>
      <c r="BZ67" t="s">
        <v>2661</v>
      </c>
      <c r="CB67" s="50" t="str">
        <f t="shared" si="24"/>
        <v>Dining - cafeteria_WholeBuilding</v>
      </c>
      <c r="CC67" s="72" t="str">
        <f t="shared" si="28"/>
        <v>NCC S34C2(6)0.7 ACH assumed as design infiltration for periods without mechanical outdoor air supply; NCC also specifies 0.35 ACH when mechanical OA is operating (to be applied via infiltration schedule once developed)Dining - cafeteria_WholeBuildingInfil</v>
      </c>
      <c r="CD67" t="s">
        <v>266</v>
      </c>
      <c r="CE67" t="s">
        <v>254</v>
      </c>
      <c r="CF67" t="s">
        <v>240</v>
      </c>
      <c r="CG67" s="4"/>
      <c r="CH67">
        <v>1.68</v>
      </c>
      <c r="CI67" s="4"/>
      <c r="CJ67" t="s">
        <v>2207</v>
      </c>
      <c r="CK67">
        <v>2.7000000000000001E-3</v>
      </c>
      <c r="CL67">
        <v>19.2</v>
      </c>
      <c r="CM67">
        <v>2705</v>
      </c>
      <c r="CN67">
        <v>1099</v>
      </c>
      <c r="CO67">
        <v>0.9</v>
      </c>
      <c r="CP67">
        <v>0.7</v>
      </c>
      <c r="CQ67">
        <v>0.65</v>
      </c>
      <c r="CR67" t="s">
        <v>2237</v>
      </c>
      <c r="CS67" t="s">
        <v>2206</v>
      </c>
      <c r="CT67" t="s">
        <v>2338</v>
      </c>
      <c r="CU67" s="4" t="s">
        <v>2165</v>
      </c>
      <c r="CV67" t="str">
        <f t="shared" si="29"/>
        <v>Laminate_Commercial_FastFood_3mm</v>
      </c>
      <c r="CW67" s="72" t="str">
        <f t="shared" si="31"/>
        <v>CalculatedEstimateFixedBoothAndMoldedChairsLaminate_Commercial_FastFood_3mmInternalMassDef</v>
      </c>
    </row>
    <row r="68" spans="1:101" x14ac:dyDescent="0.35">
      <c r="A68" t="s">
        <v>158</v>
      </c>
      <c r="B68" s="50" t="str">
        <f t="shared" si="12"/>
        <v>2025_AU_NCC</v>
      </c>
      <c r="C68" s="50" t="s">
        <v>2433</v>
      </c>
      <c r="D68" s="50" t="s">
        <v>2457</v>
      </c>
      <c r="E68" t="s">
        <v>2050</v>
      </c>
      <c r="F68" s="62">
        <v>2025</v>
      </c>
      <c r="G68" s="62" t="s">
        <v>2522</v>
      </c>
      <c r="H68" t="s">
        <v>2523</v>
      </c>
      <c r="I68">
        <v>31</v>
      </c>
      <c r="J68">
        <v>169</v>
      </c>
      <c r="K68">
        <v>34</v>
      </c>
      <c r="L68" s="50" t="str">
        <f t="shared" si="21"/>
        <v>CS Dining Area - Family Dining  _2025AUNCC</v>
      </c>
      <c r="M68" s="50" t="str">
        <f t="shared" si="14"/>
        <v>CS Dining Area - Family Dining  _2025AUNCCScheduleSet</v>
      </c>
      <c r="N68" s="68">
        <v>14.28571429</v>
      </c>
      <c r="O68">
        <v>70</v>
      </c>
      <c r="P68" s="38">
        <v>0.753474054</v>
      </c>
      <c r="Q68">
        <v>272.97000000000003</v>
      </c>
      <c r="R68" s="6">
        <v>80</v>
      </c>
      <c r="S68">
        <v>272.97000000000003</v>
      </c>
      <c r="T68" s="6">
        <v>80</v>
      </c>
      <c r="U68" s="6"/>
      <c r="V68" s="6"/>
      <c r="W68" s="6">
        <v>160</v>
      </c>
      <c r="X68" s="2">
        <v>0.5</v>
      </c>
      <c r="Y68" t="s">
        <v>2524</v>
      </c>
      <c r="Z68" t="s">
        <v>2526</v>
      </c>
      <c r="AB68" s="4"/>
      <c r="AC68" s="50" t="str">
        <f t="shared" si="35"/>
        <v>NCC S35C2nDining room/restaurant/cafePeopleDef</v>
      </c>
      <c r="AD68" t="s">
        <v>355</v>
      </c>
      <c r="AE68" s="50" t="str">
        <f t="shared" si="36"/>
        <v>CS Dining Area - Family Dining  Activity</v>
      </c>
      <c r="AF68" s="62">
        <v>7.5</v>
      </c>
      <c r="AG68" s="62">
        <f t="shared" si="27"/>
        <v>3.5394053798961773E-3</v>
      </c>
      <c r="AH68" s="62">
        <v>0.18</v>
      </c>
      <c r="AI68" s="62">
        <f t="shared" si="37"/>
        <v>9.144E-4</v>
      </c>
      <c r="AJ68" s="63" t="s">
        <v>2165</v>
      </c>
      <c r="AK68" s="4" t="s">
        <v>2165</v>
      </c>
      <c r="AL68" s="4" t="s">
        <v>2165</v>
      </c>
      <c r="AM68" t="s">
        <v>37</v>
      </c>
      <c r="AN68" t="s">
        <v>56</v>
      </c>
      <c r="AO68" s="4" t="s">
        <v>2165</v>
      </c>
      <c r="AP68" s="4" t="s">
        <v>2165</v>
      </c>
      <c r="AQ68" s="72" t="str">
        <f t="shared" si="34"/>
        <v>Washington State Mechanical Code TABLE 403.3.1.1Food and beverage service_Dining roomsVent</v>
      </c>
      <c r="AR68" s="2">
        <v>0.46451500000000001</v>
      </c>
      <c r="AS68" s="2">
        <v>5</v>
      </c>
      <c r="AT68" s="2">
        <v>0</v>
      </c>
      <c r="AU68" s="2">
        <v>0.5</v>
      </c>
      <c r="AV68" s="2">
        <v>0</v>
      </c>
      <c r="AW68" t="s">
        <v>2528</v>
      </c>
      <c r="AX68" s="4"/>
      <c r="AY68" t="s">
        <v>2531</v>
      </c>
      <c r="AZ68" s="72" t="str">
        <f t="shared" si="33"/>
        <v>NCC S35C2lClass 6 cafe/restaurant; radiant/latent/lost fraction split retained from original WA/COMNET-REV9 source (AIRAH Technical Handbook does not publish this split)CS Dining Area - Family Dining  ElectricalEquipDef</v>
      </c>
      <c r="BA68" t="s">
        <v>338</v>
      </c>
      <c r="BB68" s="50">
        <v>1.300643</v>
      </c>
      <c r="BC68" s="2">
        <v>14</v>
      </c>
      <c r="BD68" s="2">
        <v>0.37</v>
      </c>
      <c r="BE68" s="2">
        <v>0.2</v>
      </c>
      <c r="BF68" t="s">
        <v>2569</v>
      </c>
      <c r="BG68" s="4"/>
      <c r="BH68" t="s">
        <v>2572</v>
      </c>
      <c r="BI68" s="72" t="str">
        <f t="shared" si="23"/>
        <v>NCC J7D3aRestaurant, cafe, bar, hotel lounge...; radiant/visible fraction split retained from original WA/COMNET-REV9 source (AIRAH Technical Handbook does not publish this split)LightingDef</v>
      </c>
      <c r="BJ68" t="s">
        <v>367</v>
      </c>
      <c r="BK68" s="45"/>
      <c r="BL68" s="45"/>
      <c r="BM68" s="45"/>
      <c r="BN68" s="45"/>
      <c r="BO68" s="45"/>
      <c r="BP68" s="45"/>
      <c r="BQ68" s="4"/>
      <c r="BR68" s="4"/>
      <c r="BS68" s="4"/>
      <c r="BT68" s="73" t="s">
        <v>2165</v>
      </c>
      <c r="BU68" s="45" t="s">
        <v>2165</v>
      </c>
      <c r="BW68">
        <v>0.7</v>
      </c>
      <c r="BY68" t="s">
        <v>2660</v>
      </c>
      <c r="BZ68" t="s">
        <v>2661</v>
      </c>
      <c r="CB68" s="50" t="str">
        <f t="shared" si="24"/>
        <v>Dining - family_WholeBuilding</v>
      </c>
      <c r="CC68" s="72" t="str">
        <f t="shared" si="28"/>
        <v>NCC S34C2(6)0.7 ACH assumed as design infiltration for periods without mechanical outdoor air supply; NCC also specifies 0.35 ACH when mechanical OA is operating (to be applied via infiltration schedule once developed)Dining - family_WholeBuildingInfil</v>
      </c>
      <c r="CD68" t="s">
        <v>266</v>
      </c>
      <c r="CE68" t="s">
        <v>255</v>
      </c>
      <c r="CF68" t="s">
        <v>240</v>
      </c>
      <c r="CG68" s="4"/>
      <c r="CH68">
        <v>2.9</v>
      </c>
      <c r="CI68" s="4"/>
      <c r="CJ68" t="s">
        <v>2205</v>
      </c>
      <c r="CK68">
        <v>5.4999999999999997E-3</v>
      </c>
      <c r="CL68">
        <v>4.74</v>
      </c>
      <c r="CM68">
        <v>802</v>
      </c>
      <c r="CN68">
        <v>1360</v>
      </c>
      <c r="CO68">
        <v>0.9</v>
      </c>
      <c r="CP68">
        <v>0.7</v>
      </c>
      <c r="CQ68">
        <v>0.65</v>
      </c>
      <c r="CR68" t="s">
        <v>2238</v>
      </c>
      <c r="CS68" t="s">
        <v>2206</v>
      </c>
      <c r="CT68" t="s">
        <v>2339</v>
      </c>
      <c r="CU68" s="4" t="s">
        <v>2165</v>
      </c>
      <c r="CV68" t="str">
        <f t="shared" si="29"/>
        <v>Wood_Composite_Family_Dining_6mm</v>
      </c>
      <c r="CW68" s="72" t="str">
        <f t="shared" si="31"/>
        <v>CalculatedEstimateBoothSeatingAndUpholsteredChairsWood_Composite_Family_Dining_6mmInternalMassDef</v>
      </c>
    </row>
    <row r="69" spans="1:101" x14ac:dyDescent="0.35">
      <c r="A69" t="s">
        <v>159</v>
      </c>
      <c r="B69" s="50" t="str">
        <f t="shared" si="12"/>
        <v>2025_AU_NCC</v>
      </c>
      <c r="C69" s="50" t="s">
        <v>287</v>
      </c>
      <c r="D69" s="50" t="s">
        <v>2457</v>
      </c>
      <c r="E69" t="s">
        <v>287</v>
      </c>
      <c r="F69" s="62">
        <v>2025</v>
      </c>
      <c r="G69" s="62" t="s">
        <v>2522</v>
      </c>
      <c r="H69" t="s">
        <v>2523</v>
      </c>
      <c r="I69">
        <v>31</v>
      </c>
      <c r="J69">
        <v>169</v>
      </c>
      <c r="K69">
        <v>34</v>
      </c>
      <c r="L69" s="50" t="str">
        <f t="shared" ref="L69:L100" si="38">CONCATENATE(A69,"_",F69,G69,H69)</f>
        <v>CS Dining Area - Other_2025AUNCC</v>
      </c>
      <c r="M69" s="50" t="str">
        <f t="shared" si="14"/>
        <v>CS Dining Area - Other_2025AUNCCScheduleSet</v>
      </c>
      <c r="N69" s="68">
        <v>14.28571429</v>
      </c>
      <c r="O69">
        <v>70</v>
      </c>
      <c r="P69" s="38">
        <v>0.753474054</v>
      </c>
      <c r="Q69">
        <v>272.97000000000003</v>
      </c>
      <c r="R69" s="6">
        <v>80</v>
      </c>
      <c r="S69">
        <v>272.97000000000003</v>
      </c>
      <c r="T69" s="6">
        <v>80</v>
      </c>
      <c r="U69" s="6"/>
      <c r="V69" s="6"/>
      <c r="W69" s="6">
        <v>160</v>
      </c>
      <c r="X69" s="2">
        <v>0.5</v>
      </c>
      <c r="Y69" t="s">
        <v>2524</v>
      </c>
      <c r="Z69" t="s">
        <v>2526</v>
      </c>
      <c r="AB69" s="4"/>
      <c r="AC69" s="50" t="str">
        <f t="shared" si="35"/>
        <v>NCC S35C2nDining room/restaurant/cafePeopleDef</v>
      </c>
      <c r="AD69" t="s">
        <v>355</v>
      </c>
      <c r="AE69" s="50" t="str">
        <f t="shared" si="36"/>
        <v>CS Dining Area - OtherActivity</v>
      </c>
      <c r="AF69" s="62">
        <v>7.5</v>
      </c>
      <c r="AG69" s="62">
        <f t="shared" si="27"/>
        <v>3.5394053798961773E-3</v>
      </c>
      <c r="AH69" s="62">
        <v>0.18</v>
      </c>
      <c r="AI69" s="62">
        <f t="shared" si="37"/>
        <v>9.144E-4</v>
      </c>
      <c r="AJ69" s="63" t="s">
        <v>2165</v>
      </c>
      <c r="AK69" s="4" t="s">
        <v>2165</v>
      </c>
      <c r="AL69" s="4" t="s">
        <v>2165</v>
      </c>
      <c r="AM69" t="s">
        <v>37</v>
      </c>
      <c r="AN69" t="s">
        <v>56</v>
      </c>
      <c r="AO69" s="4" t="s">
        <v>2165</v>
      </c>
      <c r="AP69" s="4" t="s">
        <v>2165</v>
      </c>
      <c r="AQ69" s="72" t="str">
        <f t="shared" si="34"/>
        <v>Washington State Mechanical Code TABLE 403.3.1.1Food and beverage service_Dining roomsVent</v>
      </c>
      <c r="AR69" s="2">
        <v>0.46451500000000001</v>
      </c>
      <c r="AS69" s="2">
        <v>5</v>
      </c>
      <c r="AT69" s="2">
        <v>0</v>
      </c>
      <c r="AU69" s="2">
        <v>0.5</v>
      </c>
      <c r="AV69" s="2">
        <v>0</v>
      </c>
      <c r="AW69" t="s">
        <v>2528</v>
      </c>
      <c r="AX69" s="4"/>
      <c r="AY69" t="s">
        <v>2531</v>
      </c>
      <c r="AZ69" s="72" t="str">
        <f t="shared" si="33"/>
        <v>NCC S35C2lClass 6 cafe/restaurant; radiant/latent/lost fraction split retained from original WA/COMNET-REV9 source (AIRAH Technical Handbook does not publish this split)CS Dining Area - OtherElectricalEquipDef</v>
      </c>
      <c r="BA69" t="s">
        <v>338</v>
      </c>
      <c r="BB69" s="50">
        <v>1.300643</v>
      </c>
      <c r="BC69" s="2">
        <v>14</v>
      </c>
      <c r="BD69" s="2">
        <v>0.37</v>
      </c>
      <c r="BE69" s="2">
        <v>0.2</v>
      </c>
      <c r="BF69" t="s">
        <v>2569</v>
      </c>
      <c r="BG69" s="4"/>
      <c r="BH69" t="s">
        <v>2572</v>
      </c>
      <c r="BI69" s="72" t="str">
        <f t="shared" ref="BI69:BI100" si="39">CONCATENATE(BF69,BG69,BH69,"LightingDef")</f>
        <v>NCC J7D3aRestaurant, cafe, bar, hotel lounge...; radiant/visible fraction split retained from original WA/COMNET-REV9 source (AIRAH Technical Handbook does not publish this split)LightingDef</v>
      </c>
      <c r="BJ69" t="s">
        <v>367</v>
      </c>
      <c r="BK69" s="45"/>
      <c r="BL69" s="45"/>
      <c r="BM69" s="45"/>
      <c r="BN69" s="45"/>
      <c r="BO69" s="45"/>
      <c r="BP69" s="45"/>
      <c r="BQ69" s="4"/>
      <c r="BR69" s="4"/>
      <c r="BS69" s="4"/>
      <c r="BT69" s="73" t="s">
        <v>2165</v>
      </c>
      <c r="BU69" s="45" t="s">
        <v>2165</v>
      </c>
      <c r="BW69">
        <v>0.7</v>
      </c>
      <c r="BY69" t="s">
        <v>2660</v>
      </c>
      <c r="BZ69" t="s">
        <v>2661</v>
      </c>
      <c r="CB69" s="50" t="str">
        <f t="shared" ref="CB69:CB100" si="40">CONCATENATE(CE69,"_",CF69)</f>
        <v>Space Function_Dining - other</v>
      </c>
      <c r="CC69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Function_Dining - otherInfil</v>
      </c>
      <c r="CD69" t="s">
        <v>266</v>
      </c>
      <c r="CE69" t="s">
        <v>250</v>
      </c>
      <c r="CF69" t="s">
        <v>287</v>
      </c>
      <c r="CG69" s="4"/>
      <c r="CH69">
        <v>2.4300000000000002</v>
      </c>
      <c r="CI69" s="4"/>
      <c r="CJ69" t="s">
        <v>2205</v>
      </c>
      <c r="CK69">
        <v>2.8E-3</v>
      </c>
      <c r="CL69">
        <v>5.29</v>
      </c>
      <c r="CM69">
        <v>1440</v>
      </c>
      <c r="CN69">
        <v>1288</v>
      </c>
      <c r="CO69">
        <v>0.9</v>
      </c>
      <c r="CP69">
        <v>0.7</v>
      </c>
      <c r="CQ69">
        <v>0.65</v>
      </c>
      <c r="CR69" t="s">
        <v>2239</v>
      </c>
      <c r="CS69" t="s">
        <v>2206</v>
      </c>
      <c r="CT69" t="s">
        <v>2340</v>
      </c>
      <c r="CU69" s="4" t="s">
        <v>2165</v>
      </c>
      <c r="CV69" t="str">
        <f t="shared" si="29"/>
        <v>Mixed_Commercial_Dining_3mm</v>
      </c>
      <c r="CW69" s="72" t="str">
        <f t="shared" si="31"/>
        <v>CalculatedEstimateGenericBoothAndTableSeatingMixed_Commercial_Dining_3mmInternalMassDef</v>
      </c>
    </row>
    <row r="70" spans="1:101" x14ac:dyDescent="0.35">
      <c r="A70" t="s">
        <v>221</v>
      </c>
      <c r="B70" s="50" t="str">
        <f t="shared" ref="B70:B133" si="41">CONCATENATE(F70,"_",G70,"_",H70)</f>
        <v>2025_AU_NCC</v>
      </c>
      <c r="C70" s="50" t="s">
        <v>2436</v>
      </c>
      <c r="D70" s="50" t="s">
        <v>288</v>
      </c>
      <c r="E70" t="s">
        <v>2051</v>
      </c>
      <c r="F70" s="62">
        <v>2025</v>
      </c>
      <c r="G70" s="62" t="s">
        <v>2522</v>
      </c>
      <c r="H70" t="s">
        <v>2523</v>
      </c>
      <c r="I70">
        <v>41</v>
      </c>
      <c r="J70">
        <v>31</v>
      </c>
      <c r="K70">
        <v>175</v>
      </c>
      <c r="L70" s="50" t="str">
        <f t="shared" si="38"/>
        <v>CS Electrical/Mechanical_2025AUNCC</v>
      </c>
      <c r="M70" s="50" t="str">
        <f t="shared" ref="M70:M133" si="42">CONCATENATE(L70,"ScheduleSet")</f>
        <v>CS Electrical/Mechanical_2025AUNCCScheduleSet</v>
      </c>
      <c r="N70" s="69"/>
      <c r="O70" s="46"/>
      <c r="P70" s="46"/>
      <c r="Q70" s="46">
        <v>255.91</v>
      </c>
      <c r="R70" s="46">
        <v>75</v>
      </c>
      <c r="S70" s="46">
        <v>187.67</v>
      </c>
      <c r="T70" s="46">
        <v>55</v>
      </c>
      <c r="U70" s="46"/>
      <c r="V70" s="46"/>
      <c r="W70" s="46">
        <v>130</v>
      </c>
      <c r="X70" s="48">
        <v>0.57692307700000001</v>
      </c>
      <c r="Y70" s="46" t="s">
        <v>2524</v>
      </c>
      <c r="Z70" s="46" t="s">
        <v>2525</v>
      </c>
      <c r="AA70" s="46"/>
      <c r="AB70" s="46"/>
      <c r="AC70" s="54" t="s">
        <v>2165</v>
      </c>
      <c r="AD70" s="46" t="s">
        <v>2165</v>
      </c>
      <c r="AE70" s="54" t="s">
        <v>2165</v>
      </c>
      <c r="AF70" s="63" t="s">
        <v>2165</v>
      </c>
      <c r="AG70" s="63" t="s">
        <v>2165</v>
      </c>
      <c r="AH70" s="62">
        <v>0.12</v>
      </c>
      <c r="AI70" s="62">
        <f t="shared" si="37"/>
        <v>6.0959999999999996E-4</v>
      </c>
      <c r="AJ70" s="63" t="s">
        <v>2165</v>
      </c>
      <c r="AK70" s="4" t="s">
        <v>2165</v>
      </c>
      <c r="AL70" s="4" t="s">
        <v>2165</v>
      </c>
      <c r="AM70" t="s">
        <v>37</v>
      </c>
      <c r="AN70" t="s">
        <v>61</v>
      </c>
      <c r="AO70" s="4" t="s">
        <v>2165</v>
      </c>
      <c r="AP70" s="4" t="s">
        <v>2165</v>
      </c>
      <c r="AQ70" s="72" t="str">
        <f t="shared" si="34"/>
        <v>Washington State Mechanical Code TABLE 403.3.1.1Retail stores, sales floors, and showroom floors - Storage roomsVent</v>
      </c>
      <c r="AR70" s="2">
        <v>0</v>
      </c>
      <c r="AS70" s="2">
        <v>0</v>
      </c>
      <c r="AT70" s="2">
        <v>0</v>
      </c>
      <c r="AU70" s="2">
        <v>0.5</v>
      </c>
      <c r="AV70" s="2">
        <v>0</v>
      </c>
      <c r="AW70" t="s">
        <v>2528</v>
      </c>
      <c r="AX70" t="s">
        <v>20</v>
      </c>
      <c r="AY70" t="s">
        <v>2550</v>
      </c>
      <c r="AZ70" s="72" t="str">
        <f t="shared" si="33"/>
        <v>NCC S35C2lBA OfficePlant/equipment room (Other applications) - no equipment load per S35C2l; radiant/latent/lost fraction split retained from original WA/COMNET-REV9 source (AIRAH Technical Handbook does not publish this split)CS Electrical/MechanicalElectricalEquipDef</v>
      </c>
      <c r="BA70" t="s">
        <v>344</v>
      </c>
      <c r="BB70" s="50">
        <v>0.185806</v>
      </c>
      <c r="BC70" s="2">
        <v>2</v>
      </c>
      <c r="BD70" s="2">
        <v>0.37</v>
      </c>
      <c r="BE70" s="2">
        <v>0.2</v>
      </c>
      <c r="BF70" t="s">
        <v>2569</v>
      </c>
      <c r="BG70" s="4"/>
      <c r="BH70" t="s">
        <v>2618</v>
      </c>
      <c r="BI70" s="72" t="str">
        <f t="shared" si="39"/>
        <v>NCC J7D3aPlant rooms with a horizontal illuminance target of 80 lx; radiant/visible fraction split retained from original WA/COMNET-REV9 source (AIRAH Technical Handbook does not publish this split)LightingDef</v>
      </c>
      <c r="BJ70" t="s">
        <v>1187</v>
      </c>
      <c r="BK70" s="45"/>
      <c r="BL70" s="45"/>
      <c r="BM70" s="45"/>
      <c r="BN70" s="45"/>
      <c r="BO70" s="45"/>
      <c r="BP70" s="45"/>
      <c r="BQ70" s="4"/>
      <c r="BR70" s="4"/>
      <c r="BS70" s="4"/>
      <c r="BT70" s="73" t="s">
        <v>2165</v>
      </c>
      <c r="BU70" s="45" t="s">
        <v>2165</v>
      </c>
      <c r="BW70">
        <v>0.7</v>
      </c>
      <c r="BY70" t="s">
        <v>2660</v>
      </c>
      <c r="BZ70" t="s">
        <v>2661</v>
      </c>
      <c r="CB70" s="50" t="str">
        <f t="shared" si="40"/>
        <v>Space Function_Electrical/Mechanical</v>
      </c>
      <c r="CC70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Function_Electrical/MechanicalInfil</v>
      </c>
      <c r="CD70" t="s">
        <v>266</v>
      </c>
      <c r="CE70" t="s">
        <v>250</v>
      </c>
      <c r="CF70" t="s">
        <v>288</v>
      </c>
      <c r="CG70" s="4"/>
      <c r="CH70">
        <v>3.48</v>
      </c>
      <c r="CI70" s="4"/>
      <c r="CJ70" t="s">
        <v>2207</v>
      </c>
      <c r="CK70">
        <v>2.8E-3</v>
      </c>
      <c r="CL70">
        <v>56.7</v>
      </c>
      <c r="CM70">
        <v>7047</v>
      </c>
      <c r="CN70">
        <v>511</v>
      </c>
      <c r="CO70">
        <v>0.9</v>
      </c>
      <c r="CP70">
        <v>0.7</v>
      </c>
      <c r="CQ70">
        <v>0.7</v>
      </c>
      <c r="CR70" t="s">
        <v>2240</v>
      </c>
      <c r="CS70" t="s">
        <v>2206</v>
      </c>
      <c r="CT70" t="s">
        <v>2341</v>
      </c>
      <c r="CU70" s="4" t="s">
        <v>2165</v>
      </c>
      <c r="CV70" t="str">
        <f t="shared" si="29"/>
        <v>Steel_Mechanical_Equipment_3mm</v>
      </c>
      <c r="CW70" s="72" t="str">
        <f t="shared" si="31"/>
        <v>CalculatedEstimateHVACAndElectricalEquipmentSteel_Mechanical_Equipment_3mmInternalMassDef</v>
      </c>
    </row>
    <row r="71" spans="1:101" x14ac:dyDescent="0.35">
      <c r="A71" t="s">
        <v>222</v>
      </c>
      <c r="B71" s="50" t="str">
        <f t="shared" si="41"/>
        <v>2025_AU_NCC</v>
      </c>
      <c r="C71" s="50" t="s">
        <v>2441</v>
      </c>
      <c r="D71" s="50" t="s">
        <v>2458</v>
      </c>
      <c r="E71" t="s">
        <v>300</v>
      </c>
      <c r="F71" s="62">
        <v>2025</v>
      </c>
      <c r="G71" s="62" t="s">
        <v>2522</v>
      </c>
      <c r="H71" t="s">
        <v>2523</v>
      </c>
      <c r="I71">
        <v>153</v>
      </c>
      <c r="J71">
        <v>0</v>
      </c>
      <c r="K71">
        <v>76</v>
      </c>
      <c r="L71" s="50" t="str">
        <f t="shared" si="38"/>
        <v>CS Emergency Vehicle Garage_2025AUNCC</v>
      </c>
      <c r="M71" s="50" t="str">
        <f t="shared" si="42"/>
        <v>CS Emergency Vehicle Garage_2025AUNCCScheduleSet</v>
      </c>
      <c r="N71" s="69"/>
      <c r="O71" s="46"/>
      <c r="P71" s="46"/>
      <c r="Q71" s="46">
        <v>255.91</v>
      </c>
      <c r="R71" s="46">
        <v>75</v>
      </c>
      <c r="S71" s="46">
        <v>187.67</v>
      </c>
      <c r="T71" s="46">
        <v>55</v>
      </c>
      <c r="U71" s="46"/>
      <c r="V71" s="46"/>
      <c r="W71" s="46">
        <v>130</v>
      </c>
      <c r="X71" s="48">
        <v>0.57692307700000001</v>
      </c>
      <c r="Y71" s="46" t="s">
        <v>2524</v>
      </c>
      <c r="Z71" s="46" t="s">
        <v>2525</v>
      </c>
      <c r="AA71" s="46"/>
      <c r="AB71" s="46"/>
      <c r="AC71" s="54" t="s">
        <v>2165</v>
      </c>
      <c r="AD71" s="46" t="s">
        <v>2165</v>
      </c>
      <c r="AE71" s="54" t="s">
        <v>2165</v>
      </c>
      <c r="AF71" s="63" t="s">
        <v>2165</v>
      </c>
      <c r="AG71" s="63" t="s">
        <v>2165</v>
      </c>
      <c r="AH71" s="63" t="s">
        <v>2165</v>
      </c>
      <c r="AI71" s="63" t="s">
        <v>2165</v>
      </c>
      <c r="AJ71" s="62">
        <v>0.75</v>
      </c>
      <c r="AK71">
        <f t="shared" ref="AK71:AK72" si="43">AJ71*0.000471947</f>
        <v>3.5396025000000004E-4</v>
      </c>
      <c r="AL71" s="4" t="s">
        <v>2165</v>
      </c>
      <c r="AM71" t="s">
        <v>37</v>
      </c>
      <c r="AN71" t="s">
        <v>38</v>
      </c>
      <c r="AO71" s="4" t="s">
        <v>2165</v>
      </c>
      <c r="AP71" s="4" t="s">
        <v>2165</v>
      </c>
      <c r="AQ71" s="72" t="str">
        <f t="shared" si="34"/>
        <v>Washington State Mechanical Code TABLE 403.3.1.1Storage_Repair garages_enclosed parking garageVent</v>
      </c>
      <c r="AR71" s="2">
        <v>0</v>
      </c>
      <c r="AS71" s="2">
        <v>0</v>
      </c>
      <c r="AT71" s="2">
        <v>0</v>
      </c>
      <c r="AU71" s="2">
        <v>0.5</v>
      </c>
      <c r="AV71" s="2">
        <v>0</v>
      </c>
      <c r="AW71" t="s">
        <v>2528</v>
      </c>
      <c r="AX71" s="4"/>
      <c r="AY71" t="s">
        <v>2551</v>
      </c>
      <c r="AZ71" s="72" t="str">
        <f t="shared" si="33"/>
        <v>NCC S35C2lClass 7a/8 (Other applications) - no equipment load per S35C2l; radiant/latent/lost fraction split retained from original WA/COMNET-REV9 source (AIRAH Technical Handbook does not publish this split)CS Emergency Vehicle GarageElectricalEquipDef</v>
      </c>
      <c r="BA71" t="s">
        <v>341</v>
      </c>
      <c r="BB71" s="50">
        <v>0.185806</v>
      </c>
      <c r="BC71" s="2">
        <v>2</v>
      </c>
      <c r="BD71" s="2">
        <v>0.37</v>
      </c>
      <c r="BE71" s="2">
        <v>0.2</v>
      </c>
      <c r="BF71" t="s">
        <v>2569</v>
      </c>
      <c r="BG71" s="4"/>
      <c r="BH71" t="s">
        <v>2586</v>
      </c>
      <c r="BI71" s="72" t="str">
        <f t="shared" si="39"/>
        <v>NCC J7D3aCarpark - general; radiant/visible fraction split retained from original WA/COMNET-REV9 source (AIRAH Technical Handbook does not publish this split)LightingDef</v>
      </c>
      <c r="BJ71" t="s">
        <v>370</v>
      </c>
      <c r="BK71" s="45"/>
      <c r="BL71" s="45"/>
      <c r="BM71" s="45"/>
      <c r="BN71" s="45"/>
      <c r="BO71" s="45"/>
      <c r="BP71" s="45"/>
      <c r="BQ71" s="4"/>
      <c r="BR71" s="4"/>
      <c r="BS71" s="4"/>
      <c r="BT71" s="73" t="s">
        <v>2165</v>
      </c>
      <c r="BU71" s="45" t="s">
        <v>2165</v>
      </c>
      <c r="BW71">
        <v>0.7</v>
      </c>
      <c r="BY71" t="s">
        <v>2660</v>
      </c>
      <c r="BZ71" s="4" t="s">
        <v>2661</v>
      </c>
      <c r="CA71" s="4"/>
      <c r="CB71" s="50" t="str">
        <f t="shared" si="40"/>
        <v>Space Function_Parking garage space</v>
      </c>
      <c r="CC71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Function_Parking garage spaceInfil</v>
      </c>
      <c r="CD71" t="s">
        <v>266</v>
      </c>
      <c r="CE71" t="s">
        <v>250</v>
      </c>
      <c r="CF71" t="s">
        <v>300</v>
      </c>
      <c r="CG71" s="4"/>
      <c r="CH71">
        <v>1.1000000000000001</v>
      </c>
      <c r="CI71" s="4"/>
      <c r="CJ71" t="s">
        <v>2205</v>
      </c>
      <c r="CK71">
        <v>1.6999999999999999E-3</v>
      </c>
      <c r="CL71">
        <v>45.8</v>
      </c>
      <c r="CM71">
        <v>7368</v>
      </c>
      <c r="CN71">
        <v>517</v>
      </c>
      <c r="CO71">
        <v>0.9</v>
      </c>
      <c r="CP71">
        <v>0.7</v>
      </c>
      <c r="CQ71">
        <v>0.7</v>
      </c>
      <c r="CR71" t="s">
        <v>2241</v>
      </c>
      <c r="CS71" t="s">
        <v>2206</v>
      </c>
      <c r="CT71" t="s">
        <v>2342</v>
      </c>
      <c r="CU71" s="4" t="s">
        <v>2165</v>
      </c>
      <c r="CV71" t="str">
        <f t="shared" si="29"/>
        <v>Steel_Emergency_Garage_2mm</v>
      </c>
      <c r="CW71" s="72" t="str">
        <f t="shared" si="31"/>
        <v>CalculatedEstimateApparatusBayStorageAndLockersSteel_Emergency_Garage_2mmInternalMassDef</v>
      </c>
    </row>
    <row r="72" spans="1:101" x14ac:dyDescent="0.35">
      <c r="A72" t="s">
        <v>238</v>
      </c>
      <c r="B72" s="50" t="str">
        <f t="shared" si="41"/>
        <v>2025_AU_NCC</v>
      </c>
      <c r="C72" s="50" t="s">
        <v>2437</v>
      </c>
      <c r="D72" s="50" t="s">
        <v>2459</v>
      </c>
      <c r="E72" t="s">
        <v>128</v>
      </c>
      <c r="F72" s="62">
        <v>2025</v>
      </c>
      <c r="G72" s="62" t="s">
        <v>2522</v>
      </c>
      <c r="H72" t="s">
        <v>2523</v>
      </c>
      <c r="I72">
        <v>255</v>
      </c>
      <c r="J72">
        <v>178</v>
      </c>
      <c r="K72">
        <v>102</v>
      </c>
      <c r="L72" s="50" t="str">
        <f t="shared" si="38"/>
        <v>CS Food Preparation - Gas Cooking_2025AUNCC</v>
      </c>
      <c r="M72" s="50" t="str">
        <f t="shared" si="42"/>
        <v>CS Food Preparation - Gas Cooking_2025AUNCCScheduleSet</v>
      </c>
      <c r="N72" s="68">
        <v>50</v>
      </c>
      <c r="O72">
        <v>20</v>
      </c>
      <c r="P72" s="38">
        <v>0.21527830100000001</v>
      </c>
      <c r="Q72">
        <v>255.91</v>
      </c>
      <c r="R72" s="6">
        <v>75</v>
      </c>
      <c r="S72">
        <v>187.67</v>
      </c>
      <c r="T72" s="6">
        <v>55</v>
      </c>
      <c r="U72" s="6"/>
      <c r="V72" s="6"/>
      <c r="W72" s="6">
        <v>130</v>
      </c>
      <c r="X72" s="2">
        <v>0.57692307700000001</v>
      </c>
      <c r="Y72" t="s">
        <v>2524</v>
      </c>
      <c r="Z72" t="s">
        <v>2525</v>
      </c>
      <c r="AC72" s="50" t="str">
        <f t="shared" ref="AC72:AC79" si="44">CONCATENATE(Y72,Z72,AA72,AB72,"PeopleDef")</f>
        <v>NCC S35C2nOther applications (non-dining)PeopleDef</v>
      </c>
      <c r="AD72" t="s">
        <v>355</v>
      </c>
      <c r="AE72" s="50" t="str">
        <f t="shared" ref="AE72:AE79" si="45">CONCATENATE(A72,"Activity")</f>
        <v>CS Food Preparation - Gas CookingActivity</v>
      </c>
      <c r="AF72" s="62">
        <v>7.5</v>
      </c>
      <c r="AG72" s="62">
        <f t="shared" si="27"/>
        <v>3.5394053798961773E-3</v>
      </c>
      <c r="AH72" s="62">
        <v>0.12</v>
      </c>
      <c r="AI72" s="62">
        <f t="shared" si="37"/>
        <v>6.0959999999999996E-4</v>
      </c>
      <c r="AJ72" s="62">
        <v>0.7</v>
      </c>
      <c r="AK72">
        <f t="shared" si="43"/>
        <v>3.3036289999999999E-4</v>
      </c>
      <c r="AL72" s="4" t="s">
        <v>2165</v>
      </c>
      <c r="AM72" t="s">
        <v>37</v>
      </c>
      <c r="AN72" t="s">
        <v>58</v>
      </c>
      <c r="AO72" s="4" t="s">
        <v>2165</v>
      </c>
      <c r="AP72" s="4" t="s">
        <v>2165</v>
      </c>
      <c r="AQ72" s="72" t="str">
        <f t="shared" si="34"/>
        <v>Washington State Mechanical Code TABLE 403.3.1.1Food and beverage service_Kitchens (cooking)Vent</v>
      </c>
      <c r="AR72" s="2">
        <v>1.316057389</v>
      </c>
      <c r="AS72" s="2">
        <v>14.16604173</v>
      </c>
      <c r="AT72" s="2">
        <v>0.25</v>
      </c>
      <c r="AU72" s="2">
        <v>0.3</v>
      </c>
      <c r="AV72" s="2">
        <v>0.2</v>
      </c>
      <c r="AW72" t="s">
        <v>104</v>
      </c>
      <c r="AX72" s="4"/>
      <c r="AY72" t="s">
        <v>334</v>
      </c>
      <c r="AZ72" s="72" t="str">
        <f t="shared" si="33"/>
        <v>COMNET-REV9DOEPrototypeCS Food Preparation - Gas CookingElectricalEquipDef</v>
      </c>
      <c r="BA72" t="s">
        <v>338</v>
      </c>
      <c r="BB72" s="50">
        <v>0.371612</v>
      </c>
      <c r="BC72" s="2">
        <v>4</v>
      </c>
      <c r="BD72" s="2">
        <v>0.37</v>
      </c>
      <c r="BE72" s="2">
        <v>0.2</v>
      </c>
      <c r="BF72" t="s">
        <v>2569</v>
      </c>
      <c r="BG72" s="4"/>
      <c r="BH72" t="s">
        <v>2619</v>
      </c>
      <c r="BI72" s="72" t="str">
        <f t="shared" si="39"/>
        <v>NCC J7D3aKitchen and food preparation area; radiant/visible fraction split retained from original WA/COMNET-REV9 source (AIRAH Technical Handbook does not publish this split)LightingDef</v>
      </c>
      <c r="BJ72" t="s">
        <v>367</v>
      </c>
      <c r="BK72" s="3">
        <v>10.27842907</v>
      </c>
      <c r="BL72" s="3">
        <v>35.07</v>
      </c>
      <c r="BM72" s="2">
        <v>377.49347999999998</v>
      </c>
      <c r="BN72" s="7">
        <v>0.1</v>
      </c>
      <c r="BO72" s="7">
        <v>0.2</v>
      </c>
      <c r="BP72" s="7">
        <v>0.7</v>
      </c>
      <c r="BQ72" t="s">
        <v>104</v>
      </c>
      <c r="BR72" t="s">
        <v>133</v>
      </c>
      <c r="BS72" s="7" t="s">
        <v>334</v>
      </c>
      <c r="BT72" s="72" t="str">
        <f>CONCATENATE(BQ72,BR72,BS72,A72,"GasEquipDef")</f>
        <v>COMNET-REV9California Commercial End-Use Survey (CEUS)DOEPrototypeCS Food Preparation - Gas CookingGasEquipDef</v>
      </c>
      <c r="BU72" s="7" t="s">
        <v>326</v>
      </c>
      <c r="BW72">
        <v>0.7</v>
      </c>
      <c r="BY72" t="s">
        <v>2660</v>
      </c>
      <c r="BZ72" t="s">
        <v>2661</v>
      </c>
      <c r="CB72" s="50" t="str">
        <f t="shared" si="40"/>
        <v>Space Function_Food preparation</v>
      </c>
      <c r="CC72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Function_Food preparationInfil</v>
      </c>
      <c r="CD72" t="s">
        <v>266</v>
      </c>
      <c r="CE72" t="s">
        <v>250</v>
      </c>
      <c r="CF72" t="s">
        <v>128</v>
      </c>
      <c r="CG72" s="4"/>
      <c r="CH72">
        <v>2.2000000000000002</v>
      </c>
      <c r="CI72" s="4"/>
      <c r="CJ72" t="s">
        <v>2207</v>
      </c>
      <c r="CK72">
        <v>2.3E-3</v>
      </c>
      <c r="CL72">
        <v>22.8</v>
      </c>
      <c r="CM72">
        <v>7656</v>
      </c>
      <c r="CN72">
        <v>515</v>
      </c>
      <c r="CO72">
        <v>0.9</v>
      </c>
      <c r="CP72">
        <v>0.7</v>
      </c>
      <c r="CQ72">
        <v>0.7</v>
      </c>
      <c r="CR72" t="s">
        <v>2242</v>
      </c>
      <c r="CS72" t="s">
        <v>2206</v>
      </c>
      <c r="CT72" t="s">
        <v>2343</v>
      </c>
      <c r="CU72" s="4" t="s">
        <v>2165</v>
      </c>
      <c r="CV72" t="str">
        <f t="shared" si="29"/>
        <v>Stainless_Commercial_Kitchen_2mm</v>
      </c>
      <c r="CW72" s="72" t="str">
        <f t="shared" si="31"/>
        <v>CalculatedEstimateGasCookingEquipmentAndStainlessPrepStainless_Commercial_Kitchen_2mmInternalMassDef</v>
      </c>
    </row>
    <row r="73" spans="1:101" x14ac:dyDescent="0.35">
      <c r="A73" t="s">
        <v>223</v>
      </c>
      <c r="B73" s="50" t="str">
        <f t="shared" si="41"/>
        <v>2025_AU_NCC</v>
      </c>
      <c r="C73" s="50" t="s">
        <v>2432</v>
      </c>
      <c r="D73" s="50" t="s">
        <v>2460</v>
      </c>
      <c r="E73" t="s">
        <v>2052</v>
      </c>
      <c r="F73" s="62">
        <v>2025</v>
      </c>
      <c r="G73" s="62" t="s">
        <v>2522</v>
      </c>
      <c r="H73" t="s">
        <v>2523</v>
      </c>
      <c r="I73">
        <v>78</v>
      </c>
      <c r="J73">
        <v>167</v>
      </c>
      <c r="K73">
        <v>222</v>
      </c>
      <c r="L73" s="50" t="str">
        <f t="shared" si="38"/>
        <v>CS Guest Room_2025AUNCC</v>
      </c>
      <c r="M73" s="50" t="str">
        <f t="shared" si="42"/>
        <v>CS Guest Room_2025AUNCCScheduleSet</v>
      </c>
      <c r="N73" s="68">
        <v>100</v>
      </c>
      <c r="O73">
        <v>10</v>
      </c>
      <c r="P73" s="38">
        <v>0.107639151</v>
      </c>
      <c r="Q73">
        <v>255.91</v>
      </c>
      <c r="R73" s="6">
        <v>75</v>
      </c>
      <c r="S73">
        <v>187.67</v>
      </c>
      <c r="T73" s="6">
        <v>55</v>
      </c>
      <c r="U73" s="6"/>
      <c r="V73" s="6"/>
      <c r="W73" s="6">
        <v>130</v>
      </c>
      <c r="X73" s="2">
        <v>0.57692307700000001</v>
      </c>
      <c r="Y73" t="s">
        <v>2524</v>
      </c>
      <c r="Z73" t="s">
        <v>2525</v>
      </c>
      <c r="AB73" s="4"/>
      <c r="AC73" s="50" t="str">
        <f t="shared" si="44"/>
        <v>NCC S35C2nOther applications (non-dining)PeopleDef</v>
      </c>
      <c r="AD73" t="s">
        <v>801</v>
      </c>
      <c r="AE73" s="50" t="str">
        <f t="shared" si="45"/>
        <v>CS Guest RoomActivity</v>
      </c>
      <c r="AF73" s="62">
        <v>5</v>
      </c>
      <c r="AG73" s="62">
        <f t="shared" si="27"/>
        <v>2.3596035865974517E-3</v>
      </c>
      <c r="AH73" s="62">
        <v>0.06</v>
      </c>
      <c r="AI73" s="62">
        <f t="shared" si="37"/>
        <v>3.0479999999999998E-4</v>
      </c>
      <c r="AJ73" s="63" t="s">
        <v>2165</v>
      </c>
      <c r="AK73" s="4" t="s">
        <v>2165</v>
      </c>
      <c r="AL73" s="4" t="s">
        <v>2165</v>
      </c>
      <c r="AM73" t="s">
        <v>37</v>
      </c>
      <c r="AN73" t="s">
        <v>59</v>
      </c>
      <c r="AO73" s="4" t="s">
        <v>2165</v>
      </c>
      <c r="AP73" s="4" t="s">
        <v>2165</v>
      </c>
      <c r="AQ73" s="72" t="str">
        <f t="shared" si="34"/>
        <v>Washington State Mechanical Code TABLE 403.3.1.1Hotels,_motels_resorts_dormitories_Bedroom/living room Vent</v>
      </c>
      <c r="AR73" s="2">
        <v>1.5641288209999999</v>
      </c>
      <c r="AS73" s="2">
        <v>16.836282629999999</v>
      </c>
      <c r="AT73" s="2">
        <v>0</v>
      </c>
      <c r="AU73" s="2">
        <v>0.5</v>
      </c>
      <c r="AV73" s="2">
        <v>0</v>
      </c>
      <c r="AW73" t="s">
        <v>104</v>
      </c>
      <c r="AX73" s="4"/>
      <c r="AY73" t="s">
        <v>334</v>
      </c>
      <c r="AZ73" s="72" t="str">
        <f t="shared" si="33"/>
        <v>COMNET-REV9DOEPrototypeCS Guest RoomElectricalEquipDef</v>
      </c>
      <c r="BA73" t="s">
        <v>799</v>
      </c>
      <c r="BB73" s="50">
        <v>0.48</v>
      </c>
      <c r="BC73" s="2">
        <v>5.1666800000000004</v>
      </c>
      <c r="BD73" s="2">
        <v>0.37</v>
      </c>
      <c r="BE73" s="2">
        <v>0.2</v>
      </c>
      <c r="BF73" t="s">
        <v>2599</v>
      </c>
      <c r="BG73" s="4"/>
      <c r="BH73" t="s">
        <v>2612</v>
      </c>
      <c r="BI73" s="72" t="str">
        <f t="shared" si="39"/>
        <v>IECC Table C405.3.2(2)Dormitory - living quarters (nearest match for a private sleeping/holding room); radiant/visible fraction split retained from original WA/COMNET-REV9 sourceLightingDef</v>
      </c>
      <c r="BJ73" t="s">
        <v>772</v>
      </c>
      <c r="BK73" s="4"/>
      <c r="BL73" s="4"/>
      <c r="BM73" s="4"/>
      <c r="BN73" s="4"/>
      <c r="BO73" s="4"/>
      <c r="BP73" s="4"/>
      <c r="BQ73" s="4"/>
      <c r="BR73" s="4"/>
      <c r="BS73" s="4"/>
      <c r="BT73" s="73" t="s">
        <v>2165</v>
      </c>
      <c r="BU73" s="4" t="s">
        <v>2165</v>
      </c>
      <c r="BW73">
        <v>0.7</v>
      </c>
      <c r="BY73" t="s">
        <v>2660</v>
      </c>
      <c r="BZ73" t="s">
        <v>2661</v>
      </c>
      <c r="CB73" s="50" t="str">
        <f t="shared" si="40"/>
        <v>LargeHotel_GuestRoom</v>
      </c>
      <c r="CC73" s="72" t="str">
        <f t="shared" si="28"/>
        <v>NCC S34C2(6)0.7 ACH assumed as design infiltration for periods without mechanical outdoor air supply; NCC also specifies 0.35 ACH when mechanical OA is operating (to be applied via infiltration schedule once developed)LargeHotel_GuestRoomInfil</v>
      </c>
      <c r="CD73" t="s">
        <v>321</v>
      </c>
      <c r="CE73" t="s">
        <v>322</v>
      </c>
      <c r="CF73" t="s">
        <v>290</v>
      </c>
      <c r="CG73" s="4"/>
      <c r="CH73">
        <v>1.79</v>
      </c>
      <c r="CI73" s="4"/>
      <c r="CJ73" t="s">
        <v>2205</v>
      </c>
      <c r="CK73">
        <v>9.7000000000000003E-3</v>
      </c>
      <c r="CL73">
        <v>3.27</v>
      </c>
      <c r="CM73">
        <v>1155</v>
      </c>
      <c r="CN73">
        <v>1293</v>
      </c>
      <c r="CO73">
        <v>0.9</v>
      </c>
      <c r="CP73">
        <v>0.7</v>
      </c>
      <c r="CQ73">
        <v>0.65</v>
      </c>
      <c r="CR73" t="s">
        <v>2243</v>
      </c>
      <c r="CS73" t="s">
        <v>2206</v>
      </c>
      <c r="CT73" t="s">
        <v>2344</v>
      </c>
      <c r="CU73" s="4" t="s">
        <v>2165</v>
      </c>
      <c r="CV73" t="str">
        <f t="shared" si="29"/>
        <v>Mixed_Hotel_Furniture_10mm</v>
      </c>
      <c r="CW73" s="72" t="str">
        <f t="shared" si="31"/>
        <v>CalculatedEstimateBedDresserAndCaseGoodsMixed_Hotel_Furniture_10mmInternalMassDef</v>
      </c>
    </row>
    <row r="74" spans="1:101" x14ac:dyDescent="0.35">
      <c r="A74" t="s">
        <v>224</v>
      </c>
      <c r="B74" s="50" t="str">
        <f t="shared" si="41"/>
        <v>2025_AU_NCC</v>
      </c>
      <c r="C74" s="50" t="s">
        <v>252</v>
      </c>
      <c r="D74" s="50" t="s">
        <v>2461</v>
      </c>
      <c r="E74" t="s">
        <v>291</v>
      </c>
      <c r="F74" s="62">
        <v>2025</v>
      </c>
      <c r="G74" s="62" t="s">
        <v>2522</v>
      </c>
      <c r="H74" t="s">
        <v>2523</v>
      </c>
      <c r="I74">
        <v>153</v>
      </c>
      <c r="J74">
        <v>153</v>
      </c>
      <c r="K74">
        <v>0</v>
      </c>
      <c r="L74" s="50" t="str">
        <f t="shared" si="38"/>
        <v>CS Judges Chambers_2025AUNCC</v>
      </c>
      <c r="M74" s="50" t="str">
        <f t="shared" si="42"/>
        <v>CS Judges Chambers_2025AUNCCScheduleSet</v>
      </c>
      <c r="N74" s="68">
        <v>200</v>
      </c>
      <c r="O74">
        <v>5</v>
      </c>
      <c r="P74" s="38">
        <v>5.3819575000000001E-2</v>
      </c>
      <c r="Q74">
        <v>255.91</v>
      </c>
      <c r="R74" s="6">
        <v>75</v>
      </c>
      <c r="S74">
        <v>187.67</v>
      </c>
      <c r="T74" s="6">
        <v>55</v>
      </c>
      <c r="U74" s="6"/>
      <c r="V74" s="6"/>
      <c r="W74" s="6">
        <v>130</v>
      </c>
      <c r="X74" s="2">
        <v>0.57692307700000001</v>
      </c>
      <c r="Y74" t="s">
        <v>2524</v>
      </c>
      <c r="Z74" t="s">
        <v>2525</v>
      </c>
      <c r="AB74" s="4"/>
      <c r="AC74" s="50" t="str">
        <f t="shared" si="44"/>
        <v>NCC S35C2nOther applications (non-dining)PeopleDef</v>
      </c>
      <c r="AD74" t="s">
        <v>354</v>
      </c>
      <c r="AE74" s="50" t="str">
        <f t="shared" si="45"/>
        <v>CS Judges ChambersActivity</v>
      </c>
      <c r="AF74" s="62">
        <v>5</v>
      </c>
      <c r="AG74" s="62">
        <f t="shared" si="27"/>
        <v>2.3596035865974517E-3</v>
      </c>
      <c r="AH74" s="62">
        <v>0.06</v>
      </c>
      <c r="AI74" s="62">
        <f t="shared" si="37"/>
        <v>3.0479999999999998E-4</v>
      </c>
      <c r="AJ74" s="63" t="s">
        <v>2165</v>
      </c>
      <c r="AK74" s="4" t="s">
        <v>2165</v>
      </c>
      <c r="AL74" s="4" t="s">
        <v>2165</v>
      </c>
      <c r="AM74" t="s">
        <v>37</v>
      </c>
      <c r="AN74" t="s">
        <v>60</v>
      </c>
      <c r="AO74" s="4" t="s">
        <v>2165</v>
      </c>
      <c r="AP74" s="4" t="s">
        <v>2165</v>
      </c>
      <c r="AQ74" s="72" t="str">
        <f t="shared" si="34"/>
        <v>Washington State Mechanical Code TABLE 403.3.1.1Office_Office spacesVent</v>
      </c>
      <c r="AR74" s="2">
        <v>1.021933</v>
      </c>
      <c r="AS74" s="2">
        <v>11</v>
      </c>
      <c r="AT74" s="2">
        <v>0</v>
      </c>
      <c r="AU74" s="2">
        <v>0.5</v>
      </c>
      <c r="AV74" s="2">
        <v>0</v>
      </c>
      <c r="AW74" t="s">
        <v>2528</v>
      </c>
      <c r="AX74" s="4"/>
      <c r="AY74" t="s">
        <v>2552</v>
      </c>
      <c r="AZ74" s="72" t="str">
        <f t="shared" si="33"/>
        <v>NCC S35C2lClass 5 building (Judges Chambers treated as office analogue); radiant/latent/lost fraction split retained from original WA/COMNET-REV9 source (AIRAH Technical Handbook does not publish this split)CS Judges ChambersElectricalEquipDef</v>
      </c>
      <c r="BA74" t="s">
        <v>337</v>
      </c>
      <c r="BB74" s="50">
        <v>0.41806399999999999</v>
      </c>
      <c r="BC74" s="2">
        <v>4.5</v>
      </c>
      <c r="BD74" s="2">
        <v>0.37</v>
      </c>
      <c r="BE74" s="2">
        <v>0.2</v>
      </c>
      <c r="BF74" t="s">
        <v>2569</v>
      </c>
      <c r="BG74" s="4"/>
      <c r="BH74" t="s">
        <v>2620</v>
      </c>
      <c r="BI74" s="72" t="str">
        <f t="shared" si="39"/>
        <v>NCC J7D3aOffice - artificially lit to &gt;= 200 lux; radiant/visible fraction split retained from original WA/COMNET-REV9 source (AIRAH Technical Handbook does not publish this split)LightingDef</v>
      </c>
      <c r="BJ74" t="s">
        <v>366</v>
      </c>
      <c r="BK74" s="4"/>
      <c r="BL74" s="4"/>
      <c r="BM74" s="4"/>
      <c r="BN74" s="4"/>
      <c r="BO74" s="4"/>
      <c r="BP74" s="4"/>
      <c r="BQ74" s="4"/>
      <c r="BR74" s="4"/>
      <c r="BS74" s="4"/>
      <c r="BT74" s="73" t="s">
        <v>2165</v>
      </c>
      <c r="BU74" s="4" t="s">
        <v>2165</v>
      </c>
      <c r="BW74">
        <v>0.7</v>
      </c>
      <c r="BY74" t="s">
        <v>2660</v>
      </c>
      <c r="BZ74" t="s">
        <v>2661</v>
      </c>
      <c r="CB74" s="50" t="str">
        <f t="shared" si="40"/>
        <v>Space Function_Courthouse - chambers</v>
      </c>
      <c r="CC74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Function_Courthouse - chambersInfil</v>
      </c>
      <c r="CD74" t="s">
        <v>266</v>
      </c>
      <c r="CE74" t="s">
        <v>250</v>
      </c>
      <c r="CF74" t="s">
        <v>291</v>
      </c>
      <c r="CG74" s="4"/>
      <c r="CH74">
        <v>4.0599999999999996</v>
      </c>
      <c r="CI74" s="4"/>
      <c r="CJ74" t="s">
        <v>2205</v>
      </c>
      <c r="CK74">
        <v>6.1999999999999998E-3</v>
      </c>
      <c r="CL74">
        <v>4.93</v>
      </c>
      <c r="CM74">
        <v>1520</v>
      </c>
      <c r="CN74">
        <v>1343</v>
      </c>
      <c r="CO74">
        <v>0.9</v>
      </c>
      <c r="CP74">
        <v>0.7</v>
      </c>
      <c r="CQ74">
        <v>0.65</v>
      </c>
      <c r="CR74" t="s">
        <v>2244</v>
      </c>
      <c r="CS74" t="s">
        <v>2206</v>
      </c>
      <c r="CT74" t="s">
        <v>2345</v>
      </c>
      <c r="CU74" s="4" t="s">
        <v>2165</v>
      </c>
      <c r="CV74" t="str">
        <f t="shared" si="29"/>
        <v>Wood_Legal_Library_6mm</v>
      </c>
      <c r="CW74" s="72" t="str">
        <f t="shared" si="31"/>
        <v>CalculatedEstimateLawBookShelvingAndExecutiveFurnitureWood_Legal_Library_6mmInternalMassDef</v>
      </c>
    </row>
    <row r="75" spans="1:101" x14ac:dyDescent="0.35">
      <c r="A75" t="s">
        <v>160</v>
      </c>
      <c r="B75" s="50" t="str">
        <f t="shared" si="41"/>
        <v>2025_AU_NCC</v>
      </c>
      <c r="C75" s="50" t="s">
        <v>2429</v>
      </c>
      <c r="D75" s="50" t="s">
        <v>2462</v>
      </c>
      <c r="E75" t="s">
        <v>292</v>
      </c>
      <c r="F75" s="62">
        <v>2025</v>
      </c>
      <c r="G75" s="62" t="s">
        <v>2522</v>
      </c>
      <c r="H75" t="s">
        <v>2523</v>
      </c>
      <c r="I75">
        <v>224</v>
      </c>
      <c r="J75">
        <v>224</v>
      </c>
      <c r="K75">
        <v>224</v>
      </c>
      <c r="L75" s="50" t="str">
        <f t="shared" si="38"/>
        <v>CS Laboratory - Classrooms  _2025AUNCC</v>
      </c>
      <c r="M75" s="50" t="str">
        <f t="shared" si="42"/>
        <v>CS Laboratory - Classrooms  _2025AUNCCScheduleSet</v>
      </c>
      <c r="N75" s="68">
        <v>40</v>
      </c>
      <c r="O75">
        <v>25</v>
      </c>
      <c r="P75" s="38">
        <v>0.26909787600000001</v>
      </c>
      <c r="Q75">
        <v>255.91</v>
      </c>
      <c r="R75" s="6">
        <v>75</v>
      </c>
      <c r="S75">
        <v>187.67</v>
      </c>
      <c r="T75" s="6">
        <v>55</v>
      </c>
      <c r="U75" s="6"/>
      <c r="V75" s="6"/>
      <c r="W75" s="6">
        <v>130</v>
      </c>
      <c r="X75" s="2">
        <v>0.57692307700000001</v>
      </c>
      <c r="Y75" t="s">
        <v>2524</v>
      </c>
      <c r="Z75" t="s">
        <v>2525</v>
      </c>
      <c r="AC75" s="50" t="str">
        <f t="shared" si="44"/>
        <v>NCC S35C2nOther applications (non-dining)PeopleDef</v>
      </c>
      <c r="AD75" t="s">
        <v>360</v>
      </c>
      <c r="AE75" s="50" t="str">
        <f t="shared" si="45"/>
        <v>CS Laboratory - Classrooms  Activity</v>
      </c>
      <c r="AF75" s="62">
        <v>10</v>
      </c>
      <c r="AG75" s="62">
        <f t="shared" si="27"/>
        <v>4.7192071731949033E-3</v>
      </c>
      <c r="AH75" s="62">
        <v>0.18</v>
      </c>
      <c r="AI75" s="62">
        <f t="shared" si="37"/>
        <v>9.144E-4</v>
      </c>
      <c r="AJ75" s="62">
        <v>1</v>
      </c>
      <c r="AK75">
        <f t="shared" ref="AK75:AK76" si="46">AJ75*0.000471947</f>
        <v>4.7194700000000001E-4</v>
      </c>
      <c r="AL75" s="4" t="s">
        <v>2165</v>
      </c>
      <c r="AM75" t="s">
        <v>37</v>
      </c>
      <c r="AN75" t="s">
        <v>62</v>
      </c>
      <c r="AO75" s="4" t="s">
        <v>2165</v>
      </c>
      <c r="AP75" s="4" t="s">
        <v>2165</v>
      </c>
      <c r="AQ75" s="72" t="str">
        <f t="shared" si="34"/>
        <v>Washington State Mechanical Code TABLE 403.3.1.1Education - Science laboratoriesVent</v>
      </c>
      <c r="AR75" s="2">
        <v>1.393546</v>
      </c>
      <c r="AS75" s="2">
        <v>15</v>
      </c>
      <c r="AT75" s="2">
        <v>0.2</v>
      </c>
      <c r="AU75" s="2">
        <v>0.5</v>
      </c>
      <c r="AV75" s="2">
        <v>0.1</v>
      </c>
      <c r="AW75" t="s">
        <v>2528</v>
      </c>
      <c r="AX75" s="4"/>
      <c r="AY75" t="s">
        <v>2553</v>
      </c>
      <c r="AZ75" s="72" t="str">
        <f t="shared" si="33"/>
        <v>NCC S35C2lClass 8 laboratory; radiant/latent/lost fraction split retained from original WA/COMNET-REV9 source (AIRAH Technical Handbook does not publish this split)CS Laboratory - Classrooms  ElectricalEquipDef</v>
      </c>
      <c r="BA75" t="s">
        <v>351</v>
      </c>
      <c r="BB75" s="50">
        <v>0.55741799999999997</v>
      </c>
      <c r="BC75" s="2">
        <v>6</v>
      </c>
      <c r="BD75" s="2">
        <v>0.37</v>
      </c>
      <c r="BE75" s="2">
        <v>0.2</v>
      </c>
      <c r="BF75" t="s">
        <v>2569</v>
      </c>
      <c r="BG75" s="4"/>
      <c r="BH75" t="s">
        <v>2621</v>
      </c>
      <c r="BI75" s="72" t="str">
        <f t="shared" si="39"/>
        <v>NCC J7D3aLaboratory - artificially lit to an ambient level of 400 lx or more; radiant/visible fraction split retained from original WA/COMNET-REV9 source (AIRAH Technical Handbook does not publish this split)LightingDef</v>
      </c>
      <c r="BJ75" t="s">
        <v>372</v>
      </c>
      <c r="BK75" s="4"/>
      <c r="BL75" s="4"/>
      <c r="BM75" s="4"/>
      <c r="BN75" s="4"/>
      <c r="BO75" s="4"/>
      <c r="BP75" s="4"/>
      <c r="BQ75" s="4"/>
      <c r="BR75" s="4"/>
      <c r="BS75" s="4"/>
      <c r="BT75" s="73" t="s">
        <v>2165</v>
      </c>
      <c r="BU75" s="4" t="s">
        <v>2165</v>
      </c>
      <c r="BW75">
        <v>0.7</v>
      </c>
      <c r="BY75" t="s">
        <v>2660</v>
      </c>
      <c r="BZ75" t="s">
        <v>2661</v>
      </c>
      <c r="CB75" s="50" t="str">
        <f t="shared" si="40"/>
        <v>Space Function_Lab - classrooms</v>
      </c>
      <c r="CC75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Function_Lab - classroomsInfil</v>
      </c>
      <c r="CD75" t="s">
        <v>266</v>
      </c>
      <c r="CE75" t="s">
        <v>250</v>
      </c>
      <c r="CF75" t="s">
        <v>292</v>
      </c>
      <c r="CG75" s="4"/>
      <c r="CH75">
        <v>3.6</v>
      </c>
      <c r="CI75" s="4"/>
      <c r="CJ75" t="s">
        <v>2207</v>
      </c>
      <c r="CK75">
        <v>1.6999999999999999E-3</v>
      </c>
      <c r="CL75">
        <v>32.4</v>
      </c>
      <c r="CM75">
        <v>4900</v>
      </c>
      <c r="CN75">
        <v>833</v>
      </c>
      <c r="CO75">
        <v>0.9</v>
      </c>
      <c r="CP75">
        <v>0.7</v>
      </c>
      <c r="CQ75">
        <v>0.7</v>
      </c>
      <c r="CR75" t="s">
        <v>2245</v>
      </c>
      <c r="CS75" t="s">
        <v>2206</v>
      </c>
      <c r="CT75" t="s">
        <v>2346</v>
      </c>
      <c r="CU75" s="4" t="s">
        <v>2165</v>
      </c>
      <c r="CV75" t="str">
        <f t="shared" si="29"/>
        <v>Steel_Lab_Equipment_2mm</v>
      </c>
      <c r="CW75" s="72" t="str">
        <f t="shared" si="31"/>
        <v>CalculatedEstimateLabBenchesFumeHoodAndStorageSteel_Lab_Equipment_2mmInternalMassDef</v>
      </c>
    </row>
    <row r="76" spans="1:101" x14ac:dyDescent="0.35">
      <c r="A76" t="s">
        <v>161</v>
      </c>
      <c r="B76" s="50" t="str">
        <f t="shared" si="41"/>
        <v>2025_AU_NCC</v>
      </c>
      <c r="C76" s="50" t="s">
        <v>2438</v>
      </c>
      <c r="D76" s="50" t="s">
        <v>2463</v>
      </c>
      <c r="E76" t="s">
        <v>2053</v>
      </c>
      <c r="F76" s="62">
        <v>2025</v>
      </c>
      <c r="G76" s="62" t="s">
        <v>2522</v>
      </c>
      <c r="H76" t="s">
        <v>2523</v>
      </c>
      <c r="I76">
        <v>224</v>
      </c>
      <c r="J76">
        <v>224</v>
      </c>
      <c r="K76">
        <v>224</v>
      </c>
      <c r="L76" s="50" t="str">
        <f t="shared" si="38"/>
        <v>CS Laboratory - Other_2025AUNCC</v>
      </c>
      <c r="M76" s="50" t="str">
        <f t="shared" si="42"/>
        <v>CS Laboratory - Other_2025AUNCCScheduleSet</v>
      </c>
      <c r="N76" s="68">
        <v>40</v>
      </c>
      <c r="O76">
        <v>25</v>
      </c>
      <c r="P76" s="38">
        <v>0.26909787600000001</v>
      </c>
      <c r="Q76">
        <v>255.91</v>
      </c>
      <c r="R76" s="6">
        <v>75</v>
      </c>
      <c r="S76">
        <v>187.67</v>
      </c>
      <c r="T76" s="6">
        <v>55</v>
      </c>
      <c r="U76" s="6"/>
      <c r="V76" s="6"/>
      <c r="W76" s="6">
        <v>130</v>
      </c>
      <c r="X76" s="2">
        <v>0.57692307700000001</v>
      </c>
      <c r="Y76" t="s">
        <v>2524</v>
      </c>
      <c r="Z76" t="s">
        <v>2525</v>
      </c>
      <c r="AC76" s="50" t="str">
        <f t="shared" si="44"/>
        <v>NCC S35C2nOther applications (non-dining)PeopleDef</v>
      </c>
      <c r="AD76" t="s">
        <v>354</v>
      </c>
      <c r="AE76" s="50" t="str">
        <f t="shared" si="45"/>
        <v>CS Laboratory - OtherActivity</v>
      </c>
      <c r="AF76" s="62">
        <v>10</v>
      </c>
      <c r="AG76" s="62">
        <f t="shared" si="27"/>
        <v>4.7192071731949033E-3</v>
      </c>
      <c r="AH76" s="62">
        <v>0.18</v>
      </c>
      <c r="AI76" s="62">
        <f t="shared" si="37"/>
        <v>9.144E-4</v>
      </c>
      <c r="AJ76" s="62">
        <v>1</v>
      </c>
      <c r="AK76">
        <f t="shared" si="46"/>
        <v>4.7194700000000001E-4</v>
      </c>
      <c r="AL76" s="4" t="s">
        <v>2165</v>
      </c>
      <c r="AM76" t="s">
        <v>37</v>
      </c>
      <c r="AN76" t="s">
        <v>62</v>
      </c>
      <c r="AO76" s="4" t="s">
        <v>2165</v>
      </c>
      <c r="AP76" s="4" t="s">
        <v>2165</v>
      </c>
      <c r="AQ76" s="72" t="str">
        <f t="shared" si="34"/>
        <v>Washington State Mechanical Code TABLE 403.3.1.1Education - Science laboratoriesVent</v>
      </c>
      <c r="AR76" s="2">
        <v>1.393546</v>
      </c>
      <c r="AS76" s="2">
        <v>15</v>
      </c>
      <c r="AT76" s="2">
        <v>0.2</v>
      </c>
      <c r="AU76" s="2">
        <v>0.5</v>
      </c>
      <c r="AV76" s="2">
        <v>0.1</v>
      </c>
      <c r="AW76" t="s">
        <v>2528</v>
      </c>
      <c r="AX76" s="4"/>
      <c r="AY76" t="s">
        <v>2553</v>
      </c>
      <c r="AZ76" s="72" t="str">
        <f t="shared" si="33"/>
        <v>NCC S35C2lClass 8 laboratory; radiant/latent/lost fraction split retained from original WA/COMNET-REV9 source (AIRAH Technical Handbook does not publish this split)CS Laboratory - OtherElectricalEquipDef</v>
      </c>
      <c r="BA76" t="s">
        <v>337</v>
      </c>
      <c r="BB76" s="50">
        <v>0.55741799999999997</v>
      </c>
      <c r="BC76" s="2">
        <v>6</v>
      </c>
      <c r="BD76" s="2">
        <v>0.37</v>
      </c>
      <c r="BE76" s="2">
        <v>0.2</v>
      </c>
      <c r="BF76" t="s">
        <v>2569</v>
      </c>
      <c r="BG76" s="4"/>
      <c r="BH76" t="s">
        <v>2621</v>
      </c>
      <c r="BI76" s="72" t="str">
        <f t="shared" si="39"/>
        <v>NCC J7D3aLaboratory - artificially lit to an ambient level of 400 lx or more; radiant/visible fraction split retained from original WA/COMNET-REV9 source (AIRAH Technical Handbook does not publish this split)LightingDef</v>
      </c>
      <c r="BJ76" t="s">
        <v>366</v>
      </c>
      <c r="BK76" s="4"/>
      <c r="BL76" s="4"/>
      <c r="BM76" s="4"/>
      <c r="BN76" s="4"/>
      <c r="BO76" s="4"/>
      <c r="BP76" s="4"/>
      <c r="BQ76" s="4"/>
      <c r="BR76" s="4"/>
      <c r="BS76" s="4"/>
      <c r="BT76" s="73" t="s">
        <v>2165</v>
      </c>
      <c r="BU76" s="4" t="s">
        <v>2165</v>
      </c>
      <c r="BW76">
        <v>0.7</v>
      </c>
      <c r="BY76" t="s">
        <v>2660</v>
      </c>
      <c r="BZ76" t="s">
        <v>2661</v>
      </c>
      <c r="CB76" s="50" t="str">
        <f t="shared" si="40"/>
        <v>Space Function_Lab - research</v>
      </c>
      <c r="CC76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Function_Lab - researchInfil</v>
      </c>
      <c r="CD76" t="s">
        <v>266</v>
      </c>
      <c r="CE76" t="s">
        <v>250</v>
      </c>
      <c r="CF76" t="s">
        <v>2053</v>
      </c>
      <c r="CG76" s="4"/>
      <c r="CH76">
        <v>4.53</v>
      </c>
      <c r="CI76" s="4"/>
      <c r="CJ76" t="s">
        <v>2207</v>
      </c>
      <c r="CK76">
        <v>2.3E-3</v>
      </c>
      <c r="CL76">
        <v>34.200000000000003</v>
      </c>
      <c r="CM76">
        <v>6792</v>
      </c>
      <c r="CN76">
        <v>592</v>
      </c>
      <c r="CO76">
        <v>0.9</v>
      </c>
      <c r="CP76">
        <v>0.7</v>
      </c>
      <c r="CQ76">
        <v>0.7</v>
      </c>
      <c r="CR76" t="s">
        <v>2246</v>
      </c>
      <c r="CS76" t="s">
        <v>2206</v>
      </c>
      <c r="CT76" t="s">
        <v>2347</v>
      </c>
      <c r="CU76" s="4" t="s">
        <v>2165</v>
      </c>
      <c r="CV76" t="str">
        <f t="shared" si="29"/>
        <v>Steel_Research_Lab_2mm</v>
      </c>
      <c r="CW76" s="72" t="str">
        <f t="shared" si="31"/>
        <v>CalculatedEstimateResearchBenchesFumeHoodsAndStorageSteel_Research_Lab_2mmInternalMassDef</v>
      </c>
    </row>
    <row r="77" spans="1:101" x14ac:dyDescent="0.35">
      <c r="A77" t="s">
        <v>225</v>
      </c>
      <c r="B77" s="50" t="str">
        <f t="shared" si="41"/>
        <v>2025_AU_NCC</v>
      </c>
      <c r="C77" s="50" t="s">
        <v>2439</v>
      </c>
      <c r="D77" s="50" t="s">
        <v>2464</v>
      </c>
      <c r="E77" t="s">
        <v>2054</v>
      </c>
      <c r="F77" s="62">
        <v>2025</v>
      </c>
      <c r="G77" s="62" t="s">
        <v>2522</v>
      </c>
      <c r="H77" t="s">
        <v>2523</v>
      </c>
      <c r="I77">
        <v>120</v>
      </c>
      <c r="J77">
        <v>149</v>
      </c>
      <c r="K77">
        <v>230</v>
      </c>
      <c r="L77" s="50" t="str">
        <f t="shared" si="38"/>
        <v>CS Laundry/Washing Area_2025AUNCC</v>
      </c>
      <c r="M77" s="50" t="str">
        <f t="shared" si="42"/>
        <v>CS Laundry/Washing Area_2025AUNCCScheduleSet</v>
      </c>
      <c r="N77" s="68">
        <v>100</v>
      </c>
      <c r="O77">
        <v>10</v>
      </c>
      <c r="P77" s="38">
        <v>0.107639151</v>
      </c>
      <c r="Q77">
        <v>255.91</v>
      </c>
      <c r="R77" s="6">
        <v>75</v>
      </c>
      <c r="S77">
        <v>187.67</v>
      </c>
      <c r="T77" s="6">
        <v>55</v>
      </c>
      <c r="U77" s="6"/>
      <c r="V77" s="6"/>
      <c r="W77" s="6">
        <v>130</v>
      </c>
      <c r="X77" s="2">
        <v>0.57692307700000001</v>
      </c>
      <c r="Y77" t="s">
        <v>2524</v>
      </c>
      <c r="Z77" t="s">
        <v>2525</v>
      </c>
      <c r="AC77" s="50" t="str">
        <f t="shared" si="44"/>
        <v>NCC S35C2nOther applications (non-dining)PeopleDef</v>
      </c>
      <c r="AD77" t="s">
        <v>946</v>
      </c>
      <c r="AE77" s="50" t="str">
        <f t="shared" si="45"/>
        <v>CS Laundry/Washing AreaActivity</v>
      </c>
      <c r="AF77" s="62">
        <v>5</v>
      </c>
      <c r="AG77" s="62">
        <f t="shared" si="27"/>
        <v>2.3596035865974517E-3</v>
      </c>
      <c r="AH77" s="62">
        <v>0.12</v>
      </c>
      <c r="AI77" s="62">
        <f t="shared" si="37"/>
        <v>6.0959999999999996E-4</v>
      </c>
      <c r="AJ77" s="63" t="s">
        <v>2165</v>
      </c>
      <c r="AK77" s="4" t="s">
        <v>2165</v>
      </c>
      <c r="AL77" s="4" t="s">
        <v>2165</v>
      </c>
      <c r="AM77" t="s">
        <v>37</v>
      </c>
      <c r="AN77" t="s">
        <v>63</v>
      </c>
      <c r="AO77" s="4" t="s">
        <v>2165</v>
      </c>
      <c r="AP77" s="4" t="s">
        <v>2165</v>
      </c>
      <c r="AQ77" s="72" t="str">
        <f t="shared" si="34"/>
        <v>Washington State Mechanical Code TABLE 403.3.1.1Dry cleaners, laundries - Commercial laundryVent</v>
      </c>
      <c r="AR77" s="2">
        <v>0.51912260399999999</v>
      </c>
      <c r="AS77" s="2">
        <v>5.5878357049999998</v>
      </c>
      <c r="AT77" s="2">
        <v>0.2</v>
      </c>
      <c r="AU77" s="2">
        <v>0.2</v>
      </c>
      <c r="AV77" s="2">
        <v>0.4</v>
      </c>
      <c r="AW77" t="s">
        <v>104</v>
      </c>
      <c r="AX77" s="4"/>
      <c r="AY77" t="s">
        <v>361</v>
      </c>
      <c r="AZ77" s="72" t="str">
        <f t="shared" si="33"/>
        <v>COMNET-REV9EstimateCS Laundry/Washing AreaElectricalEquipDef</v>
      </c>
      <c r="BA77" t="s">
        <v>944</v>
      </c>
      <c r="BB77" s="50">
        <v>0.13935500000000001</v>
      </c>
      <c r="BC77" s="2">
        <v>1.5</v>
      </c>
      <c r="BD77" s="2">
        <v>0.37</v>
      </c>
      <c r="BE77" s="2">
        <v>0.2</v>
      </c>
      <c r="BF77" t="s">
        <v>2569</v>
      </c>
      <c r="BG77" s="4"/>
      <c r="BH77" t="s">
        <v>2622</v>
      </c>
      <c r="BI77" s="72" t="str">
        <f t="shared" si="39"/>
        <v>NCC J7D3aService area, cleaner's room and the like; radiant/visible fraction split retained from original WA/COMNET-REV9 source (AIRAH Technical Handbook does not publish this split)LightingDef</v>
      </c>
      <c r="BJ77" t="s">
        <v>917</v>
      </c>
      <c r="BK77" s="4"/>
      <c r="BL77" s="4"/>
      <c r="BM77" s="4"/>
      <c r="BN77" s="4"/>
      <c r="BO77" s="4"/>
      <c r="BP77" s="4"/>
      <c r="BQ77" s="4"/>
      <c r="BR77" s="4"/>
      <c r="BS77" s="4"/>
      <c r="BT77" s="73" t="s">
        <v>2165</v>
      </c>
      <c r="BU77" s="4" t="s">
        <v>2165</v>
      </c>
      <c r="BW77">
        <v>0.7</v>
      </c>
      <c r="BY77" t="s">
        <v>2660</v>
      </c>
      <c r="BZ77" t="s">
        <v>2661</v>
      </c>
      <c r="CB77" s="50" t="str">
        <f t="shared" si="40"/>
        <v>Space Function_Hospital - laundry/washing</v>
      </c>
      <c r="CC77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Function_Hospital - laundry/washingInfil</v>
      </c>
      <c r="CD77" t="s">
        <v>266</v>
      </c>
      <c r="CE77" t="s">
        <v>250</v>
      </c>
      <c r="CF77" t="s">
        <v>294</v>
      </c>
      <c r="CG77" s="4"/>
      <c r="CH77">
        <v>1.92</v>
      </c>
      <c r="CI77" s="4"/>
      <c r="CJ77" t="s">
        <v>2207</v>
      </c>
      <c r="CK77">
        <v>2.3E-3</v>
      </c>
      <c r="CL77">
        <v>27.1</v>
      </c>
      <c r="CM77">
        <v>6662</v>
      </c>
      <c r="CN77">
        <v>565</v>
      </c>
      <c r="CO77">
        <v>0.9</v>
      </c>
      <c r="CP77">
        <v>0.7</v>
      </c>
      <c r="CQ77">
        <v>0.7</v>
      </c>
      <c r="CR77" t="s">
        <v>2247</v>
      </c>
      <c r="CS77" t="s">
        <v>2206</v>
      </c>
      <c r="CT77" t="s">
        <v>2348</v>
      </c>
      <c r="CU77" s="4" t="s">
        <v>2165</v>
      </c>
      <c r="CV77" t="str">
        <f t="shared" si="29"/>
        <v>Steel_Laundry_Equipment_2mm</v>
      </c>
      <c r="CW77" s="72" t="str">
        <f t="shared" si="31"/>
        <v>CalculatedEstimateCommercialWashersAndDryersSteel_Laundry_Equipment_2mmInternalMassDef</v>
      </c>
    </row>
    <row r="78" spans="1:101" x14ac:dyDescent="0.35">
      <c r="A78" t="s">
        <v>226</v>
      </c>
      <c r="B78" s="50" t="str">
        <f t="shared" si="41"/>
        <v>2025_AU_NCC</v>
      </c>
      <c r="C78" s="50" t="s">
        <v>125</v>
      </c>
      <c r="D78" s="50" t="s">
        <v>2465</v>
      </c>
      <c r="E78" t="s">
        <v>319</v>
      </c>
      <c r="F78" s="62">
        <v>2025</v>
      </c>
      <c r="G78" s="62" t="s">
        <v>2522</v>
      </c>
      <c r="H78" t="s">
        <v>2523</v>
      </c>
      <c r="I78">
        <v>153</v>
      </c>
      <c r="J78">
        <v>153</v>
      </c>
      <c r="K78">
        <v>255</v>
      </c>
      <c r="L78" s="50" t="str">
        <f t="shared" si="38"/>
        <v>CS Loading Dock - Interior_2025AUNCC</v>
      </c>
      <c r="M78" s="50" t="str">
        <f t="shared" si="42"/>
        <v>CS Loading Dock - Interior_2025AUNCCScheduleSet</v>
      </c>
      <c r="N78" s="68">
        <v>500</v>
      </c>
      <c r="O78">
        <v>2</v>
      </c>
      <c r="P78" s="38">
        <v>2.1527830000000001E-2</v>
      </c>
      <c r="Q78">
        <v>255.91</v>
      </c>
      <c r="R78" s="6">
        <v>75</v>
      </c>
      <c r="S78">
        <v>187.67</v>
      </c>
      <c r="T78" s="6">
        <v>55</v>
      </c>
      <c r="U78" s="6"/>
      <c r="V78" s="6"/>
      <c r="W78" s="6">
        <v>130</v>
      </c>
      <c r="X78" s="2">
        <v>0.57692307700000001</v>
      </c>
      <c r="Y78" t="s">
        <v>2524</v>
      </c>
      <c r="Z78" t="s">
        <v>2525</v>
      </c>
      <c r="AB78" s="4"/>
      <c r="AC78" s="50" t="str">
        <f t="shared" si="44"/>
        <v>NCC S35C2nOther applications (non-dining)PeopleDef</v>
      </c>
      <c r="AD78" t="s">
        <v>354</v>
      </c>
      <c r="AE78" s="50" t="str">
        <f t="shared" si="45"/>
        <v>CS Loading Dock - InteriorActivity</v>
      </c>
      <c r="AF78" s="62">
        <v>10</v>
      </c>
      <c r="AG78" s="62">
        <f t="shared" si="27"/>
        <v>4.7192071731949033E-3</v>
      </c>
      <c r="AH78" s="62">
        <v>0.12</v>
      </c>
      <c r="AI78" s="62">
        <f t="shared" si="37"/>
        <v>6.0959999999999996E-4</v>
      </c>
      <c r="AJ78" s="63" t="s">
        <v>2165</v>
      </c>
      <c r="AK78" s="4" t="s">
        <v>2165</v>
      </c>
      <c r="AL78" s="4" t="s">
        <v>2165</v>
      </c>
      <c r="AM78" t="s">
        <v>37</v>
      </c>
      <c r="AN78" t="s">
        <v>64</v>
      </c>
      <c r="AO78" s="4" t="s">
        <v>2165</v>
      </c>
      <c r="AP78" s="4" t="s">
        <v>2165</v>
      </c>
      <c r="AQ78" s="72" t="str">
        <f t="shared" si="34"/>
        <v>Washington State Mechanical Code TABLE 403.3.1.1Retail stores, sales floors, and showroom floors - Shipping and receivingVent</v>
      </c>
      <c r="AR78" s="2">
        <v>0</v>
      </c>
      <c r="AS78" s="2">
        <v>0</v>
      </c>
      <c r="AT78" s="2">
        <v>0</v>
      </c>
      <c r="AU78" s="2">
        <v>0.5</v>
      </c>
      <c r="AV78" s="2">
        <v>0</v>
      </c>
      <c r="AW78" s="4" t="s">
        <v>2528</v>
      </c>
      <c r="AX78" s="4"/>
      <c r="AY78" t="s">
        <v>2543</v>
      </c>
      <c r="AZ78" s="72" t="str">
        <f t="shared" si="33"/>
        <v>NCC S35C2lClass 7b (Other applications) - no equipment load per S35C2l; radiant/latent/lost fraction split retained from original WA/COMNET-REV9 source (AIRAH Technical Handbook does not publish this split)CS Loading Dock - InteriorElectricalEquipDef</v>
      </c>
      <c r="BA78" s="8" t="s">
        <v>337</v>
      </c>
      <c r="BB78" s="50">
        <v>0.13935500000000001</v>
      </c>
      <c r="BC78" s="2">
        <v>1.5</v>
      </c>
      <c r="BD78" s="2">
        <v>0.37</v>
      </c>
      <c r="BE78" s="2">
        <v>0.2</v>
      </c>
      <c r="BF78" t="s">
        <v>2569</v>
      </c>
      <c r="BG78" s="4"/>
      <c r="BH78" t="s">
        <v>2596</v>
      </c>
      <c r="BI78" s="72" t="str">
        <f t="shared" si="39"/>
        <v>NCC J7D3aStorage; radiant/visible fraction split retained from original WA/COMNET-REV9 source (AIRAH Technical Handbook does not publish this split)LightingDef</v>
      </c>
      <c r="BJ78" t="s">
        <v>366</v>
      </c>
      <c r="BK78" s="4"/>
      <c r="BL78" s="4"/>
      <c r="BM78" s="4"/>
      <c r="BN78" s="4"/>
      <c r="BO78" s="4"/>
      <c r="BP78" s="4"/>
      <c r="BQ78" s="4"/>
      <c r="BR78" s="4"/>
      <c r="BS78" s="4"/>
      <c r="BT78" s="73" t="s">
        <v>2165</v>
      </c>
      <c r="BU78" s="4" t="s">
        <v>2165</v>
      </c>
      <c r="BW78">
        <v>0.7</v>
      </c>
      <c r="BY78" t="s">
        <v>2660</v>
      </c>
      <c r="BZ78" s="4" t="s">
        <v>2661</v>
      </c>
      <c r="CA78" s="4"/>
      <c r="CB78" s="50" t="str">
        <f t="shared" si="40"/>
        <v>Space Function_Warehouse - med/blk</v>
      </c>
      <c r="CC78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Function_Warehouse - med/blkInfil</v>
      </c>
      <c r="CD78" t="s">
        <v>266</v>
      </c>
      <c r="CE78" t="s">
        <v>250</v>
      </c>
      <c r="CF78" t="s">
        <v>319</v>
      </c>
      <c r="CG78" s="4"/>
      <c r="CH78">
        <v>1.07</v>
      </c>
      <c r="CI78" s="4"/>
      <c r="CJ78" t="s">
        <v>2205</v>
      </c>
      <c r="CK78">
        <v>3.5999999999999999E-3</v>
      </c>
      <c r="CL78">
        <v>75.599999999999994</v>
      </c>
      <c r="CM78">
        <v>6355</v>
      </c>
      <c r="CN78">
        <v>589</v>
      </c>
      <c r="CO78">
        <v>0.9</v>
      </c>
      <c r="CP78">
        <v>0.7</v>
      </c>
      <c r="CQ78">
        <v>0.7</v>
      </c>
      <c r="CR78" t="s">
        <v>2248</v>
      </c>
      <c r="CS78" t="s">
        <v>2206</v>
      </c>
      <c r="CT78" t="s">
        <v>2349</v>
      </c>
      <c r="CU78" s="4" t="s">
        <v>2165</v>
      </c>
      <c r="CV78" t="str">
        <f t="shared" si="29"/>
        <v>Steel_Warehouse_Equipment_4mm</v>
      </c>
      <c r="CW78" s="72" t="str">
        <f t="shared" si="31"/>
        <v>CalculatedEstimatePalletRackingAndDockEquipmentSteel_Warehouse_Equipment_4mmInternalMassDef</v>
      </c>
    </row>
    <row r="79" spans="1:101" x14ac:dyDescent="0.35">
      <c r="A79" t="s">
        <v>162</v>
      </c>
      <c r="B79" s="50" t="str">
        <f t="shared" si="41"/>
        <v>2025_AU_NCC</v>
      </c>
      <c r="C79" s="50" t="s">
        <v>2432</v>
      </c>
      <c r="D79" s="50" t="s">
        <v>2091</v>
      </c>
      <c r="E79" t="s">
        <v>2055</v>
      </c>
      <c r="F79" s="62">
        <v>2025</v>
      </c>
      <c r="G79" s="62" t="s">
        <v>2522</v>
      </c>
      <c r="H79" t="s">
        <v>2523</v>
      </c>
      <c r="I79">
        <v>230</v>
      </c>
      <c r="J79">
        <v>157</v>
      </c>
      <c r="K79">
        <v>120</v>
      </c>
      <c r="L79" s="50" t="str">
        <f t="shared" si="38"/>
        <v>CS Lobby - Assisted Living_2025AUNCC</v>
      </c>
      <c r="M79" s="50" t="str">
        <f t="shared" si="42"/>
        <v>CS Lobby - Assisted Living_2025AUNCCScheduleSet</v>
      </c>
      <c r="N79" s="68">
        <v>33.333333330000002</v>
      </c>
      <c r="O79">
        <v>30</v>
      </c>
      <c r="P79" s="38">
        <v>0.32291745199999999</v>
      </c>
      <c r="Q79">
        <v>255.91</v>
      </c>
      <c r="R79" s="6">
        <v>75</v>
      </c>
      <c r="S79">
        <v>187.67</v>
      </c>
      <c r="T79" s="6">
        <v>55</v>
      </c>
      <c r="U79" s="6"/>
      <c r="V79" s="6"/>
      <c r="W79" s="6">
        <v>130</v>
      </c>
      <c r="X79" s="2">
        <v>0.57692307700000001</v>
      </c>
      <c r="Y79" t="s">
        <v>2524</v>
      </c>
      <c r="Z79" t="s">
        <v>2525</v>
      </c>
      <c r="AB79" s="4"/>
      <c r="AC79" s="50" t="str">
        <f t="shared" si="44"/>
        <v>NCC S35C2nOther applications (non-dining)PeopleDef</v>
      </c>
      <c r="AD79" t="s">
        <v>358</v>
      </c>
      <c r="AE79" s="50" t="str">
        <f t="shared" si="45"/>
        <v>CS Lobby - Assisted LivingActivity</v>
      </c>
      <c r="AF79" s="62">
        <v>7.5</v>
      </c>
      <c r="AG79" s="62">
        <f t="shared" si="27"/>
        <v>3.5394053798961773E-3</v>
      </c>
      <c r="AH79" s="62">
        <v>0.06</v>
      </c>
      <c r="AI79" s="62">
        <f t="shared" si="37"/>
        <v>3.0479999999999998E-4</v>
      </c>
      <c r="AJ79" s="63" t="s">
        <v>2165</v>
      </c>
      <c r="AK79" s="4" t="s">
        <v>2165</v>
      </c>
      <c r="AL79" s="4" t="s">
        <v>2165</v>
      </c>
      <c r="AM79" t="s">
        <v>37</v>
      </c>
      <c r="AN79" t="s">
        <v>65</v>
      </c>
      <c r="AO79" s="4" t="s">
        <v>2165</v>
      </c>
      <c r="AP79" s="4" t="s">
        <v>2165</v>
      </c>
      <c r="AQ79" s="72" t="str">
        <f t="shared" si="34"/>
        <v>Washington State Mechanical Code TABLE 403.3.1.1Hotels, motels, resorts and dormitories - Lobbies/prefunctionVent</v>
      </c>
      <c r="AR79" s="2">
        <v>1.4046493040000001</v>
      </c>
      <c r="AS79" s="2">
        <v>15.1196451</v>
      </c>
      <c r="AT79" s="2">
        <v>0</v>
      </c>
      <c r="AU79" s="2">
        <v>0.5</v>
      </c>
      <c r="AV79" s="2">
        <v>0</v>
      </c>
      <c r="AW79" t="s">
        <v>104</v>
      </c>
      <c r="AX79" s="4"/>
      <c r="AY79" t="s">
        <v>334</v>
      </c>
      <c r="AZ79" s="72" t="str">
        <f t="shared" si="33"/>
        <v>COMNET-REV9DOEPrototypeCS Lobby - Assisted LivingElectricalEquipDef</v>
      </c>
      <c r="BA79" s="8" t="s">
        <v>341</v>
      </c>
      <c r="BB79" s="50">
        <v>0.83612699999999995</v>
      </c>
      <c r="BC79" s="2">
        <v>9</v>
      </c>
      <c r="BD79" s="2">
        <v>0.37</v>
      </c>
      <c r="BE79" s="2">
        <v>0.2</v>
      </c>
      <c r="BF79" t="s">
        <v>2569</v>
      </c>
      <c r="BG79" s="4"/>
      <c r="BH79" t="s">
        <v>2623</v>
      </c>
      <c r="BI79" s="72" t="str">
        <f t="shared" si="39"/>
        <v>NCC J7D3aEntry lobby from outside the building; radiant/visible fraction split retained from original WA/COMNET-REV9 source (AIRAH Technical Handbook does not publish this split)LightingDef</v>
      </c>
      <c r="BJ79" t="s">
        <v>370</v>
      </c>
      <c r="BK79" s="4"/>
      <c r="BL79" s="4"/>
      <c r="BM79" s="4"/>
      <c r="BN79" s="4"/>
      <c r="BO79" s="4"/>
      <c r="BP79" s="4"/>
      <c r="BQ79" s="4"/>
      <c r="BR79" s="4"/>
      <c r="BS79" s="4"/>
      <c r="BT79" s="73" t="s">
        <v>2165</v>
      </c>
      <c r="BU79" s="4" t="s">
        <v>2165</v>
      </c>
      <c r="BW79">
        <v>0.7</v>
      </c>
      <c r="BY79" t="s">
        <v>2660</v>
      </c>
      <c r="BZ79" t="s">
        <v>2661</v>
      </c>
      <c r="CB79" s="50" t="str">
        <f t="shared" si="40"/>
        <v>Space Function_Hotel/Motel - lobby</v>
      </c>
      <c r="CC79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Function_Hotel/Motel - lobbyInfil</v>
      </c>
      <c r="CD79" t="s">
        <v>266</v>
      </c>
      <c r="CE79" t="s">
        <v>250</v>
      </c>
      <c r="CF79" t="s">
        <v>2055</v>
      </c>
      <c r="CG79" s="4"/>
      <c r="CH79">
        <v>2.13</v>
      </c>
      <c r="CI79" s="4"/>
      <c r="CJ79" t="s">
        <v>2205</v>
      </c>
      <c r="CK79">
        <v>4.4999999999999997E-3</v>
      </c>
      <c r="CL79">
        <v>4.1900000000000004</v>
      </c>
      <c r="CM79">
        <v>1362</v>
      </c>
      <c r="CN79">
        <v>1313</v>
      </c>
      <c r="CO79">
        <v>0.9</v>
      </c>
      <c r="CP79">
        <v>0.7</v>
      </c>
      <c r="CQ79">
        <v>0.65</v>
      </c>
      <c r="CR79" t="s">
        <v>2249</v>
      </c>
      <c r="CS79" t="s">
        <v>2206</v>
      </c>
      <c r="CT79" t="s">
        <v>2350</v>
      </c>
      <c r="CU79" s="4" t="s">
        <v>2165</v>
      </c>
      <c r="CV79" t="str">
        <f t="shared" si="29"/>
        <v>Wood_Residential_Lobby_5mm</v>
      </c>
      <c r="CW79" s="72" t="str">
        <f t="shared" si="31"/>
        <v>CalculatedEstimateResidentialLoungeFurnitureWithPianoWood_Residential_Lobby_5mmInternalMassDef</v>
      </c>
    </row>
    <row r="80" spans="1:101" x14ac:dyDescent="0.35">
      <c r="A80" t="s">
        <v>163</v>
      </c>
      <c r="B80" s="50" t="str">
        <f t="shared" si="41"/>
        <v>2025_AU_NCC</v>
      </c>
      <c r="C80" s="50" t="s">
        <v>2426</v>
      </c>
      <c r="D80" s="50" t="s">
        <v>2466</v>
      </c>
      <c r="E80" t="s">
        <v>295</v>
      </c>
      <c r="F80" s="62">
        <v>2025</v>
      </c>
      <c r="G80" s="62" t="s">
        <v>2522</v>
      </c>
      <c r="H80" t="s">
        <v>2523</v>
      </c>
      <c r="I80">
        <v>230</v>
      </c>
      <c r="J80">
        <v>157</v>
      </c>
      <c r="K80">
        <v>120</v>
      </c>
      <c r="L80" s="50" t="str">
        <f t="shared" si="38"/>
        <v>CS Lobby - Elevator  _2025AUNCC</v>
      </c>
      <c r="M80" s="50" t="str">
        <f t="shared" si="42"/>
        <v>CS Lobby - Elevator  _2025AUNCCScheduleSet</v>
      </c>
      <c r="N80" s="69"/>
      <c r="O80" s="46"/>
      <c r="P80" s="46"/>
      <c r="Q80" s="46">
        <v>255.91</v>
      </c>
      <c r="R80" s="46">
        <v>75</v>
      </c>
      <c r="S80" s="46">
        <v>187.67</v>
      </c>
      <c r="T80" s="46">
        <v>55</v>
      </c>
      <c r="U80" s="46"/>
      <c r="V80" s="46"/>
      <c r="W80" s="46">
        <v>130</v>
      </c>
      <c r="X80" s="48">
        <v>0.57692307700000001</v>
      </c>
      <c r="Y80" s="46" t="s">
        <v>2524</v>
      </c>
      <c r="Z80" s="46" t="s">
        <v>2525</v>
      </c>
      <c r="AA80" s="46"/>
      <c r="AB80" s="46"/>
      <c r="AC80" s="54" t="s">
        <v>2165</v>
      </c>
      <c r="AD80" s="46" t="s">
        <v>2165</v>
      </c>
      <c r="AE80" s="54" t="s">
        <v>2165</v>
      </c>
      <c r="AF80" s="63" t="s">
        <v>2165</v>
      </c>
      <c r="AG80" s="63" t="s">
        <v>2165</v>
      </c>
      <c r="AH80" s="62">
        <v>0.06</v>
      </c>
      <c r="AI80" s="62">
        <f t="shared" si="37"/>
        <v>3.0479999999999998E-4</v>
      </c>
      <c r="AJ80" s="63" t="s">
        <v>2165</v>
      </c>
      <c r="AK80" s="4" t="s">
        <v>2165</v>
      </c>
      <c r="AL80" s="4" t="s">
        <v>2165</v>
      </c>
      <c r="AM80" t="s">
        <v>37</v>
      </c>
      <c r="AN80" t="s">
        <v>66</v>
      </c>
      <c r="AO80" s="4" t="s">
        <v>2165</v>
      </c>
      <c r="AP80" s="4" t="s">
        <v>2165</v>
      </c>
      <c r="AQ80" s="72" t="str">
        <f t="shared" si="34"/>
        <v>Washington State Mechanical Code TABLE 403.3.1.1Public spaces - Corridors serving other than Group R occupanciesVent</v>
      </c>
      <c r="AR80" s="2">
        <v>0</v>
      </c>
      <c r="AS80" s="2">
        <v>0</v>
      </c>
      <c r="AT80" s="2">
        <v>0</v>
      </c>
      <c r="AU80" s="2">
        <v>0.5</v>
      </c>
      <c r="AV80" s="2">
        <v>0</v>
      </c>
      <c r="AW80" t="s">
        <v>2528</v>
      </c>
      <c r="AX80" t="s">
        <v>32</v>
      </c>
      <c r="AY80" t="s">
        <v>2544</v>
      </c>
      <c r="AZ80" s="72" t="str">
        <f t="shared" si="33"/>
        <v>NCC S35C2lBA WarehouseShared with host building class (Other applications) - no equipment load per S35C2l; radiant/latent/lost fraction split retained from original WA/COMNET-REV9 source (AIRAH Technical Handbook does not publish this split)CS Lobby - Elevator  ElectricalEquipDef</v>
      </c>
      <c r="BA80" s="7" t="s">
        <v>336</v>
      </c>
      <c r="BB80" s="50">
        <v>0.51096699999999995</v>
      </c>
      <c r="BC80" s="2">
        <v>5.5</v>
      </c>
      <c r="BD80" s="2">
        <v>0.37</v>
      </c>
      <c r="BE80" s="2">
        <v>0.2</v>
      </c>
      <c r="BF80" t="s">
        <v>2569</v>
      </c>
      <c r="BG80" s="4"/>
      <c r="BH80" t="s">
        <v>2624</v>
      </c>
      <c r="BI80" s="72" t="str">
        <f t="shared" si="39"/>
        <v>NCC J7D3aLift cars; radiant/visible fraction split retained from original WA/COMNET-REV9 source (AIRAH Technical Handbook does not publish this split)LightingDef</v>
      </c>
      <c r="BJ80" t="s">
        <v>365</v>
      </c>
      <c r="BK80" s="4"/>
      <c r="BL80" s="4"/>
      <c r="BM80" s="4"/>
      <c r="BN80" s="4"/>
      <c r="BO80" s="4"/>
      <c r="BP80" s="4"/>
      <c r="BQ80" s="4"/>
      <c r="BR80" s="4"/>
      <c r="BS80" s="4"/>
      <c r="BT80" s="73" t="s">
        <v>2165</v>
      </c>
      <c r="BU80" s="4" t="s">
        <v>2165</v>
      </c>
      <c r="BW80">
        <v>0.7</v>
      </c>
      <c r="BY80" t="s">
        <v>2660</v>
      </c>
      <c r="BZ80" t="s">
        <v>2661</v>
      </c>
      <c r="CB80" s="50" t="str">
        <f t="shared" si="40"/>
        <v>Space Function_Lobby - elevator</v>
      </c>
      <c r="CC80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Function_Lobby - elevatorInfil</v>
      </c>
      <c r="CD80" t="s">
        <v>266</v>
      </c>
      <c r="CE80" t="s">
        <v>250</v>
      </c>
      <c r="CF80" t="s">
        <v>295</v>
      </c>
      <c r="CG80" s="4"/>
      <c r="CH80">
        <v>0.55000000000000004</v>
      </c>
      <c r="CI80" s="4"/>
      <c r="CJ80" t="s">
        <v>2207</v>
      </c>
      <c r="CK80">
        <v>2.2000000000000001E-3</v>
      </c>
      <c r="CL80">
        <v>65.599999999999994</v>
      </c>
      <c r="CM80">
        <v>3739</v>
      </c>
      <c r="CN80">
        <v>961</v>
      </c>
      <c r="CO80">
        <v>0.9</v>
      </c>
      <c r="CP80">
        <v>0.7</v>
      </c>
      <c r="CQ80">
        <v>0.7</v>
      </c>
      <c r="CR80" t="s">
        <v>2250</v>
      </c>
      <c r="CS80" t="s">
        <v>2206</v>
      </c>
      <c r="CT80" t="s">
        <v>2351</v>
      </c>
      <c r="CU80" s="4" t="s">
        <v>2165</v>
      </c>
      <c r="CV80" t="str">
        <f t="shared" si="29"/>
        <v>Metal_Elevator_Lobby_2mm</v>
      </c>
      <c r="CW80" s="72" t="str">
        <f t="shared" si="31"/>
        <v>CalculatedEstimateMinimalBenchAndDirectoryBoardMetal_Elevator_Lobby_2mmInternalMassDef</v>
      </c>
    </row>
    <row r="81" spans="1:101" x14ac:dyDescent="0.35">
      <c r="A81" t="s">
        <v>164</v>
      </c>
      <c r="B81" s="50" t="str">
        <f t="shared" si="41"/>
        <v>2025_AU_NCC</v>
      </c>
      <c r="C81" s="50" t="s">
        <v>2432</v>
      </c>
      <c r="D81" s="50" t="s">
        <v>2091</v>
      </c>
      <c r="E81" t="s">
        <v>2056</v>
      </c>
      <c r="F81" s="62">
        <v>2025</v>
      </c>
      <c r="G81" s="62" t="s">
        <v>2522</v>
      </c>
      <c r="H81" t="s">
        <v>2523</v>
      </c>
      <c r="I81">
        <v>230</v>
      </c>
      <c r="J81">
        <v>157</v>
      </c>
      <c r="K81">
        <v>120</v>
      </c>
      <c r="L81" s="50" t="str">
        <f t="shared" si="38"/>
        <v>CS Lobby - Hotel_2025AUNCC</v>
      </c>
      <c r="M81" s="50" t="str">
        <f t="shared" si="42"/>
        <v>CS Lobby - Hotel_2025AUNCCScheduleSet</v>
      </c>
      <c r="N81" s="68">
        <v>33.333333330000002</v>
      </c>
      <c r="O81">
        <v>30</v>
      </c>
      <c r="P81" s="38">
        <v>0.32291745199999999</v>
      </c>
      <c r="Q81">
        <v>255.91</v>
      </c>
      <c r="R81" s="6">
        <v>75</v>
      </c>
      <c r="S81">
        <v>187.67</v>
      </c>
      <c r="T81" s="6">
        <v>55</v>
      </c>
      <c r="U81" s="6"/>
      <c r="V81" s="6"/>
      <c r="W81" s="6">
        <v>130</v>
      </c>
      <c r="X81" s="2">
        <v>0.57692307700000001</v>
      </c>
      <c r="Y81" t="s">
        <v>2524</v>
      </c>
      <c r="Z81" t="s">
        <v>2525</v>
      </c>
      <c r="AB81" s="4"/>
      <c r="AC81" s="50" t="str">
        <f>CONCATENATE(Y81,Z81,AA81,AB81,"PeopleDef")</f>
        <v>NCC S35C2nOther applications (non-dining)PeopleDef</v>
      </c>
      <c r="AD81" t="s">
        <v>778</v>
      </c>
      <c r="AE81" s="50" t="str">
        <f>CONCATENATE(A81,"Activity")</f>
        <v>CS Lobby - HotelActivity</v>
      </c>
      <c r="AF81" s="62">
        <v>7.5</v>
      </c>
      <c r="AG81" s="62">
        <f t="shared" si="27"/>
        <v>3.5394053798961773E-3</v>
      </c>
      <c r="AH81" s="62">
        <v>0.06</v>
      </c>
      <c r="AI81" s="62">
        <f t="shared" si="37"/>
        <v>3.0479999999999998E-4</v>
      </c>
      <c r="AJ81" s="63" t="s">
        <v>2165</v>
      </c>
      <c r="AK81" s="4" t="s">
        <v>2165</v>
      </c>
      <c r="AL81" s="4" t="s">
        <v>2165</v>
      </c>
      <c r="AM81" t="s">
        <v>37</v>
      </c>
      <c r="AN81" t="s">
        <v>65</v>
      </c>
      <c r="AO81" s="4" t="s">
        <v>2165</v>
      </c>
      <c r="AP81" s="4" t="s">
        <v>2165</v>
      </c>
      <c r="AQ81" s="72" t="str">
        <f t="shared" si="34"/>
        <v>Washington State Mechanical Code TABLE 403.3.1.1Hotels, motels, resorts and dormitories - Lobbies/prefunctionVent</v>
      </c>
      <c r="AR81" s="2">
        <v>1.5641288209999999</v>
      </c>
      <c r="AS81" s="2">
        <v>16.836282629999999</v>
      </c>
      <c r="AT81" s="2">
        <v>0</v>
      </c>
      <c r="AU81" s="2">
        <v>0.5</v>
      </c>
      <c r="AV81" s="2">
        <v>0</v>
      </c>
      <c r="AW81" t="s">
        <v>104</v>
      </c>
      <c r="AX81" s="4"/>
      <c r="AY81" t="s">
        <v>334</v>
      </c>
      <c r="AZ81" s="72" t="str">
        <f t="shared" si="33"/>
        <v>COMNET-REV9DOEPrototypeCS Lobby - HotelElectricalEquipDef</v>
      </c>
      <c r="BA81" s="8" t="s">
        <v>328</v>
      </c>
      <c r="BB81" s="50">
        <v>0.83612699999999995</v>
      </c>
      <c r="BC81" s="2">
        <v>9</v>
      </c>
      <c r="BD81" s="2">
        <v>0.37</v>
      </c>
      <c r="BE81" s="2">
        <v>0.2</v>
      </c>
      <c r="BF81" t="s">
        <v>2569</v>
      </c>
      <c r="BG81" s="4"/>
      <c r="BH81" t="s">
        <v>2623</v>
      </c>
      <c r="BI81" s="72" t="str">
        <f t="shared" si="39"/>
        <v>NCC J7D3aEntry lobby from outside the building; radiant/visible fraction split retained from original WA/COMNET-REV9 source (AIRAH Technical Handbook does not publish this split)LightingDef</v>
      </c>
      <c r="BJ81" t="s">
        <v>775</v>
      </c>
      <c r="BK81" s="4"/>
      <c r="BL81" s="4"/>
      <c r="BM81" s="4"/>
      <c r="BN81" s="4"/>
      <c r="BO81" s="4"/>
      <c r="BP81" s="4"/>
      <c r="BQ81" s="4"/>
      <c r="BR81" s="4"/>
      <c r="BS81" s="4"/>
      <c r="BT81" s="73" t="s">
        <v>2165</v>
      </c>
      <c r="BU81" s="4" t="s">
        <v>2165</v>
      </c>
      <c r="BW81">
        <v>0.7</v>
      </c>
      <c r="BY81" t="s">
        <v>2660</v>
      </c>
      <c r="BZ81" t="s">
        <v>2661</v>
      </c>
      <c r="CB81" s="50" t="str">
        <f t="shared" si="40"/>
        <v>LargeHotel_Lobby</v>
      </c>
      <c r="CC81" s="72" t="str">
        <f t="shared" si="28"/>
        <v>NCC S34C2(6)0.7 ACH assumed as design infiltration for periods without mechanical outdoor air supply; NCC also specifies 0.35 ACH when mechanical OA is operating (to be applied via infiltration schedule once developed)LargeHotel_LobbyInfil</v>
      </c>
      <c r="CD81" t="s">
        <v>266</v>
      </c>
      <c r="CE81" t="s">
        <v>322</v>
      </c>
      <c r="CF81" t="s">
        <v>2091</v>
      </c>
      <c r="CG81" s="4"/>
      <c r="CH81">
        <v>1.88</v>
      </c>
      <c r="CI81" s="4"/>
      <c r="CJ81" t="s">
        <v>2205</v>
      </c>
      <c r="CK81">
        <v>4.4999999999999997E-3</v>
      </c>
      <c r="CL81">
        <v>4.21</v>
      </c>
      <c r="CM81">
        <v>1601</v>
      </c>
      <c r="CN81">
        <v>1121</v>
      </c>
      <c r="CO81">
        <v>0.9</v>
      </c>
      <c r="CP81">
        <v>0.7</v>
      </c>
      <c r="CQ81">
        <v>0.65</v>
      </c>
      <c r="CR81" t="s">
        <v>2251</v>
      </c>
      <c r="CS81" t="s">
        <v>2206</v>
      </c>
      <c r="CT81" t="s">
        <v>2352</v>
      </c>
      <c r="CU81" s="4" t="s">
        <v>2165</v>
      </c>
      <c r="CV81" t="str">
        <f t="shared" si="29"/>
        <v>Mixed_Hotel_Lobby_5mm</v>
      </c>
      <c r="CW81" s="72" t="str">
        <f t="shared" si="31"/>
        <v>CalculatedEstimateFrontDeskSofasAndAreaRugsMixed_Hotel_Lobby_5mmInternalMassDef</v>
      </c>
    </row>
    <row r="82" spans="1:101" x14ac:dyDescent="0.35">
      <c r="A82" t="s">
        <v>165</v>
      </c>
      <c r="B82" s="50" t="str">
        <f t="shared" si="41"/>
        <v>2025_AU_NCC</v>
      </c>
      <c r="C82" s="50" t="s">
        <v>2424</v>
      </c>
      <c r="D82" s="50" t="s">
        <v>2091</v>
      </c>
      <c r="E82" t="s">
        <v>296</v>
      </c>
      <c r="F82" s="62">
        <v>2025</v>
      </c>
      <c r="G82" s="62" t="s">
        <v>2522</v>
      </c>
      <c r="H82" t="s">
        <v>2523</v>
      </c>
      <c r="I82">
        <v>230</v>
      </c>
      <c r="J82">
        <v>157</v>
      </c>
      <c r="K82">
        <v>120</v>
      </c>
      <c r="L82" s="50" t="str">
        <f t="shared" si="38"/>
        <v>CS Lobby - Motion Picture Theater  _2025AUNCC</v>
      </c>
      <c r="M82" s="50" t="str">
        <f t="shared" si="42"/>
        <v>CS Lobby - Motion Picture Theater  _2025AUNCCScheduleSet</v>
      </c>
      <c r="N82" s="68">
        <v>6.6666666670000003</v>
      </c>
      <c r="O82">
        <v>150</v>
      </c>
      <c r="P82" s="38">
        <v>1.614587258</v>
      </c>
      <c r="Q82">
        <v>255.91</v>
      </c>
      <c r="R82" s="6">
        <v>75</v>
      </c>
      <c r="S82">
        <v>187.67</v>
      </c>
      <c r="T82" s="6">
        <v>55</v>
      </c>
      <c r="U82" s="6"/>
      <c r="V82" s="6"/>
      <c r="W82" s="6">
        <v>130</v>
      </c>
      <c r="X82" s="2">
        <v>0.57692307700000001</v>
      </c>
      <c r="Y82" t="s">
        <v>2524</v>
      </c>
      <c r="Z82" t="s">
        <v>2525</v>
      </c>
      <c r="AB82" s="4"/>
      <c r="AC82" s="50" t="str">
        <f>CONCATENATE(Y82,Z82,AA82,AB82,"PeopleDef")</f>
        <v>NCC S35C2nOther applications (non-dining)PeopleDef</v>
      </c>
      <c r="AD82" t="s">
        <v>353</v>
      </c>
      <c r="AE82" s="50" t="str">
        <f>CONCATENATE(A82,"Activity")</f>
        <v>CS Lobby - Motion Picture Theater  Activity</v>
      </c>
      <c r="AF82" s="62">
        <v>5</v>
      </c>
      <c r="AG82" s="62">
        <f t="shared" si="27"/>
        <v>2.3596035865974517E-3</v>
      </c>
      <c r="AH82" s="62">
        <v>0.06</v>
      </c>
      <c r="AI82" s="62">
        <f t="shared" si="37"/>
        <v>3.0479999999999998E-4</v>
      </c>
      <c r="AJ82" s="63" t="s">
        <v>2165</v>
      </c>
      <c r="AK82" s="4" t="s">
        <v>2165</v>
      </c>
      <c r="AL82" s="4" t="s">
        <v>2165</v>
      </c>
      <c r="AM82" t="s">
        <v>37</v>
      </c>
      <c r="AN82" t="s">
        <v>67</v>
      </c>
      <c r="AO82" s="4" t="s">
        <v>2165</v>
      </c>
      <c r="AP82" s="4" t="s">
        <v>2165</v>
      </c>
      <c r="AQ82" s="72" t="str">
        <f t="shared" si="34"/>
        <v>Washington State Mechanical Code TABLE 403.3.1.1Theaters - LobbiesVent</v>
      </c>
      <c r="AR82" s="2">
        <v>0</v>
      </c>
      <c r="AS82" s="2">
        <v>0</v>
      </c>
      <c r="AT82" s="2">
        <v>0</v>
      </c>
      <c r="AU82" s="2">
        <v>0.5</v>
      </c>
      <c r="AV82" s="2">
        <v>0</v>
      </c>
      <c r="AW82" t="s">
        <v>2528</v>
      </c>
      <c r="AX82" s="4"/>
      <c r="AY82" t="s">
        <v>2533</v>
      </c>
      <c r="AZ82" s="72" t="str">
        <f t="shared" si="33"/>
        <v>NCC S35C2lClass 9b (Other applications) - no equipment load per S35C2l; radiant/latent/lost fraction split retained from original WA/COMNET-REV9 source (AIRAH Technical Handbook does not publish this split)CS Lobby - Motion Picture Theater  ElectricalEquipDef</v>
      </c>
      <c r="BA82" s="8" t="s">
        <v>336</v>
      </c>
      <c r="BB82" s="50">
        <v>0.83612699999999995</v>
      </c>
      <c r="BC82" s="2">
        <v>9</v>
      </c>
      <c r="BD82" s="2">
        <v>0.37</v>
      </c>
      <c r="BE82" s="2">
        <v>0.2</v>
      </c>
      <c r="BF82" t="s">
        <v>2569</v>
      </c>
      <c r="BG82" s="4"/>
      <c r="BH82" t="s">
        <v>2623</v>
      </c>
      <c r="BI82" s="72" t="str">
        <f t="shared" si="39"/>
        <v>NCC J7D3aEntry lobby from outside the building; radiant/visible fraction split retained from original WA/COMNET-REV9 source (AIRAH Technical Handbook does not publish this split)LightingDef</v>
      </c>
      <c r="BJ82" t="s">
        <v>365</v>
      </c>
      <c r="BK82" s="4"/>
      <c r="BL82" s="4"/>
      <c r="BM82" s="4"/>
      <c r="BN82" s="4"/>
      <c r="BO82" s="4"/>
      <c r="BP82" s="4"/>
      <c r="BQ82" s="4"/>
      <c r="BR82" s="4"/>
      <c r="BS82" s="4"/>
      <c r="BT82" s="73" t="s">
        <v>2165</v>
      </c>
      <c r="BU82" s="4" t="s">
        <v>2165</v>
      </c>
      <c r="BW82">
        <v>0.7</v>
      </c>
      <c r="BY82" t="s">
        <v>2660</v>
      </c>
      <c r="BZ82" t="s">
        <v>2661</v>
      </c>
      <c r="CB82" s="50" t="str">
        <f t="shared" si="40"/>
        <v>Space Function_Lobby - motion picture</v>
      </c>
      <c r="CC82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Function_Lobby - motion pictureInfil</v>
      </c>
      <c r="CD82" t="s">
        <v>266</v>
      </c>
      <c r="CE82" t="s">
        <v>250</v>
      </c>
      <c r="CF82" t="s">
        <v>296</v>
      </c>
      <c r="CG82" s="4"/>
      <c r="CH82">
        <v>1.32</v>
      </c>
      <c r="CI82" s="4"/>
      <c r="CJ82" t="s">
        <v>2207</v>
      </c>
      <c r="CK82">
        <v>1.1000000000000001E-3</v>
      </c>
      <c r="CL82">
        <v>42.4</v>
      </c>
      <c r="CM82">
        <v>5971</v>
      </c>
      <c r="CN82">
        <v>655</v>
      </c>
      <c r="CO82">
        <v>0.9</v>
      </c>
      <c r="CP82">
        <v>0.7</v>
      </c>
      <c r="CQ82">
        <v>0.7</v>
      </c>
      <c r="CR82" t="s">
        <v>2252</v>
      </c>
      <c r="CS82" t="s">
        <v>2206</v>
      </c>
      <c r="CT82" t="s">
        <v>2353</v>
      </c>
      <c r="CU82" s="4" t="s">
        <v>2165</v>
      </c>
      <c r="CV82" t="str">
        <f t="shared" si="29"/>
        <v>Steel_Theater_Equipment_1mm</v>
      </c>
      <c r="CW82" s="72" t="str">
        <f t="shared" si="31"/>
        <v>CalculatedEstimateConcessionStandAndTicketKiosksSteel_Theater_Equipment_1mmInternalMassDef</v>
      </c>
    </row>
    <row r="83" spans="1:101" x14ac:dyDescent="0.35">
      <c r="A83" t="s">
        <v>166</v>
      </c>
      <c r="B83" s="50" t="str">
        <f t="shared" si="41"/>
        <v>2025_AU_NCC</v>
      </c>
      <c r="C83" s="50" t="s">
        <v>2424</v>
      </c>
      <c r="D83" s="50" t="s">
        <v>2091</v>
      </c>
      <c r="E83" t="s">
        <v>297</v>
      </c>
      <c r="F83" s="62">
        <v>2025</v>
      </c>
      <c r="G83" s="62" t="s">
        <v>2522</v>
      </c>
      <c r="H83" t="s">
        <v>2523</v>
      </c>
      <c r="I83">
        <v>230</v>
      </c>
      <c r="J83">
        <v>157</v>
      </c>
      <c r="K83">
        <v>120</v>
      </c>
      <c r="L83" s="50" t="str">
        <f t="shared" si="38"/>
        <v>CS Lobby - Performing Arts Theater  _2025AUNCC</v>
      </c>
      <c r="M83" s="50" t="str">
        <f t="shared" si="42"/>
        <v>CS Lobby - Performing Arts Theater  _2025AUNCCScheduleSet</v>
      </c>
      <c r="N83" s="68">
        <v>6.6666666670000003</v>
      </c>
      <c r="O83">
        <v>150</v>
      </c>
      <c r="P83" s="38">
        <v>1.614587258</v>
      </c>
      <c r="Q83">
        <v>255.91</v>
      </c>
      <c r="R83" s="6">
        <v>75</v>
      </c>
      <c r="S83">
        <v>187.67</v>
      </c>
      <c r="T83" s="6">
        <v>55</v>
      </c>
      <c r="U83" s="6"/>
      <c r="V83" s="6"/>
      <c r="W83" s="6">
        <v>130</v>
      </c>
      <c r="X83" s="2">
        <v>0.57692307700000001</v>
      </c>
      <c r="Y83" t="s">
        <v>2524</v>
      </c>
      <c r="Z83" t="s">
        <v>2525</v>
      </c>
      <c r="AB83" s="4"/>
      <c r="AC83" s="50" t="str">
        <f>CONCATENATE(Y83,Z83,AA83,AB83,"PeopleDef")</f>
        <v>NCC S35C2nOther applications (non-dining)PeopleDef</v>
      </c>
      <c r="AD83" t="s">
        <v>353</v>
      </c>
      <c r="AE83" s="50" t="str">
        <f>CONCATENATE(A83,"Activity")</f>
        <v>CS Lobby - Performing Arts Theater  Activity</v>
      </c>
      <c r="AF83" s="62">
        <v>5</v>
      </c>
      <c r="AG83" s="62">
        <f t="shared" si="27"/>
        <v>2.3596035865974517E-3</v>
      </c>
      <c r="AH83" s="62">
        <v>0.06</v>
      </c>
      <c r="AI83" s="62">
        <f t="shared" si="37"/>
        <v>3.0479999999999998E-4</v>
      </c>
      <c r="AJ83" s="63" t="s">
        <v>2165</v>
      </c>
      <c r="AK83" s="4" t="s">
        <v>2165</v>
      </c>
      <c r="AL83" s="4" t="s">
        <v>2165</v>
      </c>
      <c r="AM83" t="s">
        <v>37</v>
      </c>
      <c r="AN83" t="s">
        <v>67</v>
      </c>
      <c r="AO83" s="4" t="s">
        <v>2165</v>
      </c>
      <c r="AP83" s="4" t="s">
        <v>2165</v>
      </c>
      <c r="AQ83" s="72" t="str">
        <f t="shared" si="34"/>
        <v>Washington State Mechanical Code TABLE 403.3.1.1Theaters - LobbiesVent</v>
      </c>
      <c r="AR83" s="2">
        <v>0</v>
      </c>
      <c r="AS83" s="2">
        <v>0</v>
      </c>
      <c r="AT83" s="2">
        <v>0</v>
      </c>
      <c r="AU83" s="2">
        <v>0.5</v>
      </c>
      <c r="AV83" s="2">
        <v>0</v>
      </c>
      <c r="AW83" t="s">
        <v>2528</v>
      </c>
      <c r="AX83" s="4"/>
      <c r="AY83" t="s">
        <v>2533</v>
      </c>
      <c r="AZ83" s="72" t="str">
        <f t="shared" si="33"/>
        <v>NCC S35C2lClass 9b (Other applications) - no equipment load per S35C2l; radiant/latent/lost fraction split retained from original WA/COMNET-REV9 source (AIRAH Technical Handbook does not publish this split)CS Lobby - Performing Arts Theater  ElectricalEquipDef</v>
      </c>
      <c r="BA83" s="8" t="s">
        <v>336</v>
      </c>
      <c r="BB83" s="50">
        <v>0.83612699999999995</v>
      </c>
      <c r="BC83" s="2">
        <v>9</v>
      </c>
      <c r="BD83" s="2">
        <v>0.37</v>
      </c>
      <c r="BE83" s="2">
        <v>0.2</v>
      </c>
      <c r="BF83" t="s">
        <v>2569</v>
      </c>
      <c r="BG83" s="4"/>
      <c r="BH83" t="s">
        <v>2623</v>
      </c>
      <c r="BI83" s="72" t="str">
        <f t="shared" si="39"/>
        <v>NCC J7D3aEntry lobby from outside the building; radiant/visible fraction split retained from original WA/COMNET-REV9 source (AIRAH Technical Handbook does not publish this split)LightingDef</v>
      </c>
      <c r="BJ83" t="s">
        <v>365</v>
      </c>
      <c r="BK83" s="4"/>
      <c r="BL83" s="4"/>
      <c r="BM83" s="4"/>
      <c r="BN83" s="4"/>
      <c r="BO83" s="4"/>
      <c r="BP83" s="4"/>
      <c r="BQ83" s="4"/>
      <c r="BR83" s="4"/>
      <c r="BS83" s="4"/>
      <c r="BT83" s="73" t="s">
        <v>2165</v>
      </c>
      <c r="BU83" s="4" t="s">
        <v>2165</v>
      </c>
      <c r="BW83">
        <v>0.7</v>
      </c>
      <c r="BY83" t="s">
        <v>2660</v>
      </c>
      <c r="BZ83" t="s">
        <v>2661</v>
      </c>
      <c r="CB83" s="50" t="str">
        <f t="shared" si="40"/>
        <v>Space Function_Lobby - performance arts</v>
      </c>
      <c r="CC83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Function_Lobby - performance artsInfil</v>
      </c>
      <c r="CD83" t="s">
        <v>266</v>
      </c>
      <c r="CE83" t="s">
        <v>250</v>
      </c>
      <c r="CF83" t="s">
        <v>297</v>
      </c>
      <c r="CG83" s="4"/>
      <c r="CH83">
        <v>3.01</v>
      </c>
      <c r="CI83" s="4"/>
      <c r="CJ83" t="s">
        <v>2205</v>
      </c>
      <c r="CK83">
        <v>4.3E-3</v>
      </c>
      <c r="CL83">
        <v>3.32</v>
      </c>
      <c r="CM83">
        <v>1416</v>
      </c>
      <c r="CN83">
        <v>1196</v>
      </c>
      <c r="CO83">
        <v>0.9</v>
      </c>
      <c r="CP83">
        <v>0.7</v>
      </c>
      <c r="CQ83">
        <v>0.65</v>
      </c>
      <c r="CR83" t="s">
        <v>2253</v>
      </c>
      <c r="CS83" t="s">
        <v>2206</v>
      </c>
      <c r="CT83" t="s">
        <v>2354</v>
      </c>
      <c r="CU83" s="4" t="s">
        <v>2165</v>
      </c>
      <c r="CV83" t="str">
        <f t="shared" si="29"/>
        <v>Mixed_Theater_Lobby_4mm</v>
      </c>
      <c r="CW83" s="72" t="str">
        <f t="shared" si="31"/>
        <v>CalculatedEstimateCarpetedLobbyWithBarAndSeatingMixed_Theater_Lobby_4mmInternalMassDef</v>
      </c>
    </row>
    <row r="84" spans="1:101" x14ac:dyDescent="0.35">
      <c r="A84" t="s">
        <v>167</v>
      </c>
      <c r="B84" s="50" t="str">
        <f t="shared" si="41"/>
        <v>2025_AU_NCC</v>
      </c>
      <c r="C84" s="50" t="s">
        <v>2426</v>
      </c>
      <c r="D84" s="50" t="s">
        <v>2091</v>
      </c>
      <c r="E84" t="s">
        <v>293</v>
      </c>
      <c r="F84" s="62">
        <v>2025</v>
      </c>
      <c r="G84" s="62" t="s">
        <v>2522</v>
      </c>
      <c r="H84" t="s">
        <v>2523</v>
      </c>
      <c r="I84">
        <v>230</v>
      </c>
      <c r="J84">
        <v>157</v>
      </c>
      <c r="K84">
        <v>120</v>
      </c>
      <c r="L84" s="50" t="str">
        <f t="shared" si="38"/>
        <v>CS Lobby - Other_2025AUNCC</v>
      </c>
      <c r="M84" s="50" t="str">
        <f t="shared" si="42"/>
        <v>CS Lobby - Other_2025AUNCCScheduleSet</v>
      </c>
      <c r="N84" s="69"/>
      <c r="O84" s="4"/>
      <c r="P84" s="46"/>
      <c r="Q84" s="4">
        <v>255.91</v>
      </c>
      <c r="R84" s="46">
        <v>75</v>
      </c>
      <c r="S84" s="4">
        <v>187.67</v>
      </c>
      <c r="T84" s="46">
        <v>55</v>
      </c>
      <c r="U84" s="46"/>
      <c r="V84" s="46"/>
      <c r="W84" s="46">
        <v>130</v>
      </c>
      <c r="X84" s="48">
        <v>0.57692307700000001</v>
      </c>
      <c r="Y84" s="4" t="s">
        <v>2524</v>
      </c>
      <c r="Z84" s="4" t="s">
        <v>2525</v>
      </c>
      <c r="AA84" s="4"/>
      <c r="AB84" s="4"/>
      <c r="AC84" s="51" t="s">
        <v>2165</v>
      </c>
      <c r="AD84" s="4" t="s">
        <v>2165</v>
      </c>
      <c r="AE84" s="51" t="s">
        <v>2165</v>
      </c>
      <c r="AF84" s="63" t="s">
        <v>2165</v>
      </c>
      <c r="AG84" s="63" t="s">
        <v>2165</v>
      </c>
      <c r="AH84" s="62">
        <v>1</v>
      </c>
      <c r="AI84" s="62">
        <f t="shared" si="37"/>
        <v>5.0800000000000003E-3</v>
      </c>
      <c r="AJ84" s="63" t="s">
        <v>2165</v>
      </c>
      <c r="AK84" s="4" t="s">
        <v>2165</v>
      </c>
      <c r="AL84" s="4" t="s">
        <v>2165</v>
      </c>
      <c r="AM84" t="s">
        <v>37</v>
      </c>
      <c r="AN84" t="s">
        <v>68</v>
      </c>
      <c r="AO84" s="4" t="s">
        <v>2165</v>
      </c>
      <c r="AP84" s="4" t="s">
        <v>2165</v>
      </c>
      <c r="AQ84" s="72" t="str">
        <f t="shared" si="34"/>
        <v>Washington State Mechanical Code TABLE 403.3.1.1Public spaces - Elevator lobbies in parking garageVent</v>
      </c>
      <c r="AR84" s="48">
        <v>0</v>
      </c>
      <c r="AS84" s="48">
        <v>0</v>
      </c>
      <c r="AT84" s="48"/>
      <c r="AU84" s="48"/>
      <c r="AV84" s="48"/>
      <c r="AW84" s="4" t="s">
        <v>2528</v>
      </c>
      <c r="AX84" s="4"/>
      <c r="AY84" s="4" t="s">
        <v>2544</v>
      </c>
      <c r="AZ84" s="73" t="s">
        <v>2165</v>
      </c>
      <c r="BA84" s="49" t="s">
        <v>2165</v>
      </c>
      <c r="BB84" s="50">
        <v>0.83612699999999995</v>
      </c>
      <c r="BC84" s="2">
        <v>9</v>
      </c>
      <c r="BD84" s="2">
        <v>0.37</v>
      </c>
      <c r="BE84" s="2">
        <v>0.2</v>
      </c>
      <c r="BF84" t="s">
        <v>2569</v>
      </c>
      <c r="BG84" s="4"/>
      <c r="BH84" t="s">
        <v>2625</v>
      </c>
      <c r="BI84" s="72" t="str">
        <f t="shared" si="39"/>
        <v>NCC J7D3aEntry lobby from outside the building (general default); radiant/visible fraction split retained from original WA/COMNET-REV9 source (AIRAH Technical Handbook does not publish this split)LightingDef</v>
      </c>
      <c r="BJ84" t="s">
        <v>365</v>
      </c>
      <c r="BK84" s="4"/>
      <c r="BL84" s="4"/>
      <c r="BM84" s="4"/>
      <c r="BN84" s="4"/>
      <c r="BO84" s="4"/>
      <c r="BP84" s="4"/>
      <c r="BQ84" s="4"/>
      <c r="BR84" s="4"/>
      <c r="BS84" s="4"/>
      <c r="BT84" s="73" t="s">
        <v>2165</v>
      </c>
      <c r="BU84" s="4" t="s">
        <v>2165</v>
      </c>
      <c r="BW84">
        <v>0.7</v>
      </c>
      <c r="BY84" t="s">
        <v>2660</v>
      </c>
      <c r="BZ84" t="s">
        <v>2661</v>
      </c>
      <c r="CB84" s="50" t="str">
        <f t="shared" si="40"/>
        <v>Space Function_Lobby - other</v>
      </c>
      <c r="CC84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Function_Lobby - otherInfil</v>
      </c>
      <c r="CD84" t="s">
        <v>266</v>
      </c>
      <c r="CE84" t="s">
        <v>250</v>
      </c>
      <c r="CF84" t="s">
        <v>293</v>
      </c>
      <c r="CG84" s="4"/>
      <c r="CH84">
        <v>0.71</v>
      </c>
      <c r="CI84" s="4"/>
      <c r="CJ84" t="s">
        <v>2205</v>
      </c>
      <c r="CK84">
        <v>2.8999999999999998E-3</v>
      </c>
      <c r="CL84">
        <v>24.6</v>
      </c>
      <c r="CM84">
        <v>1775</v>
      </c>
      <c r="CN84">
        <v>1112</v>
      </c>
      <c r="CO84">
        <v>0.9</v>
      </c>
      <c r="CP84">
        <v>0.7</v>
      </c>
      <c r="CQ84">
        <v>0.7</v>
      </c>
      <c r="CR84" t="s">
        <v>2254</v>
      </c>
      <c r="CS84" t="s">
        <v>2206</v>
      </c>
      <c r="CT84" t="s">
        <v>2355</v>
      </c>
      <c r="CU84" s="4" t="s">
        <v>2165</v>
      </c>
      <c r="CV84" t="str">
        <f t="shared" si="29"/>
        <v>Mixed_Commercial_Lobby_3mm</v>
      </c>
      <c r="CW84" s="72" t="str">
        <f t="shared" si="31"/>
        <v>CalculatedEstimateBasicReceptionAndWaitingAreaMixed_Commercial_Lobby_3mmInternalMassDef</v>
      </c>
    </row>
    <row r="85" spans="1:101" x14ac:dyDescent="0.35">
      <c r="A85" t="s">
        <v>227</v>
      </c>
      <c r="B85" s="50" t="str">
        <f t="shared" si="41"/>
        <v>2025_AU_NCC</v>
      </c>
      <c r="C85" s="50" t="s">
        <v>2426</v>
      </c>
      <c r="D85" s="50" t="s">
        <v>2467</v>
      </c>
      <c r="E85" t="s">
        <v>129</v>
      </c>
      <c r="F85" s="62">
        <v>2025</v>
      </c>
      <c r="G85" s="62" t="s">
        <v>2522</v>
      </c>
      <c r="H85" t="s">
        <v>2523</v>
      </c>
      <c r="I85">
        <v>0</v>
      </c>
      <c r="J85">
        <v>153</v>
      </c>
      <c r="K85">
        <v>153</v>
      </c>
      <c r="L85" s="50" t="str">
        <f t="shared" si="38"/>
        <v>CS Locker Room_2025AUNCC</v>
      </c>
      <c r="M85" s="50" t="str">
        <f t="shared" si="42"/>
        <v>CS Locker Room_2025AUNCCScheduleSet</v>
      </c>
      <c r="N85" s="69"/>
      <c r="O85" s="46"/>
      <c r="P85" s="46"/>
      <c r="Q85" s="46">
        <v>255.91</v>
      </c>
      <c r="R85" s="46">
        <v>75</v>
      </c>
      <c r="S85" s="46">
        <v>187.67</v>
      </c>
      <c r="T85" s="46">
        <v>55</v>
      </c>
      <c r="U85" s="46"/>
      <c r="V85" s="46"/>
      <c r="W85" s="46">
        <v>130</v>
      </c>
      <c r="X85" s="48">
        <v>0.57692307700000001</v>
      </c>
      <c r="Y85" s="46" t="s">
        <v>2524</v>
      </c>
      <c r="Z85" s="46" t="s">
        <v>2525</v>
      </c>
      <c r="AA85" s="46"/>
      <c r="AB85" s="46"/>
      <c r="AC85" s="54" t="s">
        <v>2165</v>
      </c>
      <c r="AD85" s="46" t="s">
        <v>2165</v>
      </c>
      <c r="AE85" s="54" t="s">
        <v>2165</v>
      </c>
      <c r="AF85" s="63" t="s">
        <v>2165</v>
      </c>
      <c r="AG85" s="63" t="s">
        <v>2165</v>
      </c>
      <c r="AH85" s="63" t="s">
        <v>2165</v>
      </c>
      <c r="AI85" s="63" t="s">
        <v>2165</v>
      </c>
      <c r="AJ85" s="62">
        <v>0.25</v>
      </c>
      <c r="AK85">
        <f t="shared" ref="AK85:AK87" si="47">AJ85*0.000471947</f>
        <v>1.1798675E-4</v>
      </c>
      <c r="AL85" s="4" t="s">
        <v>2165</v>
      </c>
      <c r="AM85" t="s">
        <v>37</v>
      </c>
      <c r="AN85" t="s">
        <v>69</v>
      </c>
      <c r="AO85" s="4" t="s">
        <v>2165</v>
      </c>
      <c r="AP85" s="4" t="s">
        <v>2165</v>
      </c>
      <c r="AQ85" s="72" t="str">
        <f t="shared" si="34"/>
        <v>Washington State Mechanical Code TABLE 403.3.1.1Education - Locker/dressing roomsVent</v>
      </c>
      <c r="AR85" s="2">
        <v>0</v>
      </c>
      <c r="AS85" s="2">
        <v>0</v>
      </c>
      <c r="AT85" s="2">
        <v>0.2</v>
      </c>
      <c r="AU85" s="2">
        <v>0.5</v>
      </c>
      <c r="AV85" s="2">
        <v>0.1</v>
      </c>
      <c r="AW85" s="4" t="s">
        <v>2528</v>
      </c>
      <c r="AX85" s="4"/>
      <c r="AY85" t="s">
        <v>2544</v>
      </c>
      <c r="AZ85" s="72" t="str">
        <f t="shared" ref="AZ85:AZ116" si="48">CONCATENATE(AW85,AX85,AY85,A85,"ElectricalEquipDef")</f>
        <v>NCC S35C2lShared with host building class (Other applications) - no equipment load per S35C2l; radiant/latent/lost fraction split retained from original WA/COMNET-REV9 source (AIRAH Technical Handbook does not publish this split)CS Locker RoomElectricalEquipDef</v>
      </c>
      <c r="BA85" s="7" t="s">
        <v>346</v>
      </c>
      <c r="BB85" s="50">
        <v>0.27870899999999998</v>
      </c>
      <c r="BC85" s="2">
        <v>3</v>
      </c>
      <c r="BD85" s="2">
        <v>0.37</v>
      </c>
      <c r="BE85" s="2">
        <v>0.2</v>
      </c>
      <c r="BF85" t="s">
        <v>2569</v>
      </c>
      <c r="BG85" s="4"/>
      <c r="BH85" t="s">
        <v>2626</v>
      </c>
      <c r="BI85" s="72" t="str">
        <f t="shared" si="39"/>
        <v>NCC J7D3aToilet, locker room, staff room, rest room and the like; radiant/visible fraction split retained from original WA/COMNET-REV9 source (AIRAH Technical Handbook does not publish this split)LightingDef</v>
      </c>
      <c r="BJ85" t="s">
        <v>1839</v>
      </c>
      <c r="BK85" s="4"/>
      <c r="BL85" s="4"/>
      <c r="BM85" s="4"/>
      <c r="BN85" s="4"/>
      <c r="BO85" s="4"/>
      <c r="BP85" s="4"/>
      <c r="BQ85" s="4"/>
      <c r="BR85" s="4"/>
      <c r="BS85" s="4"/>
      <c r="BT85" s="73" t="s">
        <v>2165</v>
      </c>
      <c r="BU85" s="4" t="s">
        <v>2165</v>
      </c>
      <c r="BW85">
        <v>0.7</v>
      </c>
      <c r="BY85" t="s">
        <v>2660</v>
      </c>
      <c r="BZ85" t="s">
        <v>2661</v>
      </c>
      <c r="CB85" s="50" t="str">
        <f t="shared" si="40"/>
        <v>Space Function_Locker room</v>
      </c>
      <c r="CC85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Function_Locker roomInfil</v>
      </c>
      <c r="CD85" t="s">
        <v>266</v>
      </c>
      <c r="CE85" t="s">
        <v>250</v>
      </c>
      <c r="CF85" t="s">
        <v>129</v>
      </c>
      <c r="CG85" s="4"/>
      <c r="CH85">
        <v>3.66</v>
      </c>
      <c r="CI85" s="4"/>
      <c r="CJ85" t="s">
        <v>2207</v>
      </c>
      <c r="CK85">
        <v>1.1000000000000001E-3</v>
      </c>
      <c r="CL85">
        <v>42.3</v>
      </c>
      <c r="CM85">
        <v>7003</v>
      </c>
      <c r="CN85">
        <v>567</v>
      </c>
      <c r="CO85">
        <v>0.9</v>
      </c>
      <c r="CP85">
        <v>0.7</v>
      </c>
      <c r="CQ85">
        <v>0.7</v>
      </c>
      <c r="CR85" t="s">
        <v>2255</v>
      </c>
      <c r="CS85" t="s">
        <v>2206</v>
      </c>
      <c r="CT85" t="s">
        <v>2356</v>
      </c>
      <c r="CU85" s="4" t="s">
        <v>2165</v>
      </c>
      <c r="CV85" t="str">
        <f t="shared" si="29"/>
        <v>Steel_LockerRoom_1mm</v>
      </c>
      <c r="CW85" s="72" t="str">
        <f t="shared" si="31"/>
        <v>CalculatedEstimateMetalLockersAndBenchesSteel_LockerRoom_1mmInternalMassDef</v>
      </c>
    </row>
    <row r="86" spans="1:101" x14ac:dyDescent="0.35">
      <c r="A86" t="s">
        <v>168</v>
      </c>
      <c r="B86" s="50" t="str">
        <f t="shared" si="41"/>
        <v>2025_AU_NCC</v>
      </c>
      <c r="C86" s="50" t="s">
        <v>2440</v>
      </c>
      <c r="D86" s="50" t="s">
        <v>2468</v>
      </c>
      <c r="E86" t="s">
        <v>2057</v>
      </c>
      <c r="F86" s="62">
        <v>2025</v>
      </c>
      <c r="G86" s="62" t="s">
        <v>2522</v>
      </c>
      <c r="H86" t="s">
        <v>2523</v>
      </c>
      <c r="I86">
        <v>230</v>
      </c>
      <c r="J86">
        <v>157</v>
      </c>
      <c r="K86">
        <v>120</v>
      </c>
      <c r="L86" s="50" t="str">
        <f t="shared" si="38"/>
        <v>CS Lounge/Break - Healthcare_2025AUNCC</v>
      </c>
      <c r="M86" s="50" t="str">
        <f t="shared" si="42"/>
        <v>CS Lounge/Break - Healthcare_2025AUNCCScheduleSet</v>
      </c>
      <c r="N86" s="68">
        <v>40</v>
      </c>
      <c r="O86">
        <v>25</v>
      </c>
      <c r="P86" s="38">
        <v>0.26909787600000001</v>
      </c>
      <c r="Q86">
        <v>255.91</v>
      </c>
      <c r="R86" s="6">
        <v>75</v>
      </c>
      <c r="S86">
        <v>187.67</v>
      </c>
      <c r="T86" s="6">
        <v>55</v>
      </c>
      <c r="U86" s="6"/>
      <c r="V86" s="6"/>
      <c r="W86" s="6">
        <v>130</v>
      </c>
      <c r="X86" s="2">
        <v>0.57692307700000001</v>
      </c>
      <c r="Y86" t="s">
        <v>2524</v>
      </c>
      <c r="Z86" t="s">
        <v>2525</v>
      </c>
      <c r="AC86" s="50" t="str">
        <f>CONCATENATE(Y86,Z86,AA86,AB86,"PeopleDef")</f>
        <v>NCC S35C2nOther applications (non-dining)PeopleDef</v>
      </c>
      <c r="AD86" t="s">
        <v>1365</v>
      </c>
      <c r="AE86" s="50" t="str">
        <f>CONCATENATE(A86,"Activity")</f>
        <v>CS Lounge/Break - HealthcareActivity</v>
      </c>
      <c r="AF86" s="62">
        <v>5</v>
      </c>
      <c r="AG86" s="62">
        <f t="shared" si="27"/>
        <v>2.3596035865974517E-3</v>
      </c>
      <c r="AH86" s="62">
        <v>0.06</v>
      </c>
      <c r="AI86" s="62">
        <f t="shared" si="37"/>
        <v>3.0479999999999998E-4</v>
      </c>
      <c r="AJ86" s="62">
        <v>0.3</v>
      </c>
      <c r="AK86">
        <f t="shared" si="47"/>
        <v>1.415841E-4</v>
      </c>
      <c r="AL86" s="4" t="s">
        <v>2165</v>
      </c>
      <c r="AM86" t="s">
        <v>37</v>
      </c>
      <c r="AN86" t="s">
        <v>71</v>
      </c>
      <c r="AO86" s="4" t="s">
        <v>2165</v>
      </c>
      <c r="AP86" s="4" t="s">
        <v>2165</v>
      </c>
      <c r="AQ86" s="72" t="str">
        <f t="shared" si="34"/>
        <v>Washington State Mechanical Code TABLE 403.3.1.1Office - KitchenettesVent</v>
      </c>
      <c r="AR86" s="2">
        <v>0.46451500000000001</v>
      </c>
      <c r="AS86" s="2">
        <v>5</v>
      </c>
      <c r="AT86" s="2">
        <v>0</v>
      </c>
      <c r="AU86" s="2">
        <v>0.5</v>
      </c>
      <c r="AV86" s="2">
        <v>0</v>
      </c>
      <c r="AW86" t="s">
        <v>2528</v>
      </c>
      <c r="AX86" s="4"/>
      <c r="AY86" t="s">
        <v>2554</v>
      </c>
      <c r="AZ86" s="72" t="str">
        <f t="shared" si="48"/>
        <v>NCC S35C2lClass 9a ward area (support default); radiant/latent/lost fraction split retained from original WA/COMNET-REV9 source (AIRAH Technical Handbook does not publish this split)CS Lounge/Break - HealthcareElectricalEquipDef</v>
      </c>
      <c r="BA86" s="8" t="s">
        <v>345</v>
      </c>
      <c r="BB86" s="50">
        <v>0.27870899999999998</v>
      </c>
      <c r="BC86" s="2">
        <v>3</v>
      </c>
      <c r="BD86" s="2">
        <v>0.37</v>
      </c>
      <c r="BE86" s="2">
        <v>0.2</v>
      </c>
      <c r="BF86" t="s">
        <v>2569</v>
      </c>
      <c r="BG86" s="4"/>
      <c r="BH86" t="s">
        <v>2627</v>
      </c>
      <c r="BI86" s="72" t="str">
        <f t="shared" si="39"/>
        <v>NCC J7D3aToilet, locker room, staff room, rest room and the like (staff break/lounge fit); radiant/visible fraction split retained from original WA/COMNET-REV9 source (AIRAH Technical Handbook does not publish this split)LightingDef</v>
      </c>
      <c r="BJ86" t="s">
        <v>1360</v>
      </c>
      <c r="BK86" s="4"/>
      <c r="BL86" s="4"/>
      <c r="BM86" s="4"/>
      <c r="BN86" s="4"/>
      <c r="BO86" s="4"/>
      <c r="BP86" s="4"/>
      <c r="BQ86" s="4"/>
      <c r="BR86" s="4"/>
      <c r="BS86" s="4"/>
      <c r="BT86" s="73" t="s">
        <v>2165</v>
      </c>
      <c r="BU86" s="4" t="s">
        <v>2165</v>
      </c>
      <c r="BW86">
        <v>0.7</v>
      </c>
      <c r="BY86" t="s">
        <v>2660</v>
      </c>
      <c r="BZ86" t="s">
        <v>2661</v>
      </c>
      <c r="CB86" s="50" t="str">
        <f t="shared" si="40"/>
        <v>Outpatient_Lounge</v>
      </c>
      <c r="CC86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developed)Outpatient_LoungeInfil</v>
      </c>
      <c r="CD86" t="s">
        <v>1454</v>
      </c>
      <c r="CE86" t="s">
        <v>2092</v>
      </c>
      <c r="CF86" t="s">
        <v>2093</v>
      </c>
      <c r="CG86" s="4"/>
      <c r="CH86">
        <v>2.29</v>
      </c>
      <c r="CI86" s="4"/>
      <c r="CJ86" t="s">
        <v>2205</v>
      </c>
      <c r="CK86">
        <v>2.2000000000000001E-3</v>
      </c>
      <c r="CL86">
        <v>15.9</v>
      </c>
      <c r="CM86">
        <v>2558</v>
      </c>
      <c r="CN86">
        <v>1034</v>
      </c>
      <c r="CO86">
        <v>0.9</v>
      </c>
      <c r="CP86">
        <v>0.7</v>
      </c>
      <c r="CQ86">
        <v>0.7</v>
      </c>
      <c r="CR86" t="s">
        <v>2256</v>
      </c>
      <c r="CS86" t="s">
        <v>2206</v>
      </c>
      <c r="CT86" t="s">
        <v>2357</v>
      </c>
      <c r="CU86" s="4" t="s">
        <v>2165</v>
      </c>
      <c r="CV86" t="str">
        <f t="shared" si="29"/>
        <v>Mixed_Healthcare_Lounge_2mm</v>
      </c>
      <c r="CW86" s="72" t="str">
        <f t="shared" si="31"/>
        <v>CalculatedEstimateKitchenetteAndDiningFurnitureMixed_Healthcare_Lounge_2mmInternalMassDef</v>
      </c>
    </row>
    <row r="87" spans="1:101" x14ac:dyDescent="0.35">
      <c r="A87" t="s">
        <v>169</v>
      </c>
      <c r="B87" s="50" t="str">
        <f t="shared" si="41"/>
        <v>2025_AU_NCC</v>
      </c>
      <c r="C87" s="50" t="s">
        <v>2426</v>
      </c>
      <c r="D87" s="50" t="s">
        <v>2468</v>
      </c>
      <c r="E87" t="s">
        <v>2058</v>
      </c>
      <c r="F87" s="62">
        <v>2025</v>
      </c>
      <c r="G87" s="62" t="s">
        <v>2522</v>
      </c>
      <c r="H87" t="s">
        <v>2523</v>
      </c>
      <c r="I87">
        <v>230</v>
      </c>
      <c r="J87">
        <v>157</v>
      </c>
      <c r="K87">
        <v>120</v>
      </c>
      <c r="L87" s="50" t="str">
        <f t="shared" si="38"/>
        <v>CS Lounge/Break - Other_2025AUNCC</v>
      </c>
      <c r="M87" s="50" t="str">
        <f t="shared" si="42"/>
        <v>CS Lounge/Break - Other_2025AUNCCScheduleSet</v>
      </c>
      <c r="N87" s="68">
        <v>40</v>
      </c>
      <c r="O87">
        <v>25</v>
      </c>
      <c r="P87" s="38">
        <v>0.26909787600000001</v>
      </c>
      <c r="Q87">
        <v>255.91</v>
      </c>
      <c r="R87" s="6">
        <v>75</v>
      </c>
      <c r="S87">
        <v>187.67</v>
      </c>
      <c r="T87" s="6">
        <v>55</v>
      </c>
      <c r="U87" s="6"/>
      <c r="V87" s="6"/>
      <c r="W87" s="6">
        <v>130</v>
      </c>
      <c r="X87" s="2">
        <v>0.57692307700000001</v>
      </c>
      <c r="Y87" t="s">
        <v>2524</v>
      </c>
      <c r="Z87" t="s">
        <v>2525</v>
      </c>
      <c r="AC87" s="50" t="str">
        <f>CONCATENATE(Y87,Z87,AA87,AB87,"PeopleDef")</f>
        <v>NCC S35C2nOther applications (non-dining)PeopleDef</v>
      </c>
      <c r="AD87" t="s">
        <v>1188</v>
      </c>
      <c r="AE87" s="50" t="str">
        <f>CONCATENATE(A87,"Activity")</f>
        <v>CS Lounge/Break - OtherActivity</v>
      </c>
      <c r="AF87" s="62">
        <v>5</v>
      </c>
      <c r="AG87" s="62">
        <f t="shared" si="27"/>
        <v>2.3596035865974517E-3</v>
      </c>
      <c r="AH87" s="62">
        <v>0.06</v>
      </c>
      <c r="AI87" s="62">
        <f t="shared" si="37"/>
        <v>3.0479999999999998E-4</v>
      </c>
      <c r="AJ87" s="62">
        <v>0.3</v>
      </c>
      <c r="AK87">
        <f t="shared" si="47"/>
        <v>1.415841E-4</v>
      </c>
      <c r="AL87" s="4" t="s">
        <v>2165</v>
      </c>
      <c r="AM87" t="s">
        <v>37</v>
      </c>
      <c r="AN87" t="s">
        <v>71</v>
      </c>
      <c r="AO87" s="4" t="s">
        <v>2165</v>
      </c>
      <c r="AP87" s="4" t="s">
        <v>2165</v>
      </c>
      <c r="AQ87" s="72" t="str">
        <f t="shared" si="34"/>
        <v>Washington State Mechanical Code TABLE 403.3.1.1Office - KitchenettesVent</v>
      </c>
      <c r="AR87" s="2">
        <v>0</v>
      </c>
      <c r="AS87" s="2">
        <v>0</v>
      </c>
      <c r="AT87" s="7">
        <v>0.25</v>
      </c>
      <c r="AU87" s="7">
        <v>0.3</v>
      </c>
      <c r="AV87" s="7">
        <v>0</v>
      </c>
      <c r="AW87" t="s">
        <v>2528</v>
      </c>
      <c r="AX87" t="s">
        <v>20</v>
      </c>
      <c r="AY87" t="s">
        <v>2544</v>
      </c>
      <c r="AZ87" s="72" t="str">
        <f t="shared" si="48"/>
        <v>NCC S35C2lBA OfficeShared with host building class (Other applications) - no equipment load per S35C2l; radiant/latent/lost fraction split retained from original WA/COMNET-REV9 source (AIRAH Technical Handbook does not publish this split)CS Lounge/Break - OtherElectricalEquipDef</v>
      </c>
      <c r="BA87" s="8" t="s">
        <v>344</v>
      </c>
      <c r="BB87" s="50">
        <v>0.27870899999999998</v>
      </c>
      <c r="BC87" s="2">
        <v>3</v>
      </c>
      <c r="BD87" s="2">
        <v>0.37</v>
      </c>
      <c r="BE87" s="2">
        <v>0.2</v>
      </c>
      <c r="BF87" t="s">
        <v>2569</v>
      </c>
      <c r="BG87" s="4"/>
      <c r="BH87" t="s">
        <v>2626</v>
      </c>
      <c r="BI87" s="72" t="str">
        <f t="shared" si="39"/>
        <v>NCC J7D3aToilet, locker room, staff room, rest room and the like; radiant/visible fraction split retained from original WA/COMNET-REV9 source (AIRAH Technical Handbook does not publish this split)LightingDef</v>
      </c>
      <c r="BJ87" t="s">
        <v>1187</v>
      </c>
      <c r="BK87" s="4"/>
      <c r="BL87" s="4"/>
      <c r="BM87" s="4"/>
      <c r="BN87" s="4"/>
      <c r="BO87" s="4"/>
      <c r="BP87" s="4"/>
      <c r="BQ87" s="4"/>
      <c r="BR87" s="4"/>
      <c r="BS87" s="4"/>
      <c r="BT87" s="73" t="s">
        <v>2165</v>
      </c>
      <c r="BU87" s="4" t="s">
        <v>2165</v>
      </c>
      <c r="BW87">
        <v>0.7</v>
      </c>
      <c r="BY87" t="s">
        <v>2660</v>
      </c>
      <c r="BZ87" t="s">
        <v>2661</v>
      </c>
      <c r="CB87" s="50" t="str">
        <f t="shared" si="40"/>
        <v>Office_BreakRoom</v>
      </c>
      <c r="CC87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developed)Office_BreakRoomInfil</v>
      </c>
      <c r="CD87" t="s">
        <v>320</v>
      </c>
      <c r="CE87" t="s">
        <v>115</v>
      </c>
      <c r="CF87" t="s">
        <v>2094</v>
      </c>
      <c r="CG87" s="4"/>
      <c r="CH87">
        <v>2.83</v>
      </c>
      <c r="CI87" s="4"/>
      <c r="CJ87" t="s">
        <v>2207</v>
      </c>
      <c r="CK87">
        <v>1.9E-3</v>
      </c>
      <c r="CL87">
        <v>23.7</v>
      </c>
      <c r="CM87">
        <v>4488</v>
      </c>
      <c r="CN87">
        <v>869</v>
      </c>
      <c r="CO87">
        <v>0.9</v>
      </c>
      <c r="CP87">
        <v>0.7</v>
      </c>
      <c r="CQ87">
        <v>0.7</v>
      </c>
      <c r="CR87" t="s">
        <v>2257</v>
      </c>
      <c r="CS87" t="s">
        <v>2206</v>
      </c>
      <c r="CT87" t="s">
        <v>2358</v>
      </c>
      <c r="CU87" s="4" t="s">
        <v>2165</v>
      </c>
      <c r="CV87" t="str">
        <f t="shared" si="29"/>
        <v>Steel_Break_Room_2mm</v>
      </c>
      <c r="CW87" s="72" t="str">
        <f t="shared" si="31"/>
        <v>CalculatedEstimateVendingMachinesAndKitchenetteSteel_Break_Room_2mmInternalMassDef</v>
      </c>
    </row>
    <row r="88" spans="1:101" x14ac:dyDescent="0.35">
      <c r="A88" t="s">
        <v>170</v>
      </c>
      <c r="B88" s="50" t="str">
        <f t="shared" si="41"/>
        <v>2025_AU_NCC</v>
      </c>
      <c r="C88" s="50" t="s">
        <v>115</v>
      </c>
      <c r="D88" s="50" t="s">
        <v>2469</v>
      </c>
      <c r="E88" t="s">
        <v>2059</v>
      </c>
      <c r="F88" s="62">
        <v>2025</v>
      </c>
      <c r="G88" s="62" t="s">
        <v>2522</v>
      </c>
      <c r="H88" t="s">
        <v>2523</v>
      </c>
      <c r="I88">
        <v>120</v>
      </c>
      <c r="J88">
        <v>230</v>
      </c>
      <c r="K88">
        <v>199</v>
      </c>
      <c r="L88" s="50" t="str">
        <f t="shared" si="38"/>
        <v>CS Office - Enclosed_2025AUNCC</v>
      </c>
      <c r="M88" s="50" t="str">
        <f t="shared" si="42"/>
        <v>CS Office - Enclosed_2025AUNCCScheduleSet</v>
      </c>
      <c r="N88" s="68">
        <v>200</v>
      </c>
      <c r="O88">
        <v>5</v>
      </c>
      <c r="P88" s="38">
        <v>5.3819575000000001E-2</v>
      </c>
      <c r="Q88">
        <v>255.91</v>
      </c>
      <c r="R88" s="6">
        <v>75</v>
      </c>
      <c r="S88">
        <v>187.67</v>
      </c>
      <c r="T88" s="6">
        <v>55</v>
      </c>
      <c r="U88" s="6"/>
      <c r="V88" s="6"/>
      <c r="W88" s="6">
        <v>130</v>
      </c>
      <c r="X88" s="2">
        <v>0.57692307700000001</v>
      </c>
      <c r="Y88" t="s">
        <v>2524</v>
      </c>
      <c r="Z88" t="s">
        <v>2527</v>
      </c>
      <c r="AB88" s="4"/>
      <c r="AC88" s="50" t="str">
        <f>CONCATENATE(Y88,Z88,AA88,AB88,"PeopleDef")</f>
        <v>NCC S35C2nClass 5 (Office) - Other applications (non-dining)PeopleDef</v>
      </c>
      <c r="AD88" t="s">
        <v>1188</v>
      </c>
      <c r="AE88" s="50" t="str">
        <f>CONCATENATE(A88,"Activity")</f>
        <v>CS Office - EnclosedActivity</v>
      </c>
      <c r="AF88" s="62">
        <v>5</v>
      </c>
      <c r="AG88" s="62">
        <f t="shared" si="27"/>
        <v>2.3596035865974517E-3</v>
      </c>
      <c r="AH88" s="62">
        <v>0.06</v>
      </c>
      <c r="AI88" s="62">
        <f t="shared" si="37"/>
        <v>3.0479999999999998E-4</v>
      </c>
      <c r="AJ88" s="63" t="s">
        <v>2165</v>
      </c>
      <c r="AK88" s="4" t="s">
        <v>2165</v>
      </c>
      <c r="AL88" s="4" t="s">
        <v>2165</v>
      </c>
      <c r="AM88" t="s">
        <v>37</v>
      </c>
      <c r="AN88" t="s">
        <v>70</v>
      </c>
      <c r="AO88" s="4" t="s">
        <v>2165</v>
      </c>
      <c r="AP88" s="4" t="s">
        <v>2165</v>
      </c>
      <c r="AQ88" s="72" t="str">
        <f t="shared" si="34"/>
        <v>Washington State Mechanical Code TABLE 403.3.1.1Office - Office spacesVent</v>
      </c>
      <c r="AR88" s="2">
        <v>1.021933</v>
      </c>
      <c r="AS88" s="2">
        <v>11</v>
      </c>
      <c r="AT88" s="2">
        <v>0</v>
      </c>
      <c r="AU88" s="2">
        <v>0.5</v>
      </c>
      <c r="AV88" s="2">
        <v>0</v>
      </c>
      <c r="AW88" t="s">
        <v>2528</v>
      </c>
      <c r="AX88" s="4" t="s">
        <v>104</v>
      </c>
      <c r="AY88" t="s">
        <v>2538</v>
      </c>
      <c r="AZ88" s="72" t="str">
        <f t="shared" si="48"/>
        <v>NCC S35C2lCOMNET-REV9NCC S35C2l for equipment W/m2; radiant/latent/lost fraction split retained from original WA/COMNET-REV9 source (AIRAH Technical Handbook does not publish this split)CS Office - EnclosedElectricalEquipDef</v>
      </c>
      <c r="BA88" s="8" t="s">
        <v>344</v>
      </c>
      <c r="BB88" s="50">
        <v>0.41806399999999999</v>
      </c>
      <c r="BC88" s="2">
        <v>4.5</v>
      </c>
      <c r="BD88" s="2">
        <v>0.37</v>
      </c>
      <c r="BE88" s="2">
        <v>0.2</v>
      </c>
      <c r="BF88" t="s">
        <v>2569</v>
      </c>
      <c r="BG88" s="4" t="s">
        <v>104</v>
      </c>
      <c r="BH88" t="s">
        <v>2585</v>
      </c>
      <c r="BI88" s="72" t="str">
        <f t="shared" si="39"/>
        <v>NCC J7D3aCOMNET-REV9NCC J7D3a for lighting W/m2 (office &gt;= 200 lux row); radiant/visible fraction split retained from original WA/COMNET-REV9 source (AIRAH Technical Handbook does not publish this split)LightingDef</v>
      </c>
      <c r="BJ88" t="s">
        <v>1187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 t="s">
        <v>2658</v>
      </c>
      <c r="BR88" s="4"/>
      <c r="BS88" s="4" t="s">
        <v>2659</v>
      </c>
      <c r="BT88" s="73" t="s">
        <v>2165</v>
      </c>
      <c r="BU88" s="4" t="s">
        <v>2165</v>
      </c>
      <c r="BW88">
        <v>0.7</v>
      </c>
      <c r="BY88" t="s">
        <v>2660</v>
      </c>
      <c r="BZ88" t="s">
        <v>2661</v>
      </c>
      <c r="CB88" s="50" t="str">
        <f t="shared" si="40"/>
        <v>Office_ClosedOffice</v>
      </c>
      <c r="CC88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developed)Office_ClosedOfficeInfil</v>
      </c>
      <c r="CD88" t="s">
        <v>320</v>
      </c>
      <c r="CE88" t="s">
        <v>115</v>
      </c>
      <c r="CF88" t="s">
        <v>2059</v>
      </c>
      <c r="CG88" s="4"/>
      <c r="CH88">
        <v>2.99</v>
      </c>
      <c r="CI88" s="4"/>
      <c r="CJ88" t="s">
        <v>2207</v>
      </c>
      <c r="CK88">
        <v>1.4E-3</v>
      </c>
      <c r="CL88">
        <v>23.9</v>
      </c>
      <c r="CM88">
        <v>4513</v>
      </c>
      <c r="CN88">
        <v>864</v>
      </c>
      <c r="CO88">
        <v>0.9</v>
      </c>
      <c r="CP88">
        <v>0.7</v>
      </c>
      <c r="CQ88">
        <v>0.7</v>
      </c>
      <c r="CR88" t="s">
        <v>2258</v>
      </c>
      <c r="CS88" t="s">
        <v>2206</v>
      </c>
      <c r="CT88" t="s">
        <v>2359</v>
      </c>
      <c r="CU88" s="4" t="s">
        <v>2165</v>
      </c>
      <c r="CV88" t="str">
        <f t="shared" si="29"/>
        <v>Steel_Office_Furniture_1mm</v>
      </c>
      <c r="CW88" s="72" t="str">
        <f t="shared" si="31"/>
        <v>CalculatedEstimateDeskFilingCabinetsAndBookshelfSteel_Office_Furniture_1mmInternalMassDef</v>
      </c>
    </row>
    <row r="89" spans="1:101" x14ac:dyDescent="0.35">
      <c r="A89" t="s">
        <v>171</v>
      </c>
      <c r="B89" s="50" t="str">
        <f t="shared" si="41"/>
        <v>2025_AU_NCC</v>
      </c>
      <c r="C89" s="50" t="s">
        <v>115</v>
      </c>
      <c r="D89" s="50" t="s">
        <v>2470</v>
      </c>
      <c r="E89" t="s">
        <v>2060</v>
      </c>
      <c r="F89" s="62">
        <v>2025</v>
      </c>
      <c r="G89" s="62" t="s">
        <v>2522</v>
      </c>
      <c r="H89" t="s">
        <v>2523</v>
      </c>
      <c r="I89">
        <v>120</v>
      </c>
      <c r="J89">
        <v>230</v>
      </c>
      <c r="K89">
        <v>199</v>
      </c>
      <c r="L89" s="50" t="str">
        <f t="shared" si="38"/>
        <v>CS Office - Open Plan_2025AUNCC</v>
      </c>
      <c r="M89" s="50" t="str">
        <f t="shared" si="42"/>
        <v>CS Office - Open Plan_2025AUNCCScheduleSet</v>
      </c>
      <c r="N89" s="68">
        <v>16.666666670000001</v>
      </c>
      <c r="O89">
        <v>60</v>
      </c>
      <c r="P89" s="38">
        <v>0.64583490300000002</v>
      </c>
      <c r="Q89">
        <v>255.91</v>
      </c>
      <c r="R89" s="6">
        <v>75</v>
      </c>
      <c r="S89">
        <v>187.67</v>
      </c>
      <c r="T89" s="6">
        <v>55</v>
      </c>
      <c r="U89" s="6"/>
      <c r="V89" s="6"/>
      <c r="W89" s="6">
        <v>130</v>
      </c>
      <c r="X89" s="2">
        <v>0.57692307700000001</v>
      </c>
      <c r="Y89" t="s">
        <v>2524</v>
      </c>
      <c r="Z89" t="s">
        <v>2527</v>
      </c>
      <c r="AB89" s="4"/>
      <c r="AC89" s="50" t="str">
        <f>CONCATENATE(Y89,Z89,AA89,AB89,"PeopleDef")</f>
        <v>NCC S35C2nClass 5 (Office) - Other applications (non-dining)PeopleDef</v>
      </c>
      <c r="AD89" t="s">
        <v>1188</v>
      </c>
      <c r="AE89" s="50" t="str">
        <f>CONCATENATE(A89,"Activity")</f>
        <v>CS Office - Open PlanActivity</v>
      </c>
      <c r="AF89" s="62">
        <v>5</v>
      </c>
      <c r="AG89" s="62">
        <f t="shared" si="27"/>
        <v>2.3596035865974517E-3</v>
      </c>
      <c r="AH89" s="62">
        <v>0.06</v>
      </c>
      <c r="AI89" s="62">
        <f t="shared" si="37"/>
        <v>3.0479999999999998E-4</v>
      </c>
      <c r="AJ89" s="63" t="s">
        <v>2165</v>
      </c>
      <c r="AK89" s="4" t="s">
        <v>2165</v>
      </c>
      <c r="AL89" s="4" t="s">
        <v>2165</v>
      </c>
      <c r="AM89" t="s">
        <v>94</v>
      </c>
      <c r="AN89" t="s">
        <v>101</v>
      </c>
      <c r="AO89" s="4" t="s">
        <v>2165</v>
      </c>
      <c r="AP89" s="4" t="s">
        <v>2165</v>
      </c>
      <c r="AQ89" s="72" t="str">
        <f t="shared" si="34"/>
        <v>ASHRAE 62.1-2019Office Buildings - Telephone/data entryVent</v>
      </c>
      <c r="AR89" s="2">
        <v>1.021933</v>
      </c>
      <c r="AS89" s="2">
        <v>11</v>
      </c>
      <c r="AT89" s="2">
        <v>0</v>
      </c>
      <c r="AU89" s="2">
        <v>0.5</v>
      </c>
      <c r="AV89" s="2">
        <v>0</v>
      </c>
      <c r="AW89" t="s">
        <v>2528</v>
      </c>
      <c r="AX89" s="4" t="s">
        <v>104</v>
      </c>
      <c r="AY89" t="s">
        <v>2538</v>
      </c>
      <c r="AZ89" s="72" t="str">
        <f t="shared" si="48"/>
        <v>NCC S35C2lCOMNET-REV9NCC S35C2l for equipment W/m2; radiant/latent/lost fraction split retained from original WA/COMNET-REV9 source (AIRAH Technical Handbook does not publish this split)CS Office - Open PlanElectricalEquipDef</v>
      </c>
      <c r="BA89" s="8" t="s">
        <v>344</v>
      </c>
      <c r="BB89" s="50">
        <v>0.41806399999999999</v>
      </c>
      <c r="BC89" s="2">
        <v>4.5</v>
      </c>
      <c r="BD89" s="2">
        <v>0.37</v>
      </c>
      <c r="BE89" s="2">
        <v>0.2</v>
      </c>
      <c r="BF89" t="s">
        <v>2569</v>
      </c>
      <c r="BG89" s="4" t="s">
        <v>104</v>
      </c>
      <c r="BH89" t="s">
        <v>2585</v>
      </c>
      <c r="BI89" s="72" t="str">
        <f t="shared" si="39"/>
        <v>NCC J7D3aCOMNET-REV9NCC J7D3a for lighting W/m2 (office &gt;= 200 lux row); radiant/visible fraction split retained from original WA/COMNET-REV9 source (AIRAH Technical Handbook does not publish this split)LightingDef</v>
      </c>
      <c r="BJ89" t="s">
        <v>1187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 t="s">
        <v>2658</v>
      </c>
      <c r="BR89" s="4"/>
      <c r="BS89" s="4" t="s">
        <v>2659</v>
      </c>
      <c r="BT89" s="73" t="s">
        <v>2165</v>
      </c>
      <c r="BU89" s="4" t="s">
        <v>2165</v>
      </c>
      <c r="BW89">
        <v>0.7</v>
      </c>
      <c r="BY89" t="s">
        <v>2660</v>
      </c>
      <c r="BZ89" t="s">
        <v>2661</v>
      </c>
      <c r="CB89" s="50" t="str">
        <f t="shared" si="40"/>
        <v>Office_OpenOffice</v>
      </c>
      <c r="CC89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developed)Office_OpenOfficeInfil</v>
      </c>
      <c r="CD89" t="s">
        <v>320</v>
      </c>
      <c r="CE89" t="s">
        <v>115</v>
      </c>
      <c r="CF89" t="s">
        <v>2060</v>
      </c>
      <c r="CG89" s="4"/>
      <c r="CH89">
        <v>3.22</v>
      </c>
      <c r="CI89" s="4"/>
      <c r="CJ89" t="s">
        <v>2205</v>
      </c>
      <c r="CK89">
        <v>5.4999999999999997E-3</v>
      </c>
      <c r="CL89">
        <v>8.98</v>
      </c>
      <c r="CM89">
        <v>2130</v>
      </c>
      <c r="CN89">
        <v>1138</v>
      </c>
      <c r="CO89">
        <v>0.9</v>
      </c>
      <c r="CP89">
        <v>0.7</v>
      </c>
      <c r="CQ89">
        <v>0.7</v>
      </c>
      <c r="CR89" t="s">
        <v>2259</v>
      </c>
      <c r="CS89" t="s">
        <v>2206</v>
      </c>
      <c r="CT89" t="s">
        <v>2360</v>
      </c>
      <c r="CU89" s="4" t="s">
        <v>2165</v>
      </c>
      <c r="CV89" t="str">
        <f t="shared" si="29"/>
        <v>Particleboard_Office_Panels_5mm</v>
      </c>
      <c r="CW89" s="72" t="str">
        <f t="shared" si="31"/>
        <v>CalculatedEstimateCubiclePanelsAndWorkstationsParticleboard_Office_Panels_5mmInternalMassDef</v>
      </c>
    </row>
    <row r="90" spans="1:101" x14ac:dyDescent="0.35">
      <c r="A90" t="s">
        <v>228</v>
      </c>
      <c r="B90" s="50" t="str">
        <f t="shared" si="41"/>
        <v>2025_AU_NCC</v>
      </c>
      <c r="C90" s="50" t="s">
        <v>2441</v>
      </c>
      <c r="D90" s="50" t="s">
        <v>2471</v>
      </c>
      <c r="E90" t="s">
        <v>300</v>
      </c>
      <c r="F90" s="62">
        <v>2025</v>
      </c>
      <c r="G90" s="62" t="s">
        <v>2522</v>
      </c>
      <c r="H90" t="s">
        <v>2523</v>
      </c>
      <c r="I90">
        <v>153</v>
      </c>
      <c r="J90">
        <v>0</v>
      </c>
      <c r="K90">
        <v>76</v>
      </c>
      <c r="L90" s="50" t="str">
        <f t="shared" si="38"/>
        <v>CS Parking Area - Interior_2025AUNCC</v>
      </c>
      <c r="M90" s="50" t="str">
        <f t="shared" si="42"/>
        <v>CS Parking Area - Interior_2025AUNCCScheduleSet</v>
      </c>
      <c r="N90" s="69"/>
      <c r="O90" s="4"/>
      <c r="P90" s="46"/>
      <c r="Q90" s="4">
        <v>255.91</v>
      </c>
      <c r="R90" s="46">
        <v>75</v>
      </c>
      <c r="S90" s="4">
        <v>187.67</v>
      </c>
      <c r="T90" s="46">
        <v>55</v>
      </c>
      <c r="U90" s="46"/>
      <c r="V90" s="46"/>
      <c r="W90" s="46">
        <v>130</v>
      </c>
      <c r="X90" s="48">
        <v>0.57692307700000001</v>
      </c>
      <c r="Y90" s="4" t="s">
        <v>2524</v>
      </c>
      <c r="Z90" s="4" t="s">
        <v>2525</v>
      </c>
      <c r="AA90" s="4"/>
      <c r="AB90" s="4"/>
      <c r="AC90" s="51" t="s">
        <v>2165</v>
      </c>
      <c r="AD90" s="4" t="s">
        <v>2165</v>
      </c>
      <c r="AE90" s="51" t="s">
        <v>2165</v>
      </c>
      <c r="AF90" s="63" t="s">
        <v>2165</v>
      </c>
      <c r="AG90" s="63" t="s">
        <v>2165</v>
      </c>
      <c r="AH90" s="63" t="s">
        <v>2165</v>
      </c>
      <c r="AI90" s="63" t="s">
        <v>2165</v>
      </c>
      <c r="AJ90" s="62">
        <v>0.75</v>
      </c>
      <c r="AK90">
        <f t="shared" ref="AK90" si="49">AJ90*0.000471947</f>
        <v>3.5396025000000004E-4</v>
      </c>
      <c r="AL90" s="4" t="s">
        <v>2165</v>
      </c>
      <c r="AM90" t="s">
        <v>37</v>
      </c>
      <c r="AN90" t="s">
        <v>38</v>
      </c>
      <c r="AO90" s="4" t="s">
        <v>2165</v>
      </c>
      <c r="AP90" s="4" t="s">
        <v>2165</v>
      </c>
      <c r="AQ90" s="72" t="str">
        <f t="shared" si="34"/>
        <v>Washington State Mechanical Code TABLE 403.3.1.1Storage_Repair garages_enclosed parking garageVent</v>
      </c>
      <c r="AR90" s="2">
        <v>0</v>
      </c>
      <c r="AS90" s="2">
        <v>0</v>
      </c>
      <c r="AT90" s="2">
        <v>0</v>
      </c>
      <c r="AU90" s="2">
        <v>0.06</v>
      </c>
      <c r="AV90" s="2">
        <v>0.88</v>
      </c>
      <c r="AW90" s="4" t="s">
        <v>2528</v>
      </c>
      <c r="AX90" s="4"/>
      <c r="AY90" t="s">
        <v>2539</v>
      </c>
      <c r="AZ90" s="72" t="str">
        <f t="shared" si="48"/>
        <v>NCC S35C2lClass 7a (Other applications) - no equipment load per S35C2l; radiant/latent/lost fraction split retained from original WA/COMNET-REV9 source (AIRAH Technical Handbook does not publish this split)CS Parking Area - InteriorElectricalEquipDef</v>
      </c>
      <c r="BA90" s="8" t="s">
        <v>341</v>
      </c>
      <c r="BB90" s="50">
        <v>0.185806</v>
      </c>
      <c r="BC90" s="2">
        <v>2</v>
      </c>
      <c r="BD90" s="2">
        <v>0.37</v>
      </c>
      <c r="BE90" s="2">
        <v>0.2</v>
      </c>
      <c r="BF90" t="s">
        <v>2569</v>
      </c>
      <c r="BG90" s="4"/>
      <c r="BH90" t="s">
        <v>2586</v>
      </c>
      <c r="BI90" s="72" t="str">
        <f t="shared" si="39"/>
        <v>NCC J7D3aCarpark - general; radiant/visible fraction split retained from original WA/COMNET-REV9 source (AIRAH Technical Handbook does not publish this split)LightingDef</v>
      </c>
      <c r="BJ90" t="s">
        <v>370</v>
      </c>
      <c r="BK90" s="4" t="s">
        <v>2165</v>
      </c>
      <c r="BL90" s="4" t="s">
        <v>2165</v>
      </c>
      <c r="BM90" s="4" t="s">
        <v>2165</v>
      </c>
      <c r="BN90" s="4" t="s">
        <v>2165</v>
      </c>
      <c r="BO90" s="4" t="s">
        <v>2165</v>
      </c>
      <c r="BP90" s="4" t="s">
        <v>2165</v>
      </c>
      <c r="BQ90" s="4" t="s">
        <v>2165</v>
      </c>
      <c r="BR90" s="4" t="s">
        <v>2165</v>
      </c>
      <c r="BS90" s="4" t="s">
        <v>2165</v>
      </c>
      <c r="BT90" s="73" t="s">
        <v>2165</v>
      </c>
      <c r="BU90" s="4" t="s">
        <v>2165</v>
      </c>
      <c r="BW90">
        <v>0.7</v>
      </c>
      <c r="BY90" t="s">
        <v>2660</v>
      </c>
      <c r="BZ90" s="4" t="s">
        <v>2661</v>
      </c>
      <c r="CA90" s="4"/>
      <c r="CB90" s="50" t="str">
        <f t="shared" si="40"/>
        <v>Space Function_Parking garage space</v>
      </c>
      <c r="CC90" s="72" t="str">
        <f t="shared" ref="CC90" si="50">CONCATENATE(BY90,BZ90,CA90,CB90,"Infil")</f>
        <v>NCC S34C2(6)0.7 ACH assumed as design infiltration for periods without mechanical outdoor air supply; NCC also specifies 0.35 ACH when mechanical OA is operating (to be applied via infiltration schedule once developed)Space Function_Parking garage spaceInfil</v>
      </c>
      <c r="CD90" t="s">
        <v>266</v>
      </c>
      <c r="CE90" t="s">
        <v>250</v>
      </c>
      <c r="CF90" t="s">
        <v>300</v>
      </c>
      <c r="CG90" s="4"/>
      <c r="CH90">
        <v>2.68</v>
      </c>
      <c r="CI90" s="4"/>
      <c r="CJ90" t="s">
        <v>2207</v>
      </c>
      <c r="CK90">
        <v>6.0000000000000001E-3</v>
      </c>
      <c r="CL90">
        <v>31.1</v>
      </c>
      <c r="CM90">
        <v>5865</v>
      </c>
      <c r="CN90">
        <v>669</v>
      </c>
      <c r="CO90">
        <v>0.9</v>
      </c>
      <c r="CP90">
        <v>0.7</v>
      </c>
      <c r="CQ90">
        <v>0.65</v>
      </c>
      <c r="CR90" t="s">
        <v>2260</v>
      </c>
      <c r="CS90" t="s">
        <v>2206</v>
      </c>
      <c r="CT90" t="s">
        <v>2361</v>
      </c>
      <c r="CU90" s="4" t="s">
        <v>2165</v>
      </c>
      <c r="CV90" t="str">
        <f t="shared" si="29"/>
        <v>Steel_Vehicles_6mm</v>
      </c>
      <c r="CW90" s="72" t="str">
        <f t="shared" si="31"/>
        <v>CalculatedEstimateParkedVehiclesAt60PercentOccupancySteel_Vehicles_6mmInternalMassDef</v>
      </c>
    </row>
    <row r="91" spans="1:101" x14ac:dyDescent="0.35">
      <c r="A91" t="s">
        <v>229</v>
      </c>
      <c r="B91" s="50" t="str">
        <f t="shared" si="41"/>
        <v>2025_AU_NCC</v>
      </c>
      <c r="C91" s="50" t="s">
        <v>2440</v>
      </c>
      <c r="D91" s="50" t="s">
        <v>2472</v>
      </c>
      <c r="E91" t="s">
        <v>298</v>
      </c>
      <c r="F91" s="62">
        <v>2025</v>
      </c>
      <c r="G91" s="62" t="s">
        <v>2522</v>
      </c>
      <c r="H91" t="s">
        <v>2523</v>
      </c>
      <c r="I91">
        <v>255</v>
      </c>
      <c r="J91">
        <v>0</v>
      </c>
      <c r="K91">
        <v>127</v>
      </c>
      <c r="L91" s="50" t="str">
        <f t="shared" si="38"/>
        <v>CS Pharmacy Area_2025AUNCC</v>
      </c>
      <c r="M91" s="50" t="str">
        <f t="shared" si="42"/>
        <v>CS Pharmacy Area_2025AUNCCScheduleSet</v>
      </c>
      <c r="N91" s="68">
        <v>100</v>
      </c>
      <c r="O91">
        <v>10</v>
      </c>
      <c r="P91" s="38">
        <v>0.107639151</v>
      </c>
      <c r="Q91">
        <v>255.91</v>
      </c>
      <c r="R91" s="6">
        <v>75</v>
      </c>
      <c r="S91">
        <v>187.67</v>
      </c>
      <c r="T91" s="6">
        <v>55</v>
      </c>
      <c r="U91" s="6"/>
      <c r="V91" s="6"/>
      <c r="W91" s="6">
        <v>130</v>
      </c>
      <c r="X91" s="2">
        <v>0.57692307700000001</v>
      </c>
      <c r="Y91" t="s">
        <v>2524</v>
      </c>
      <c r="Z91" t="s">
        <v>2525</v>
      </c>
      <c r="AB91" s="4"/>
      <c r="AC91" s="50" t="str">
        <f>CONCATENATE(Y91,Z91,AA91,AB91,"PeopleDef")</f>
        <v>NCC S35C2nOther applications (non-dining)PeopleDef</v>
      </c>
      <c r="AD91" t="s">
        <v>353</v>
      </c>
      <c r="AE91" s="50" t="str">
        <f>CONCATENATE(A91,"Activity")</f>
        <v>CS Pharmacy AreaActivity</v>
      </c>
      <c r="AF91" s="62">
        <v>5</v>
      </c>
      <c r="AG91" s="62">
        <f t="shared" si="27"/>
        <v>2.3596035865974517E-3</v>
      </c>
      <c r="AH91" s="62">
        <v>0.18</v>
      </c>
      <c r="AI91" s="62">
        <f t="shared" si="37"/>
        <v>9.144E-4</v>
      </c>
      <c r="AJ91" s="63" t="s">
        <v>2165</v>
      </c>
      <c r="AK91" s="4" t="s">
        <v>2165</v>
      </c>
      <c r="AL91" s="4" t="s">
        <v>2165</v>
      </c>
      <c r="AM91" t="s">
        <v>37</v>
      </c>
      <c r="AN91" t="s">
        <v>72</v>
      </c>
      <c r="AO91" s="4" t="s">
        <v>2165</v>
      </c>
      <c r="AP91" s="4" t="s">
        <v>2165</v>
      </c>
      <c r="AQ91" s="72" t="str">
        <f t="shared" si="34"/>
        <v>Washington State Mechanical Code TABLE 403.3.1.1Workrooms - Pharmacy (prep area)Vent</v>
      </c>
      <c r="AR91" s="2">
        <v>0.46451500000000001</v>
      </c>
      <c r="AS91" s="2">
        <v>5</v>
      </c>
      <c r="AT91" s="2">
        <v>0</v>
      </c>
      <c r="AU91" s="2">
        <v>0.5</v>
      </c>
      <c r="AV91" s="2">
        <v>0</v>
      </c>
      <c r="AW91" t="s">
        <v>2528</v>
      </c>
      <c r="AX91" s="4"/>
      <c r="AY91" t="s">
        <v>2555</v>
      </c>
      <c r="AZ91" s="72" t="str">
        <f t="shared" si="48"/>
        <v>NCC S35C2lClass 9a ward area (support default - judgment call, pharmacy could arguably be clinic/procedure-rated); radiant/latent/lost fraction split retained from original WA/COMNET-REV9 source (AIRAH Technical Handbook does not publish this split)CS Pharmacy AreaElectricalEquipDef</v>
      </c>
      <c r="BA91" s="8" t="s">
        <v>336</v>
      </c>
      <c r="BB91" s="50">
        <v>0.41806399999999999</v>
      </c>
      <c r="BC91" s="2">
        <v>4.5</v>
      </c>
      <c r="BD91" s="2">
        <v>0.37</v>
      </c>
      <c r="BE91" s="2">
        <v>0.2</v>
      </c>
      <c r="BF91" t="s">
        <v>2569</v>
      </c>
      <c r="BG91" s="4"/>
      <c r="BH91" t="s">
        <v>2628</v>
      </c>
      <c r="BI91" s="72" t="str">
        <f t="shared" si="39"/>
        <v>NCC J7D3aHealth-care - examination room (nearest for dispensing counter); radiant/visible fraction split retained from original WA/COMNET-REV9 source (AIRAH Technical Handbook does not publish this split)LightingDef</v>
      </c>
      <c r="BJ91" t="s">
        <v>365</v>
      </c>
      <c r="BK91" s="4" t="s">
        <v>2165</v>
      </c>
      <c r="BL91" s="4" t="s">
        <v>2165</v>
      </c>
      <c r="BM91" s="4" t="s">
        <v>2165</v>
      </c>
      <c r="BN91" s="4" t="s">
        <v>2165</v>
      </c>
      <c r="BO91" s="4" t="s">
        <v>2165</v>
      </c>
      <c r="BP91" s="4" t="s">
        <v>2165</v>
      </c>
      <c r="BQ91" s="4" t="s">
        <v>2165</v>
      </c>
      <c r="BR91" s="4" t="s">
        <v>2165</v>
      </c>
      <c r="BS91" s="4" t="s">
        <v>2165</v>
      </c>
      <c r="BT91" s="73" t="s">
        <v>2165</v>
      </c>
      <c r="BU91" s="4" t="s">
        <v>2165</v>
      </c>
      <c r="BW91">
        <v>0.7</v>
      </c>
      <c r="BY91" t="s">
        <v>2660</v>
      </c>
      <c r="BZ91" t="s">
        <v>2661</v>
      </c>
      <c r="CB91" s="50" t="str">
        <f t="shared" si="40"/>
        <v>Space Function_Hospital - pharmacy</v>
      </c>
      <c r="CC91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Function_Hospital - pharmacyInfil</v>
      </c>
      <c r="CD91" t="s">
        <v>266</v>
      </c>
      <c r="CE91" t="s">
        <v>250</v>
      </c>
      <c r="CF91" t="s">
        <v>298</v>
      </c>
      <c r="CG91" s="4"/>
      <c r="CH91">
        <v>4.0199999999999996</v>
      </c>
      <c r="CI91" s="4"/>
      <c r="CJ91" t="s">
        <v>2205</v>
      </c>
      <c r="CK91">
        <v>2.5999999999999999E-3</v>
      </c>
      <c r="CL91">
        <v>14.3</v>
      </c>
      <c r="CM91">
        <v>3052</v>
      </c>
      <c r="CN91">
        <v>1139</v>
      </c>
      <c r="CO91">
        <v>0.9</v>
      </c>
      <c r="CP91">
        <v>0.7</v>
      </c>
      <c r="CQ91">
        <v>0.7</v>
      </c>
      <c r="CR91" t="s">
        <v>2261</v>
      </c>
      <c r="CS91" t="s">
        <v>2206</v>
      </c>
      <c r="CT91" t="s">
        <v>2362</v>
      </c>
      <c r="CU91" s="4" t="s">
        <v>2165</v>
      </c>
      <c r="CV91" t="str">
        <f t="shared" si="29"/>
        <v>Mixed_Pharmacy_3mm</v>
      </c>
      <c r="CW91" s="72" t="str">
        <f t="shared" si="31"/>
        <v>CalculatedEstimateMedicationShelvingAndStorageCabinetsMixed_Pharmacy_3mmInternalMassDef</v>
      </c>
    </row>
    <row r="92" spans="1:101" x14ac:dyDescent="0.35">
      <c r="A92" t="s">
        <v>230</v>
      </c>
      <c r="B92" s="50" t="str">
        <f t="shared" si="41"/>
        <v>2025_AU_NCC</v>
      </c>
      <c r="C92" s="50" t="s">
        <v>2430</v>
      </c>
      <c r="D92" s="50" t="s">
        <v>2473</v>
      </c>
      <c r="E92" t="s">
        <v>2061</v>
      </c>
      <c r="F92" s="62">
        <v>2025</v>
      </c>
      <c r="G92" s="62" t="s">
        <v>2522</v>
      </c>
      <c r="H92" t="s">
        <v>2523</v>
      </c>
      <c r="I92">
        <v>169</v>
      </c>
      <c r="J92">
        <v>169</v>
      </c>
      <c r="K92">
        <v>31</v>
      </c>
      <c r="L92" s="50" t="str">
        <f t="shared" si="38"/>
        <v>CS Restrooms - Assisted Living_2025AUNCC</v>
      </c>
      <c r="M92" s="50" t="str">
        <f t="shared" si="42"/>
        <v>CS Restrooms - Assisted Living_2025AUNCCScheduleSet</v>
      </c>
      <c r="N92" s="69"/>
      <c r="O92" s="46"/>
      <c r="P92" s="46"/>
      <c r="Q92" s="46">
        <v>255.91</v>
      </c>
      <c r="R92" s="46">
        <v>75</v>
      </c>
      <c r="S92" s="46">
        <v>187.67</v>
      </c>
      <c r="T92" s="46">
        <v>55</v>
      </c>
      <c r="U92" s="46"/>
      <c r="V92" s="46"/>
      <c r="W92" s="46">
        <v>130</v>
      </c>
      <c r="X92" s="48">
        <v>0.57692307700000001</v>
      </c>
      <c r="Y92" s="46" t="s">
        <v>2524</v>
      </c>
      <c r="Z92" s="46" t="s">
        <v>2525</v>
      </c>
      <c r="AA92" s="46"/>
      <c r="AB92" s="46"/>
      <c r="AC92" s="54" t="s">
        <v>2165</v>
      </c>
      <c r="AD92" s="46" t="s">
        <v>2165</v>
      </c>
      <c r="AE92" s="54" t="s">
        <v>2165</v>
      </c>
      <c r="AF92" s="63" t="s">
        <v>2165</v>
      </c>
      <c r="AG92" s="63" t="s">
        <v>2165</v>
      </c>
      <c r="AH92" s="63" t="s">
        <v>2165</v>
      </c>
      <c r="AI92" s="63" t="s">
        <v>2165</v>
      </c>
      <c r="AJ92" s="63" t="s">
        <v>2165</v>
      </c>
      <c r="AK92" s="4" t="s">
        <v>2165</v>
      </c>
      <c r="AL92">
        <v>7</v>
      </c>
      <c r="AM92" t="s">
        <v>92</v>
      </c>
      <c r="AN92" t="s">
        <v>89</v>
      </c>
      <c r="AO92" t="s">
        <v>90</v>
      </c>
      <c r="AP92" s="4" t="s">
        <v>2165</v>
      </c>
      <c r="AQ92" s="72" t="str">
        <f t="shared" si="34"/>
        <v>Rule of ThumbHotels, motels, resorts and dormitories - Bathrooms/toilets - privateWashington State Mechanical Code TABLE 403.3.1.6 - 25/50 per fixtureVent</v>
      </c>
      <c r="AR92" s="2">
        <v>0</v>
      </c>
      <c r="AS92" s="2">
        <v>0</v>
      </c>
      <c r="AT92" s="2">
        <v>0</v>
      </c>
      <c r="AU92" s="2">
        <v>0.5</v>
      </c>
      <c r="AV92" s="2">
        <v>0</v>
      </c>
      <c r="AW92" t="s">
        <v>2528</v>
      </c>
      <c r="AX92" s="4"/>
      <c r="AY92" t="s">
        <v>2556</v>
      </c>
      <c r="AZ92" s="72" t="str">
        <f t="shared" si="48"/>
        <v>NCC S35C2lClass 9c building: S35C2l's 160 W/room provision applies only to sole-occupancy resident rooms; restrooms are a communal amenity space so they default to 'Other applications - No load'; radiant/latent/lost fraction split retained from original WA/COMNET-REV9 source (AIRAH Technical Handbook does not publish this split)CS Restrooms - Assisted LivingElectricalEquipDef</v>
      </c>
      <c r="BA92" s="8" t="s">
        <v>344</v>
      </c>
      <c r="BB92" s="50">
        <v>0.27870899999999998</v>
      </c>
      <c r="BC92" s="2">
        <v>3</v>
      </c>
      <c r="BD92" s="2">
        <v>0.37</v>
      </c>
      <c r="BE92" s="2">
        <v>0.2</v>
      </c>
      <c r="BF92" t="s">
        <v>2569</v>
      </c>
      <c r="BG92" s="4"/>
      <c r="BH92" t="s">
        <v>2629</v>
      </c>
      <c r="BI92" s="72" t="str">
        <f t="shared" si="39"/>
        <v>NCC J7D3aToilet, locker room, staff room, rest room and the like (Class 9c aged care building - NCC 2025 Vol One Spec 35 Table S35C2k is the applicable occupancy profile table for future schedule work); radiant/latent/lost fraction split retained from original WA/COMNET-REV9 source (AIRAH Technical Handbook does not publish this split)LightingDef</v>
      </c>
      <c r="BJ92" t="s">
        <v>1187</v>
      </c>
      <c r="BK92" s="4" t="s">
        <v>2165</v>
      </c>
      <c r="BL92" s="4" t="s">
        <v>2165</v>
      </c>
      <c r="BM92" s="4" t="s">
        <v>2165</v>
      </c>
      <c r="BN92" s="4" t="s">
        <v>2165</v>
      </c>
      <c r="BO92" s="4" t="s">
        <v>2165</v>
      </c>
      <c r="BP92" s="4" t="s">
        <v>2165</v>
      </c>
      <c r="BQ92" s="4" t="s">
        <v>2165</v>
      </c>
      <c r="BR92" s="4" t="s">
        <v>2165</v>
      </c>
      <c r="BS92" s="4" t="s">
        <v>2165</v>
      </c>
      <c r="BT92" s="73" t="s">
        <v>2165</v>
      </c>
      <c r="BU92" s="4" t="s">
        <v>2165</v>
      </c>
      <c r="BW92">
        <v>0.7</v>
      </c>
      <c r="BY92" t="s">
        <v>2660</v>
      </c>
      <c r="BZ92" t="s">
        <v>2661</v>
      </c>
      <c r="CB92" s="50" t="str">
        <f t="shared" si="40"/>
        <v>Office_Restroom</v>
      </c>
      <c r="CC92" s="72" t="str">
        <f t="shared" si="28"/>
        <v>NCC S34C2(6)0.7 ACH assumed as design infiltration for periods without mechanical outdoor air supply; NCC also specifies 0.35 ACH when mechanical OA is operating (to be applied via infiltration schedule once developed)Office_RestroomInfil</v>
      </c>
      <c r="CD92" t="s">
        <v>320</v>
      </c>
      <c r="CE92" t="s">
        <v>115</v>
      </c>
      <c r="CF92" t="s">
        <v>299</v>
      </c>
      <c r="CG92" s="4"/>
      <c r="CH92">
        <v>3.22</v>
      </c>
      <c r="CI92" s="4"/>
      <c r="CJ92" t="s">
        <v>2207</v>
      </c>
      <c r="CK92">
        <v>4.4999999999999997E-3</v>
      </c>
      <c r="CL92">
        <v>7.51</v>
      </c>
      <c r="CM92">
        <v>2167</v>
      </c>
      <c r="CN92">
        <v>1148</v>
      </c>
      <c r="CO92">
        <v>0.9</v>
      </c>
      <c r="CP92">
        <v>0.7</v>
      </c>
      <c r="CQ92">
        <v>0.7</v>
      </c>
      <c r="CR92" t="s">
        <v>2262</v>
      </c>
      <c r="CS92" t="s">
        <v>2206</v>
      </c>
      <c r="CT92" t="s">
        <v>2363</v>
      </c>
      <c r="CU92" s="4" t="s">
        <v>2165</v>
      </c>
      <c r="CV92" t="str">
        <f t="shared" si="29"/>
        <v>Phenolic_Restroom_4mm</v>
      </c>
      <c r="CW92" s="72" t="str">
        <f t="shared" si="31"/>
        <v>CalculatedEstimateADAFixturesWithGrabBarsAndShowerPhenolic_Restroom_4mmInternalMassDef</v>
      </c>
    </row>
    <row r="93" spans="1:101" x14ac:dyDescent="0.35">
      <c r="A93" t="s">
        <v>231</v>
      </c>
      <c r="B93" s="50" t="str">
        <f t="shared" si="41"/>
        <v>2025_AU_NCC</v>
      </c>
      <c r="C93" s="50" t="s">
        <v>2426</v>
      </c>
      <c r="D93" s="50" t="s">
        <v>2473</v>
      </c>
      <c r="E93" t="s">
        <v>2062</v>
      </c>
      <c r="F93" s="62">
        <v>2025</v>
      </c>
      <c r="G93" s="62" t="s">
        <v>2522</v>
      </c>
      <c r="H93" t="s">
        <v>2523</v>
      </c>
      <c r="I93">
        <v>169</v>
      </c>
      <c r="J93">
        <v>169</v>
      </c>
      <c r="K93">
        <v>31</v>
      </c>
      <c r="L93" s="50" t="str">
        <f t="shared" si="38"/>
        <v>CS Restrooms - Other_2025AUNCC</v>
      </c>
      <c r="M93" s="50" t="str">
        <f t="shared" si="42"/>
        <v>CS Restrooms - Other_2025AUNCCScheduleSet</v>
      </c>
      <c r="N93" s="69"/>
      <c r="O93" s="46"/>
      <c r="P93" s="46"/>
      <c r="Q93" s="46">
        <v>255.91</v>
      </c>
      <c r="R93" s="46">
        <v>75</v>
      </c>
      <c r="S93" s="46">
        <v>187.67</v>
      </c>
      <c r="T93" s="46">
        <v>55</v>
      </c>
      <c r="U93" s="46"/>
      <c r="V93" s="46"/>
      <c r="W93" s="46">
        <v>130</v>
      </c>
      <c r="X93" s="48">
        <v>0.57692307700000001</v>
      </c>
      <c r="Y93" s="46" t="s">
        <v>2524</v>
      </c>
      <c r="Z93" s="46" t="s">
        <v>2525</v>
      </c>
      <c r="AA93" s="46"/>
      <c r="AB93" s="46"/>
      <c r="AC93" s="54" t="s">
        <v>2165</v>
      </c>
      <c r="AD93" s="46" t="s">
        <v>2165</v>
      </c>
      <c r="AE93" s="54" t="s">
        <v>2165</v>
      </c>
      <c r="AF93" s="63" t="s">
        <v>2165</v>
      </c>
      <c r="AG93" s="63" t="s">
        <v>2165</v>
      </c>
      <c r="AH93" s="63" t="s">
        <v>2165</v>
      </c>
      <c r="AI93" s="63" t="s">
        <v>2165</v>
      </c>
      <c r="AJ93" s="63" t="s">
        <v>2165</v>
      </c>
      <c r="AK93" s="4" t="s">
        <v>2165</v>
      </c>
      <c r="AL93">
        <v>12</v>
      </c>
      <c r="AM93" t="s">
        <v>92</v>
      </c>
      <c r="AN93" t="s">
        <v>87</v>
      </c>
      <c r="AO93" t="s">
        <v>91</v>
      </c>
      <c r="AP93" s="4" t="s">
        <v>2165</v>
      </c>
      <c r="AQ93" s="72" t="str">
        <f t="shared" ref="AQ93:AQ124" si="51">CONCATENATE(AM93,AN93,AO93,AP93,"Vent")</f>
        <v>Rule of ThumbPublic spaces - Toilet rooms - PublicWashington State Mechanical Code TABLE 403.3.1.6 - 50/70 per fixtureVent</v>
      </c>
      <c r="AR93" s="2">
        <v>0</v>
      </c>
      <c r="AS93" s="2">
        <v>0</v>
      </c>
      <c r="AT93" s="2">
        <v>0</v>
      </c>
      <c r="AU93" s="2">
        <v>0.5</v>
      </c>
      <c r="AV93" s="2">
        <v>0</v>
      </c>
      <c r="AW93" t="s">
        <v>2528</v>
      </c>
      <c r="AX93" t="s">
        <v>32</v>
      </c>
      <c r="AY93" t="s">
        <v>2544</v>
      </c>
      <c r="AZ93" s="72" t="str">
        <f t="shared" si="48"/>
        <v>NCC S35C2lBA WarehouseShared with host building class (Other applications) - no equipment load per S35C2l; radiant/latent/lost fraction split retained from original WA/COMNET-REV9 source (AIRAH Technical Handbook does not publish this split)CS Restrooms - OtherElectricalEquipDef</v>
      </c>
      <c r="BA93" s="8" t="s">
        <v>948</v>
      </c>
      <c r="BB93" s="50">
        <v>0.27870899999999998</v>
      </c>
      <c r="BC93" s="2">
        <v>3</v>
      </c>
      <c r="BD93" s="2">
        <v>0.37</v>
      </c>
      <c r="BE93" s="2">
        <v>0.2</v>
      </c>
      <c r="BF93" t="s">
        <v>2569</v>
      </c>
      <c r="BG93" s="4"/>
      <c r="BH93" t="s">
        <v>2626</v>
      </c>
      <c r="BI93" s="72" t="str">
        <f t="shared" si="39"/>
        <v>NCC J7D3aToilet, locker room, staff room, rest room and the like; radiant/visible fraction split retained from original WA/COMNET-REV9 source (AIRAH Technical Handbook does not publish this split)LightingDef</v>
      </c>
      <c r="BJ93" t="s">
        <v>921</v>
      </c>
      <c r="BK93" s="4" t="s">
        <v>2165</v>
      </c>
      <c r="BL93" s="4" t="s">
        <v>2165</v>
      </c>
      <c r="BM93" s="4" t="s">
        <v>2165</v>
      </c>
      <c r="BN93" s="4" t="s">
        <v>2165</v>
      </c>
      <c r="BO93" s="4" t="s">
        <v>2165</v>
      </c>
      <c r="BP93" s="4" t="s">
        <v>2165</v>
      </c>
      <c r="BQ93" s="4" t="s">
        <v>2165</v>
      </c>
      <c r="BR93" s="4" t="s">
        <v>2165</v>
      </c>
      <c r="BS93" s="4" t="s">
        <v>2165</v>
      </c>
      <c r="BT93" s="73" t="s">
        <v>2165</v>
      </c>
      <c r="BU93" s="4" t="s">
        <v>2165</v>
      </c>
      <c r="BW93">
        <v>0.7</v>
      </c>
      <c r="BY93" t="s">
        <v>2660</v>
      </c>
      <c r="BZ93" t="s">
        <v>2661</v>
      </c>
      <c r="CB93" s="50" t="str">
        <f t="shared" si="40"/>
        <v>SecondarySchool_Restroom</v>
      </c>
      <c r="CC93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developed)SecondarySchool_RestroomInfil</v>
      </c>
      <c r="CD93" t="s">
        <v>265</v>
      </c>
      <c r="CE93" t="s">
        <v>323</v>
      </c>
      <c r="CF93" t="s">
        <v>299</v>
      </c>
      <c r="CG93" s="4"/>
      <c r="CH93">
        <v>2.36</v>
      </c>
      <c r="CI93" s="4"/>
      <c r="CJ93" t="s">
        <v>2207</v>
      </c>
      <c r="CK93">
        <v>2.2000000000000001E-3</v>
      </c>
      <c r="CL93">
        <v>13.9</v>
      </c>
      <c r="CM93">
        <v>4190</v>
      </c>
      <c r="CN93">
        <v>878</v>
      </c>
      <c r="CO93">
        <v>0.9</v>
      </c>
      <c r="CP93">
        <v>0.7</v>
      </c>
      <c r="CQ93">
        <v>0.7</v>
      </c>
      <c r="CR93" t="s">
        <v>2263</v>
      </c>
      <c r="CS93" t="s">
        <v>2206</v>
      </c>
      <c r="CT93" t="s">
        <v>2364</v>
      </c>
      <c r="CU93" s="4" t="s">
        <v>2165</v>
      </c>
      <c r="CV93" t="str">
        <f t="shared" si="29"/>
        <v>Mixed_Restroom_2mm</v>
      </c>
      <c r="CW93" s="72" t="str">
        <f t="shared" si="31"/>
        <v>CalculatedEstimateStandardCommercialFixturesAndPartitionsMixed_Restroom_2mmInternalMassDef</v>
      </c>
    </row>
    <row r="94" spans="1:101" x14ac:dyDescent="0.35">
      <c r="A94" t="s">
        <v>232</v>
      </c>
      <c r="B94" s="50" t="str">
        <f t="shared" si="41"/>
        <v>2025_AU_NCC</v>
      </c>
      <c r="C94" s="50" t="s">
        <v>120</v>
      </c>
      <c r="D94" s="50" t="s">
        <v>2474</v>
      </c>
      <c r="E94" t="s">
        <v>2063</v>
      </c>
      <c r="F94" s="62">
        <v>2025</v>
      </c>
      <c r="G94" s="62" t="s">
        <v>2522</v>
      </c>
      <c r="H94" t="s">
        <v>2523</v>
      </c>
      <c r="I94">
        <v>102</v>
      </c>
      <c r="J94">
        <v>255</v>
      </c>
      <c r="K94">
        <v>102</v>
      </c>
      <c r="L94" s="50" t="str">
        <f t="shared" si="38"/>
        <v>CS Sales Area_2025AUNCC</v>
      </c>
      <c r="M94" s="50" t="str">
        <f t="shared" si="42"/>
        <v>CS Sales Area_2025AUNCCScheduleSet</v>
      </c>
      <c r="N94" s="68">
        <v>66.666666669999998</v>
      </c>
      <c r="O94">
        <v>15</v>
      </c>
      <c r="P94" s="38">
        <v>0.161458726</v>
      </c>
      <c r="Q94">
        <v>255.91</v>
      </c>
      <c r="R94" s="6">
        <v>75</v>
      </c>
      <c r="S94">
        <v>187.67</v>
      </c>
      <c r="T94" s="6">
        <v>55</v>
      </c>
      <c r="U94" s="6"/>
      <c r="V94" s="6"/>
      <c r="W94" s="6">
        <v>130</v>
      </c>
      <c r="X94" s="2">
        <v>0.57692307700000001</v>
      </c>
      <c r="Y94" t="s">
        <v>2524</v>
      </c>
      <c r="Z94" t="s">
        <v>2525</v>
      </c>
      <c r="AB94" s="4"/>
      <c r="AC94" s="50" t="str">
        <f>CONCATENATE(Y94,Z94,AA94,AB94,"PeopleDef")</f>
        <v>NCC S35C2nOther applications (non-dining)PeopleDef</v>
      </c>
      <c r="AD94" t="s">
        <v>353</v>
      </c>
      <c r="AE94" s="50" t="str">
        <f>CONCATENATE(A94,"Activity")</f>
        <v>CS Sales AreaActivity</v>
      </c>
      <c r="AF94" s="62">
        <v>7.5</v>
      </c>
      <c r="AG94" s="62">
        <f t="shared" si="27"/>
        <v>3.5394053798961773E-3</v>
      </c>
      <c r="AH94" s="62">
        <v>0.12</v>
      </c>
      <c r="AI94" s="62">
        <f t="shared" ref="AI94:AI120" si="52">AH94*0.00508</f>
        <v>6.0959999999999996E-4</v>
      </c>
      <c r="AJ94" s="63" t="s">
        <v>2165</v>
      </c>
      <c r="AK94" s="4" t="s">
        <v>2165</v>
      </c>
      <c r="AL94" s="4" t="s">
        <v>2165</v>
      </c>
      <c r="AM94" t="s">
        <v>37</v>
      </c>
      <c r="AN94" t="s">
        <v>73</v>
      </c>
      <c r="AO94" s="4" t="s">
        <v>2165</v>
      </c>
      <c r="AP94" s="4" t="s">
        <v>2165</v>
      </c>
      <c r="AQ94" s="72" t="str">
        <f t="shared" si="51"/>
        <v>Washington State Mechanical Code TABLE 403.3.1.1Retail stores, sales floors, and showroom floors - SalesVent</v>
      </c>
      <c r="AR94" s="2">
        <v>0.46451500000000001</v>
      </c>
      <c r="AS94" s="2">
        <v>5</v>
      </c>
      <c r="AT94" s="2">
        <v>0</v>
      </c>
      <c r="AU94" s="2">
        <v>0.5</v>
      </c>
      <c r="AV94" s="2">
        <v>0</v>
      </c>
      <c r="AW94" t="s">
        <v>2528</v>
      </c>
      <c r="AX94" s="4"/>
      <c r="AY94" t="s">
        <v>2541</v>
      </c>
      <c r="AZ94" s="72" t="str">
        <f t="shared" si="48"/>
        <v>NCC S35C2lClass 6 shop/shopping centre; radiant/latent/lost fraction split retained from original WA/COMNET-REV9 source (AIRAH Technical Handbook does not publish this split)CS Sales AreaElectricalEquipDef</v>
      </c>
      <c r="BA94" s="8" t="s">
        <v>336</v>
      </c>
      <c r="BB94" s="50">
        <v>1.300643</v>
      </c>
      <c r="BC94" s="2">
        <v>14</v>
      </c>
      <c r="BD94" s="2">
        <v>0.37</v>
      </c>
      <c r="BE94" s="2">
        <v>0.2</v>
      </c>
      <c r="BF94" t="s">
        <v>2569</v>
      </c>
      <c r="BG94" s="4"/>
      <c r="BH94" t="s">
        <v>2592</v>
      </c>
      <c r="BI94" s="72" t="str">
        <f t="shared" si="39"/>
        <v>NCC J7D3aRetail space including a museum and gallery whose purpose is the sale of objects; radiant/visible fraction split retained from original WA/COMNET-REV9 source (AIRAH Technical Handbook does not publish this split)LightingDef</v>
      </c>
      <c r="BJ94" t="s">
        <v>365</v>
      </c>
      <c r="BK94" s="4" t="s">
        <v>2165</v>
      </c>
      <c r="BL94" s="4" t="s">
        <v>2165</v>
      </c>
      <c r="BM94" s="4" t="s">
        <v>2165</v>
      </c>
      <c r="BN94" s="4" t="s">
        <v>2165</v>
      </c>
      <c r="BO94" s="4" t="s">
        <v>2165</v>
      </c>
      <c r="BP94" s="4" t="s">
        <v>2165</v>
      </c>
      <c r="BQ94" s="4" t="s">
        <v>2165</v>
      </c>
      <c r="BR94" s="4" t="s">
        <v>2165</v>
      </c>
      <c r="BS94" s="4" t="s">
        <v>2165</v>
      </c>
      <c r="BT94" s="73" t="s">
        <v>2165</v>
      </c>
      <c r="BU94" s="4" t="s">
        <v>2165</v>
      </c>
      <c r="BW94">
        <v>0.7</v>
      </c>
      <c r="BY94" t="s">
        <v>2660</v>
      </c>
      <c r="BZ94" t="s">
        <v>2661</v>
      </c>
      <c r="CB94" s="50" t="str">
        <f t="shared" si="40"/>
        <v>Retail_Point_of_Sale</v>
      </c>
      <c r="CC94" s="72" t="str">
        <f t="shared" si="28"/>
        <v>NCC S34C2(6)0.7 ACH assumed as design infiltration for periods without mechanical outdoor air supply; NCC also specifies 0.35 ACH when mechanical OA is operating (to be applied via infiltration schedule once developed)Retail_Point_of_SaleInfil</v>
      </c>
      <c r="CD94" t="s">
        <v>266</v>
      </c>
      <c r="CE94" t="s">
        <v>120</v>
      </c>
      <c r="CF94" t="s">
        <v>2095</v>
      </c>
      <c r="CG94" s="4"/>
      <c r="CH94">
        <v>3.54</v>
      </c>
      <c r="CI94" s="4"/>
      <c r="CJ94" t="s">
        <v>2205</v>
      </c>
      <c r="CK94">
        <v>3.2000000000000002E-3</v>
      </c>
      <c r="CL94">
        <v>10.6</v>
      </c>
      <c r="CM94">
        <v>2496</v>
      </c>
      <c r="CN94">
        <v>1134</v>
      </c>
      <c r="CO94">
        <v>0.9</v>
      </c>
      <c r="CP94">
        <v>0.7</v>
      </c>
      <c r="CQ94">
        <v>0.7</v>
      </c>
      <c r="CR94" t="s">
        <v>2264</v>
      </c>
      <c r="CS94" t="s">
        <v>2206</v>
      </c>
      <c r="CT94" t="s">
        <v>2365</v>
      </c>
      <c r="CU94" s="4" t="s">
        <v>2165</v>
      </c>
      <c r="CV94" t="str">
        <f t="shared" si="29"/>
        <v>Mixed_Retail_3mm</v>
      </c>
      <c r="CW94" s="72" t="str">
        <f t="shared" si="31"/>
        <v>CalculatedEstimateDisplayShelvingAndMerchandiseInventoryMixed_Retail_3mmInternalMassDef</v>
      </c>
    </row>
    <row r="95" spans="1:101" x14ac:dyDescent="0.35">
      <c r="A95" t="s">
        <v>233</v>
      </c>
      <c r="B95" s="50" t="str">
        <f t="shared" si="41"/>
        <v>2025_AU_NCC</v>
      </c>
      <c r="C95" s="50" t="s">
        <v>2426</v>
      </c>
      <c r="D95" s="50" t="s">
        <v>2475</v>
      </c>
      <c r="E95" t="s">
        <v>130</v>
      </c>
      <c r="F95" s="62">
        <v>2025</v>
      </c>
      <c r="G95" s="62" t="s">
        <v>2522</v>
      </c>
      <c r="H95" t="s">
        <v>2523</v>
      </c>
      <c r="I95">
        <v>230</v>
      </c>
      <c r="J95">
        <v>196</v>
      </c>
      <c r="K95">
        <v>120</v>
      </c>
      <c r="L95" s="50" t="str">
        <f t="shared" si="38"/>
        <v>CS Seating Area General_2025AUNCC</v>
      </c>
      <c r="M95" s="50" t="str">
        <f t="shared" si="42"/>
        <v>CS Seating Area General_2025AUNCCScheduleSet</v>
      </c>
      <c r="N95" s="68">
        <v>33.333333330000002</v>
      </c>
      <c r="O95">
        <v>30</v>
      </c>
      <c r="P95" s="38">
        <v>0.32291745199999999</v>
      </c>
      <c r="Q95">
        <v>255.91</v>
      </c>
      <c r="R95" s="6">
        <v>75</v>
      </c>
      <c r="S95">
        <v>187.67</v>
      </c>
      <c r="T95" s="6">
        <v>55</v>
      </c>
      <c r="U95" s="6"/>
      <c r="V95" s="6"/>
      <c r="W95" s="6">
        <v>130</v>
      </c>
      <c r="X95" s="2">
        <v>0.57692307700000001</v>
      </c>
      <c r="Y95" t="s">
        <v>2524</v>
      </c>
      <c r="Z95" t="s">
        <v>2525</v>
      </c>
      <c r="AC95" s="50" t="str">
        <f>CONCATENATE(Y95,Z95,AA95,AB95,"PeopleDef")</f>
        <v>NCC S35C2nOther applications (non-dining)PeopleDef</v>
      </c>
      <c r="AD95" t="s">
        <v>353</v>
      </c>
      <c r="AE95" s="50" t="str">
        <f>CONCATENATE(A95,"Activity")</f>
        <v>CS Seating Area GeneralActivity</v>
      </c>
      <c r="AF95" s="62">
        <v>7.5</v>
      </c>
      <c r="AG95" s="62">
        <f t="shared" si="27"/>
        <v>3.5394053798961773E-3</v>
      </c>
      <c r="AH95" s="62">
        <v>0.06</v>
      </c>
      <c r="AI95" s="62">
        <f t="shared" si="52"/>
        <v>3.0479999999999998E-4</v>
      </c>
      <c r="AJ95" s="63" t="s">
        <v>2165</v>
      </c>
      <c r="AK95" s="4" t="s">
        <v>2165</v>
      </c>
      <c r="AL95" s="4" t="s">
        <v>2165</v>
      </c>
      <c r="AM95" t="s">
        <v>37</v>
      </c>
      <c r="AN95" t="s">
        <v>65</v>
      </c>
      <c r="AO95" s="4" t="s">
        <v>2165</v>
      </c>
      <c r="AP95" s="4" t="s">
        <v>2165</v>
      </c>
      <c r="AQ95" s="72" t="str">
        <f t="shared" si="51"/>
        <v>Washington State Mechanical Code TABLE 403.3.1.1Hotels, motels, resorts and dormitories - Lobbies/prefunctionVent</v>
      </c>
      <c r="AR95" s="2">
        <v>0.46451500000000001</v>
      </c>
      <c r="AS95" s="2">
        <v>5</v>
      </c>
      <c r="AT95" s="2">
        <v>0</v>
      </c>
      <c r="AU95" s="2">
        <v>0.5</v>
      </c>
      <c r="AV95" s="2">
        <v>0</v>
      </c>
      <c r="AW95" t="s">
        <v>2528</v>
      </c>
      <c r="AX95" t="s">
        <v>13</v>
      </c>
      <c r="AY95" t="s">
        <v>2557</v>
      </c>
      <c r="AZ95" s="72" t="str">
        <f t="shared" si="48"/>
        <v>NCC S35C2lBA HotelClass 6 shop/shopping centre (retail seating area); radiant/latent/lost fraction split retained from original WA/COMNET-REV9 source (AIRAH Technical Handbook does not publish this split)CS Seating Area GeneralElectricalEquipDef</v>
      </c>
      <c r="BA95" s="8" t="s">
        <v>336</v>
      </c>
      <c r="BB95" s="50">
        <v>1.300643</v>
      </c>
      <c r="BC95" s="2">
        <v>14</v>
      </c>
      <c r="BD95" s="2">
        <v>0.37</v>
      </c>
      <c r="BE95" s="2">
        <v>0.2</v>
      </c>
      <c r="BF95" t="s">
        <v>2569</v>
      </c>
      <c r="BG95" s="4"/>
      <c r="BH95" t="s">
        <v>2592</v>
      </c>
      <c r="BI95" s="72" t="str">
        <f t="shared" si="39"/>
        <v>NCC J7D3aRetail space including a museum and gallery whose purpose is the sale of objects; radiant/visible fraction split retained from original WA/COMNET-REV9 source (AIRAH Technical Handbook does not publish this split)LightingDef</v>
      </c>
      <c r="BJ95" t="s">
        <v>365</v>
      </c>
      <c r="BK95" s="4" t="s">
        <v>2165</v>
      </c>
      <c r="BL95" s="4" t="s">
        <v>2165</v>
      </c>
      <c r="BM95" s="4" t="s">
        <v>2165</v>
      </c>
      <c r="BN95" s="4" t="s">
        <v>2165</v>
      </c>
      <c r="BO95" s="4" t="s">
        <v>2165</v>
      </c>
      <c r="BP95" s="4" t="s">
        <v>2165</v>
      </c>
      <c r="BQ95" s="4" t="s">
        <v>2165</v>
      </c>
      <c r="BR95" s="4" t="s">
        <v>2165</v>
      </c>
      <c r="BS95" s="4" t="s">
        <v>2165</v>
      </c>
      <c r="BT95" s="73" t="s">
        <v>2165</v>
      </c>
      <c r="BU95" s="4" t="s">
        <v>2165</v>
      </c>
      <c r="BW95">
        <v>0.7</v>
      </c>
      <c r="BY95" t="s">
        <v>2660</v>
      </c>
      <c r="BZ95" t="s">
        <v>2661</v>
      </c>
      <c r="CB95" s="50" t="str">
        <f t="shared" si="40"/>
        <v>Space Function_Transp. seating</v>
      </c>
      <c r="CC95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Function_Transp. seatingInfil</v>
      </c>
      <c r="CD95" t="s">
        <v>266</v>
      </c>
      <c r="CE95" t="s">
        <v>250</v>
      </c>
      <c r="CF95" t="s">
        <v>267</v>
      </c>
      <c r="CG95" s="4"/>
      <c r="CH95">
        <v>2.1800000000000002</v>
      </c>
      <c r="CI95" s="4"/>
      <c r="CJ95" t="s">
        <v>2205</v>
      </c>
      <c r="CK95">
        <v>6.3E-3</v>
      </c>
      <c r="CL95">
        <v>6.65</v>
      </c>
      <c r="CM95">
        <v>1015</v>
      </c>
      <c r="CN95">
        <v>1349</v>
      </c>
      <c r="CO95">
        <v>0.9</v>
      </c>
      <c r="CP95">
        <v>0.7</v>
      </c>
      <c r="CQ95">
        <v>0.7</v>
      </c>
      <c r="CR95" t="s">
        <v>2265</v>
      </c>
      <c r="CS95" t="s">
        <v>2206</v>
      </c>
      <c r="CT95" t="s">
        <v>2366</v>
      </c>
      <c r="CU95" s="4" t="s">
        <v>2165</v>
      </c>
      <c r="CV95" t="str">
        <f t="shared" si="29"/>
        <v>Mixed_Seating_6mm</v>
      </c>
      <c r="CW95" s="72" t="str">
        <f t="shared" si="31"/>
        <v>CalculatedEstimateSofasChairsAndAreaRugMixed_Seating_6mmInternalMassDef</v>
      </c>
    </row>
    <row r="96" spans="1:101" x14ac:dyDescent="0.35">
      <c r="A96" t="s">
        <v>234</v>
      </c>
      <c r="B96" s="50" t="str">
        <f t="shared" si="41"/>
        <v>2025_AU_NCC</v>
      </c>
      <c r="C96" s="50" t="s">
        <v>2426</v>
      </c>
      <c r="D96" s="50" t="s">
        <v>301</v>
      </c>
      <c r="E96" t="s">
        <v>2064</v>
      </c>
      <c r="F96" s="62">
        <v>2025</v>
      </c>
      <c r="G96" s="62" t="s">
        <v>2522</v>
      </c>
      <c r="H96" t="s">
        <v>2523</v>
      </c>
      <c r="I96">
        <v>230</v>
      </c>
      <c r="J96">
        <v>157</v>
      </c>
      <c r="K96">
        <v>120</v>
      </c>
      <c r="L96" s="50" t="str">
        <f t="shared" si="38"/>
        <v>CS Stairway_2025AUNCC</v>
      </c>
      <c r="M96" s="50" t="str">
        <f t="shared" si="42"/>
        <v>CS Stairway_2025AUNCCScheduleSet</v>
      </c>
      <c r="N96" s="69"/>
      <c r="O96" s="46"/>
      <c r="P96" s="46"/>
      <c r="Q96" s="46">
        <v>255.91</v>
      </c>
      <c r="R96" s="46">
        <v>75</v>
      </c>
      <c r="S96" s="46">
        <v>187.67</v>
      </c>
      <c r="T96" s="46">
        <v>55</v>
      </c>
      <c r="U96" s="46"/>
      <c r="V96" s="46"/>
      <c r="W96" s="46">
        <v>130</v>
      </c>
      <c r="X96" s="48">
        <v>0.57692307700000001</v>
      </c>
      <c r="Y96" s="46" t="s">
        <v>2524</v>
      </c>
      <c r="Z96" s="46" t="s">
        <v>2525</v>
      </c>
      <c r="AA96" s="46"/>
      <c r="AB96" s="46"/>
      <c r="AC96" s="54" t="s">
        <v>2165</v>
      </c>
      <c r="AD96" s="46" t="s">
        <v>2165</v>
      </c>
      <c r="AE96" s="54" t="s">
        <v>2165</v>
      </c>
      <c r="AF96" s="63" t="s">
        <v>2165</v>
      </c>
      <c r="AG96" s="63" t="s">
        <v>2165</v>
      </c>
      <c r="AH96" s="62">
        <v>0.06</v>
      </c>
      <c r="AI96" s="62">
        <f t="shared" si="52"/>
        <v>3.0479999999999998E-4</v>
      </c>
      <c r="AJ96" s="63" t="s">
        <v>2165</v>
      </c>
      <c r="AK96" s="4" t="s">
        <v>2165</v>
      </c>
      <c r="AL96" s="4" t="s">
        <v>2165</v>
      </c>
      <c r="AM96" t="s">
        <v>37</v>
      </c>
      <c r="AN96" t="s">
        <v>66</v>
      </c>
      <c r="AO96" s="4" t="s">
        <v>2165</v>
      </c>
      <c r="AP96" s="4" t="s">
        <v>2165</v>
      </c>
      <c r="AQ96" s="72" t="str">
        <f t="shared" si="51"/>
        <v>Washington State Mechanical Code TABLE 403.3.1.1Public spaces - Corridors serving other than Group R occupanciesVent</v>
      </c>
      <c r="AR96" s="2">
        <v>0</v>
      </c>
      <c r="AS96" s="2">
        <v>0</v>
      </c>
      <c r="AT96" s="2">
        <v>0</v>
      </c>
      <c r="AU96" s="2">
        <v>0.5</v>
      </c>
      <c r="AV96" s="2">
        <v>0</v>
      </c>
      <c r="AW96" t="s">
        <v>2528</v>
      </c>
      <c r="AX96" t="s">
        <v>32</v>
      </c>
      <c r="AY96" t="s">
        <v>2544</v>
      </c>
      <c r="AZ96" s="72" t="str">
        <f t="shared" si="48"/>
        <v>NCC S35C2lBA WarehouseShared with host building class (Other applications) - no equipment load per S35C2l; radiant/latent/lost fraction split retained from original WA/COMNET-REV9 source (AIRAH Technical Handbook does not publish this split)CS StairwayElectricalEquipDef</v>
      </c>
      <c r="BA96" s="8" t="s">
        <v>903</v>
      </c>
      <c r="BB96" s="50">
        <v>0.185806</v>
      </c>
      <c r="BC96" s="2">
        <v>2</v>
      </c>
      <c r="BD96" s="2">
        <v>0.37</v>
      </c>
      <c r="BE96" s="2">
        <v>0.2</v>
      </c>
      <c r="BF96" t="s">
        <v>2569</v>
      </c>
      <c r="BG96" s="4"/>
      <c r="BH96" t="s">
        <v>2630</v>
      </c>
      <c r="BI96" s="72" t="str">
        <f t="shared" si="39"/>
        <v>NCC J7D3aStairways, including fire-isolated stairways; radiant/visible fraction split retained from original WA/COMNET-REV9 source (AIRAH Technical Handbook does not publish this split)LightingDef</v>
      </c>
      <c r="BJ96" t="s">
        <v>922</v>
      </c>
      <c r="BK96" s="4" t="s">
        <v>2165</v>
      </c>
      <c r="BL96" s="4" t="s">
        <v>2165</v>
      </c>
      <c r="BM96" s="4" t="s">
        <v>2165</v>
      </c>
      <c r="BN96" s="4" t="s">
        <v>2165</v>
      </c>
      <c r="BO96" s="4" t="s">
        <v>2165</v>
      </c>
      <c r="BP96" s="4" t="s">
        <v>2165</v>
      </c>
      <c r="BQ96" s="4" t="s">
        <v>2165</v>
      </c>
      <c r="BR96" s="4" t="s">
        <v>2165</v>
      </c>
      <c r="BS96" s="4" t="s">
        <v>2165</v>
      </c>
      <c r="BT96" s="73" t="s">
        <v>2165</v>
      </c>
      <c r="BU96" s="4" t="s">
        <v>2165</v>
      </c>
      <c r="BW96">
        <v>0.7</v>
      </c>
      <c r="BY96" t="s">
        <v>2660</v>
      </c>
      <c r="BZ96" t="s">
        <v>2661</v>
      </c>
      <c r="CB96" s="50" t="str">
        <f t="shared" si="40"/>
        <v>Space Function_Stairway</v>
      </c>
      <c r="CC96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Function_StairwayInfil</v>
      </c>
      <c r="CD96" t="s">
        <v>266</v>
      </c>
      <c r="CE96" t="s">
        <v>250</v>
      </c>
      <c r="CF96" t="s">
        <v>301</v>
      </c>
      <c r="CG96" s="4"/>
      <c r="CH96">
        <v>1.77</v>
      </c>
      <c r="CI96" s="4"/>
      <c r="CJ96" t="s">
        <v>2205</v>
      </c>
      <c r="CK96">
        <v>1.8800000000000001E-2</v>
      </c>
      <c r="CL96">
        <v>9.9700000000000006</v>
      </c>
      <c r="CM96">
        <v>3219</v>
      </c>
      <c r="CN96">
        <v>817</v>
      </c>
      <c r="CO96">
        <v>0.9</v>
      </c>
      <c r="CP96">
        <v>0.7</v>
      </c>
      <c r="CQ96">
        <v>0.65</v>
      </c>
      <c r="CR96" t="s">
        <v>2266</v>
      </c>
      <c r="CS96" t="s">
        <v>2206</v>
      </c>
      <c r="CT96" t="s">
        <v>2367</v>
      </c>
      <c r="CU96" s="4" t="s">
        <v>2165</v>
      </c>
      <c r="CV96" t="str">
        <f t="shared" si="29"/>
        <v>Concrete_Stairway_19mm</v>
      </c>
      <c r="CW96" s="72" t="str">
        <f t="shared" si="31"/>
        <v>CalculatedEstimateConcreteStairsWithHandrailsAndGuardrailsConcrete_Stairway_19mmInternalMassDef</v>
      </c>
    </row>
    <row r="97" spans="1:101" x14ac:dyDescent="0.35">
      <c r="A97" t="s">
        <v>172</v>
      </c>
      <c r="B97" s="50" t="str">
        <f t="shared" si="41"/>
        <v>2025_AU_NCC</v>
      </c>
      <c r="C97" s="50" t="s">
        <v>110</v>
      </c>
      <c r="D97" s="50" t="s">
        <v>2476</v>
      </c>
      <c r="E97" t="s">
        <v>2065</v>
      </c>
      <c r="F97" s="62">
        <v>2025</v>
      </c>
      <c r="G97" s="62" t="s">
        <v>2522</v>
      </c>
      <c r="H97" t="s">
        <v>2523</v>
      </c>
      <c r="I97">
        <v>102</v>
      </c>
      <c r="J97">
        <v>0</v>
      </c>
      <c r="K97">
        <v>0</v>
      </c>
      <c r="L97" s="50" t="str">
        <f t="shared" si="38"/>
        <v>CS Storage - Hospital_2025AUNCC</v>
      </c>
      <c r="M97" s="50" t="str">
        <f t="shared" si="42"/>
        <v>CS Storage - Hospital_2025AUNCCScheduleSet</v>
      </c>
      <c r="N97" s="69"/>
      <c r="O97" s="46"/>
      <c r="P97" s="46"/>
      <c r="Q97" s="46">
        <v>255.91</v>
      </c>
      <c r="R97" s="46">
        <v>75</v>
      </c>
      <c r="S97" s="46">
        <v>187.67</v>
      </c>
      <c r="T97" s="46">
        <v>55</v>
      </c>
      <c r="U97" s="46"/>
      <c r="V97" s="46"/>
      <c r="W97" s="46">
        <v>130</v>
      </c>
      <c r="X97" s="48">
        <v>0.57692307700000001</v>
      </c>
      <c r="Y97" s="46" t="s">
        <v>2524</v>
      </c>
      <c r="Z97" s="46" t="s">
        <v>2525</v>
      </c>
      <c r="AA97" s="46"/>
      <c r="AB97" s="46"/>
      <c r="AC97" s="54" t="s">
        <v>2165</v>
      </c>
      <c r="AD97" s="46" t="s">
        <v>2165</v>
      </c>
      <c r="AE97" s="54" t="s">
        <v>2165</v>
      </c>
      <c r="AF97" s="63" t="s">
        <v>2165</v>
      </c>
      <c r="AG97" s="63" t="s">
        <v>2165</v>
      </c>
      <c r="AH97" s="62">
        <v>0.12</v>
      </c>
      <c r="AI97" s="62">
        <f t="shared" si="52"/>
        <v>6.0959999999999996E-4</v>
      </c>
      <c r="AJ97" s="63" t="s">
        <v>2165</v>
      </c>
      <c r="AK97" s="4" t="s">
        <v>2165</v>
      </c>
      <c r="AL97" s="4" t="s">
        <v>2165</v>
      </c>
      <c r="AM97" t="s">
        <v>37</v>
      </c>
      <c r="AN97" t="s">
        <v>61</v>
      </c>
      <c r="AO97" s="4" t="s">
        <v>2165</v>
      </c>
      <c r="AP97" s="4" t="s">
        <v>2165</v>
      </c>
      <c r="AQ97" s="72" t="str">
        <f t="shared" si="51"/>
        <v>Washington State Mechanical Code TABLE 403.3.1.1Retail stores, sales floors, and showroom floors - Storage roomsVent</v>
      </c>
      <c r="AR97" s="2">
        <v>0</v>
      </c>
      <c r="AS97" s="2">
        <v>0</v>
      </c>
      <c r="AT97" s="2">
        <v>0</v>
      </c>
      <c r="AU97" s="2">
        <v>0.5</v>
      </c>
      <c r="AV97" s="2">
        <v>0</v>
      </c>
      <c r="AW97" t="s">
        <v>2528</v>
      </c>
      <c r="AX97" s="4"/>
      <c r="AY97" t="s">
        <v>2558</v>
      </c>
      <c r="AZ97" s="72" t="str">
        <f t="shared" si="48"/>
        <v>NCC S35C2lClass 9a storage (Other applications) - no equipment load per S35C2l; radiant/latent/lost fraction split retained from original WA/COMNET-REV9 source (AIRAH Technical Handbook does not publish this split)CS Storage - HospitalElectricalEquipDef</v>
      </c>
      <c r="BA97" s="8" t="s">
        <v>341</v>
      </c>
      <c r="BB97" s="50">
        <v>0.13935500000000001</v>
      </c>
      <c r="BC97" s="2">
        <v>1.5</v>
      </c>
      <c r="BD97" s="2">
        <v>0.37</v>
      </c>
      <c r="BE97" s="2">
        <v>0.2</v>
      </c>
      <c r="BF97" t="s">
        <v>2569</v>
      </c>
      <c r="BG97" s="4"/>
      <c r="BH97" t="s">
        <v>2596</v>
      </c>
      <c r="BI97" s="72" t="str">
        <f t="shared" si="39"/>
        <v>NCC J7D3aStorage; radiant/visible fraction split retained from original WA/COMNET-REV9 source (AIRAH Technical Handbook does not publish this split)LightingDef</v>
      </c>
      <c r="BJ97" t="s">
        <v>370</v>
      </c>
      <c r="BK97" s="4" t="s">
        <v>2165</v>
      </c>
      <c r="BL97" s="4" t="s">
        <v>2165</v>
      </c>
      <c r="BM97" s="4" t="s">
        <v>2165</v>
      </c>
      <c r="BN97" s="4" t="s">
        <v>2165</v>
      </c>
      <c r="BO97" s="4" t="s">
        <v>2165</v>
      </c>
      <c r="BP97" s="4" t="s">
        <v>2165</v>
      </c>
      <c r="BQ97" s="4" t="s">
        <v>2165</v>
      </c>
      <c r="BR97" s="4" t="s">
        <v>2165</v>
      </c>
      <c r="BS97" s="4" t="s">
        <v>2165</v>
      </c>
      <c r="BT97" s="73" t="s">
        <v>2165</v>
      </c>
      <c r="BU97" s="4" t="s">
        <v>2165</v>
      </c>
      <c r="BW97">
        <v>0.7</v>
      </c>
      <c r="BY97" t="s">
        <v>2660</v>
      </c>
      <c r="BZ97" t="s">
        <v>2661</v>
      </c>
      <c r="CB97" s="50" t="str">
        <f t="shared" si="40"/>
        <v>Space Function_Storage area</v>
      </c>
      <c r="CC97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Function_Storage areaInfil</v>
      </c>
      <c r="CD97" t="s">
        <v>266</v>
      </c>
      <c r="CE97" t="s">
        <v>250</v>
      </c>
      <c r="CF97" t="s">
        <v>302</v>
      </c>
      <c r="CG97" s="4"/>
      <c r="CH97">
        <v>6.89</v>
      </c>
      <c r="CI97" s="4"/>
      <c r="CJ97" t="s">
        <v>2207</v>
      </c>
      <c r="CK97">
        <v>2.2000000000000001E-3</v>
      </c>
      <c r="CL97">
        <v>9.2200000000000006</v>
      </c>
      <c r="CM97">
        <v>4416</v>
      </c>
      <c r="CN97">
        <v>928</v>
      </c>
      <c r="CO97">
        <v>0.9</v>
      </c>
      <c r="CP97">
        <v>0.7</v>
      </c>
      <c r="CQ97">
        <v>0.7</v>
      </c>
      <c r="CR97" t="s">
        <v>2267</v>
      </c>
      <c r="CS97" t="s">
        <v>2206</v>
      </c>
      <c r="CT97" t="s">
        <v>2368</v>
      </c>
      <c r="CU97" s="4" t="s">
        <v>2165</v>
      </c>
      <c r="CV97" t="str">
        <f t="shared" si="29"/>
        <v>Steel_Hospital_Storage_2mm</v>
      </c>
      <c r="CW97" s="72" t="str">
        <f t="shared" si="31"/>
        <v>CalculatedEstimateMedicalShelvingAndSupplyCartsSteel_Hospital_Storage_2mmInternalMassDef</v>
      </c>
    </row>
    <row r="98" spans="1:101" x14ac:dyDescent="0.35">
      <c r="A98" t="s">
        <v>213</v>
      </c>
      <c r="B98" s="50" t="str">
        <f t="shared" si="41"/>
        <v>2025_AU_NCC</v>
      </c>
      <c r="C98" s="50" t="s">
        <v>2426</v>
      </c>
      <c r="D98" s="50" t="s">
        <v>2477</v>
      </c>
      <c r="E98" t="s">
        <v>302</v>
      </c>
      <c r="F98" s="62">
        <v>2025</v>
      </c>
      <c r="G98" s="62" t="s">
        <v>2522</v>
      </c>
      <c r="H98" t="s">
        <v>2523</v>
      </c>
      <c r="I98">
        <v>102</v>
      </c>
      <c r="J98">
        <v>0</v>
      </c>
      <c r="K98">
        <v>0</v>
      </c>
      <c r="L98" s="50" t="str">
        <f t="shared" si="38"/>
        <v>CS Storage - &gt;= 50 ft2 _2025AUNCC</v>
      </c>
      <c r="M98" s="50" t="str">
        <f t="shared" si="42"/>
        <v>CS Storage - &gt;= 50 ft2 _2025AUNCCScheduleSet</v>
      </c>
      <c r="N98" s="69"/>
      <c r="O98" s="46"/>
      <c r="P98" s="46"/>
      <c r="Q98" s="46">
        <v>255.91</v>
      </c>
      <c r="R98" s="46">
        <v>75</v>
      </c>
      <c r="S98" s="46">
        <v>187.67</v>
      </c>
      <c r="T98" s="46">
        <v>55</v>
      </c>
      <c r="U98" s="46"/>
      <c r="V98" s="46"/>
      <c r="W98" s="46">
        <v>130</v>
      </c>
      <c r="X98" s="48">
        <v>0.57692307700000001</v>
      </c>
      <c r="Y98" s="46" t="s">
        <v>2524</v>
      </c>
      <c r="Z98" s="46" t="s">
        <v>2525</v>
      </c>
      <c r="AA98" s="46"/>
      <c r="AB98" s="46"/>
      <c r="AC98" s="54" t="s">
        <v>2165</v>
      </c>
      <c r="AD98" s="46" t="s">
        <v>2165</v>
      </c>
      <c r="AE98" s="54" t="s">
        <v>2165</v>
      </c>
      <c r="AF98" s="63" t="s">
        <v>2165</v>
      </c>
      <c r="AG98" s="63" t="s">
        <v>2165</v>
      </c>
      <c r="AH98" s="62">
        <v>0.06</v>
      </c>
      <c r="AI98" s="62">
        <f t="shared" si="52"/>
        <v>3.0479999999999998E-4</v>
      </c>
      <c r="AJ98" s="63" t="s">
        <v>2165</v>
      </c>
      <c r="AK98" s="4" t="s">
        <v>2165</v>
      </c>
      <c r="AL98" s="4" t="s">
        <v>2165</v>
      </c>
      <c r="AM98" t="s">
        <v>37</v>
      </c>
      <c r="AN98" t="s">
        <v>93</v>
      </c>
      <c r="AO98" s="4" t="s">
        <v>2165</v>
      </c>
      <c r="AP98" s="4" t="s">
        <v>2165</v>
      </c>
      <c r="AQ98" s="72" t="str">
        <f t="shared" si="51"/>
        <v>Washington State Mechanical Code TABLE 403.3.1.1Storage - WarehousesVent</v>
      </c>
      <c r="AR98" s="2">
        <v>0</v>
      </c>
      <c r="AS98" s="2">
        <v>0</v>
      </c>
      <c r="AT98" s="2">
        <v>0</v>
      </c>
      <c r="AU98" s="2">
        <v>0.5</v>
      </c>
      <c r="AV98" s="2">
        <v>0</v>
      </c>
      <c r="AW98" t="s">
        <v>2528</v>
      </c>
      <c r="AX98" s="4"/>
      <c r="AY98" t="s">
        <v>2544</v>
      </c>
      <c r="AZ98" s="72" t="str">
        <f t="shared" si="48"/>
        <v>NCC S35C2lShared with host building class (Other applications) - no equipment load per S35C2l; radiant/latent/lost fraction split retained from original WA/COMNET-REV9 source (AIRAH Technical Handbook does not publish this split)CS Storage - &gt;= 50 ft2 ElectricalEquipDef</v>
      </c>
      <c r="BA98" s="8" t="s">
        <v>335</v>
      </c>
      <c r="BB98" s="50">
        <v>0.13935500000000001</v>
      </c>
      <c r="BC98" s="2">
        <v>1.5</v>
      </c>
      <c r="BD98" s="2">
        <v>0.37</v>
      </c>
      <c r="BE98" s="2">
        <v>0.2</v>
      </c>
      <c r="BF98" t="s">
        <v>2569</v>
      </c>
      <c r="BG98" s="4"/>
      <c r="BH98" t="s">
        <v>2596</v>
      </c>
      <c r="BI98" s="72" t="str">
        <f t="shared" si="39"/>
        <v>NCC J7D3aStorage; radiant/visible fraction split retained from original WA/COMNET-REV9 source (AIRAH Technical Handbook does not publish this split)LightingDef</v>
      </c>
      <c r="BJ98" t="s">
        <v>364</v>
      </c>
      <c r="BK98" s="4" t="s">
        <v>2165</v>
      </c>
      <c r="BL98" s="4" t="s">
        <v>2165</v>
      </c>
      <c r="BM98" s="4" t="s">
        <v>2165</v>
      </c>
      <c r="BN98" s="4" t="s">
        <v>2165</v>
      </c>
      <c r="BO98" s="4" t="s">
        <v>2165</v>
      </c>
      <c r="BP98" s="4" t="s">
        <v>2165</v>
      </c>
      <c r="BQ98" s="4" t="s">
        <v>2165</v>
      </c>
      <c r="BR98" s="4" t="s">
        <v>2165</v>
      </c>
      <c r="BS98" s="4" t="s">
        <v>2165</v>
      </c>
      <c r="BT98" s="73" t="s">
        <v>2165</v>
      </c>
      <c r="BU98" s="4" t="s">
        <v>2165</v>
      </c>
      <c r="BW98">
        <v>0.7</v>
      </c>
      <c r="BY98" t="s">
        <v>2660</v>
      </c>
      <c r="BZ98" t="s">
        <v>2661</v>
      </c>
      <c r="CB98" s="50" t="str">
        <f t="shared" si="40"/>
        <v>SmallHotel_Storage4Front</v>
      </c>
      <c r="CC98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developed)SmallHotel_Storage4FrontInfil</v>
      </c>
      <c r="CD98" t="s">
        <v>266</v>
      </c>
      <c r="CE98" t="s">
        <v>324</v>
      </c>
      <c r="CF98" t="s">
        <v>303</v>
      </c>
      <c r="CG98" s="4"/>
      <c r="CH98">
        <v>7.37</v>
      </c>
      <c r="CI98" s="4"/>
      <c r="CJ98" t="s">
        <v>2205</v>
      </c>
      <c r="CK98">
        <v>4.0000000000000001E-3</v>
      </c>
      <c r="CL98">
        <v>10.9</v>
      </c>
      <c r="CM98">
        <v>2584</v>
      </c>
      <c r="CN98">
        <v>1123</v>
      </c>
      <c r="CO98">
        <v>0.9</v>
      </c>
      <c r="CP98">
        <v>0.7</v>
      </c>
      <c r="CQ98">
        <v>0.7</v>
      </c>
      <c r="CR98" t="s">
        <v>2268</v>
      </c>
      <c r="CS98" t="s">
        <v>2206</v>
      </c>
      <c r="CT98" t="s">
        <v>2369</v>
      </c>
      <c r="CU98" s="4" t="s">
        <v>2165</v>
      </c>
      <c r="CV98" t="str">
        <f t="shared" si="29"/>
        <v>Mixed_Commercial_Storage_4mm</v>
      </c>
      <c r="CW98" s="72" t="str">
        <f t="shared" si="31"/>
        <v>CalculatedEstimateShelvingWithFileAndPaperBoxesMixed_Commercial_Storage_4mmInternalMassDef</v>
      </c>
    </row>
    <row r="99" spans="1:101" x14ac:dyDescent="0.35">
      <c r="A99" t="s">
        <v>214</v>
      </c>
      <c r="B99" s="50" t="str">
        <f t="shared" si="41"/>
        <v>2025_AU_NCC</v>
      </c>
      <c r="C99" s="50" t="s">
        <v>2426</v>
      </c>
      <c r="D99" s="50" t="s">
        <v>2478</v>
      </c>
      <c r="E99" t="s">
        <v>302</v>
      </c>
      <c r="F99" s="62">
        <v>2025</v>
      </c>
      <c r="G99" s="62" t="s">
        <v>2522</v>
      </c>
      <c r="H99" t="s">
        <v>2523</v>
      </c>
      <c r="I99">
        <v>102</v>
      </c>
      <c r="J99">
        <v>0</v>
      </c>
      <c r="K99">
        <v>0</v>
      </c>
      <c r="L99" s="50" t="str">
        <f t="shared" si="38"/>
        <v>CS Storage - &lt; 50 ft2 _2025AUNCC</v>
      </c>
      <c r="M99" s="50" t="str">
        <f t="shared" si="42"/>
        <v>CS Storage - &lt; 50 ft2 _2025AUNCCScheduleSet</v>
      </c>
      <c r="N99" s="69"/>
      <c r="O99" s="46"/>
      <c r="P99" s="46"/>
      <c r="Q99" s="46">
        <v>255.91</v>
      </c>
      <c r="R99" s="46">
        <v>75</v>
      </c>
      <c r="S99" s="46">
        <v>187.67</v>
      </c>
      <c r="T99" s="46">
        <v>55</v>
      </c>
      <c r="U99" s="46"/>
      <c r="V99" s="46"/>
      <c r="W99" s="46">
        <v>130</v>
      </c>
      <c r="X99" s="48">
        <v>0.57692307700000001</v>
      </c>
      <c r="Y99" s="46" t="s">
        <v>2524</v>
      </c>
      <c r="Z99" s="46" t="s">
        <v>2525</v>
      </c>
      <c r="AA99" s="46"/>
      <c r="AB99" s="46"/>
      <c r="AC99" s="54" t="s">
        <v>2165</v>
      </c>
      <c r="AD99" s="46" t="s">
        <v>2165</v>
      </c>
      <c r="AE99" s="54" t="s">
        <v>2165</v>
      </c>
      <c r="AF99" s="63" t="s">
        <v>2165</v>
      </c>
      <c r="AG99" s="63" t="s">
        <v>2165</v>
      </c>
      <c r="AH99" s="62">
        <v>0.06</v>
      </c>
      <c r="AI99" s="62">
        <f t="shared" si="52"/>
        <v>3.0479999999999998E-4</v>
      </c>
      <c r="AJ99" s="63" t="s">
        <v>2165</v>
      </c>
      <c r="AK99" s="4" t="s">
        <v>2165</v>
      </c>
      <c r="AL99" s="4" t="s">
        <v>2165</v>
      </c>
      <c r="AM99" t="s">
        <v>37</v>
      </c>
      <c r="AN99" t="s">
        <v>93</v>
      </c>
      <c r="AO99" s="4" t="s">
        <v>2165</v>
      </c>
      <c r="AP99" s="4" t="s">
        <v>2165</v>
      </c>
      <c r="AQ99" s="72" t="str">
        <f t="shared" si="51"/>
        <v>Washington State Mechanical Code TABLE 403.3.1.1Storage - WarehousesVent</v>
      </c>
      <c r="AR99" s="2">
        <v>0</v>
      </c>
      <c r="AS99" s="2">
        <v>0</v>
      </c>
      <c r="AT99" s="2">
        <v>0</v>
      </c>
      <c r="AU99" s="2">
        <v>0.5</v>
      </c>
      <c r="AV99" s="2">
        <v>0</v>
      </c>
      <c r="AW99" t="s">
        <v>2528</v>
      </c>
      <c r="AX99" s="4"/>
      <c r="AY99" t="s">
        <v>2544</v>
      </c>
      <c r="AZ99" s="72" t="str">
        <f t="shared" si="48"/>
        <v>NCC S35C2lShared with host building class (Other applications) - no equipment load per S35C2l; radiant/latent/lost fraction split retained from original WA/COMNET-REV9 source (AIRAH Technical Handbook does not publish this split)CS Storage - &lt; 50 ft2 ElectricalEquipDef</v>
      </c>
      <c r="BA99" s="8" t="s">
        <v>335</v>
      </c>
      <c r="BB99" s="50">
        <v>0.13935500000000001</v>
      </c>
      <c r="BC99" s="2">
        <v>1.5</v>
      </c>
      <c r="BD99" s="2">
        <v>0.37</v>
      </c>
      <c r="BE99" s="2">
        <v>0.2</v>
      </c>
      <c r="BF99" t="s">
        <v>2569</v>
      </c>
      <c r="BG99" s="4"/>
      <c r="BH99" t="s">
        <v>2596</v>
      </c>
      <c r="BI99" s="72" t="str">
        <f t="shared" si="39"/>
        <v>NCC J7D3aStorage; radiant/visible fraction split retained from original WA/COMNET-REV9 source (AIRAH Technical Handbook does not publish this split)LightingDef</v>
      </c>
      <c r="BJ99" t="s">
        <v>364</v>
      </c>
      <c r="BK99" s="4" t="s">
        <v>2165</v>
      </c>
      <c r="BL99" s="4" t="s">
        <v>2165</v>
      </c>
      <c r="BM99" s="4" t="s">
        <v>2165</v>
      </c>
      <c r="BN99" s="4" t="s">
        <v>2165</v>
      </c>
      <c r="BO99" s="4" t="s">
        <v>2165</v>
      </c>
      <c r="BP99" s="4" t="s">
        <v>2165</v>
      </c>
      <c r="BQ99" s="4" t="s">
        <v>2165</v>
      </c>
      <c r="BR99" s="4" t="s">
        <v>2165</v>
      </c>
      <c r="BS99" s="4" t="s">
        <v>2165</v>
      </c>
      <c r="BT99" s="73" t="s">
        <v>2165</v>
      </c>
      <c r="BU99" s="4" t="s">
        <v>2165</v>
      </c>
      <c r="BW99">
        <v>0.7</v>
      </c>
      <c r="BY99" t="s">
        <v>2660</v>
      </c>
      <c r="BZ99" t="s">
        <v>2661</v>
      </c>
      <c r="CB99" s="50" t="str">
        <f t="shared" si="40"/>
        <v>SmallHotel_Storage4Front</v>
      </c>
      <c r="CC99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developed)SmallHotel_Storage4FrontInfil</v>
      </c>
      <c r="CD99" t="s">
        <v>266</v>
      </c>
      <c r="CE99" t="s">
        <v>324</v>
      </c>
      <c r="CF99" t="s">
        <v>303</v>
      </c>
      <c r="CG99" s="4"/>
      <c r="CH99">
        <v>4.72</v>
      </c>
      <c r="CI99" s="4"/>
      <c r="CJ99" t="s">
        <v>2205</v>
      </c>
      <c r="CK99">
        <v>2.5000000000000001E-3</v>
      </c>
      <c r="CL99">
        <v>14.7</v>
      </c>
      <c r="CM99">
        <v>2644</v>
      </c>
      <c r="CN99">
        <v>1128</v>
      </c>
      <c r="CO99">
        <v>0.9</v>
      </c>
      <c r="CP99">
        <v>0.7</v>
      </c>
      <c r="CQ99">
        <v>0.7</v>
      </c>
      <c r="CR99" t="s">
        <v>2269</v>
      </c>
      <c r="CS99" t="s">
        <v>2206</v>
      </c>
      <c r="CT99" t="s">
        <v>2370</v>
      </c>
      <c r="CU99" s="4" t="s">
        <v>2165</v>
      </c>
      <c r="CV99" t="str">
        <f t="shared" si="29"/>
        <v>Mixed_Small_Storage_2mm</v>
      </c>
      <c r="CW99" s="72" t="str">
        <f t="shared" si="31"/>
        <v>CalculatedEstimateWallShelvingInJanitorialClosetMixed_Small_Storage_2mmInternalMassDef</v>
      </c>
    </row>
    <row r="100" spans="1:101" x14ac:dyDescent="0.35">
      <c r="A100" t="s">
        <v>235</v>
      </c>
      <c r="B100" s="50" t="str">
        <f t="shared" si="41"/>
        <v>2025_AU_NCC</v>
      </c>
      <c r="C100" s="50" t="s">
        <v>2442</v>
      </c>
      <c r="D100" s="50" t="s">
        <v>2479</v>
      </c>
      <c r="E100" t="s">
        <v>304</v>
      </c>
      <c r="F100" s="62">
        <v>2025</v>
      </c>
      <c r="G100" s="62" t="s">
        <v>2522</v>
      </c>
      <c r="H100" t="s">
        <v>2523</v>
      </c>
      <c r="I100">
        <v>153</v>
      </c>
      <c r="J100">
        <v>0</v>
      </c>
      <c r="K100">
        <v>76</v>
      </c>
      <c r="L100" s="50" t="str">
        <f t="shared" si="38"/>
        <v>CS Vehicular Maintenance_2025AUNCC</v>
      </c>
      <c r="M100" s="50" t="str">
        <f t="shared" si="42"/>
        <v>CS Vehicular Maintenance_2025AUNCCScheduleSet</v>
      </c>
      <c r="N100" s="69"/>
      <c r="O100" s="46"/>
      <c r="P100" s="46"/>
      <c r="Q100" s="46">
        <v>255.91</v>
      </c>
      <c r="R100" s="46">
        <v>75</v>
      </c>
      <c r="S100" s="46">
        <v>187.67</v>
      </c>
      <c r="T100" s="46">
        <v>55</v>
      </c>
      <c r="U100" s="46"/>
      <c r="V100" s="46"/>
      <c r="W100" s="46">
        <v>130</v>
      </c>
      <c r="X100" s="48">
        <v>0.57692307700000001</v>
      </c>
      <c r="Y100" s="46" t="s">
        <v>2524</v>
      </c>
      <c r="Z100" s="46" t="s">
        <v>2525</v>
      </c>
      <c r="AA100" s="46"/>
      <c r="AB100" s="46"/>
      <c r="AC100" s="54" t="s">
        <v>2165</v>
      </c>
      <c r="AD100" s="46" t="s">
        <v>2165</v>
      </c>
      <c r="AE100" s="54" t="s">
        <v>2165</v>
      </c>
      <c r="AF100" s="63" t="s">
        <v>2165</v>
      </c>
      <c r="AG100" s="63" t="s">
        <v>2165</v>
      </c>
      <c r="AH100" s="63" t="s">
        <v>2165</v>
      </c>
      <c r="AI100" s="63" t="s">
        <v>2165</v>
      </c>
      <c r="AJ100" s="62">
        <v>0.75</v>
      </c>
      <c r="AK100">
        <f t="shared" ref="AK100:AK101" si="53">AJ100*0.000471947</f>
        <v>3.5396025000000004E-4</v>
      </c>
      <c r="AL100" s="4" t="s">
        <v>2165</v>
      </c>
      <c r="AM100" t="s">
        <v>37</v>
      </c>
      <c r="AN100" t="s">
        <v>38</v>
      </c>
      <c r="AO100" s="4" t="s">
        <v>2165</v>
      </c>
      <c r="AP100" s="4" t="s">
        <v>2165</v>
      </c>
      <c r="AQ100" s="72" t="str">
        <f t="shared" si="51"/>
        <v>Washington State Mechanical Code TABLE 403.3.1.1Storage_Repair garages_enclosed parking garageVent</v>
      </c>
      <c r="AR100" s="2">
        <v>0</v>
      </c>
      <c r="AS100" s="2">
        <v>0</v>
      </c>
      <c r="AT100" s="2">
        <v>0</v>
      </c>
      <c r="AU100" s="2">
        <v>0.5</v>
      </c>
      <c r="AV100" s="2">
        <v>0</v>
      </c>
      <c r="AW100" t="s">
        <v>2528</v>
      </c>
      <c r="AX100" s="4"/>
      <c r="AY100" t="s">
        <v>2537</v>
      </c>
      <c r="AZ100" s="72" t="str">
        <f t="shared" si="48"/>
        <v>NCC S35C2lClass 8 (Other applications) - no equipment load per S35C2l; radiant/latent/lost fraction split retained from original WA/COMNET-REV9 source (AIRAH Technical Handbook does not publish this split)CS Vehicular MaintenanceElectricalEquipDef</v>
      </c>
      <c r="BA100" s="8" t="s">
        <v>337</v>
      </c>
      <c r="BB100" s="50">
        <v>0.59</v>
      </c>
      <c r="BC100" s="2">
        <v>6.3507100000000003</v>
      </c>
      <c r="BD100" s="2">
        <v>0.37</v>
      </c>
      <c r="BE100" s="2">
        <v>0.2</v>
      </c>
      <c r="BF100" t="s">
        <v>2599</v>
      </c>
      <c r="BG100" s="4"/>
      <c r="BH100" t="s">
        <v>2631</v>
      </c>
      <c r="BI100" s="72" t="str">
        <f t="shared" si="39"/>
        <v>IECC Table C405.3.2(2)Vehicular maintenance area; radiant/visible fraction split retained from original WA/COMNET-REV9 sourceLightingDef</v>
      </c>
      <c r="BJ100" t="s">
        <v>366</v>
      </c>
      <c r="BK100" s="4" t="s">
        <v>2165</v>
      </c>
      <c r="BL100" s="4" t="s">
        <v>2165</v>
      </c>
      <c r="BM100" s="4" t="s">
        <v>2165</v>
      </c>
      <c r="BN100" s="4" t="s">
        <v>2165</v>
      </c>
      <c r="BO100" s="4" t="s">
        <v>2165</v>
      </c>
      <c r="BP100" s="4" t="s">
        <v>2165</v>
      </c>
      <c r="BQ100" s="4" t="s">
        <v>2165</v>
      </c>
      <c r="BR100" s="4" t="s">
        <v>2165</v>
      </c>
      <c r="BS100" s="4" t="s">
        <v>2165</v>
      </c>
      <c r="BT100" s="73" t="s">
        <v>2165</v>
      </c>
      <c r="BU100" s="4" t="s">
        <v>2165</v>
      </c>
      <c r="BW100">
        <v>0.7</v>
      </c>
      <c r="BY100" t="s">
        <v>2660</v>
      </c>
      <c r="BZ100" s="4" t="s">
        <v>2661</v>
      </c>
      <c r="CA100" s="4"/>
      <c r="CB100" s="50" t="str">
        <f t="shared" si="40"/>
        <v>Space Function_Parking garage space</v>
      </c>
      <c r="CC100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Function_Parking garage spaceInfil</v>
      </c>
      <c r="CD100" t="s">
        <v>266</v>
      </c>
      <c r="CE100" t="s">
        <v>250</v>
      </c>
      <c r="CF100" t="s">
        <v>300</v>
      </c>
      <c r="CG100" s="4"/>
      <c r="CH100">
        <v>1.31</v>
      </c>
      <c r="CI100" s="4"/>
      <c r="CJ100" t="s">
        <v>2207</v>
      </c>
      <c r="CK100">
        <v>4.4999999999999997E-3</v>
      </c>
      <c r="CL100">
        <v>41.4</v>
      </c>
      <c r="CM100">
        <v>7054</v>
      </c>
      <c r="CN100">
        <v>551</v>
      </c>
      <c r="CO100">
        <v>0.9</v>
      </c>
      <c r="CP100">
        <v>0.7</v>
      </c>
      <c r="CQ100">
        <v>0.7</v>
      </c>
      <c r="CR100" t="s">
        <v>2270</v>
      </c>
      <c r="CS100" t="s">
        <v>2206</v>
      </c>
      <c r="CT100" t="s">
        <v>2371</v>
      </c>
      <c r="CU100" s="4" t="s">
        <v>2165</v>
      </c>
      <c r="CV100" t="str">
        <f t="shared" si="29"/>
        <v>Steel_AutoShop_4mm</v>
      </c>
      <c r="CW100" s="72" t="str">
        <f t="shared" si="31"/>
        <v>CalculatedEstimateVehicleLiftsAndToolChestsSteel_AutoShop_4mmInternalMassDef</v>
      </c>
    </row>
    <row r="101" spans="1:101" x14ac:dyDescent="0.35">
      <c r="A101" t="s">
        <v>236</v>
      </c>
      <c r="B101" s="50" t="str">
        <f t="shared" si="41"/>
        <v>2025_AU_NCC</v>
      </c>
      <c r="C101" s="50" t="s">
        <v>126</v>
      </c>
      <c r="D101" s="50" t="s">
        <v>126</v>
      </c>
      <c r="E101" t="s">
        <v>304</v>
      </c>
      <c r="F101" s="62">
        <v>2025</v>
      </c>
      <c r="G101" s="62" t="s">
        <v>2522</v>
      </c>
      <c r="H101" t="s">
        <v>2523</v>
      </c>
      <c r="I101">
        <v>160</v>
      </c>
      <c r="J101">
        <v>160</v>
      </c>
      <c r="K101">
        <v>160</v>
      </c>
      <c r="L101" s="50" t="str">
        <f t="shared" ref="L101:L132" si="54">CONCATENATE(A101,"_",F101,G101,H101)</f>
        <v>CS Workshop_2025AUNCC</v>
      </c>
      <c r="M101" s="50" t="str">
        <f t="shared" si="42"/>
        <v>CS Workshop_2025AUNCCScheduleSet</v>
      </c>
      <c r="N101" s="68">
        <v>50</v>
      </c>
      <c r="O101">
        <v>20</v>
      </c>
      <c r="P101" s="38">
        <v>0.21527830100000001</v>
      </c>
      <c r="Q101">
        <v>255.91</v>
      </c>
      <c r="R101" s="6">
        <v>75</v>
      </c>
      <c r="S101">
        <v>187.67</v>
      </c>
      <c r="T101" s="6">
        <v>55</v>
      </c>
      <c r="U101" s="6"/>
      <c r="V101" s="6"/>
      <c r="W101" s="6">
        <v>130</v>
      </c>
      <c r="X101" s="2">
        <v>0.57692307700000001</v>
      </c>
      <c r="Y101" t="s">
        <v>2524</v>
      </c>
      <c r="Z101" t="s">
        <v>2525</v>
      </c>
      <c r="AB101" s="4"/>
      <c r="AC101" s="50" t="str">
        <f t="shared" ref="AC101:AC110" si="55">CONCATENATE(Y101,Z101,AA101,AB101,"PeopleDef")</f>
        <v>NCC S35C2nOther applications (non-dining)PeopleDef</v>
      </c>
      <c r="AD101" t="s">
        <v>354</v>
      </c>
      <c r="AE101" s="50" t="str">
        <f t="shared" ref="AE101:AE110" si="56">CONCATENATE(A101,"Activity")</f>
        <v>CS WorkshopActivity</v>
      </c>
      <c r="AF101" s="62">
        <v>10</v>
      </c>
      <c r="AG101" s="62">
        <f t="shared" si="27"/>
        <v>4.7192071731949033E-3</v>
      </c>
      <c r="AH101" s="62">
        <v>0.18</v>
      </c>
      <c r="AI101" s="62">
        <f t="shared" si="52"/>
        <v>9.144E-4</v>
      </c>
      <c r="AJ101" s="62">
        <v>0.5</v>
      </c>
      <c r="AK101">
        <f t="shared" si="53"/>
        <v>2.3597350000000001E-4</v>
      </c>
      <c r="AL101" s="4" t="s">
        <v>2165</v>
      </c>
      <c r="AM101" t="s">
        <v>37</v>
      </c>
      <c r="AN101" t="s">
        <v>74</v>
      </c>
      <c r="AO101" s="4" t="s">
        <v>2165</v>
      </c>
      <c r="AP101" s="4" t="s">
        <v>2165</v>
      </c>
      <c r="AQ101" s="72" t="str">
        <f t="shared" si="51"/>
        <v>Washington State Mechanical Code TABLE 403.3.1.1Education - Wood/metal shopsVent</v>
      </c>
      <c r="AR101" s="2">
        <v>0</v>
      </c>
      <c r="AS101" s="2">
        <v>0</v>
      </c>
      <c r="AT101" s="2">
        <v>0.1</v>
      </c>
      <c r="AU101" s="2">
        <v>0.5</v>
      </c>
      <c r="AV101" s="2">
        <v>0.1</v>
      </c>
      <c r="AW101" t="s">
        <v>2528</v>
      </c>
      <c r="AX101" s="4"/>
      <c r="AY101" t="s">
        <v>2537</v>
      </c>
      <c r="AZ101" s="72" t="str">
        <f t="shared" si="48"/>
        <v>NCC S35C2lClass 8 (Other applications) - no equipment load per S35C2l; radiant/latent/lost fraction split retained from original WA/COMNET-REV9 source (AIRAH Technical Handbook does not publish this split)CS WorkshopElectricalEquipDef</v>
      </c>
      <c r="BA101" s="8" t="s">
        <v>337</v>
      </c>
      <c r="BB101" s="50">
        <v>1.17</v>
      </c>
      <c r="BC101" s="2">
        <v>12.593769999999999</v>
      </c>
      <c r="BD101" s="2">
        <v>0.37</v>
      </c>
      <c r="BE101" s="2">
        <v>0.2</v>
      </c>
      <c r="BF101" t="s">
        <v>2599</v>
      </c>
      <c r="BG101" s="4"/>
      <c r="BH101" t="s">
        <v>2597</v>
      </c>
      <c r="BI101" s="72" t="str">
        <f t="shared" ref="BI101:BI132" si="57">CONCATENATE(BF101,BG101,BH101,"LightingDef")</f>
        <v>IECC Table C405.3.2(2)Workshop; radiant/visible fraction split retained from original WA/COMNET-REV9 sourceLightingDef</v>
      </c>
      <c r="BJ101" t="s">
        <v>366</v>
      </c>
      <c r="BK101" s="4" t="s">
        <v>2165</v>
      </c>
      <c r="BL101" s="4" t="s">
        <v>2165</v>
      </c>
      <c r="BM101" s="4" t="s">
        <v>2165</v>
      </c>
      <c r="BN101" s="4" t="s">
        <v>2165</v>
      </c>
      <c r="BO101" s="4" t="s">
        <v>2165</v>
      </c>
      <c r="BP101" s="4" t="s">
        <v>2165</v>
      </c>
      <c r="BQ101" s="4" t="s">
        <v>2165</v>
      </c>
      <c r="BR101" s="4" t="s">
        <v>2165</v>
      </c>
      <c r="BS101" s="4" t="s">
        <v>2165</v>
      </c>
      <c r="BT101" s="73" t="s">
        <v>2165</v>
      </c>
      <c r="BU101" s="4" t="s">
        <v>2165</v>
      </c>
      <c r="BW101">
        <v>0.7</v>
      </c>
      <c r="BY101" t="s">
        <v>2660</v>
      </c>
      <c r="BZ101" s="4" t="s">
        <v>2661</v>
      </c>
      <c r="CA101" s="4"/>
      <c r="CB101" s="50" t="str">
        <f t="shared" ref="CB101:CB132" si="58">CONCATENATE(CE101,"_",CF101)</f>
        <v>Space Function_Parking garage space</v>
      </c>
      <c r="CC101" s="72" t="str">
        <f t="shared" ref="CC101" si="59">CONCATENATE(BY101,BZ101,CA101,CB101,"Infil")</f>
        <v>NCC S34C2(6)0.7 ACH assumed as design infiltration for periods without mechanical outdoor air supply; NCC also specifies 0.35 ACH when mechanical OA is operating (to be applied via infiltration schedule once developed)Space Function_Parking garage spaceInfil</v>
      </c>
      <c r="CD101" t="s">
        <v>266</v>
      </c>
      <c r="CE101" t="s">
        <v>250</v>
      </c>
      <c r="CF101" t="s">
        <v>300</v>
      </c>
      <c r="CG101" s="4"/>
      <c r="CH101">
        <v>2.27</v>
      </c>
      <c r="CI101" s="4"/>
      <c r="CJ101" t="s">
        <v>2207</v>
      </c>
      <c r="CK101">
        <v>2.5000000000000001E-3</v>
      </c>
      <c r="CL101">
        <v>40.799999999999997</v>
      </c>
      <c r="CM101">
        <v>6533</v>
      </c>
      <c r="CN101">
        <v>647</v>
      </c>
      <c r="CO101">
        <v>0.9</v>
      </c>
      <c r="CP101">
        <v>0.7</v>
      </c>
      <c r="CQ101">
        <v>0.7</v>
      </c>
      <c r="CR101" t="s">
        <v>2271</v>
      </c>
      <c r="CS101" t="s">
        <v>2206</v>
      </c>
      <c r="CT101" t="s">
        <v>2372</v>
      </c>
      <c r="CU101" s="4" t="s">
        <v>2165</v>
      </c>
      <c r="CV101" t="str">
        <f t="shared" si="29"/>
        <v>Steel_Workshop_2mm</v>
      </c>
      <c r="CW101" s="72" t="str">
        <f t="shared" si="31"/>
        <v>CalculatedEstimateMachineToolsAndWorkbenchesSteel_Workshop_2mmInternalMassDef</v>
      </c>
    </row>
    <row r="102" spans="1:101" x14ac:dyDescent="0.35">
      <c r="A102" t="s">
        <v>173</v>
      </c>
      <c r="B102" s="50" t="str">
        <f t="shared" si="41"/>
        <v>2025_AU_NCC</v>
      </c>
      <c r="C102" s="50" t="s">
        <v>262</v>
      </c>
      <c r="D102" s="50" t="s">
        <v>2480</v>
      </c>
      <c r="E102" t="s">
        <v>312</v>
      </c>
      <c r="F102" s="62">
        <v>2025</v>
      </c>
      <c r="G102" s="62" t="s">
        <v>2522</v>
      </c>
      <c r="H102" t="s">
        <v>2523</v>
      </c>
      <c r="I102">
        <v>255</v>
      </c>
      <c r="J102">
        <v>153</v>
      </c>
      <c r="K102">
        <v>255</v>
      </c>
      <c r="L102" s="50" t="str">
        <f t="shared" si="54"/>
        <v>SS Assisted Living - Chapel_2025AUNCC</v>
      </c>
      <c r="M102" s="50" t="str">
        <f t="shared" si="42"/>
        <v>SS Assisted Living - Chapel_2025AUNCCScheduleSet</v>
      </c>
      <c r="N102" s="68">
        <v>8.3333333330000006</v>
      </c>
      <c r="O102">
        <v>120</v>
      </c>
      <c r="P102" s="38">
        <v>1.291669806</v>
      </c>
      <c r="Q102">
        <v>255.91</v>
      </c>
      <c r="R102" s="6">
        <v>75</v>
      </c>
      <c r="S102">
        <v>187.67</v>
      </c>
      <c r="T102" s="6">
        <v>55</v>
      </c>
      <c r="U102" s="6"/>
      <c r="V102" s="6"/>
      <c r="W102" s="6">
        <v>130</v>
      </c>
      <c r="X102" s="2">
        <v>0.57692307700000001</v>
      </c>
      <c r="Y102" t="s">
        <v>2524</v>
      </c>
      <c r="Z102" t="s">
        <v>2525</v>
      </c>
      <c r="AB102" s="4"/>
      <c r="AC102" s="50" t="str">
        <f t="shared" si="55"/>
        <v>NCC S35C2nOther applications (non-dining)PeopleDef</v>
      </c>
      <c r="AD102" t="s">
        <v>353</v>
      </c>
      <c r="AE102" s="50" t="str">
        <f t="shared" si="56"/>
        <v>SS Assisted Living - ChapelActivity</v>
      </c>
      <c r="AF102" s="62">
        <v>5</v>
      </c>
      <c r="AG102" s="62">
        <f t="shared" si="27"/>
        <v>2.3596035865974517E-3</v>
      </c>
      <c r="AH102" s="62">
        <v>0.06</v>
      </c>
      <c r="AI102" s="62">
        <f t="shared" si="52"/>
        <v>3.0479999999999998E-4</v>
      </c>
      <c r="AJ102" s="63" t="s">
        <v>2165</v>
      </c>
      <c r="AK102" s="4" t="s">
        <v>2165</v>
      </c>
      <c r="AL102" s="4" t="s">
        <v>2165</v>
      </c>
      <c r="AM102" t="s">
        <v>37</v>
      </c>
      <c r="AN102" t="s">
        <v>75</v>
      </c>
      <c r="AO102" s="4" t="s">
        <v>2165</v>
      </c>
      <c r="AP102" s="4" t="s">
        <v>2165</v>
      </c>
      <c r="AQ102" s="72" t="str">
        <f t="shared" si="51"/>
        <v>Washington State Mechanical Code TABLE 403.3.1.1Public spaces - Places of religious worshipVent</v>
      </c>
      <c r="AR102" s="2">
        <v>0</v>
      </c>
      <c r="AS102" s="2">
        <v>0</v>
      </c>
      <c r="AT102" s="2">
        <v>0</v>
      </c>
      <c r="AU102" s="2">
        <v>0.5</v>
      </c>
      <c r="AV102" s="2">
        <v>0</v>
      </c>
      <c r="AW102" t="s">
        <v>2528</v>
      </c>
      <c r="AX102" s="4"/>
      <c r="AY102" t="s">
        <v>2533</v>
      </c>
      <c r="AZ102" s="72" t="str">
        <f t="shared" si="48"/>
        <v>NCC S35C2lClass 9b (Other applications) - no equipment load per S35C2l; radiant/latent/lost fraction split retained from original WA/COMNET-REV9 source (AIRAH Technical Handbook does not publish this split)SS Assisted Living - ChapelElectricalEquipDef</v>
      </c>
      <c r="BA102" s="8" t="s">
        <v>336</v>
      </c>
      <c r="BB102" s="50">
        <v>0.743224</v>
      </c>
      <c r="BC102" s="2">
        <v>8</v>
      </c>
      <c r="BD102" s="2">
        <v>0.37</v>
      </c>
      <c r="BE102" s="2">
        <v>0.2</v>
      </c>
      <c r="BF102" t="s">
        <v>2569</v>
      </c>
      <c r="BG102" s="4"/>
      <c r="BH102" t="s">
        <v>2632</v>
      </c>
      <c r="BI102" s="72" t="str">
        <f t="shared" si="57"/>
        <v>NCC J7D3aAuditorium, church and public hall (chapel); radiant/visible fraction split retained from original WA/COMNET-REV9 source (AIRAH Technical Handbook does not publish this split)LightingDef</v>
      </c>
      <c r="BJ102" t="s">
        <v>365</v>
      </c>
      <c r="BK102" s="4" t="s">
        <v>2165</v>
      </c>
      <c r="BL102" s="4" t="s">
        <v>2165</v>
      </c>
      <c r="BM102" s="4" t="s">
        <v>2165</v>
      </c>
      <c r="BN102" s="4" t="s">
        <v>2165</v>
      </c>
      <c r="BO102" s="4" t="s">
        <v>2165</v>
      </c>
      <c r="BP102" s="4" t="s">
        <v>2165</v>
      </c>
      <c r="BQ102" s="4" t="s">
        <v>2165</v>
      </c>
      <c r="BR102" s="4" t="s">
        <v>2165</v>
      </c>
      <c r="BS102" s="4" t="s">
        <v>2165</v>
      </c>
      <c r="BT102" s="73" t="s">
        <v>2165</v>
      </c>
      <c r="BU102" s="4" t="s">
        <v>2165</v>
      </c>
      <c r="BW102">
        <v>0.7</v>
      </c>
      <c r="BY102" t="s">
        <v>2660</v>
      </c>
      <c r="BZ102" t="s">
        <v>2661</v>
      </c>
      <c r="CB102" s="50" t="str">
        <f t="shared" si="58"/>
        <v>Space Function_Religious - fellowship hall</v>
      </c>
      <c r="CC102" s="72" t="str">
        <f t="shared" si="28"/>
        <v>NCC S34C2(6)0.7 ACH assumed as design infiltration for periods without mechanical outdoor air supply; NCC also specifies 0.35 ACH when mechanical OA is operating (to be applied via infiltration schedule once developed)Space Function_Religious - fellowship hallInfil</v>
      </c>
      <c r="CD102" t="s">
        <v>266</v>
      </c>
      <c r="CE102" t="s">
        <v>250</v>
      </c>
      <c r="CF102" t="s">
        <v>312</v>
      </c>
      <c r="CG102" s="4"/>
      <c r="CH102">
        <v>3.06</v>
      </c>
      <c r="CI102" s="4"/>
      <c r="CJ102" t="s">
        <v>2205</v>
      </c>
      <c r="CK102">
        <v>8.0000000000000002E-3</v>
      </c>
      <c r="CL102">
        <v>3.09</v>
      </c>
      <c r="CM102">
        <v>855</v>
      </c>
      <c r="CN102">
        <v>1384</v>
      </c>
      <c r="CO102">
        <v>0.9</v>
      </c>
      <c r="CP102">
        <v>0.7</v>
      </c>
      <c r="CQ102">
        <v>0.7</v>
      </c>
      <c r="CR102" t="s">
        <v>2272</v>
      </c>
      <c r="CS102" t="s">
        <v>2206</v>
      </c>
      <c r="CT102" t="s">
        <v>2373</v>
      </c>
      <c r="CU102" s="4" t="s">
        <v>2165</v>
      </c>
      <c r="CV102" t="str">
        <f t="shared" si="29"/>
        <v>Mixed_Chapel_8mm</v>
      </c>
      <c r="CW102" s="72" t="str">
        <f t="shared" si="31"/>
        <v>CalculatedEstimateChapelSeatingAndAltarFurnishingsMixed_Chapel_8mmInternalMassDef</v>
      </c>
    </row>
    <row r="103" spans="1:101" x14ac:dyDescent="0.35">
      <c r="A103" t="s">
        <v>174</v>
      </c>
      <c r="B103" s="50" t="str">
        <f t="shared" si="41"/>
        <v>2025_AU_NCC</v>
      </c>
      <c r="C103" s="50" t="s">
        <v>2430</v>
      </c>
      <c r="D103" s="50" t="s">
        <v>2481</v>
      </c>
      <c r="E103" t="s">
        <v>2066</v>
      </c>
      <c r="F103" s="62">
        <v>2025</v>
      </c>
      <c r="G103" s="62" t="s">
        <v>2522</v>
      </c>
      <c r="H103" t="s">
        <v>2523</v>
      </c>
      <c r="I103">
        <v>255</v>
      </c>
      <c r="J103">
        <v>0</v>
      </c>
      <c r="K103">
        <v>0</v>
      </c>
      <c r="L103" s="50" t="str">
        <f t="shared" si="54"/>
        <v>SS Assisted Living - Recreation Room_2025AUNCC</v>
      </c>
      <c r="M103" s="50" t="str">
        <f t="shared" si="42"/>
        <v>SS Assisted Living - Recreation Room_2025AUNCCScheduleSet</v>
      </c>
      <c r="N103" s="68">
        <v>25</v>
      </c>
      <c r="O103">
        <v>40</v>
      </c>
      <c r="P103" s="38">
        <v>0.43055660200000001</v>
      </c>
      <c r="Q103">
        <v>255.91</v>
      </c>
      <c r="R103" s="6">
        <v>75</v>
      </c>
      <c r="S103">
        <v>187.67</v>
      </c>
      <c r="T103" s="6">
        <v>55</v>
      </c>
      <c r="U103" s="6"/>
      <c r="V103" s="6"/>
      <c r="W103" s="6">
        <v>130</v>
      </c>
      <c r="X103" s="2">
        <v>0.57692307700000001</v>
      </c>
      <c r="Y103" t="s">
        <v>2524</v>
      </c>
      <c r="Z103" t="s">
        <v>2525</v>
      </c>
      <c r="AB103" s="4"/>
      <c r="AC103" s="50" t="str">
        <f t="shared" si="55"/>
        <v>NCC S35C2nOther applications (non-dining)PeopleDef</v>
      </c>
      <c r="AD103" t="s">
        <v>355</v>
      </c>
      <c r="AE103" s="50" t="str">
        <f t="shared" si="56"/>
        <v>SS Assisted Living - Recreation RoomActivity</v>
      </c>
      <c r="AF103" s="62">
        <v>20</v>
      </c>
      <c r="AG103" s="62">
        <f t="shared" ref="AG103:AG141" si="60">AF103/2119</f>
        <v>9.4384143463898066E-3</v>
      </c>
      <c r="AH103" s="62">
        <v>0.06</v>
      </c>
      <c r="AI103" s="62">
        <f t="shared" si="52"/>
        <v>3.0479999999999998E-4</v>
      </c>
      <c r="AJ103" s="63" t="s">
        <v>2165</v>
      </c>
      <c r="AK103" s="4" t="s">
        <v>2165</v>
      </c>
      <c r="AL103" s="4" t="s">
        <v>2165</v>
      </c>
      <c r="AM103" t="s">
        <v>37</v>
      </c>
      <c r="AN103" t="s">
        <v>76</v>
      </c>
      <c r="AO103" s="4" t="s">
        <v>2165</v>
      </c>
      <c r="AP103" s="4" t="s">
        <v>2165</v>
      </c>
      <c r="AQ103" s="72" t="str">
        <f t="shared" si="51"/>
        <v>Washington State Mechanical Code TABLE 403.3.1.1Sports and amusement - Health club/aerobics roomVent</v>
      </c>
      <c r="AR103" s="2">
        <v>0</v>
      </c>
      <c r="AS103" s="2">
        <v>0</v>
      </c>
      <c r="AT103" s="2">
        <v>0</v>
      </c>
      <c r="AU103" s="2">
        <v>0.5</v>
      </c>
      <c r="AV103" s="2">
        <v>0</v>
      </c>
      <c r="AW103" t="s">
        <v>2528</v>
      </c>
      <c r="AX103" s="4"/>
      <c r="AY103" t="s">
        <v>2559</v>
      </c>
      <c r="AZ103" s="72" t="str">
        <f t="shared" si="48"/>
        <v>NCC S35C2lClass 9c building: S35C2l's 160 W/room provision applies only to sole-occupancy resident rooms; a recreation room is a communal space so it defaults to 'Other applications - No load'; radiant/latent/lost fraction split retained from original WA/COMNET-REV9 source (AIRAH Technical Handbook does not publish this split)SS Assisted Living - Recreation RoomElectricalEquipDef</v>
      </c>
      <c r="BA103" s="8" t="s">
        <v>338</v>
      </c>
      <c r="BB103" s="50">
        <v>0.41806399999999999</v>
      </c>
      <c r="BC103" s="2">
        <v>4.5</v>
      </c>
      <c r="BD103" s="2">
        <v>0.37</v>
      </c>
      <c r="BE103" s="2">
        <v>0.2</v>
      </c>
      <c r="BF103" t="s">
        <v>2569</v>
      </c>
      <c r="BG103" s="4"/>
      <c r="BH103" t="s">
        <v>2633</v>
      </c>
      <c r="BI103" s="72" t="str">
        <f t="shared" si="57"/>
        <v>NCC J7D3aLounge area for communal use in a Class 3 or 9c building (Class 9c aged care building - NCC 2025 Vol One Spec 35 Table S35C2k is the applicable occupancy profile table for future schedule work); radiant/latent/lost fraction split retained from original WA/COMNET-REV9 source (AIRAH Technical Handbook does not publish this split)LightingDef</v>
      </c>
      <c r="BJ103" t="s">
        <v>367</v>
      </c>
      <c r="BK103" s="4" t="s">
        <v>2165</v>
      </c>
      <c r="BL103" s="4" t="s">
        <v>2165</v>
      </c>
      <c r="BM103" s="4" t="s">
        <v>2165</v>
      </c>
      <c r="BN103" s="4" t="s">
        <v>2165</v>
      </c>
      <c r="BO103" s="4" t="s">
        <v>2165</v>
      </c>
      <c r="BP103" s="4" t="s">
        <v>2165</v>
      </c>
      <c r="BQ103" s="4" t="s">
        <v>2165</v>
      </c>
      <c r="BR103" s="4" t="s">
        <v>2165</v>
      </c>
      <c r="BS103" s="4" t="s">
        <v>2165</v>
      </c>
      <c r="BT103" s="73" t="s">
        <v>2165</v>
      </c>
      <c r="BU103" s="4" t="s">
        <v>2165</v>
      </c>
      <c r="BW103">
        <v>0.7</v>
      </c>
      <c r="BY103" t="s">
        <v>2660</v>
      </c>
      <c r="BZ103" t="s">
        <v>2661</v>
      </c>
      <c r="CB103" s="50" t="str">
        <f t="shared" si="58"/>
        <v>Space Function_Hospital - lounge/recreation</v>
      </c>
      <c r="CC103" s="72" t="str">
        <f t="shared" ref="CC103:CC141" si="61">CONCATENATE(BY103,BZ103,CA103,CB103,"Infil")</f>
        <v>NCC S34C2(6)0.7 ACH assumed as design infiltration for periods without mechanical outdoor air supply; NCC also specifies 0.35 ACH when mechanical OA is operating (to be applied via infiltration schedule once developed)Space Function_Hospital - lounge/recreationInfil</v>
      </c>
      <c r="CD103" t="s">
        <v>266</v>
      </c>
      <c r="CE103" t="s">
        <v>250</v>
      </c>
      <c r="CF103" t="s">
        <v>2066</v>
      </c>
      <c r="CG103" s="4"/>
      <c r="CH103">
        <v>3.38</v>
      </c>
      <c r="CI103" s="4"/>
      <c r="CJ103" t="s">
        <v>2205</v>
      </c>
      <c r="CK103">
        <v>3.8E-3</v>
      </c>
      <c r="CL103">
        <v>6.76</v>
      </c>
      <c r="CM103">
        <v>1572</v>
      </c>
      <c r="CN103">
        <v>1213</v>
      </c>
      <c r="CO103">
        <v>0.9</v>
      </c>
      <c r="CP103">
        <v>0.7</v>
      </c>
      <c r="CQ103">
        <v>0.7</v>
      </c>
      <c r="CR103" t="s">
        <v>2273</v>
      </c>
      <c r="CS103" t="s">
        <v>2206</v>
      </c>
      <c r="CT103" t="s">
        <v>2374</v>
      </c>
      <c r="CU103" s="4" t="s">
        <v>2165</v>
      </c>
      <c r="CV103" t="str">
        <f t="shared" ref="CV103:CV141" si="62">CR103</f>
        <v>Mixed_Recreation_4mm</v>
      </c>
      <c r="CW103" s="72" t="str">
        <f t="shared" si="31"/>
        <v>CalculatedEstimateRecreationRoomFurnitureAndGameTablesMixed_Recreation_4mmInternalMassDef</v>
      </c>
    </row>
    <row r="104" spans="1:101" x14ac:dyDescent="0.35">
      <c r="A104" t="s">
        <v>175</v>
      </c>
      <c r="B104" s="50" t="str">
        <f t="shared" si="41"/>
        <v>2025_AU_NCC</v>
      </c>
      <c r="C104" s="50" t="s">
        <v>2422</v>
      </c>
      <c r="D104" s="50" t="s">
        <v>2482</v>
      </c>
      <c r="E104" t="s">
        <v>277</v>
      </c>
      <c r="F104" s="62">
        <v>2025</v>
      </c>
      <c r="G104" s="62" t="s">
        <v>2522</v>
      </c>
      <c r="H104" t="s">
        <v>2523</v>
      </c>
      <c r="I104">
        <v>204</v>
      </c>
      <c r="J104">
        <v>204</v>
      </c>
      <c r="K104">
        <v>0</v>
      </c>
      <c r="L104" s="50" t="str">
        <f t="shared" si="54"/>
        <v>SS Convention Center - Exhibit Space  _2025AUNCC</v>
      </c>
      <c r="M104" s="50" t="str">
        <f t="shared" si="42"/>
        <v>SS Convention Center - Exhibit Space  _2025AUNCCScheduleSet</v>
      </c>
      <c r="N104" s="68">
        <v>25</v>
      </c>
      <c r="O104">
        <v>40</v>
      </c>
      <c r="P104" s="38">
        <v>0.43055660200000001</v>
      </c>
      <c r="Q104">
        <v>255.91</v>
      </c>
      <c r="R104" s="6">
        <v>75</v>
      </c>
      <c r="S104">
        <v>187.67</v>
      </c>
      <c r="T104" s="6">
        <v>55</v>
      </c>
      <c r="U104" s="6"/>
      <c r="V104" s="6"/>
      <c r="W104" s="6">
        <v>130</v>
      </c>
      <c r="X104" s="2">
        <v>0.57692307700000001</v>
      </c>
      <c r="Y104" t="s">
        <v>2524</v>
      </c>
      <c r="Z104" t="s">
        <v>2525</v>
      </c>
      <c r="AB104" s="4"/>
      <c r="AC104" s="50" t="str">
        <f t="shared" si="55"/>
        <v>NCC S35C2nOther applications (non-dining)PeopleDef</v>
      </c>
      <c r="AD104" t="s">
        <v>353</v>
      </c>
      <c r="AE104" s="50" t="str">
        <f t="shared" si="56"/>
        <v>SS Convention Center - Exhibit Space  Activity</v>
      </c>
      <c r="AF104" s="62">
        <v>7.5</v>
      </c>
      <c r="AG104" s="62">
        <f t="shared" si="60"/>
        <v>3.5394053798961773E-3</v>
      </c>
      <c r="AH104" s="62">
        <v>0.06</v>
      </c>
      <c r="AI104" s="62">
        <f t="shared" si="52"/>
        <v>3.0479999999999998E-4</v>
      </c>
      <c r="AJ104" s="63" t="s">
        <v>2165</v>
      </c>
      <c r="AK104" s="4" t="s">
        <v>2165</v>
      </c>
      <c r="AL104" s="4" t="s">
        <v>2165</v>
      </c>
      <c r="AM104" t="s">
        <v>37</v>
      </c>
      <c r="AN104" t="s">
        <v>77</v>
      </c>
      <c r="AO104" s="4" t="s">
        <v>2165</v>
      </c>
      <c r="AP104" s="4" t="s">
        <v>2165</v>
      </c>
      <c r="AQ104" s="72" t="str">
        <f t="shared" si="51"/>
        <v>Washington State Mechanical Code TABLE 403.3.1.1Public spaces - Museums/galleriesVent</v>
      </c>
      <c r="AR104" s="2">
        <v>0</v>
      </c>
      <c r="AS104" s="2">
        <v>0</v>
      </c>
      <c r="AT104" s="2">
        <v>0</v>
      </c>
      <c r="AU104" s="2">
        <v>0.5</v>
      </c>
      <c r="AV104" s="2">
        <v>0</v>
      </c>
      <c r="AW104" t="s">
        <v>2528</v>
      </c>
      <c r="AX104" s="4"/>
      <c r="AY104" t="s">
        <v>2533</v>
      </c>
      <c r="AZ104" s="72" t="str">
        <f t="shared" si="48"/>
        <v>NCC S35C2lClass 9b (Other applications) - no equipment load per S35C2l; radiant/latent/lost fraction split retained from original WA/COMNET-REV9 source (AIRAH Technical Handbook does not publish this split)SS Convention Center - Exhibit Space  ElectricalEquipDef</v>
      </c>
      <c r="BA104" s="8" t="s">
        <v>336</v>
      </c>
      <c r="BB104" s="50">
        <v>0.5</v>
      </c>
      <c r="BC104" s="2">
        <v>5.3819499999999998</v>
      </c>
      <c r="BD104" s="2">
        <v>0.37</v>
      </c>
      <c r="BE104" s="2">
        <v>0.2</v>
      </c>
      <c r="BF104" t="s">
        <v>2599</v>
      </c>
      <c r="BG104" s="4"/>
      <c r="BH104" t="s">
        <v>2634</v>
      </c>
      <c r="BI104" s="72" t="str">
        <f t="shared" si="57"/>
        <v>IECC Table C405.3.2(2)Convention Center - exhibit space; radiant/visible fraction split retained from original WA/COMNET-REV9 sourceLightingDef</v>
      </c>
      <c r="BJ104" t="s">
        <v>365</v>
      </c>
      <c r="BK104" s="4" t="s">
        <v>2165</v>
      </c>
      <c r="BL104" s="4" t="s">
        <v>2165</v>
      </c>
      <c r="BM104" s="4" t="s">
        <v>2165</v>
      </c>
      <c r="BN104" s="4" t="s">
        <v>2165</v>
      </c>
      <c r="BO104" s="4" t="s">
        <v>2165</v>
      </c>
      <c r="BP104" s="4" t="s">
        <v>2165</v>
      </c>
      <c r="BQ104" s="4" t="s">
        <v>2165</v>
      </c>
      <c r="BR104" s="4" t="s">
        <v>2165</v>
      </c>
      <c r="BS104" s="4" t="s">
        <v>2165</v>
      </c>
      <c r="BT104" s="73" t="s">
        <v>2165</v>
      </c>
      <c r="BU104" s="4" t="s">
        <v>2165</v>
      </c>
      <c r="BW104">
        <v>0.7</v>
      </c>
      <c r="BY104" t="s">
        <v>2660</v>
      </c>
      <c r="BZ104" t="s">
        <v>2661</v>
      </c>
      <c r="CB104" s="50" t="str">
        <f t="shared" si="58"/>
        <v>Space Function_Convention centre - exhibit</v>
      </c>
      <c r="CC104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Function_Convention centre - exhibitInfil</v>
      </c>
      <c r="CD104" t="s">
        <v>266</v>
      </c>
      <c r="CE104" t="s">
        <v>250</v>
      </c>
      <c r="CF104" t="s">
        <v>277</v>
      </c>
      <c r="CG104" s="4"/>
      <c r="CH104">
        <v>2</v>
      </c>
      <c r="CI104" s="4"/>
      <c r="CJ104" t="s">
        <v>2205</v>
      </c>
      <c r="CK104">
        <v>1.6999999999999999E-3</v>
      </c>
      <c r="CL104">
        <v>7.9</v>
      </c>
      <c r="CM104">
        <v>1757</v>
      </c>
      <c r="CN104">
        <v>1092</v>
      </c>
      <c r="CO104">
        <v>0.9</v>
      </c>
      <c r="CP104">
        <v>0.7</v>
      </c>
      <c r="CQ104">
        <v>0.7</v>
      </c>
      <c r="CR104" t="s">
        <v>2274</v>
      </c>
      <c r="CS104" t="s">
        <v>2206</v>
      </c>
      <c r="CT104" t="s">
        <v>2375</v>
      </c>
      <c r="CU104" s="4" t="s">
        <v>2165</v>
      </c>
      <c r="CV104" t="str">
        <f t="shared" si="62"/>
        <v>Mixed_Exhibit_2mm</v>
      </c>
      <c r="CW104" s="72" t="str">
        <f t="shared" si="31"/>
        <v>CalculatedEstimateConventionExhibitBoothsAndDisplaysMixed_Exhibit_2mmInternalMassDef</v>
      </c>
    </row>
    <row r="105" spans="1:101" x14ac:dyDescent="0.35">
      <c r="A105" t="s">
        <v>176</v>
      </c>
      <c r="B105" s="50" t="str">
        <f t="shared" si="41"/>
        <v>2025_AU_NCC</v>
      </c>
      <c r="C105" s="50" t="s">
        <v>107</v>
      </c>
      <c r="D105" s="50" t="s">
        <v>2483</v>
      </c>
      <c r="E105" t="s">
        <v>305</v>
      </c>
      <c r="F105" s="62">
        <v>2025</v>
      </c>
      <c r="G105" s="62" t="s">
        <v>2522</v>
      </c>
      <c r="H105" t="s">
        <v>2523</v>
      </c>
      <c r="I105">
        <v>176</v>
      </c>
      <c r="J105">
        <v>224</v>
      </c>
      <c r="K105">
        <v>230</v>
      </c>
      <c r="L105" s="50" t="str">
        <f t="shared" si="54"/>
        <v>SS Dormitory - Living Quarters  _2025AUNCC</v>
      </c>
      <c r="M105" s="50" t="str">
        <f t="shared" si="42"/>
        <v>SS Dormitory - Living Quarters  _2025AUNCCScheduleSet</v>
      </c>
      <c r="N105" s="68">
        <v>50</v>
      </c>
      <c r="O105">
        <v>20</v>
      </c>
      <c r="P105" s="38">
        <v>0.21527830100000001</v>
      </c>
      <c r="Q105">
        <v>255.91</v>
      </c>
      <c r="R105" s="6">
        <v>75</v>
      </c>
      <c r="S105">
        <v>187.67</v>
      </c>
      <c r="T105" s="6">
        <v>55</v>
      </c>
      <c r="U105" s="6"/>
      <c r="V105" s="6"/>
      <c r="W105" s="6">
        <v>130</v>
      </c>
      <c r="X105" s="2">
        <v>0.57692307700000001</v>
      </c>
      <c r="Y105" t="s">
        <v>2524</v>
      </c>
      <c r="Z105" t="s">
        <v>2525</v>
      </c>
      <c r="AB105" s="4"/>
      <c r="AC105" s="50" t="str">
        <f t="shared" si="55"/>
        <v>NCC S35C2nOther applications (non-dining)PeopleDef</v>
      </c>
      <c r="AD105" t="s">
        <v>356</v>
      </c>
      <c r="AE105" s="50" t="str">
        <f t="shared" si="56"/>
        <v>SS Dormitory - Living Quarters  Activity</v>
      </c>
      <c r="AF105" s="62">
        <v>5</v>
      </c>
      <c r="AG105" s="62">
        <f t="shared" si="60"/>
        <v>2.3596035865974517E-3</v>
      </c>
      <c r="AH105" s="62">
        <v>0.06</v>
      </c>
      <c r="AI105" s="62">
        <f t="shared" si="52"/>
        <v>3.0479999999999998E-4</v>
      </c>
      <c r="AJ105" s="63" t="s">
        <v>2165</v>
      </c>
      <c r="AK105" s="4" t="s">
        <v>2165</v>
      </c>
      <c r="AL105" s="4" t="s">
        <v>2165</v>
      </c>
      <c r="AM105" t="s">
        <v>37</v>
      </c>
      <c r="AN105" t="s">
        <v>78</v>
      </c>
      <c r="AO105" s="4" t="s">
        <v>2165</v>
      </c>
      <c r="AP105" s="4" t="s">
        <v>2165</v>
      </c>
      <c r="AQ105" s="72" t="str">
        <f t="shared" si="51"/>
        <v>Washington State Mechanical Code TABLE 403.3.1.1Hotels, motels, resorts and dormitories - Dormitory sleeping areaVent</v>
      </c>
      <c r="AR105" s="2">
        <v>0</v>
      </c>
      <c r="AS105" s="2">
        <v>0</v>
      </c>
      <c r="AT105" s="2">
        <v>0</v>
      </c>
      <c r="AU105" s="2">
        <v>0.5</v>
      </c>
      <c r="AV105" s="2">
        <v>0</v>
      </c>
      <c r="AW105" t="s">
        <v>2528</v>
      </c>
      <c r="AX105" s="4"/>
      <c r="AY105" t="s">
        <v>2532</v>
      </c>
      <c r="AZ105" s="72" t="str">
        <f t="shared" si="48"/>
        <v>NCC S35C2lClass 3 dormitories - no load per S35C2l; radiant/latent/lost fraction split retained from original WA/COMNET-REV9 source (AIRAH Technical Handbook does not publish this split)SS Dormitory - Living Quarters  ElectricalEquipDef</v>
      </c>
      <c r="BA105" s="8" t="s">
        <v>339</v>
      </c>
      <c r="BB105" s="50">
        <v>0.371612</v>
      </c>
      <c r="BC105" s="2">
        <v>4</v>
      </c>
      <c r="BD105" s="2">
        <v>0.37</v>
      </c>
      <c r="BE105" s="2">
        <v>0.2</v>
      </c>
      <c r="BF105" t="s">
        <v>2569</v>
      </c>
      <c r="BG105" s="4"/>
      <c r="BH105" t="s">
        <v>2573</v>
      </c>
      <c r="BI105" s="72" t="str">
        <f t="shared" si="57"/>
        <v>NCC J7D3aDormitory of a Class 3 building used for sleeping and study; radiant/visible fraction split retained from original WA/COMNET-REV9 source (AIRAH Technical Handbook does not publish this split)LightingDef</v>
      </c>
      <c r="BJ105" t="s">
        <v>368</v>
      </c>
      <c r="BK105" s="4" t="s">
        <v>2165</v>
      </c>
      <c r="BL105" s="4" t="s">
        <v>2165</v>
      </c>
      <c r="BM105" s="4" t="s">
        <v>2165</v>
      </c>
      <c r="BN105" s="4" t="s">
        <v>2165</v>
      </c>
      <c r="BO105" s="4" t="s">
        <v>2165</v>
      </c>
      <c r="BP105" s="4" t="s">
        <v>2165</v>
      </c>
      <c r="BQ105" s="4" t="s">
        <v>2165</v>
      </c>
      <c r="BR105" s="4" t="s">
        <v>2165</v>
      </c>
      <c r="BS105" s="4" t="s">
        <v>2165</v>
      </c>
      <c r="BT105" s="73" t="s">
        <v>2165</v>
      </c>
      <c r="BU105" s="4" t="s">
        <v>2165</v>
      </c>
      <c r="BW105">
        <v>0.7</v>
      </c>
      <c r="BY105" t="s">
        <v>2660</v>
      </c>
      <c r="BZ105" t="s">
        <v>2661</v>
      </c>
      <c r="CB105" s="50" t="str">
        <f t="shared" si="58"/>
        <v>Space Function_Dormitory - living quarters</v>
      </c>
      <c r="CC105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Function_Dormitory - living quartersInfil</v>
      </c>
      <c r="CD105" t="s">
        <v>266</v>
      </c>
      <c r="CE105" t="s">
        <v>250</v>
      </c>
      <c r="CF105" t="s">
        <v>305</v>
      </c>
      <c r="CG105" s="4"/>
      <c r="CH105">
        <v>4.1500000000000004</v>
      </c>
      <c r="CI105" s="4"/>
      <c r="CJ105" t="s">
        <v>2205</v>
      </c>
      <c r="CK105">
        <v>4.8999999999999998E-3</v>
      </c>
      <c r="CL105">
        <v>6.7</v>
      </c>
      <c r="CM105">
        <v>1266</v>
      </c>
      <c r="CN105">
        <v>1256</v>
      </c>
      <c r="CO105">
        <v>0.9</v>
      </c>
      <c r="CP105">
        <v>0.7</v>
      </c>
      <c r="CQ105">
        <v>0.7</v>
      </c>
      <c r="CR105" t="s">
        <v>2275</v>
      </c>
      <c r="CS105" t="s">
        <v>2206</v>
      </c>
      <c r="CT105" t="s">
        <v>2376</v>
      </c>
      <c r="CU105" s="4" t="s">
        <v>2165</v>
      </c>
      <c r="CV105" t="str">
        <f t="shared" si="62"/>
        <v>Mixed_Dormitory_5mm</v>
      </c>
      <c r="CW105" s="72" t="str">
        <f t="shared" ref="CW105:CW141" si="63">CONCATENATE(CS105,CT105,CU105,CV105,"InternalMassDef")</f>
        <v>CalculatedEstimateDormitoryBedroomFurnitureMixed_Dormitory_5mmInternalMassDef</v>
      </c>
    </row>
    <row r="106" spans="1:101" x14ac:dyDescent="0.35">
      <c r="A106" t="s">
        <v>177</v>
      </c>
      <c r="B106" s="50" t="str">
        <f t="shared" si="41"/>
        <v>2025_AU_NCC</v>
      </c>
      <c r="C106" s="50" t="s">
        <v>2443</v>
      </c>
      <c r="D106" s="50" t="s">
        <v>2484</v>
      </c>
      <c r="E106" t="s">
        <v>306</v>
      </c>
      <c r="F106" s="62">
        <v>2025</v>
      </c>
      <c r="G106" s="62" t="s">
        <v>2522</v>
      </c>
      <c r="H106" t="s">
        <v>2523</v>
      </c>
      <c r="I106">
        <v>176</v>
      </c>
      <c r="J106">
        <v>224</v>
      </c>
      <c r="K106">
        <v>230</v>
      </c>
      <c r="L106" s="50" t="str">
        <f t="shared" si="54"/>
        <v>SS Fire Station - Sleeping Quarters  _2025AUNCC</v>
      </c>
      <c r="M106" s="50" t="str">
        <f t="shared" si="42"/>
        <v>SS Fire Station - Sleeping Quarters  _2025AUNCCScheduleSet</v>
      </c>
      <c r="N106" s="68">
        <v>50</v>
      </c>
      <c r="O106">
        <v>20</v>
      </c>
      <c r="P106" s="38">
        <v>0.21527830100000001</v>
      </c>
      <c r="Q106">
        <v>255.91</v>
      </c>
      <c r="R106" s="6">
        <v>75</v>
      </c>
      <c r="S106">
        <v>187.67</v>
      </c>
      <c r="T106" s="6">
        <v>55</v>
      </c>
      <c r="U106" s="6"/>
      <c r="V106" s="6"/>
      <c r="W106" s="6">
        <v>130</v>
      </c>
      <c r="X106" s="2">
        <v>0.57692307700000001</v>
      </c>
      <c r="Y106" t="s">
        <v>2524</v>
      </c>
      <c r="Z106" t="s">
        <v>2525</v>
      </c>
      <c r="AB106" s="4"/>
      <c r="AC106" s="50" t="str">
        <f t="shared" si="55"/>
        <v>NCC S35C2nOther applications (non-dining)PeopleDef</v>
      </c>
      <c r="AD106" t="s">
        <v>356</v>
      </c>
      <c r="AE106" s="50" t="str">
        <f t="shared" si="56"/>
        <v>SS Fire Station - Sleeping Quarters  Activity</v>
      </c>
      <c r="AF106" s="62">
        <v>5</v>
      </c>
      <c r="AG106" s="62">
        <f t="shared" si="60"/>
        <v>2.3596035865974517E-3</v>
      </c>
      <c r="AH106" s="62">
        <v>0.06</v>
      </c>
      <c r="AI106" s="62">
        <f t="shared" si="52"/>
        <v>3.0479999999999998E-4</v>
      </c>
      <c r="AJ106" s="63" t="s">
        <v>2165</v>
      </c>
      <c r="AK106" s="4" t="s">
        <v>2165</v>
      </c>
      <c r="AL106" s="4" t="s">
        <v>2165</v>
      </c>
      <c r="AM106" t="s">
        <v>37</v>
      </c>
      <c r="AN106" t="s">
        <v>78</v>
      </c>
      <c r="AO106" s="4" t="s">
        <v>2165</v>
      </c>
      <c r="AP106" s="4" t="s">
        <v>2165</v>
      </c>
      <c r="AQ106" s="72" t="str">
        <f t="shared" si="51"/>
        <v>Washington State Mechanical Code TABLE 403.3.1.1Hotels, motels, resorts and dormitories - Dormitory sleeping areaVent</v>
      </c>
      <c r="AR106" s="2">
        <v>0</v>
      </c>
      <c r="AS106" s="2">
        <v>0</v>
      </c>
      <c r="AT106" s="2">
        <v>0</v>
      </c>
      <c r="AU106" s="2">
        <v>0.5</v>
      </c>
      <c r="AV106" s="2">
        <v>0</v>
      </c>
      <c r="AW106" t="s">
        <v>2528</v>
      </c>
      <c r="AX106" s="4"/>
      <c r="AY106" t="s">
        <v>2560</v>
      </c>
      <c r="AZ106" s="72" t="str">
        <f t="shared" si="48"/>
        <v>NCC S35C2lClass 3 dormitories - no load per S35C2l (Fire Station sleeping quarters sub-space); radiant/latent/lost fraction split retained from original WA/COMNET-REV9 source (AIRAH Technical Handbook does not publish this split)SS Fire Station - Sleeping Quarters  ElectricalEquipDef</v>
      </c>
      <c r="BA106" s="8" t="s">
        <v>339</v>
      </c>
      <c r="BB106" s="50">
        <v>0.27870899999999998</v>
      </c>
      <c r="BC106" s="2">
        <v>3</v>
      </c>
      <c r="BD106" s="2">
        <v>0.37</v>
      </c>
      <c r="BE106" s="2">
        <v>0.2</v>
      </c>
      <c r="BF106" t="s">
        <v>2569</v>
      </c>
      <c r="BG106" s="4"/>
      <c r="BH106" t="s">
        <v>2635</v>
      </c>
      <c r="BI106" s="72" t="str">
        <f t="shared" si="57"/>
        <v>NCC J7D3aDormitory of a Class 3 building used for sleeping only; radiant/visible fraction split retained from original WA/COMNET-REV9 source (AIRAH Technical Handbook does not publish this split)LightingDef</v>
      </c>
      <c r="BJ106" t="s">
        <v>368</v>
      </c>
      <c r="BK106" s="4" t="s">
        <v>2165</v>
      </c>
      <c r="BL106" s="4" t="s">
        <v>2165</v>
      </c>
      <c r="BM106" s="4" t="s">
        <v>2165</v>
      </c>
      <c r="BN106" s="4" t="s">
        <v>2165</v>
      </c>
      <c r="BO106" s="4" t="s">
        <v>2165</v>
      </c>
      <c r="BP106" s="4" t="s">
        <v>2165</v>
      </c>
      <c r="BQ106" s="4" t="s">
        <v>2165</v>
      </c>
      <c r="BR106" s="4" t="s">
        <v>2165</v>
      </c>
      <c r="BS106" s="4" t="s">
        <v>2165</v>
      </c>
      <c r="BT106" s="73" t="s">
        <v>2165</v>
      </c>
      <c r="BU106" s="4" t="s">
        <v>2165</v>
      </c>
      <c r="BW106">
        <v>0.7</v>
      </c>
      <c r="BY106" t="s">
        <v>2660</v>
      </c>
      <c r="BZ106" t="s">
        <v>2661</v>
      </c>
      <c r="CB106" s="50" t="str">
        <f t="shared" si="58"/>
        <v>Space Function_Fire station - quarters</v>
      </c>
      <c r="CC106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Function_Fire station - quartersInfil</v>
      </c>
      <c r="CD106" t="s">
        <v>266</v>
      </c>
      <c r="CE106" t="s">
        <v>250</v>
      </c>
      <c r="CF106" t="s">
        <v>306</v>
      </c>
      <c r="CG106" s="4"/>
      <c r="CH106">
        <v>2.0299999999999998</v>
      </c>
      <c r="CI106" s="4"/>
      <c r="CJ106" t="s">
        <v>2207</v>
      </c>
      <c r="CK106">
        <v>1.5E-3</v>
      </c>
      <c r="CL106">
        <v>28.4</v>
      </c>
      <c r="CM106">
        <v>3803</v>
      </c>
      <c r="CN106">
        <v>996</v>
      </c>
      <c r="CO106">
        <v>0.9</v>
      </c>
      <c r="CP106">
        <v>0.7</v>
      </c>
      <c r="CQ106">
        <v>0.7</v>
      </c>
      <c r="CR106" t="s">
        <v>2276</v>
      </c>
      <c r="CS106" t="s">
        <v>2206</v>
      </c>
      <c r="CT106" t="s">
        <v>2377</v>
      </c>
      <c r="CU106" s="4" t="s">
        <v>2165</v>
      </c>
      <c r="CV106" t="str">
        <f t="shared" si="62"/>
        <v>Steel_FireStation_2mm</v>
      </c>
      <c r="CW106" s="72" t="str">
        <f t="shared" si="63"/>
        <v>CalculatedEstimateFireStationBunkAndLockerFurnitureSteel_FireStation_2mmInternalMassDef</v>
      </c>
    </row>
    <row r="107" spans="1:101" x14ac:dyDescent="0.35">
      <c r="A107" t="s">
        <v>178</v>
      </c>
      <c r="B107" s="50" t="str">
        <f t="shared" si="41"/>
        <v>2025_AU_NCC</v>
      </c>
      <c r="C107" s="50" t="s">
        <v>109</v>
      </c>
      <c r="D107" s="50" t="s">
        <v>2485</v>
      </c>
      <c r="E107" t="s">
        <v>2067</v>
      </c>
      <c r="F107" s="62">
        <v>2025</v>
      </c>
      <c r="G107" s="62" t="s">
        <v>2522</v>
      </c>
      <c r="H107" t="s">
        <v>2523</v>
      </c>
      <c r="I107">
        <v>255</v>
      </c>
      <c r="J107">
        <v>0</v>
      </c>
      <c r="K107">
        <v>0</v>
      </c>
      <c r="L107" s="50" t="str">
        <f t="shared" si="54"/>
        <v>SS Gymnasium/Fitness Center - Exercise Area  _2025AUNCC</v>
      </c>
      <c r="M107" s="50" t="str">
        <f t="shared" si="42"/>
        <v>SS Gymnasium/Fitness Center - Exercise Area  _2025AUNCCScheduleSet</v>
      </c>
      <c r="N107" s="68">
        <v>25</v>
      </c>
      <c r="O107">
        <v>40</v>
      </c>
      <c r="P107" s="38">
        <v>0.43055660200000001</v>
      </c>
      <c r="Q107">
        <v>255.91</v>
      </c>
      <c r="R107" s="6">
        <v>75</v>
      </c>
      <c r="S107">
        <v>187.67</v>
      </c>
      <c r="T107" s="6">
        <v>55</v>
      </c>
      <c r="U107" s="6"/>
      <c r="V107" s="6"/>
      <c r="W107" s="6">
        <v>130</v>
      </c>
      <c r="X107" s="2">
        <v>0.57692307700000001</v>
      </c>
      <c r="Y107" t="s">
        <v>2524</v>
      </c>
      <c r="Z107" t="s">
        <v>2525</v>
      </c>
      <c r="AB107" s="4"/>
      <c r="AC107" s="50" t="str">
        <f t="shared" si="55"/>
        <v>NCC S35C2nOther applications (non-dining)PeopleDef</v>
      </c>
      <c r="AD107" t="s">
        <v>355</v>
      </c>
      <c r="AE107" s="50" t="str">
        <f t="shared" si="56"/>
        <v>SS Gymnasium/Fitness Center - Exercise Area  Activity</v>
      </c>
      <c r="AF107" s="62">
        <v>20</v>
      </c>
      <c r="AG107" s="62">
        <f t="shared" si="60"/>
        <v>9.4384143463898066E-3</v>
      </c>
      <c r="AH107" s="62">
        <v>0.06</v>
      </c>
      <c r="AI107" s="62">
        <f t="shared" si="52"/>
        <v>3.0479999999999998E-4</v>
      </c>
      <c r="AJ107" s="63" t="s">
        <v>2165</v>
      </c>
      <c r="AK107" s="4" t="s">
        <v>2165</v>
      </c>
      <c r="AL107" s="4" t="s">
        <v>2165</v>
      </c>
      <c r="AM107" t="s">
        <v>37</v>
      </c>
      <c r="AN107" t="s">
        <v>76</v>
      </c>
      <c r="AO107" s="4" t="s">
        <v>2165</v>
      </c>
      <c r="AP107" s="4" t="s">
        <v>2165</v>
      </c>
      <c r="AQ107" s="72" t="str">
        <f t="shared" si="51"/>
        <v>Washington State Mechanical Code TABLE 403.3.1.1Sports and amusement - Health club/aerobics roomVent</v>
      </c>
      <c r="AR107" s="2">
        <v>0</v>
      </c>
      <c r="AS107" s="2">
        <v>0</v>
      </c>
      <c r="AT107" s="2">
        <v>0</v>
      </c>
      <c r="AU107" s="2">
        <v>0.5</v>
      </c>
      <c r="AV107" s="2">
        <v>0</v>
      </c>
      <c r="AW107" t="s">
        <v>2528</v>
      </c>
      <c r="AX107" s="4"/>
      <c r="AY107" t="s">
        <v>2533</v>
      </c>
      <c r="AZ107" s="72" t="str">
        <f t="shared" si="48"/>
        <v>NCC S35C2lClass 9b (Other applications) - no equipment load per S35C2l; radiant/latent/lost fraction split retained from original WA/COMNET-REV9 source (AIRAH Technical Handbook does not publish this split)SS Gymnasium/Fitness Center - Exercise Area  ElectricalEquipDef</v>
      </c>
      <c r="BA107" s="8" t="s">
        <v>338</v>
      </c>
      <c r="BB107" s="50">
        <v>0.82</v>
      </c>
      <c r="BC107" s="2">
        <v>8.8264099999999992</v>
      </c>
      <c r="BD107" s="2">
        <v>0.37</v>
      </c>
      <c r="BE107" s="2">
        <v>0.2</v>
      </c>
      <c r="BF107" t="s">
        <v>2599</v>
      </c>
      <c r="BG107" s="4"/>
      <c r="BH107" t="s">
        <v>2636</v>
      </c>
      <c r="BI107" s="72" t="str">
        <f t="shared" si="57"/>
        <v>IECC Table C405.3.2(2)Gymnasium/fitness center - in an exercise area; radiant/visible fraction split retained from original WA/COMNET-REV9 sourceLightingDef</v>
      </c>
      <c r="BJ107" t="s">
        <v>367</v>
      </c>
      <c r="BK107" s="4" t="s">
        <v>2165</v>
      </c>
      <c r="BL107" s="4" t="s">
        <v>2165</v>
      </c>
      <c r="BM107" s="4" t="s">
        <v>2165</v>
      </c>
      <c r="BN107" s="4" t="s">
        <v>2165</v>
      </c>
      <c r="BO107" s="4" t="s">
        <v>2165</v>
      </c>
      <c r="BP107" s="4" t="s">
        <v>2165</v>
      </c>
      <c r="BQ107" s="4" t="s">
        <v>2165</v>
      </c>
      <c r="BR107" s="4" t="s">
        <v>2165</v>
      </c>
      <c r="BS107" s="4" t="s">
        <v>2165</v>
      </c>
      <c r="BT107" s="73" t="s">
        <v>2165</v>
      </c>
      <c r="BU107" s="4" t="s">
        <v>2165</v>
      </c>
      <c r="BW107">
        <v>0.7</v>
      </c>
      <c r="BY107" t="s">
        <v>2660</v>
      </c>
      <c r="BZ107" t="s">
        <v>2661</v>
      </c>
      <c r="CB107" s="50" t="str">
        <f t="shared" si="58"/>
        <v>Space Function_Gym - fitness</v>
      </c>
      <c r="CC107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Function_Gym - fitnessInfil</v>
      </c>
      <c r="CD107" t="s">
        <v>266</v>
      </c>
      <c r="CE107" t="s">
        <v>250</v>
      </c>
      <c r="CF107" t="s">
        <v>2067</v>
      </c>
      <c r="CG107" s="4"/>
      <c r="CH107">
        <v>1.79</v>
      </c>
      <c r="CI107" s="4"/>
      <c r="CJ107" t="s">
        <v>2207</v>
      </c>
      <c r="CK107">
        <v>2.3999999999999998E-3</v>
      </c>
      <c r="CL107">
        <v>50.2</v>
      </c>
      <c r="CM107">
        <v>6774</v>
      </c>
      <c r="CN107">
        <v>571</v>
      </c>
      <c r="CO107">
        <v>0.9</v>
      </c>
      <c r="CP107">
        <v>0.7</v>
      </c>
      <c r="CQ107">
        <v>0.7</v>
      </c>
      <c r="CR107" t="s">
        <v>2277</v>
      </c>
      <c r="CS107" t="s">
        <v>2206</v>
      </c>
      <c r="CT107" t="s">
        <v>2378</v>
      </c>
      <c r="CU107" s="4" t="s">
        <v>2165</v>
      </c>
      <c r="CV107" t="str">
        <f t="shared" si="62"/>
        <v>Steel_Iron_Gym_2mm</v>
      </c>
      <c r="CW107" s="72" t="str">
        <f t="shared" si="63"/>
        <v>CalculatedEstimateFreeWeightsAndExerciseEquipmentSteel_Iron_Gym_2mmInternalMassDef</v>
      </c>
    </row>
    <row r="108" spans="1:101" x14ac:dyDescent="0.35">
      <c r="A108" t="s">
        <v>179</v>
      </c>
      <c r="B108" s="50" t="str">
        <f t="shared" si="41"/>
        <v>2025_AU_NCC</v>
      </c>
      <c r="C108" s="50" t="s">
        <v>109</v>
      </c>
      <c r="D108" s="50" t="s">
        <v>2486</v>
      </c>
      <c r="E108" t="s">
        <v>2067</v>
      </c>
      <c r="F108" s="62">
        <v>2025</v>
      </c>
      <c r="G108" s="62" t="s">
        <v>2522</v>
      </c>
      <c r="H108" t="s">
        <v>2523</v>
      </c>
      <c r="I108">
        <v>255</v>
      </c>
      <c r="J108">
        <v>0</v>
      </c>
      <c r="K108">
        <v>0</v>
      </c>
      <c r="L108" s="50" t="str">
        <f t="shared" si="54"/>
        <v>SS Gymnasium/Fitness Center - Playing Area  _2025AUNCC</v>
      </c>
      <c r="M108" s="50" t="str">
        <f t="shared" si="42"/>
        <v>SS Gymnasium/Fitness Center - Playing Area  _2025AUNCCScheduleSet</v>
      </c>
      <c r="N108" s="68">
        <v>142.85714290000001</v>
      </c>
      <c r="O108">
        <v>7</v>
      </c>
      <c r="P108" s="38">
        <v>7.5347405000000006E-2</v>
      </c>
      <c r="Q108">
        <v>255.91</v>
      </c>
      <c r="R108" s="6">
        <v>75</v>
      </c>
      <c r="S108">
        <v>187.67</v>
      </c>
      <c r="T108" s="6">
        <v>55</v>
      </c>
      <c r="U108" s="6"/>
      <c r="V108" s="6"/>
      <c r="W108" s="6">
        <v>130</v>
      </c>
      <c r="X108" s="2">
        <v>0.57692307700000001</v>
      </c>
      <c r="Y108" t="s">
        <v>2524</v>
      </c>
      <c r="Z108" t="s">
        <v>2525</v>
      </c>
      <c r="AB108" s="4"/>
      <c r="AC108" s="50" t="str">
        <f t="shared" si="55"/>
        <v>NCC S35C2nOther applications (non-dining)PeopleDef</v>
      </c>
      <c r="AD108" t="s">
        <v>355</v>
      </c>
      <c r="AE108" s="50" t="str">
        <f t="shared" si="56"/>
        <v>SS Gymnasium/Fitness Center - Playing Area  Activity</v>
      </c>
      <c r="AF108" s="62">
        <v>20</v>
      </c>
      <c r="AG108" s="62">
        <f t="shared" si="60"/>
        <v>9.4384143463898066E-3</v>
      </c>
      <c r="AH108" s="62">
        <v>0.18</v>
      </c>
      <c r="AI108" s="62">
        <f t="shared" si="52"/>
        <v>9.144E-4</v>
      </c>
      <c r="AJ108" s="63" t="s">
        <v>2165</v>
      </c>
      <c r="AK108" s="4" t="s">
        <v>2165</v>
      </c>
      <c r="AL108" s="4" t="s">
        <v>2165</v>
      </c>
      <c r="AM108" t="s">
        <v>37</v>
      </c>
      <c r="AN108" t="s">
        <v>79</v>
      </c>
      <c r="AO108" s="4" t="s">
        <v>2165</v>
      </c>
      <c r="AP108" s="4" t="s">
        <v>2165</v>
      </c>
      <c r="AQ108" s="72" t="str">
        <f t="shared" si="51"/>
        <v>Washington State Mechanical Code TABLE 403.3.1.1Sports and amusement - Gym, stadium, arena (play area)Vent</v>
      </c>
      <c r="AR108" s="2">
        <v>0</v>
      </c>
      <c r="AS108" s="2">
        <v>0</v>
      </c>
      <c r="AT108" s="2">
        <v>0</v>
      </c>
      <c r="AU108" s="2">
        <v>0.5</v>
      </c>
      <c r="AV108" s="2">
        <v>0</v>
      </c>
      <c r="AW108" t="s">
        <v>2528</v>
      </c>
      <c r="AX108" s="4"/>
      <c r="AY108" t="s">
        <v>2533</v>
      </c>
      <c r="AZ108" s="72" t="str">
        <f t="shared" si="48"/>
        <v>NCC S35C2lClass 9b (Other applications) - no equipment load per S35C2l; radiant/latent/lost fraction split retained from original WA/COMNET-REV9 source (AIRAH Technical Handbook does not publish this split)SS Gymnasium/Fitness Center - Playing Area  ElectricalEquipDef</v>
      </c>
      <c r="BA108" s="8" t="s">
        <v>338</v>
      </c>
      <c r="BB108" s="50">
        <v>0.82</v>
      </c>
      <c r="BC108" s="2">
        <v>8.8264099999999992</v>
      </c>
      <c r="BD108" s="2">
        <v>0.37</v>
      </c>
      <c r="BE108" s="2">
        <v>0.2</v>
      </c>
      <c r="BF108" t="s">
        <v>2599</v>
      </c>
      <c r="BG108" s="4"/>
      <c r="BH108" t="s">
        <v>2637</v>
      </c>
      <c r="BI108" s="72" t="str">
        <f t="shared" si="57"/>
        <v>IECC Table C405.3.2(2)Gymnasium/fitness center - in a playing area; radiant/visible fraction split retained from original WA/COMNET-REV9 sourceLightingDef</v>
      </c>
      <c r="BJ108" t="s">
        <v>367</v>
      </c>
      <c r="BK108" s="4" t="s">
        <v>2165</v>
      </c>
      <c r="BL108" s="4" t="s">
        <v>2165</v>
      </c>
      <c r="BM108" s="4" t="s">
        <v>2165</v>
      </c>
      <c r="BN108" s="4" t="s">
        <v>2165</v>
      </c>
      <c r="BO108" s="4" t="s">
        <v>2165</v>
      </c>
      <c r="BP108" s="4" t="s">
        <v>2165</v>
      </c>
      <c r="BQ108" s="4" t="s">
        <v>2165</v>
      </c>
      <c r="BR108" s="4" t="s">
        <v>2165</v>
      </c>
      <c r="BS108" s="4" t="s">
        <v>2165</v>
      </c>
      <c r="BT108" s="73" t="s">
        <v>2165</v>
      </c>
      <c r="BU108" s="4" t="s">
        <v>2165</v>
      </c>
      <c r="BW108">
        <v>0.7</v>
      </c>
      <c r="BY108" t="s">
        <v>2660</v>
      </c>
      <c r="BZ108" t="s">
        <v>2661</v>
      </c>
      <c r="CB108" s="50" t="str">
        <f t="shared" si="58"/>
        <v>Space Function_Gym - fitness</v>
      </c>
      <c r="CC108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Function_Gym - fitnessInfil</v>
      </c>
      <c r="CD108" t="s">
        <v>266</v>
      </c>
      <c r="CE108" t="s">
        <v>250</v>
      </c>
      <c r="CF108" t="s">
        <v>2067</v>
      </c>
      <c r="CG108" s="4"/>
      <c r="CH108">
        <v>0.5</v>
      </c>
      <c r="CI108" s="4"/>
      <c r="CJ108" t="s">
        <v>2207</v>
      </c>
      <c r="CK108">
        <v>1.2999999999999999E-3</v>
      </c>
      <c r="CL108">
        <v>45.2</v>
      </c>
      <c r="CM108">
        <v>6107</v>
      </c>
      <c r="CN108">
        <v>662</v>
      </c>
      <c r="CO108">
        <v>0.9</v>
      </c>
      <c r="CP108">
        <v>0.7</v>
      </c>
      <c r="CQ108">
        <v>0.7</v>
      </c>
      <c r="CR108" t="s">
        <v>2278</v>
      </c>
      <c r="CS108" t="s">
        <v>2206</v>
      </c>
      <c r="CT108" t="s">
        <v>2379</v>
      </c>
      <c r="CU108" s="4" t="s">
        <v>2165</v>
      </c>
      <c r="CV108" t="str">
        <f t="shared" si="62"/>
        <v>Steel_Gym_1mm</v>
      </c>
      <c r="CW108" s="72" t="str">
        <f t="shared" si="63"/>
        <v>CalculatedEstimateGymnasiumPlayingFloorEquipmentSteel_Gym_1mmInternalMassDef</v>
      </c>
    </row>
    <row r="109" spans="1:101" x14ac:dyDescent="0.35">
      <c r="A109" t="s">
        <v>180</v>
      </c>
      <c r="B109" s="50" t="str">
        <f t="shared" si="41"/>
        <v>2025_AU_NCC</v>
      </c>
      <c r="C109" s="50" t="s">
        <v>110</v>
      </c>
      <c r="D109" s="50" t="s">
        <v>2487</v>
      </c>
      <c r="E109" t="s">
        <v>289</v>
      </c>
      <c r="F109" s="62">
        <v>2025</v>
      </c>
      <c r="G109" s="62" t="s">
        <v>2522</v>
      </c>
      <c r="H109" t="s">
        <v>2523</v>
      </c>
      <c r="I109">
        <v>255</v>
      </c>
      <c r="J109">
        <v>215</v>
      </c>
      <c r="K109">
        <v>0</v>
      </c>
      <c r="L109" s="50" t="str">
        <f t="shared" si="54"/>
        <v>SS Healthcare - Emergency Room_2025AUNCC</v>
      </c>
      <c r="M109" s="50" t="str">
        <f t="shared" si="42"/>
        <v>SS Healthcare - Emergency Room_2025AUNCCScheduleSet</v>
      </c>
      <c r="N109" s="68">
        <v>50</v>
      </c>
      <c r="O109">
        <v>20</v>
      </c>
      <c r="P109" s="38">
        <v>0.21527830100000001</v>
      </c>
      <c r="Q109">
        <v>255.91</v>
      </c>
      <c r="R109" s="6">
        <v>75</v>
      </c>
      <c r="S109">
        <v>187.67</v>
      </c>
      <c r="T109" s="6">
        <v>55</v>
      </c>
      <c r="U109" s="6"/>
      <c r="V109" s="6"/>
      <c r="W109" s="6">
        <v>130</v>
      </c>
      <c r="X109" s="2">
        <v>0.57692307700000001</v>
      </c>
      <c r="Y109" t="s">
        <v>2524</v>
      </c>
      <c r="Z109" t="s">
        <v>2525</v>
      </c>
      <c r="AB109" s="4"/>
      <c r="AC109" s="50" t="str">
        <f t="shared" si="55"/>
        <v>NCC S35C2nOther applications (non-dining)PeopleDef</v>
      </c>
      <c r="AD109" t="s">
        <v>358</v>
      </c>
      <c r="AE109" s="50" t="str">
        <f t="shared" si="56"/>
        <v>SS Healthcare - Emergency RoomActivity</v>
      </c>
      <c r="AF109" s="62">
        <v>10</v>
      </c>
      <c r="AG109" s="62">
        <f t="shared" si="60"/>
        <v>4.7192071731949033E-3</v>
      </c>
      <c r="AH109" s="62">
        <v>0.18</v>
      </c>
      <c r="AI109" s="62">
        <f t="shared" si="52"/>
        <v>9.144E-4</v>
      </c>
      <c r="AJ109" s="63" t="s">
        <v>2165</v>
      </c>
      <c r="AK109" s="4" t="s">
        <v>2165</v>
      </c>
      <c r="AL109" s="4" t="s">
        <v>2165</v>
      </c>
      <c r="AM109" t="s">
        <v>94</v>
      </c>
      <c r="AN109" t="s">
        <v>95</v>
      </c>
      <c r="AO109" s="4" t="s">
        <v>2165</v>
      </c>
      <c r="AP109" s="4" t="s">
        <v>2165</v>
      </c>
      <c r="AQ109" s="72" t="str">
        <f t="shared" si="51"/>
        <v>ASHRAE 62.1-2019Outpatient Health Care Facilities - Urgent care triage roomVent</v>
      </c>
      <c r="AR109" s="2">
        <v>1.393546</v>
      </c>
      <c r="AS109" s="2">
        <v>15</v>
      </c>
      <c r="AT109" s="2">
        <v>0</v>
      </c>
      <c r="AU109" s="2">
        <v>0.5</v>
      </c>
      <c r="AV109" s="2">
        <v>0</v>
      </c>
      <c r="AW109" t="s">
        <v>2528</v>
      </c>
      <c r="AX109" s="4"/>
      <c r="AY109" t="s">
        <v>2561</v>
      </c>
      <c r="AZ109" s="72" t="str">
        <f t="shared" si="48"/>
        <v>NCC S35C2lClass 9a clinic/day surgery/procedure unit (equipment-intensive); radiant/latent/lost fraction split retained from original WA/COMNET-REV9 source (AIRAH Technical Handbook does not publish this split)SS Healthcare - Emergency RoomElectricalEquipDef</v>
      </c>
      <c r="BA109" s="8" t="s">
        <v>341</v>
      </c>
      <c r="BB109" s="50">
        <v>0.371612</v>
      </c>
      <c r="BC109" s="2">
        <v>4</v>
      </c>
      <c r="BD109" s="2">
        <v>0.37</v>
      </c>
      <c r="BE109" s="2">
        <v>0.2</v>
      </c>
      <c r="BF109" t="s">
        <v>2569</v>
      </c>
      <c r="BG109" s="4"/>
      <c r="BH109" t="s">
        <v>2638</v>
      </c>
      <c r="BI109" s="72" t="str">
        <f t="shared" si="57"/>
        <v>NCC J7D3aHealth-care - infants' and children's wards and emergency department; radiant/visible fraction split retained from original WA/COMNET-REV9 source (AIRAH Technical Handbook does not publish this split)LightingDef</v>
      </c>
      <c r="BJ109" t="s">
        <v>370</v>
      </c>
      <c r="BK109" s="4" t="s">
        <v>2165</v>
      </c>
      <c r="BL109" s="4" t="s">
        <v>2165</v>
      </c>
      <c r="BM109" s="4" t="s">
        <v>2165</v>
      </c>
      <c r="BN109" s="4" t="s">
        <v>2165</v>
      </c>
      <c r="BO109" s="4" t="s">
        <v>2165</v>
      </c>
      <c r="BP109" s="4" t="s">
        <v>2165</v>
      </c>
      <c r="BQ109" s="4" t="s">
        <v>2165</v>
      </c>
      <c r="BR109" s="4" t="s">
        <v>2165</v>
      </c>
      <c r="BS109" s="4" t="s">
        <v>2165</v>
      </c>
      <c r="BT109" s="73" t="s">
        <v>2165</v>
      </c>
      <c r="BU109" s="4" t="s">
        <v>2165</v>
      </c>
      <c r="BW109">
        <v>0.7</v>
      </c>
      <c r="BY109" t="s">
        <v>2660</v>
      </c>
      <c r="BZ109" t="s">
        <v>2661</v>
      </c>
      <c r="CB109" s="50" t="str">
        <f t="shared" si="58"/>
        <v>Space Function_Hospital - emergency</v>
      </c>
      <c r="CC109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Function_Hospital - emergencyInfil</v>
      </c>
      <c r="CD109" t="s">
        <v>266</v>
      </c>
      <c r="CE109" t="s">
        <v>250</v>
      </c>
      <c r="CF109" t="s">
        <v>289</v>
      </c>
      <c r="CG109" s="4"/>
      <c r="CH109">
        <v>1.89</v>
      </c>
      <c r="CI109" s="4"/>
      <c r="CJ109" t="s">
        <v>2207</v>
      </c>
      <c r="CK109">
        <v>1.1000000000000001E-3</v>
      </c>
      <c r="CL109">
        <v>24.8</v>
      </c>
      <c r="CM109">
        <v>4004</v>
      </c>
      <c r="CN109">
        <v>914</v>
      </c>
      <c r="CO109">
        <v>0.9</v>
      </c>
      <c r="CP109">
        <v>0.7</v>
      </c>
      <c r="CQ109">
        <v>0.7</v>
      </c>
      <c r="CR109" t="s">
        <v>2279</v>
      </c>
      <c r="CS109" t="s">
        <v>2206</v>
      </c>
      <c r="CT109" t="s">
        <v>2380</v>
      </c>
      <c r="CU109" s="4" t="s">
        <v>2165</v>
      </c>
      <c r="CV109" t="str">
        <f t="shared" si="62"/>
        <v>Steel_Medical_1mm</v>
      </c>
      <c r="CW109" s="72" t="str">
        <f t="shared" si="63"/>
        <v>CalculatedEstimateEmergencyRoomMedicalEquipmentSteel_Medical_1mmInternalMassDef</v>
      </c>
    </row>
    <row r="110" spans="1:101" x14ac:dyDescent="0.35">
      <c r="A110" t="s">
        <v>181</v>
      </c>
      <c r="B110" s="50" t="str">
        <f t="shared" si="41"/>
        <v>2025_AU_NCC</v>
      </c>
      <c r="C110" s="50" t="s">
        <v>2440</v>
      </c>
      <c r="D110" s="50" t="s">
        <v>2488</v>
      </c>
      <c r="E110" t="s">
        <v>2068</v>
      </c>
      <c r="F110" s="62">
        <v>2025</v>
      </c>
      <c r="G110" s="62" t="s">
        <v>2522</v>
      </c>
      <c r="H110" t="s">
        <v>2523</v>
      </c>
      <c r="I110">
        <v>136</v>
      </c>
      <c r="J110">
        <v>78</v>
      </c>
      <c r="K110">
        <v>222</v>
      </c>
      <c r="L110" s="50" t="str">
        <f t="shared" si="54"/>
        <v>SS Healthcare - Exam/Treatment  _2025AUNCC</v>
      </c>
      <c r="M110" s="50" t="str">
        <f t="shared" si="42"/>
        <v>SS Healthcare - Exam/Treatment  _2025AUNCCScheduleSet</v>
      </c>
      <c r="N110" s="68">
        <v>50</v>
      </c>
      <c r="O110">
        <v>20</v>
      </c>
      <c r="P110" s="38">
        <v>0.21527830100000001</v>
      </c>
      <c r="Q110">
        <v>255.91</v>
      </c>
      <c r="R110" s="6">
        <v>75</v>
      </c>
      <c r="S110">
        <v>187.67</v>
      </c>
      <c r="T110" s="6">
        <v>55</v>
      </c>
      <c r="U110" s="6"/>
      <c r="V110" s="6"/>
      <c r="W110" s="6">
        <v>130</v>
      </c>
      <c r="X110" s="2">
        <v>0.57692307700000001</v>
      </c>
      <c r="Y110" t="s">
        <v>2524</v>
      </c>
      <c r="Z110" t="s">
        <v>2525</v>
      </c>
      <c r="AB110" s="4"/>
      <c r="AC110" s="50" t="str">
        <f t="shared" si="55"/>
        <v>NCC S35C2nOther applications (non-dining)PeopleDef</v>
      </c>
      <c r="AD110" t="s">
        <v>1365</v>
      </c>
      <c r="AE110" s="50" t="str">
        <f t="shared" si="56"/>
        <v>SS Healthcare - Exam/Treatment  Activity</v>
      </c>
      <c r="AF110" s="62">
        <v>7.5</v>
      </c>
      <c r="AG110" s="62">
        <f t="shared" si="60"/>
        <v>3.5394053798961773E-3</v>
      </c>
      <c r="AH110" s="62">
        <v>0.18</v>
      </c>
      <c r="AI110" s="62">
        <f t="shared" si="52"/>
        <v>9.144E-4</v>
      </c>
      <c r="AJ110" s="63" t="s">
        <v>2165</v>
      </c>
      <c r="AK110" s="4" t="s">
        <v>2165</v>
      </c>
      <c r="AL110" s="4" t="s">
        <v>2165</v>
      </c>
      <c r="AM110" t="s">
        <v>94</v>
      </c>
      <c r="AN110" t="s">
        <v>96</v>
      </c>
      <c r="AO110" s="4" t="s">
        <v>2165</v>
      </c>
      <c r="AP110" s="4" t="s">
        <v>2165</v>
      </c>
      <c r="AQ110" s="72" t="str">
        <f t="shared" si="51"/>
        <v>ASHRAE 62.1-2019Outpatient Health Care Facilities - Urgent care treatment roomVent</v>
      </c>
      <c r="AR110" s="2">
        <v>1.393546</v>
      </c>
      <c r="AS110" s="2">
        <v>15</v>
      </c>
      <c r="AT110" s="2">
        <v>0</v>
      </c>
      <c r="AU110" s="2">
        <v>0.5</v>
      </c>
      <c r="AV110" s="2">
        <v>0</v>
      </c>
      <c r="AW110" t="s">
        <v>2528</v>
      </c>
      <c r="AX110" s="4"/>
      <c r="AY110" t="s">
        <v>2535</v>
      </c>
      <c r="AZ110" s="72" t="str">
        <f t="shared" si="48"/>
        <v>NCC S35C2lClass 9a clinic/day surgery/procedure unit; radiant/latent/lost fraction split retained from original WA/COMNET-REV9 source (AIRAH Technical Handbook does not publish this split)SS Healthcare - Exam/Treatment  ElectricalEquipDef</v>
      </c>
      <c r="BA110" s="8" t="s">
        <v>345</v>
      </c>
      <c r="BB110" s="50">
        <v>0.41806399999999999</v>
      </c>
      <c r="BC110" s="2">
        <v>4.5</v>
      </c>
      <c r="BD110" s="2">
        <v>0.37</v>
      </c>
      <c r="BE110" s="2">
        <v>0.2</v>
      </c>
      <c r="BF110" t="s">
        <v>2569</v>
      </c>
      <c r="BG110" s="4"/>
      <c r="BH110" t="s">
        <v>2577</v>
      </c>
      <c r="BI110" s="72" t="str">
        <f t="shared" si="57"/>
        <v>NCC J7D3aHealth-care - examination room; radiant/visible fraction split retained from original WA/COMNET-REV9 source (AIRAH Technical Handbook does not publish this split)LightingDef</v>
      </c>
      <c r="BJ110" t="s">
        <v>1357</v>
      </c>
      <c r="BK110" s="4" t="s">
        <v>2165</v>
      </c>
      <c r="BL110" s="4" t="s">
        <v>2165</v>
      </c>
      <c r="BM110" s="4" t="s">
        <v>2165</v>
      </c>
      <c r="BN110" s="4" t="s">
        <v>2165</v>
      </c>
      <c r="BO110" s="4" t="s">
        <v>2165</v>
      </c>
      <c r="BP110" s="4" t="s">
        <v>2165</v>
      </c>
      <c r="BQ110" s="4" t="s">
        <v>2165</v>
      </c>
      <c r="BR110" s="4" t="s">
        <v>2165</v>
      </c>
      <c r="BS110" s="4" t="s">
        <v>2165</v>
      </c>
      <c r="BT110" s="73" t="s">
        <v>2165</v>
      </c>
      <c r="BU110" s="4" t="s">
        <v>2165</v>
      </c>
      <c r="BW110">
        <v>0.7</v>
      </c>
      <c r="BY110" t="s">
        <v>2660</v>
      </c>
      <c r="BZ110" t="s">
        <v>2661</v>
      </c>
      <c r="CB110" s="50" t="str">
        <f t="shared" si="58"/>
        <v>Outpatient_Exam</v>
      </c>
      <c r="CC110" s="72" t="str">
        <f t="shared" si="61"/>
        <v>NCC S34C2(6)0.7 ACH assumed as design infiltration for periods without mechanical outdoor air supply; NCC also specifies 0.35 ACH when mechanical OA is operating (to be applied via infiltration schedule once developed)Outpatient_ExamInfil</v>
      </c>
      <c r="CD110" t="s">
        <v>1454</v>
      </c>
      <c r="CE110" t="s">
        <v>2092</v>
      </c>
      <c r="CF110" t="s">
        <v>2096</v>
      </c>
      <c r="CG110" s="4"/>
      <c r="CH110">
        <v>2.2999999999999998</v>
      </c>
      <c r="CI110" s="4"/>
      <c r="CJ110" t="s">
        <v>2207</v>
      </c>
      <c r="CK110">
        <v>9.3999999999999997E-4</v>
      </c>
      <c r="CL110">
        <v>30.3</v>
      </c>
      <c r="CM110">
        <v>4812</v>
      </c>
      <c r="CN110">
        <v>902</v>
      </c>
      <c r="CO110">
        <v>0.9</v>
      </c>
      <c r="CP110">
        <v>0.7</v>
      </c>
      <c r="CQ110">
        <v>0.7</v>
      </c>
      <c r="CR110" t="s">
        <v>2280</v>
      </c>
      <c r="CS110" t="s">
        <v>2206</v>
      </c>
      <c r="CT110" t="s">
        <v>2381</v>
      </c>
      <c r="CU110" s="4" t="s">
        <v>2165</v>
      </c>
      <c r="CV110" t="str">
        <f t="shared" si="62"/>
        <v>Steel_MedExam_1mm</v>
      </c>
      <c r="CW110" s="72" t="str">
        <f t="shared" si="63"/>
        <v>CalculatedEstimateExamTreatmentRoomEquipmentSteel_MedExam_1mmInternalMassDef</v>
      </c>
    </row>
    <row r="111" spans="1:101" x14ac:dyDescent="0.35">
      <c r="A111" t="s">
        <v>182</v>
      </c>
      <c r="B111" s="50" t="str">
        <f t="shared" si="41"/>
        <v>2025_AU_NCC</v>
      </c>
      <c r="C111" s="50" t="s">
        <v>2440</v>
      </c>
      <c r="D111" s="50" t="s">
        <v>2489</v>
      </c>
      <c r="E111" t="s">
        <v>2065</v>
      </c>
      <c r="F111" s="62">
        <v>2025</v>
      </c>
      <c r="G111" s="62" t="s">
        <v>2522</v>
      </c>
      <c r="H111" t="s">
        <v>2523</v>
      </c>
      <c r="I111">
        <v>0</v>
      </c>
      <c r="J111">
        <v>128</v>
      </c>
      <c r="K111">
        <v>128</v>
      </c>
      <c r="L111" s="50" t="str">
        <f t="shared" si="54"/>
        <v>SS Healthcare - Supply Room_2025AUNCC</v>
      </c>
      <c r="M111" s="50" t="str">
        <f t="shared" si="42"/>
        <v>SS Healthcare - Supply Room_2025AUNCCScheduleSet</v>
      </c>
      <c r="N111" s="69"/>
      <c r="O111" s="46"/>
      <c r="P111" s="46"/>
      <c r="Q111" s="46">
        <v>255.91</v>
      </c>
      <c r="R111" s="46">
        <v>75</v>
      </c>
      <c r="S111" s="46">
        <v>187.67</v>
      </c>
      <c r="T111" s="46">
        <v>55</v>
      </c>
      <c r="U111" s="46"/>
      <c r="V111" s="46"/>
      <c r="W111" s="46">
        <v>130</v>
      </c>
      <c r="X111" s="48">
        <v>0.57692307700000001</v>
      </c>
      <c r="Y111" s="46" t="s">
        <v>2524</v>
      </c>
      <c r="Z111" s="46" t="s">
        <v>2525</v>
      </c>
      <c r="AA111" s="46"/>
      <c r="AB111" s="46"/>
      <c r="AC111" s="54" t="s">
        <v>2165</v>
      </c>
      <c r="AD111" s="46" t="s">
        <v>2165</v>
      </c>
      <c r="AE111" s="54" t="s">
        <v>2165</v>
      </c>
      <c r="AF111" s="63" t="s">
        <v>2165</v>
      </c>
      <c r="AG111" s="63" t="s">
        <v>2165</v>
      </c>
      <c r="AH111" s="62">
        <v>0.12</v>
      </c>
      <c r="AI111" s="62">
        <f t="shared" si="52"/>
        <v>6.0959999999999996E-4</v>
      </c>
      <c r="AJ111" s="63" t="s">
        <v>2165</v>
      </c>
      <c r="AK111" s="4" t="s">
        <v>2165</v>
      </c>
      <c r="AL111" s="4" t="s">
        <v>2165</v>
      </c>
      <c r="AM111" t="s">
        <v>37</v>
      </c>
      <c r="AN111" t="s">
        <v>61</v>
      </c>
      <c r="AO111" s="4" t="s">
        <v>2165</v>
      </c>
      <c r="AP111" s="4" t="s">
        <v>2165</v>
      </c>
      <c r="AQ111" s="72" t="str">
        <f t="shared" si="51"/>
        <v>Washington State Mechanical Code TABLE 403.3.1.1Retail stores, sales floors, and showroom floors - Storage roomsVent</v>
      </c>
      <c r="AR111" s="2">
        <v>0</v>
      </c>
      <c r="AS111" s="2">
        <v>0</v>
      </c>
      <c r="AT111" s="2">
        <v>0</v>
      </c>
      <c r="AU111" s="2">
        <v>0.5</v>
      </c>
      <c r="AV111" s="2">
        <v>0</v>
      </c>
      <c r="AW111" t="s">
        <v>2528</v>
      </c>
      <c r="AX111" s="4"/>
      <c r="AY111" t="s">
        <v>2558</v>
      </c>
      <c r="AZ111" s="72" t="str">
        <f t="shared" si="48"/>
        <v>NCC S35C2lClass 9a storage (Other applications) - no equipment load per S35C2l; radiant/latent/lost fraction split retained from original WA/COMNET-REV9 source (AIRAH Technical Handbook does not publish this split)SS Healthcare - Supply RoomElectricalEquipDef</v>
      </c>
      <c r="BA111" s="8" t="s">
        <v>341</v>
      </c>
      <c r="BB111" s="50">
        <v>0.13935500000000001</v>
      </c>
      <c r="BC111" s="2">
        <v>1.5</v>
      </c>
      <c r="BD111" s="2">
        <v>0.37</v>
      </c>
      <c r="BE111" s="2">
        <v>0.2</v>
      </c>
      <c r="BF111" t="s">
        <v>2569</v>
      </c>
      <c r="BG111" s="4"/>
      <c r="BH111" t="s">
        <v>2596</v>
      </c>
      <c r="BI111" s="72" t="str">
        <f t="shared" si="57"/>
        <v>NCC J7D3aStorage; radiant/visible fraction split retained from original WA/COMNET-REV9 source (AIRAH Technical Handbook does not publish this split)LightingDef</v>
      </c>
      <c r="BJ111" t="s">
        <v>370</v>
      </c>
      <c r="BK111" s="4" t="s">
        <v>2165</v>
      </c>
      <c r="BL111" s="4" t="s">
        <v>2165</v>
      </c>
      <c r="BM111" s="4" t="s">
        <v>2165</v>
      </c>
      <c r="BN111" s="4" t="s">
        <v>2165</v>
      </c>
      <c r="BO111" s="4" t="s">
        <v>2165</v>
      </c>
      <c r="BP111" s="4" t="s">
        <v>2165</v>
      </c>
      <c r="BQ111" s="4" t="s">
        <v>2165</v>
      </c>
      <c r="BR111" s="4" t="s">
        <v>2165</v>
      </c>
      <c r="BS111" s="4" t="s">
        <v>2165</v>
      </c>
      <c r="BT111" s="73" t="s">
        <v>2165</v>
      </c>
      <c r="BU111" s="4" t="s">
        <v>2165</v>
      </c>
      <c r="BW111">
        <v>0.7</v>
      </c>
      <c r="BY111" t="s">
        <v>2660</v>
      </c>
      <c r="BZ111" t="s">
        <v>2661</v>
      </c>
      <c r="CB111" s="50" t="str">
        <f t="shared" si="58"/>
        <v>Hospital_Hospital - medical supply</v>
      </c>
      <c r="CC111" s="72" t="str">
        <f t="shared" si="61"/>
        <v>NCC S34C2(6)0.7 ACH assumed as design infiltration for periods without mechanical outdoor air supply; NCC also specifies 0.35 ACH when mechanical OA is operating (to be applied via infiltration schedule once developed)Hospital_Hospital - medical supplyInfil</v>
      </c>
      <c r="CD111" t="s">
        <v>266</v>
      </c>
      <c r="CE111" t="s">
        <v>110</v>
      </c>
      <c r="CF111" t="s">
        <v>2065</v>
      </c>
      <c r="CG111" s="4"/>
      <c r="CH111">
        <v>5.95</v>
      </c>
      <c r="CI111" s="4"/>
      <c r="CJ111" t="s">
        <v>2207</v>
      </c>
      <c r="CK111">
        <v>1.6999999999999999E-3</v>
      </c>
      <c r="CL111">
        <v>29.9</v>
      </c>
      <c r="CM111">
        <v>4600</v>
      </c>
      <c r="CN111">
        <v>860</v>
      </c>
      <c r="CO111">
        <v>0.9</v>
      </c>
      <c r="CP111">
        <v>0.7</v>
      </c>
      <c r="CQ111">
        <v>0.7</v>
      </c>
      <c r="CR111" t="s">
        <v>2281</v>
      </c>
      <c r="CS111" t="s">
        <v>2206</v>
      </c>
      <c r="CT111" t="s">
        <v>2382</v>
      </c>
      <c r="CU111" s="4" t="s">
        <v>2165</v>
      </c>
      <c r="CV111" t="str">
        <f t="shared" si="62"/>
        <v>Steel_MedSupply_2mm</v>
      </c>
      <c r="CW111" s="72" t="str">
        <f t="shared" si="63"/>
        <v>CalculatedEstimateMedicalSupplyShelvingAndCartsSteel_MedSupply_2mmInternalMassDef</v>
      </c>
    </row>
    <row r="112" spans="1:101" x14ac:dyDescent="0.35">
      <c r="A112" t="s">
        <v>183</v>
      </c>
      <c r="B112" s="50" t="str">
        <f t="shared" si="41"/>
        <v>2025_AU_NCC</v>
      </c>
      <c r="C112" s="50" t="s">
        <v>2440</v>
      </c>
      <c r="D112" s="50" t="s">
        <v>2490</v>
      </c>
      <c r="E112" t="s">
        <v>2069</v>
      </c>
      <c r="F112" s="62">
        <v>2025</v>
      </c>
      <c r="G112" s="62" t="s">
        <v>2522</v>
      </c>
      <c r="H112" t="s">
        <v>2523</v>
      </c>
      <c r="I112">
        <v>78</v>
      </c>
      <c r="J112">
        <v>167</v>
      </c>
      <c r="K112">
        <v>222</v>
      </c>
      <c r="L112" s="50" t="str">
        <f t="shared" si="54"/>
        <v>SS Healthcare - Nursery  _2025AUNCC</v>
      </c>
      <c r="M112" s="50" t="str">
        <f t="shared" si="42"/>
        <v>SS Healthcare - Nursery  _2025AUNCCScheduleSet</v>
      </c>
      <c r="N112" s="68">
        <v>50</v>
      </c>
      <c r="O112">
        <v>20</v>
      </c>
      <c r="P112" s="38">
        <v>0.21527830100000001</v>
      </c>
      <c r="Q112">
        <v>255.91</v>
      </c>
      <c r="R112" s="6">
        <v>75</v>
      </c>
      <c r="S112">
        <v>187.67</v>
      </c>
      <c r="T112" s="6">
        <v>55</v>
      </c>
      <c r="U112" s="6"/>
      <c r="V112" s="6"/>
      <c r="W112" s="6">
        <v>130</v>
      </c>
      <c r="X112" s="2">
        <v>0.57692307700000001</v>
      </c>
      <c r="Y112" t="s">
        <v>2524</v>
      </c>
      <c r="Z112" t="s">
        <v>2525</v>
      </c>
      <c r="AB112" s="4"/>
      <c r="AC112" s="50" t="str">
        <f t="shared" ref="AC112:AC129" si="64">CONCATENATE(Y112,Z112,AA112,AB112,"PeopleDef")</f>
        <v>NCC S35C2nOther applications (non-dining)PeopleDef</v>
      </c>
      <c r="AD112" t="s">
        <v>552</v>
      </c>
      <c r="AE112" s="50" t="str">
        <f t="shared" ref="AE112:AE129" si="65">CONCATENATE(A112,"Activity")</f>
        <v>SS Healthcare - Nursery  Activity</v>
      </c>
      <c r="AF112" s="62">
        <v>5</v>
      </c>
      <c r="AG112" s="62">
        <f t="shared" si="60"/>
        <v>2.3596035865974517E-3</v>
      </c>
      <c r="AH112" s="62">
        <v>0.06</v>
      </c>
      <c r="AI112" s="62">
        <f t="shared" si="52"/>
        <v>3.0479999999999998E-4</v>
      </c>
      <c r="AJ112" s="63" t="s">
        <v>2165</v>
      </c>
      <c r="AK112" s="4" t="s">
        <v>2165</v>
      </c>
      <c r="AL112" s="4" t="s">
        <v>2165</v>
      </c>
      <c r="AM112" t="s">
        <v>94</v>
      </c>
      <c r="AN112" t="s">
        <v>97</v>
      </c>
      <c r="AO112" s="4" t="s">
        <v>2165</v>
      </c>
      <c r="AP112" s="4" t="s">
        <v>2165</v>
      </c>
      <c r="AQ112" s="72" t="str">
        <f t="shared" si="51"/>
        <v>ASHRAE 62.1-2019Outpatient Health Care Facilities - Urgent care observation roomVent</v>
      </c>
      <c r="AR112" s="2">
        <v>0.46451500000000001</v>
      </c>
      <c r="AS112" s="2">
        <v>5</v>
      </c>
      <c r="AT112" s="2">
        <v>0</v>
      </c>
      <c r="AU112" s="2">
        <v>0.5</v>
      </c>
      <c r="AV112" s="2">
        <v>0</v>
      </c>
      <c r="AW112" t="s">
        <v>2528</v>
      </c>
      <c r="AX112" s="4"/>
      <c r="AY112" t="s">
        <v>2562</v>
      </c>
      <c r="AZ112" s="72" t="str">
        <f t="shared" si="48"/>
        <v>NCC S35C2lClass 9a ward area (nursery treated as infant ward); radiant/latent/lost fraction split retained from original WA/COMNET-REV9 source (AIRAH Technical Handbook does not publish this split)SS Healthcare - Nursery  ElectricalEquipDef</v>
      </c>
      <c r="BA112" s="8" t="s">
        <v>537</v>
      </c>
      <c r="BB112" s="50">
        <v>0.371612</v>
      </c>
      <c r="BC112" s="2">
        <v>4</v>
      </c>
      <c r="BD112" s="2">
        <v>0.37</v>
      </c>
      <c r="BE112" s="2">
        <v>0.2</v>
      </c>
      <c r="BF112" t="s">
        <v>2569</v>
      </c>
      <c r="BG112" s="4"/>
      <c r="BH112" t="s">
        <v>2638</v>
      </c>
      <c r="BI112" s="72" t="str">
        <f t="shared" si="57"/>
        <v>NCC J7D3aHealth-care - infants' and children's wards and emergency department; radiant/visible fraction split retained from original WA/COMNET-REV9 source (AIRAH Technical Handbook does not publish this split)LightingDef</v>
      </c>
      <c r="BJ112" t="s">
        <v>540</v>
      </c>
      <c r="BK112" s="4" t="s">
        <v>2165</v>
      </c>
      <c r="BL112" s="4" t="s">
        <v>2165</v>
      </c>
      <c r="BM112" s="4" t="s">
        <v>2165</v>
      </c>
      <c r="BN112" s="4" t="s">
        <v>2165</v>
      </c>
      <c r="BO112" s="4" t="s">
        <v>2165</v>
      </c>
      <c r="BP112" s="4" t="s">
        <v>2165</v>
      </c>
      <c r="BQ112" s="4" t="s">
        <v>2165</v>
      </c>
      <c r="BR112" s="4" t="s">
        <v>2165</v>
      </c>
      <c r="BS112" s="4" t="s">
        <v>2165</v>
      </c>
      <c r="BT112" s="73" t="s">
        <v>2165</v>
      </c>
      <c r="BU112" s="4" t="s">
        <v>2165</v>
      </c>
      <c r="BW112">
        <v>0.7</v>
      </c>
      <c r="BY112" t="s">
        <v>2660</v>
      </c>
      <c r="BZ112" t="s">
        <v>2661</v>
      </c>
      <c r="CB112" s="50" t="str">
        <f t="shared" si="58"/>
        <v>Hospital_ICU_Open</v>
      </c>
      <c r="CC112" s="72" t="str">
        <f t="shared" si="61"/>
        <v>NCC S34C2(6)0.7 ACH assumed as design infiltration for periods without mechanical outdoor air supply; NCC also specifies 0.35 ACH when mechanical OA is operating (to be applied via infiltration schedule once developed)Hospital_ICU_OpenInfil</v>
      </c>
      <c r="CD112" t="s">
        <v>610</v>
      </c>
      <c r="CE112" t="s">
        <v>110</v>
      </c>
      <c r="CF112" t="s">
        <v>2069</v>
      </c>
      <c r="CG112" s="4"/>
      <c r="CH112">
        <v>2.48</v>
      </c>
      <c r="CI112" s="4"/>
      <c r="CJ112" t="s">
        <v>2207</v>
      </c>
      <c r="CK112">
        <v>1.1999999999999999E-3</v>
      </c>
      <c r="CL112">
        <v>41.5</v>
      </c>
      <c r="CM112">
        <v>3996</v>
      </c>
      <c r="CN112">
        <v>921</v>
      </c>
      <c r="CO112">
        <v>0.9</v>
      </c>
      <c r="CP112">
        <v>0.7</v>
      </c>
      <c r="CQ112">
        <v>0.7</v>
      </c>
      <c r="CR112" t="s">
        <v>2282</v>
      </c>
      <c r="CS112" t="s">
        <v>2206</v>
      </c>
      <c r="CT112" t="s">
        <v>2383</v>
      </c>
      <c r="CU112" s="4" t="s">
        <v>2165</v>
      </c>
      <c r="CV112" t="str">
        <f t="shared" si="62"/>
        <v>Steel_Nursery_1mm</v>
      </c>
      <c r="CW112" s="72" t="str">
        <f t="shared" si="63"/>
        <v>CalculatedEstimateNurseryBassinetsAndEquipmentSteel_Nursery_1mmInternalMassDef</v>
      </c>
    </row>
    <row r="113" spans="1:101" x14ac:dyDescent="0.35">
      <c r="A113" t="s">
        <v>184</v>
      </c>
      <c r="B113" s="50" t="str">
        <f t="shared" si="41"/>
        <v>2025_AU_NCC</v>
      </c>
      <c r="C113" s="50" t="s">
        <v>2440</v>
      </c>
      <c r="D113" s="50" t="s">
        <v>2491</v>
      </c>
      <c r="E113" t="s">
        <v>2070</v>
      </c>
      <c r="F113" s="62">
        <v>2025</v>
      </c>
      <c r="G113" s="62" t="s">
        <v>2522</v>
      </c>
      <c r="H113" t="s">
        <v>2523</v>
      </c>
      <c r="I113">
        <v>31</v>
      </c>
      <c r="J113">
        <v>162</v>
      </c>
      <c r="K113">
        <v>169</v>
      </c>
      <c r="L113" s="50" t="str">
        <f t="shared" si="54"/>
        <v>SS Healthcare - Nurses’ Station  _2025AUNCC</v>
      </c>
      <c r="M113" s="50" t="str">
        <f t="shared" si="42"/>
        <v>SS Healthcare - Nurses’ Station  _2025AUNCCScheduleSet</v>
      </c>
      <c r="N113" s="68">
        <v>16.666666670000001</v>
      </c>
      <c r="O113">
        <v>60</v>
      </c>
      <c r="P113" s="38">
        <v>0.64583490300000002</v>
      </c>
      <c r="Q113">
        <v>255.91</v>
      </c>
      <c r="R113" s="6">
        <v>75</v>
      </c>
      <c r="S113">
        <v>187.67</v>
      </c>
      <c r="T113" s="6">
        <v>55</v>
      </c>
      <c r="U113" s="6"/>
      <c r="V113" s="6"/>
      <c r="W113" s="6">
        <v>130</v>
      </c>
      <c r="X113" s="2">
        <v>0.57692307700000001</v>
      </c>
      <c r="Y113" t="s">
        <v>2524</v>
      </c>
      <c r="Z113" t="s">
        <v>2525</v>
      </c>
      <c r="AB113" s="4"/>
      <c r="AC113" s="50" t="str">
        <f t="shared" si="64"/>
        <v>NCC S35C2nOther applications (non-dining)PeopleDef</v>
      </c>
      <c r="AD113" t="s">
        <v>553</v>
      </c>
      <c r="AE113" s="50" t="str">
        <f t="shared" si="65"/>
        <v>SS Healthcare - Nurses’ Station  Activity</v>
      </c>
      <c r="AF113" s="62">
        <v>5</v>
      </c>
      <c r="AG113" s="62">
        <f t="shared" si="60"/>
        <v>2.3596035865974517E-3</v>
      </c>
      <c r="AH113" s="62">
        <v>0.06</v>
      </c>
      <c r="AI113" s="62">
        <f t="shared" si="52"/>
        <v>3.0479999999999998E-4</v>
      </c>
      <c r="AJ113" s="63" t="s">
        <v>2165</v>
      </c>
      <c r="AK113" s="4" t="s">
        <v>2165</v>
      </c>
      <c r="AL113" s="4" t="s">
        <v>2165</v>
      </c>
      <c r="AM113" t="s">
        <v>94</v>
      </c>
      <c r="AN113" t="s">
        <v>101</v>
      </c>
      <c r="AO113" s="4" t="s">
        <v>2165</v>
      </c>
      <c r="AP113" s="4" t="s">
        <v>2165</v>
      </c>
      <c r="AQ113" s="72" t="str">
        <f t="shared" si="51"/>
        <v>ASHRAE 62.1-2019Office Buildings - Telephone/data entryVent</v>
      </c>
      <c r="AR113" s="2">
        <v>0.46451500000000001</v>
      </c>
      <c r="AS113" s="2">
        <v>5</v>
      </c>
      <c r="AT113" s="2">
        <v>0</v>
      </c>
      <c r="AU113" s="2">
        <v>0.5</v>
      </c>
      <c r="AV113" s="2">
        <v>0</v>
      </c>
      <c r="AW113" t="s">
        <v>2528</v>
      </c>
      <c r="AX113" s="4"/>
      <c r="AY113" t="s">
        <v>2554</v>
      </c>
      <c r="AZ113" s="72" t="str">
        <f t="shared" si="48"/>
        <v>NCC S35C2lClass 9a ward area (support default); radiant/latent/lost fraction split retained from original WA/COMNET-REV9 source (AIRAH Technical Handbook does not publish this split)SS Healthcare - Nurses’ Station  ElectricalEquipDef</v>
      </c>
      <c r="BA113" s="8" t="s">
        <v>329</v>
      </c>
      <c r="BB113" s="50">
        <v>0.41806399999999999</v>
      </c>
      <c r="BC113" s="2">
        <v>4.5</v>
      </c>
      <c r="BD113" s="2">
        <v>0.37</v>
      </c>
      <c r="BE113" s="2">
        <v>0.2</v>
      </c>
      <c r="BF113" t="s">
        <v>2569</v>
      </c>
      <c r="BG113" s="4"/>
      <c r="BH113" t="s">
        <v>2639</v>
      </c>
      <c r="BI113" s="72" t="str">
        <f t="shared" si="57"/>
        <v>NCC J7D3aControl room, switch room and the like - constant monitoring / examination room (nurses station counter); radiant/visible fraction split retained from original WA/COMNET-REV9 source (AIRAH Technical Handbook does not publish this split)LightingDef</v>
      </c>
      <c r="BJ113" t="s">
        <v>544</v>
      </c>
      <c r="BK113" s="4" t="s">
        <v>2165</v>
      </c>
      <c r="BL113" s="4" t="s">
        <v>2165</v>
      </c>
      <c r="BM113" s="4" t="s">
        <v>2165</v>
      </c>
      <c r="BN113" s="4" t="s">
        <v>2165</v>
      </c>
      <c r="BO113" s="4" t="s">
        <v>2165</v>
      </c>
      <c r="BP113" s="4" t="s">
        <v>2165</v>
      </c>
      <c r="BQ113" s="4" t="s">
        <v>2165</v>
      </c>
      <c r="BR113" s="4" t="s">
        <v>2165</v>
      </c>
      <c r="BS113" s="4" t="s">
        <v>2165</v>
      </c>
      <c r="BT113" s="73" t="s">
        <v>2165</v>
      </c>
      <c r="BU113" s="4" t="s">
        <v>2165</v>
      </c>
      <c r="BW113">
        <v>0.7</v>
      </c>
      <c r="BY113" t="s">
        <v>2660</v>
      </c>
      <c r="BZ113" t="s">
        <v>2661</v>
      </c>
      <c r="CB113" s="50" t="str">
        <f t="shared" si="58"/>
        <v>Hospital_Hospital NurseStn</v>
      </c>
      <c r="CC113" s="72" t="str">
        <f t="shared" si="61"/>
        <v>NCC S34C2(6)0.7 ACH assumed as design infiltration for periods without mechanical outdoor air supply; NCC also specifies 0.35 ACH when mechanical OA is operating (to be applied via infiltration schedule once developed)Hospital_Hospital NurseStnInfil</v>
      </c>
      <c r="CD113" t="s">
        <v>610</v>
      </c>
      <c r="CE113" t="s">
        <v>110</v>
      </c>
      <c r="CF113" t="s">
        <v>2070</v>
      </c>
      <c r="CG113" s="4"/>
      <c r="CH113">
        <v>3.71</v>
      </c>
      <c r="CI113" s="4"/>
      <c r="CJ113" t="s">
        <v>2205</v>
      </c>
      <c r="CK113">
        <v>1.5E-3</v>
      </c>
      <c r="CL113">
        <v>20.2</v>
      </c>
      <c r="CM113">
        <v>3433</v>
      </c>
      <c r="CN113">
        <v>958</v>
      </c>
      <c r="CO113">
        <v>0.9</v>
      </c>
      <c r="CP113">
        <v>0.7</v>
      </c>
      <c r="CQ113">
        <v>0.7</v>
      </c>
      <c r="CR113" t="s">
        <v>2283</v>
      </c>
      <c r="CS113" t="s">
        <v>2206</v>
      </c>
      <c r="CT113" t="s">
        <v>2384</v>
      </c>
      <c r="CU113" s="4" t="s">
        <v>2165</v>
      </c>
      <c r="CV113" t="str">
        <f t="shared" si="62"/>
        <v>Mixed_NurseStation_2mm</v>
      </c>
      <c r="CW113" s="72" t="str">
        <f t="shared" si="63"/>
        <v>CalculatedEstimateNursesStationDeskAndEquipmentMixed_NurseStation_2mmInternalMassDef</v>
      </c>
    </row>
    <row r="114" spans="1:101" x14ac:dyDescent="0.35">
      <c r="A114" t="s">
        <v>185</v>
      </c>
      <c r="B114" s="50" t="str">
        <f t="shared" si="41"/>
        <v>2025_AU_NCC</v>
      </c>
      <c r="C114" s="50" t="s">
        <v>2440</v>
      </c>
      <c r="D114" s="50" t="s">
        <v>2492</v>
      </c>
      <c r="E114" t="s">
        <v>2071</v>
      </c>
      <c r="F114" s="62">
        <v>2025</v>
      </c>
      <c r="G114" s="62" t="s">
        <v>2522</v>
      </c>
      <c r="H114" t="s">
        <v>2523</v>
      </c>
      <c r="I114">
        <v>169</v>
      </c>
      <c r="J114">
        <v>31</v>
      </c>
      <c r="K114">
        <v>159</v>
      </c>
      <c r="L114" s="50" t="str">
        <f t="shared" si="54"/>
        <v>SS Healthcare - Operating Room  _2025AUNCC</v>
      </c>
      <c r="M114" s="50" t="str">
        <f t="shared" si="42"/>
        <v>SS Healthcare - Operating Room  _2025AUNCCScheduleSet</v>
      </c>
      <c r="N114" s="68">
        <v>50</v>
      </c>
      <c r="O114">
        <v>20</v>
      </c>
      <c r="P114" s="38">
        <v>0.21527830100000001</v>
      </c>
      <c r="Q114">
        <v>255.91</v>
      </c>
      <c r="R114" s="6">
        <v>75</v>
      </c>
      <c r="S114">
        <v>187.67</v>
      </c>
      <c r="T114" s="6">
        <v>55</v>
      </c>
      <c r="U114" s="6"/>
      <c r="V114" s="6"/>
      <c r="W114" s="6">
        <v>130</v>
      </c>
      <c r="X114" s="2">
        <v>0.57692307700000001</v>
      </c>
      <c r="Y114" t="s">
        <v>2524</v>
      </c>
      <c r="Z114" t="s">
        <v>2525</v>
      </c>
      <c r="AB114" s="4"/>
      <c r="AC114" s="50" t="str">
        <f t="shared" si="64"/>
        <v>NCC S35C2nOther applications (non-dining)PeopleDef</v>
      </c>
      <c r="AD114" t="s">
        <v>552</v>
      </c>
      <c r="AE114" s="50" t="str">
        <f t="shared" si="65"/>
        <v>SS Healthcare - Operating Room  Activity</v>
      </c>
      <c r="AF114" s="62">
        <v>10</v>
      </c>
      <c r="AG114" s="62">
        <f t="shared" si="60"/>
        <v>4.7192071731949033E-3</v>
      </c>
      <c r="AH114" s="62">
        <v>0.18</v>
      </c>
      <c r="AI114" s="62">
        <f t="shared" si="52"/>
        <v>9.144E-4</v>
      </c>
      <c r="AJ114" s="63" t="s">
        <v>2165</v>
      </c>
      <c r="AK114" s="4" t="s">
        <v>2165</v>
      </c>
      <c r="AL114" s="4" t="s">
        <v>2165</v>
      </c>
      <c r="AM114" t="s">
        <v>94</v>
      </c>
      <c r="AN114" t="s">
        <v>99</v>
      </c>
      <c r="AO114" s="4" t="s">
        <v>2165</v>
      </c>
      <c r="AP114" s="4" t="s">
        <v>2165</v>
      </c>
      <c r="AQ114" s="72" t="str">
        <f t="shared" si="51"/>
        <v>ASHRAE 62.1-2019Outpatient Health Care Facilities - Dental operatoryVent</v>
      </c>
      <c r="AR114" s="2">
        <v>1.393546</v>
      </c>
      <c r="AS114" s="2">
        <v>15</v>
      </c>
      <c r="AT114" s="2">
        <v>0</v>
      </c>
      <c r="AU114" s="2">
        <v>0.5</v>
      </c>
      <c r="AV114" s="2">
        <v>0</v>
      </c>
      <c r="AW114" t="s">
        <v>2528</v>
      </c>
      <c r="AX114" s="4"/>
      <c r="AY114" t="s">
        <v>2535</v>
      </c>
      <c r="AZ114" s="72" t="str">
        <f t="shared" si="48"/>
        <v>NCC S35C2lClass 9a clinic/day surgery/procedure unit; radiant/latent/lost fraction split retained from original WA/COMNET-REV9 source (AIRAH Technical Handbook does not publish this split)SS Healthcare - Operating Room  ElectricalEquipDef</v>
      </c>
      <c r="BA114" s="8" t="s">
        <v>537</v>
      </c>
      <c r="BB114" s="50">
        <v>0.55741799999999997</v>
      </c>
      <c r="BC114" s="2">
        <v>6</v>
      </c>
      <c r="BD114" s="2">
        <v>0.37</v>
      </c>
      <c r="BE114" s="2">
        <v>0.2</v>
      </c>
      <c r="BF114" t="s">
        <v>2569</v>
      </c>
      <c r="BG114" s="4"/>
      <c r="BH114" t="s">
        <v>2640</v>
      </c>
      <c r="BI114" s="72" t="str">
        <f t="shared" si="57"/>
        <v>NCC J7D3aHealth-care - examination room in intensive care and high dependency ward (nearest for OR); radiant/visible fraction split retained from original WA/COMNET-REV9 source (AIRAH Technical Handbook does not publish this split)LightingDef</v>
      </c>
      <c r="BJ114" t="s">
        <v>540</v>
      </c>
      <c r="BK114" s="4" t="s">
        <v>2165</v>
      </c>
      <c r="BL114" s="4" t="s">
        <v>2165</v>
      </c>
      <c r="BM114" s="4" t="s">
        <v>2165</v>
      </c>
      <c r="BN114" s="4" t="s">
        <v>2165</v>
      </c>
      <c r="BO114" s="4" t="s">
        <v>2165</v>
      </c>
      <c r="BP114" s="4" t="s">
        <v>2165</v>
      </c>
      <c r="BQ114" s="4" t="s">
        <v>2165</v>
      </c>
      <c r="BR114" s="4" t="s">
        <v>2165</v>
      </c>
      <c r="BS114" s="4" t="s">
        <v>2165</v>
      </c>
      <c r="BT114" s="73" t="s">
        <v>2165</v>
      </c>
      <c r="BU114" s="4" t="s">
        <v>2165</v>
      </c>
      <c r="BW114">
        <v>0.7</v>
      </c>
      <c r="BY114" t="s">
        <v>2660</v>
      </c>
      <c r="BZ114" t="s">
        <v>2661</v>
      </c>
      <c r="CB114" s="50" t="str">
        <f t="shared" si="58"/>
        <v>Hospital_Hospital OR</v>
      </c>
      <c r="CC114" s="72" t="str">
        <f t="shared" si="61"/>
        <v>NCC S34C2(6)0.7 ACH assumed as design infiltration for periods without mechanical outdoor air supply; NCC also specifies 0.35 ACH when mechanical OA is operating (to be applied via infiltration schedule once developed)Hospital_Hospital ORInfil</v>
      </c>
      <c r="CD114" t="s">
        <v>610</v>
      </c>
      <c r="CE114" t="s">
        <v>110</v>
      </c>
      <c r="CF114" t="s">
        <v>2071</v>
      </c>
      <c r="CG114" s="4"/>
      <c r="CH114">
        <v>2.81</v>
      </c>
      <c r="CI114" s="4"/>
      <c r="CJ114" t="s">
        <v>2207</v>
      </c>
      <c r="CK114">
        <v>1.5E-3</v>
      </c>
      <c r="CL114">
        <v>62.4</v>
      </c>
      <c r="CM114">
        <v>6305</v>
      </c>
      <c r="CN114">
        <v>596</v>
      </c>
      <c r="CO114">
        <v>0.9</v>
      </c>
      <c r="CP114">
        <v>0.7</v>
      </c>
      <c r="CQ114">
        <v>0.7</v>
      </c>
      <c r="CR114" t="s">
        <v>2284</v>
      </c>
      <c r="CS114" t="s">
        <v>2206</v>
      </c>
      <c r="CT114" t="s">
        <v>2385</v>
      </c>
      <c r="CU114" s="4" t="s">
        <v>2165</v>
      </c>
      <c r="CV114" t="str">
        <f t="shared" si="62"/>
        <v>Steel_Aluminum_OR_2mm</v>
      </c>
      <c r="CW114" s="72" t="str">
        <f t="shared" si="63"/>
        <v>CalculatedEstimateOperatingRoomStainlessEquipmentSteel_Aluminum_OR_2mmInternalMassDef</v>
      </c>
    </row>
    <row r="115" spans="1:101" x14ac:dyDescent="0.35">
      <c r="A115" t="s">
        <v>186</v>
      </c>
      <c r="B115" s="50" t="str">
        <f t="shared" si="41"/>
        <v>2025_AU_NCC</v>
      </c>
      <c r="C115" s="50" t="s">
        <v>2440</v>
      </c>
      <c r="D115" s="50" t="s">
        <v>2493</v>
      </c>
      <c r="E115" t="s">
        <v>2072</v>
      </c>
      <c r="F115" s="62">
        <v>2025</v>
      </c>
      <c r="G115" s="62" t="s">
        <v>2522</v>
      </c>
      <c r="H115" t="s">
        <v>2523</v>
      </c>
      <c r="I115">
        <v>78</v>
      </c>
      <c r="J115">
        <v>167</v>
      </c>
      <c r="K115">
        <v>222</v>
      </c>
      <c r="L115" s="50" t="str">
        <f t="shared" si="54"/>
        <v>SS Healthcare - Patient Room  _2025AUNCC</v>
      </c>
      <c r="M115" s="50" t="str">
        <f t="shared" si="42"/>
        <v>SS Healthcare - Patient Room  _2025AUNCCScheduleSet</v>
      </c>
      <c r="N115" s="68">
        <v>50</v>
      </c>
      <c r="O115">
        <v>20</v>
      </c>
      <c r="P115" s="38">
        <v>0.21527830100000001</v>
      </c>
      <c r="Q115">
        <v>255.91</v>
      </c>
      <c r="R115" s="6">
        <v>75</v>
      </c>
      <c r="S115">
        <v>187.67</v>
      </c>
      <c r="T115" s="6">
        <v>55</v>
      </c>
      <c r="U115" s="6"/>
      <c r="V115" s="6"/>
      <c r="W115" s="6">
        <v>130</v>
      </c>
      <c r="X115" s="2">
        <v>0.57692307700000001</v>
      </c>
      <c r="Y115" t="s">
        <v>2524</v>
      </c>
      <c r="Z115" t="s">
        <v>2525</v>
      </c>
      <c r="AB115" s="4"/>
      <c r="AC115" s="50" t="str">
        <f t="shared" si="64"/>
        <v>NCC S35C2nOther applications (non-dining)PeopleDef</v>
      </c>
      <c r="AD115" t="s">
        <v>552</v>
      </c>
      <c r="AE115" s="50" t="str">
        <f t="shared" si="65"/>
        <v>SS Healthcare - Patient Room  Activity</v>
      </c>
      <c r="AF115" s="62">
        <v>5</v>
      </c>
      <c r="AG115" s="62">
        <f t="shared" si="60"/>
        <v>2.3596035865974517E-3</v>
      </c>
      <c r="AH115" s="62">
        <v>0.06</v>
      </c>
      <c r="AI115" s="62">
        <f t="shared" si="52"/>
        <v>3.0479999999999998E-4</v>
      </c>
      <c r="AJ115" s="63" t="s">
        <v>2165</v>
      </c>
      <c r="AK115" s="4" t="s">
        <v>2165</v>
      </c>
      <c r="AL115" s="4" t="s">
        <v>2165</v>
      </c>
      <c r="AM115" t="s">
        <v>94</v>
      </c>
      <c r="AN115" t="s">
        <v>97</v>
      </c>
      <c r="AO115" s="4" t="s">
        <v>2165</v>
      </c>
      <c r="AP115" s="4" t="s">
        <v>2165</v>
      </c>
      <c r="AQ115" s="72" t="str">
        <f t="shared" si="51"/>
        <v>ASHRAE 62.1-2019Outpatient Health Care Facilities - Urgent care observation roomVent</v>
      </c>
      <c r="AR115" s="2">
        <v>0.46451500000000001</v>
      </c>
      <c r="AS115" s="2">
        <v>5</v>
      </c>
      <c r="AT115" s="2">
        <v>0</v>
      </c>
      <c r="AU115" s="2">
        <v>0.5</v>
      </c>
      <c r="AV115" s="2">
        <v>0</v>
      </c>
      <c r="AW115" t="s">
        <v>2528</v>
      </c>
      <c r="AX115" s="4"/>
      <c r="AY115" t="s">
        <v>2563</v>
      </c>
      <c r="AZ115" s="72" t="str">
        <f t="shared" si="48"/>
        <v>NCC S35C2lClass 9a ward area; radiant/latent/lost fraction split retained from original WA/COMNET-REV9 source (AIRAH Technical Handbook does not publish this split)SS Healthcare - Patient Room  ElectricalEquipDef</v>
      </c>
      <c r="BA115" s="8" t="s">
        <v>329</v>
      </c>
      <c r="BB115" s="50">
        <v>0.23225799999999999</v>
      </c>
      <c r="BC115" s="2">
        <v>2.5</v>
      </c>
      <c r="BD115" s="2">
        <v>0.37</v>
      </c>
      <c r="BE115" s="2">
        <v>0.2</v>
      </c>
      <c r="BF115" t="s">
        <v>2569</v>
      </c>
      <c r="BG115" s="4"/>
      <c r="BH115" t="s">
        <v>2578</v>
      </c>
      <c r="BI115" s="72" t="str">
        <f t="shared" si="57"/>
        <v>NCC J7D3aHealth-care - all other patient care areas including wards and corridors; radiant/visible fraction split retained from original WA/COMNET-REV9 source (AIRAH Technical Handbook does not publish this split)LightingDef</v>
      </c>
      <c r="BJ115" t="s">
        <v>548</v>
      </c>
      <c r="BK115" s="4" t="s">
        <v>2165</v>
      </c>
      <c r="BL115" s="4" t="s">
        <v>2165</v>
      </c>
      <c r="BM115" s="4" t="s">
        <v>2165</v>
      </c>
      <c r="BN115" s="4" t="s">
        <v>2165</v>
      </c>
      <c r="BO115" s="4" t="s">
        <v>2165</v>
      </c>
      <c r="BP115" s="4" t="s">
        <v>2165</v>
      </c>
      <c r="BQ115" s="4" t="s">
        <v>2165</v>
      </c>
      <c r="BR115" s="4" t="s">
        <v>2165</v>
      </c>
      <c r="BS115" s="4" t="s">
        <v>2165</v>
      </c>
      <c r="BT115" s="73" t="s">
        <v>2165</v>
      </c>
      <c r="BU115" s="4" t="s">
        <v>2165</v>
      </c>
      <c r="BW115">
        <v>0.7</v>
      </c>
      <c r="BY115" t="s">
        <v>2660</v>
      </c>
      <c r="BZ115" t="s">
        <v>2661</v>
      </c>
      <c r="CB115" s="50" t="str">
        <f t="shared" si="58"/>
        <v>Hospital_Hospital PatRoom</v>
      </c>
      <c r="CC115" s="72" t="str">
        <f t="shared" si="61"/>
        <v>NCC S34C2(6)0.7 ACH assumed as design infiltration for periods without mechanical outdoor air supply; NCC also specifies 0.35 ACH when mechanical OA is operating (to be applied via infiltration schedule once developed)Hospital_Hospital PatRoomInfil</v>
      </c>
      <c r="CD115" t="s">
        <v>610</v>
      </c>
      <c r="CE115" t="s">
        <v>110</v>
      </c>
      <c r="CF115" t="s">
        <v>2072</v>
      </c>
      <c r="CG115" s="4"/>
      <c r="CH115">
        <v>1.22</v>
      </c>
      <c r="CI115" s="4"/>
      <c r="CJ115" t="s">
        <v>2205</v>
      </c>
      <c r="CK115">
        <v>2.5399999999999999E-2</v>
      </c>
      <c r="CL115">
        <v>1.3</v>
      </c>
      <c r="CM115">
        <v>309</v>
      </c>
      <c r="CN115">
        <v>718</v>
      </c>
      <c r="CO115">
        <v>0.9</v>
      </c>
      <c r="CP115">
        <v>0.7</v>
      </c>
      <c r="CQ115">
        <v>0.7</v>
      </c>
      <c r="CR115" t="s">
        <v>2285</v>
      </c>
      <c r="CS115" t="s">
        <v>2206</v>
      </c>
      <c r="CT115" t="s">
        <v>2386</v>
      </c>
      <c r="CU115" s="4" t="s">
        <v>2165</v>
      </c>
      <c r="CV115" t="str">
        <f t="shared" si="62"/>
        <v>Mixed_Healthcare_PatientRoom_25mm</v>
      </c>
      <c r="CW115" s="72" t="str">
        <f t="shared" si="63"/>
        <v>CalculatedEstimatePatientRoomBedAndFurnishingsMixed_Healthcare_PatientRoom_25mmInternalMassDef</v>
      </c>
    </row>
    <row r="116" spans="1:101" x14ac:dyDescent="0.35">
      <c r="A116" t="s">
        <v>187</v>
      </c>
      <c r="B116" s="50" t="str">
        <f t="shared" si="41"/>
        <v>2025_AU_NCC</v>
      </c>
      <c r="C116" s="50" t="s">
        <v>2440</v>
      </c>
      <c r="D116" s="50" t="s">
        <v>2494</v>
      </c>
      <c r="E116" t="s">
        <v>2073</v>
      </c>
      <c r="F116" s="62">
        <v>2025</v>
      </c>
      <c r="G116" s="62" t="s">
        <v>2522</v>
      </c>
      <c r="H116" t="s">
        <v>2523</v>
      </c>
      <c r="I116">
        <v>154</v>
      </c>
      <c r="J116">
        <v>230</v>
      </c>
      <c r="K116">
        <v>120</v>
      </c>
      <c r="L116" s="50" t="str">
        <f t="shared" si="54"/>
        <v>SS Healthcare - Physical Therapy  _2025AUNCC</v>
      </c>
      <c r="M116" s="50" t="str">
        <f t="shared" si="42"/>
        <v>SS Healthcare - Physical Therapy  _2025AUNCCScheduleSet</v>
      </c>
      <c r="N116" s="68">
        <v>142.85714290000001</v>
      </c>
      <c r="O116">
        <v>7</v>
      </c>
      <c r="P116" s="38">
        <v>7.5347405000000006E-2</v>
      </c>
      <c r="Q116">
        <v>255.91</v>
      </c>
      <c r="R116" s="6">
        <v>75</v>
      </c>
      <c r="S116">
        <v>187.67</v>
      </c>
      <c r="T116" s="6">
        <v>55</v>
      </c>
      <c r="U116" s="6"/>
      <c r="V116" s="6"/>
      <c r="W116" s="6">
        <v>130</v>
      </c>
      <c r="X116" s="2">
        <v>0.57692307700000001</v>
      </c>
      <c r="Y116" t="s">
        <v>2524</v>
      </c>
      <c r="Z116" t="s">
        <v>2525</v>
      </c>
      <c r="AB116" s="4"/>
      <c r="AC116" s="50" t="str">
        <f t="shared" si="64"/>
        <v>NCC S35C2nOther applications (non-dining)PeopleDef</v>
      </c>
      <c r="AD116" t="s">
        <v>553</v>
      </c>
      <c r="AE116" s="50" t="str">
        <f t="shared" si="65"/>
        <v>SS Healthcare - Physical Therapy  Activity</v>
      </c>
      <c r="AF116" s="62">
        <v>20</v>
      </c>
      <c r="AG116" s="62">
        <f t="shared" si="60"/>
        <v>9.4384143463898066E-3</v>
      </c>
      <c r="AH116" s="62">
        <v>0.18</v>
      </c>
      <c r="AI116" s="62">
        <f t="shared" si="52"/>
        <v>9.144E-4</v>
      </c>
      <c r="AJ116" s="63" t="s">
        <v>2165</v>
      </c>
      <c r="AK116" s="4" t="s">
        <v>2165</v>
      </c>
      <c r="AL116" s="4" t="s">
        <v>2165</v>
      </c>
      <c r="AM116" t="s">
        <v>94</v>
      </c>
      <c r="AN116" t="s">
        <v>98</v>
      </c>
      <c r="AO116" s="4" t="s">
        <v>2165</v>
      </c>
      <c r="AP116" s="4" t="s">
        <v>2165</v>
      </c>
      <c r="AQ116" s="72" t="str">
        <f t="shared" si="51"/>
        <v>ASHRAE 62.1-2019Outpatient Health Care Facilities - Physical therapy exercise areaVent</v>
      </c>
      <c r="AR116" s="2">
        <v>1.393546</v>
      </c>
      <c r="AS116" s="2">
        <v>15</v>
      </c>
      <c r="AT116" s="2">
        <v>0</v>
      </c>
      <c r="AU116" s="2">
        <v>0.5</v>
      </c>
      <c r="AV116" s="2">
        <v>0</v>
      </c>
      <c r="AW116" t="s">
        <v>2528</v>
      </c>
      <c r="AX116" s="4"/>
      <c r="AY116" t="s">
        <v>2535</v>
      </c>
      <c r="AZ116" s="72" t="str">
        <f t="shared" si="48"/>
        <v>NCC S35C2lClass 9a clinic/day surgery/procedure unit; radiant/latent/lost fraction split retained from original WA/COMNET-REV9 source (AIRAH Technical Handbook does not publish this split)SS Healthcare - Physical Therapy  ElectricalEquipDef</v>
      </c>
      <c r="BA116" s="8" t="s">
        <v>329</v>
      </c>
      <c r="BB116" s="50">
        <v>0.41806399999999999</v>
      </c>
      <c r="BC116" s="2">
        <v>4.5</v>
      </c>
      <c r="BD116" s="2">
        <v>0.37</v>
      </c>
      <c r="BE116" s="2">
        <v>0.2</v>
      </c>
      <c r="BF116" t="s">
        <v>2569</v>
      </c>
      <c r="BG116" s="4"/>
      <c r="BH116" t="s">
        <v>2577</v>
      </c>
      <c r="BI116" s="72" t="str">
        <f t="shared" si="57"/>
        <v>NCC J7D3aHealth-care - examination room; radiant/visible fraction split retained from original WA/COMNET-REV9 source (AIRAH Technical Handbook does not publish this split)LightingDef</v>
      </c>
      <c r="BJ116" t="s">
        <v>548</v>
      </c>
      <c r="BK116" s="4" t="s">
        <v>2165</v>
      </c>
      <c r="BL116" s="4" t="s">
        <v>2165</v>
      </c>
      <c r="BM116" s="4" t="s">
        <v>2165</v>
      </c>
      <c r="BN116" s="4" t="s">
        <v>2165</v>
      </c>
      <c r="BO116" s="4" t="s">
        <v>2165</v>
      </c>
      <c r="BP116" s="4" t="s">
        <v>2165</v>
      </c>
      <c r="BQ116" s="4" t="s">
        <v>2165</v>
      </c>
      <c r="BR116" s="4" t="s">
        <v>2165</v>
      </c>
      <c r="BS116" s="4" t="s">
        <v>2165</v>
      </c>
      <c r="BT116" s="73" t="s">
        <v>2165</v>
      </c>
      <c r="BU116" s="4" t="s">
        <v>2165</v>
      </c>
      <c r="BW116">
        <v>0.7</v>
      </c>
      <c r="BY116" t="s">
        <v>2660</v>
      </c>
      <c r="BZ116" t="s">
        <v>2661</v>
      </c>
      <c r="CB116" s="50" t="str">
        <f t="shared" si="58"/>
        <v>Hospital_Hospital PhysTherapy</v>
      </c>
      <c r="CC116" s="72" t="str">
        <f t="shared" si="61"/>
        <v>NCC S34C2(6)0.7 ACH assumed as design infiltration for periods without mechanical outdoor air supply; NCC also specifies 0.35 ACH when mechanical OA is operating (to be applied via infiltration schedule once developed)Hospital_Hospital PhysTherapyInfil</v>
      </c>
      <c r="CD116" t="s">
        <v>610</v>
      </c>
      <c r="CE116" t="s">
        <v>110</v>
      </c>
      <c r="CF116" t="s">
        <v>2073</v>
      </c>
      <c r="CG116" s="4"/>
      <c r="CH116">
        <v>0.89</v>
      </c>
      <c r="CI116" s="4"/>
      <c r="CJ116" t="s">
        <v>2205</v>
      </c>
      <c r="CK116">
        <v>1.66E-2</v>
      </c>
      <c r="CL116">
        <v>4.21</v>
      </c>
      <c r="CM116">
        <v>847</v>
      </c>
      <c r="CN116">
        <v>581</v>
      </c>
      <c r="CO116">
        <v>0.9</v>
      </c>
      <c r="CP116">
        <v>0.7</v>
      </c>
      <c r="CQ116">
        <v>0.7</v>
      </c>
      <c r="CR116" t="s">
        <v>2286</v>
      </c>
      <c r="CS116" t="s">
        <v>2206</v>
      </c>
      <c r="CT116" t="s">
        <v>2387</v>
      </c>
      <c r="CU116" s="4" t="s">
        <v>2165</v>
      </c>
      <c r="CV116" t="str">
        <f t="shared" si="62"/>
        <v>Mixed_Healthcare_PhysicalTherapy_17mm</v>
      </c>
      <c r="CW116" s="72" t="str">
        <f t="shared" si="63"/>
        <v>CalculatedEstimatePhysicalTherapyEquipmentAndMatsMixed_Healthcare_PhysicalTherapy_17mmInternalMassDef</v>
      </c>
    </row>
    <row r="117" spans="1:101" x14ac:dyDescent="0.35">
      <c r="A117" t="s">
        <v>188</v>
      </c>
      <c r="B117" s="50" t="str">
        <f t="shared" si="41"/>
        <v>2025_AU_NCC</v>
      </c>
      <c r="C117" s="50" t="s">
        <v>2440</v>
      </c>
      <c r="D117" s="50" t="s">
        <v>2495</v>
      </c>
      <c r="E117" t="s">
        <v>2074</v>
      </c>
      <c r="F117" s="62">
        <v>2025</v>
      </c>
      <c r="G117" s="62" t="s">
        <v>2522</v>
      </c>
      <c r="H117" t="s">
        <v>2523</v>
      </c>
      <c r="I117">
        <v>169</v>
      </c>
      <c r="J117">
        <v>31</v>
      </c>
      <c r="K117">
        <v>159</v>
      </c>
      <c r="L117" s="50" t="str">
        <f t="shared" si="54"/>
        <v>SS Healthcare - Recovery Room_2025AUNCC</v>
      </c>
      <c r="M117" s="50" t="str">
        <f t="shared" si="42"/>
        <v>SS Healthcare - Recovery Room_2025AUNCCScheduleSet</v>
      </c>
      <c r="N117" s="68">
        <v>50</v>
      </c>
      <c r="O117">
        <v>20</v>
      </c>
      <c r="P117" s="38">
        <v>0.21527830100000001</v>
      </c>
      <c r="Q117">
        <v>255.91</v>
      </c>
      <c r="R117" s="6">
        <v>75</v>
      </c>
      <c r="S117">
        <v>187.67</v>
      </c>
      <c r="T117" s="6">
        <v>55</v>
      </c>
      <c r="U117" s="6"/>
      <c r="V117" s="6"/>
      <c r="W117" s="6">
        <v>130</v>
      </c>
      <c r="X117" s="2">
        <v>0.57692307700000001</v>
      </c>
      <c r="Y117" t="s">
        <v>2524</v>
      </c>
      <c r="Z117" t="s">
        <v>2525</v>
      </c>
      <c r="AB117" s="4"/>
      <c r="AC117" s="50" t="str">
        <f t="shared" si="64"/>
        <v>NCC S35C2nOther applications (non-dining)PeopleDef</v>
      </c>
      <c r="AD117" t="s">
        <v>1365</v>
      </c>
      <c r="AE117" s="50" t="str">
        <f t="shared" si="65"/>
        <v>SS Healthcare - Recovery RoomActivity</v>
      </c>
      <c r="AF117" s="62">
        <v>5</v>
      </c>
      <c r="AG117" s="62">
        <f t="shared" si="60"/>
        <v>2.3596035865974517E-3</v>
      </c>
      <c r="AH117" s="62">
        <v>0.06</v>
      </c>
      <c r="AI117" s="62">
        <f t="shared" si="52"/>
        <v>3.0479999999999998E-4</v>
      </c>
      <c r="AJ117" s="63" t="s">
        <v>2165</v>
      </c>
      <c r="AK117" s="4" t="s">
        <v>2165</v>
      </c>
      <c r="AL117" s="4" t="s">
        <v>2165</v>
      </c>
      <c r="AM117" t="s">
        <v>94</v>
      </c>
      <c r="AN117" t="s">
        <v>97</v>
      </c>
      <c r="AO117" s="4" t="s">
        <v>2165</v>
      </c>
      <c r="AP117" s="4" t="s">
        <v>2165</v>
      </c>
      <c r="AQ117" s="72" t="str">
        <f t="shared" si="51"/>
        <v>ASHRAE 62.1-2019Outpatient Health Care Facilities - Urgent care observation roomVent</v>
      </c>
      <c r="AR117" s="2">
        <v>0.46451500000000001</v>
      </c>
      <c r="AS117" s="2">
        <v>5</v>
      </c>
      <c r="AT117" s="2">
        <v>0</v>
      </c>
      <c r="AU117" s="2">
        <v>0.5</v>
      </c>
      <c r="AV117" s="2">
        <v>0</v>
      </c>
      <c r="AW117" t="s">
        <v>2528</v>
      </c>
      <c r="AX117" s="4"/>
      <c r="AY117" t="s">
        <v>2564</v>
      </c>
      <c r="AZ117" s="72" t="str">
        <f t="shared" ref="AZ117:AZ141" si="66">CONCATENATE(AW117,AX117,AY117,A117,"ElectricalEquipDef")</f>
        <v>NCC S35C2lClass 9a ward area (recovery, nearest); radiant/latent/lost fraction split retained from original WA/COMNET-REV9 source (AIRAH Technical Handbook does not publish this split)SS Healthcare - Recovery RoomElectricalEquipDef</v>
      </c>
      <c r="BA117" s="8" t="s">
        <v>345</v>
      </c>
      <c r="BB117" s="50">
        <v>0.55741799999999997</v>
      </c>
      <c r="BC117" s="2">
        <v>6</v>
      </c>
      <c r="BD117" s="2">
        <v>0.37</v>
      </c>
      <c r="BE117" s="2">
        <v>0.2</v>
      </c>
      <c r="BF117" t="s">
        <v>2569</v>
      </c>
      <c r="BG117" s="4"/>
      <c r="BH117" t="s">
        <v>2641</v>
      </c>
      <c r="BI117" s="72" t="str">
        <f t="shared" si="57"/>
        <v>NCC J7D3aHealth-care - examination room in intensive care and high dependency ward; radiant/visible fraction split retained from original WA/COMNET-REV9 source (AIRAH Technical Handbook does not publish this split)LightingDef</v>
      </c>
      <c r="BJ117" t="s">
        <v>1357</v>
      </c>
      <c r="BK117" s="4" t="s">
        <v>2165</v>
      </c>
      <c r="BL117" s="4" t="s">
        <v>2165</v>
      </c>
      <c r="BM117" s="4" t="s">
        <v>2165</v>
      </c>
      <c r="BN117" s="4" t="s">
        <v>2165</v>
      </c>
      <c r="BO117" s="4" t="s">
        <v>2165</v>
      </c>
      <c r="BP117" s="4" t="s">
        <v>2165</v>
      </c>
      <c r="BQ117" s="4" t="s">
        <v>2165</v>
      </c>
      <c r="BR117" s="4" t="s">
        <v>2165</v>
      </c>
      <c r="BS117" s="4" t="s">
        <v>2165</v>
      </c>
      <c r="BT117" s="73" t="s">
        <v>2165</v>
      </c>
      <c r="BU117" s="4" t="s">
        <v>2165</v>
      </c>
      <c r="BW117">
        <v>0.7</v>
      </c>
      <c r="BY117" t="s">
        <v>2660</v>
      </c>
      <c r="BZ117" t="s">
        <v>2661</v>
      </c>
      <c r="CB117" s="50" t="str">
        <f t="shared" si="58"/>
        <v>Hospital_Outpatient PACU</v>
      </c>
      <c r="CC117" s="72" t="str">
        <f t="shared" si="61"/>
        <v>NCC S34C2(6)0.7 ACH assumed as design infiltration for periods without mechanical outdoor air supply; NCC also specifies 0.35 ACH when mechanical OA is operating (to be applied via infiltration schedule once developed)Hospital_Outpatient PACUInfil</v>
      </c>
      <c r="CD117" t="s">
        <v>1454</v>
      </c>
      <c r="CE117" t="s">
        <v>110</v>
      </c>
      <c r="CF117" t="s">
        <v>2074</v>
      </c>
      <c r="CG117" s="4"/>
      <c r="CH117">
        <v>1.0900000000000001</v>
      </c>
      <c r="CI117" s="4"/>
      <c r="CJ117" t="s">
        <v>2205</v>
      </c>
      <c r="CK117">
        <v>1.09E-2</v>
      </c>
      <c r="CL117">
        <v>4.21</v>
      </c>
      <c r="CM117">
        <v>957</v>
      </c>
      <c r="CN117">
        <v>661</v>
      </c>
      <c r="CO117">
        <v>0.9</v>
      </c>
      <c r="CP117">
        <v>0.7</v>
      </c>
      <c r="CQ117">
        <v>0.7</v>
      </c>
      <c r="CR117" t="s">
        <v>2287</v>
      </c>
      <c r="CS117" t="s">
        <v>2206</v>
      </c>
      <c r="CT117" t="s">
        <v>2388</v>
      </c>
      <c r="CU117" s="4" t="s">
        <v>2165</v>
      </c>
      <c r="CV117" t="str">
        <f t="shared" si="62"/>
        <v>Mixed_Healthcare_RecoveryRoom_11mm</v>
      </c>
      <c r="CW117" s="72" t="str">
        <f t="shared" si="63"/>
        <v>CalculatedEstimateRecoveryRoomBedAndMonitoringEquipmentMixed_Healthcare_RecoveryRoom_11mmInternalMassDef</v>
      </c>
    </row>
    <row r="118" spans="1:101" x14ac:dyDescent="0.35">
      <c r="A118" t="s">
        <v>189</v>
      </c>
      <c r="B118" s="50" t="str">
        <f t="shared" si="41"/>
        <v>2025_AU_NCC</v>
      </c>
      <c r="C118" s="50" t="s">
        <v>112</v>
      </c>
      <c r="D118" s="50" t="s">
        <v>2496</v>
      </c>
      <c r="E118" t="s">
        <v>307</v>
      </c>
      <c r="F118" s="62">
        <v>2025</v>
      </c>
      <c r="G118" s="62" t="s">
        <v>2522</v>
      </c>
      <c r="H118" t="s">
        <v>2523</v>
      </c>
      <c r="I118">
        <v>240</v>
      </c>
      <c r="J118">
        <v>230</v>
      </c>
      <c r="K118">
        <v>140</v>
      </c>
      <c r="L118" s="50" t="str">
        <f t="shared" si="54"/>
        <v>SS Library - Reading Area  _2025AUNCC</v>
      </c>
      <c r="M118" s="50" t="str">
        <f t="shared" si="42"/>
        <v>SS Library - Reading Area  _2025AUNCCScheduleSet</v>
      </c>
      <c r="N118" s="68">
        <v>100</v>
      </c>
      <c r="O118">
        <v>10</v>
      </c>
      <c r="P118" s="38">
        <v>0.107639151</v>
      </c>
      <c r="Q118">
        <v>255.91</v>
      </c>
      <c r="R118" s="6">
        <v>75</v>
      </c>
      <c r="S118">
        <v>187.67</v>
      </c>
      <c r="T118" s="6">
        <v>55</v>
      </c>
      <c r="U118" s="6"/>
      <c r="V118" s="6"/>
      <c r="W118" s="6">
        <v>130</v>
      </c>
      <c r="X118" s="2">
        <v>0.57692307700000001</v>
      </c>
      <c r="Y118" t="s">
        <v>2524</v>
      </c>
      <c r="Z118" t="s">
        <v>2525</v>
      </c>
      <c r="AB118" s="4"/>
      <c r="AC118" s="50" t="str">
        <f t="shared" si="64"/>
        <v>NCC S35C2nOther applications (non-dining)PeopleDef</v>
      </c>
      <c r="AD118" t="s">
        <v>353</v>
      </c>
      <c r="AE118" s="50" t="str">
        <f t="shared" si="65"/>
        <v>SS Library - Reading Area  Activity</v>
      </c>
      <c r="AF118" s="62">
        <v>5</v>
      </c>
      <c r="AG118" s="62">
        <f t="shared" si="60"/>
        <v>2.3596035865974517E-3</v>
      </c>
      <c r="AH118" s="62">
        <v>0.12</v>
      </c>
      <c r="AI118" s="62">
        <f t="shared" si="52"/>
        <v>6.0959999999999996E-4</v>
      </c>
      <c r="AJ118" s="63" t="s">
        <v>2165</v>
      </c>
      <c r="AK118" s="4" t="s">
        <v>2165</v>
      </c>
      <c r="AL118" s="4" t="s">
        <v>2165</v>
      </c>
      <c r="AM118" t="s">
        <v>37</v>
      </c>
      <c r="AN118" t="s">
        <v>80</v>
      </c>
      <c r="AO118" s="4" t="s">
        <v>2165</v>
      </c>
      <c r="AP118" s="4" t="s">
        <v>2165</v>
      </c>
      <c r="AQ118" s="72" t="str">
        <f t="shared" si="51"/>
        <v>Washington State Mechanical Code TABLE 403.3.1.1Public spaces - LibrariesVent</v>
      </c>
      <c r="AR118" s="2">
        <v>0</v>
      </c>
      <c r="AS118" s="2">
        <v>0</v>
      </c>
      <c r="AT118" s="2">
        <v>0</v>
      </c>
      <c r="AU118" s="2">
        <v>0.5</v>
      </c>
      <c r="AV118" s="2">
        <v>0</v>
      </c>
      <c r="AW118" t="s">
        <v>2528</v>
      </c>
      <c r="AX118" s="4"/>
      <c r="AY118" t="s">
        <v>2533</v>
      </c>
      <c r="AZ118" s="72" t="str">
        <f t="shared" si="66"/>
        <v>NCC S35C2lClass 9b (Other applications) - no equipment load per S35C2l; radiant/latent/lost fraction split retained from original WA/COMNET-REV9 source (AIRAH Technical Handbook does not publish this split)SS Library - Reading Area  ElectricalEquipDef</v>
      </c>
      <c r="BA118" s="8" t="s">
        <v>336</v>
      </c>
      <c r="BB118" s="50">
        <v>0.41806399999999999</v>
      </c>
      <c r="BC118" s="2">
        <v>4.5</v>
      </c>
      <c r="BD118" s="2">
        <v>0.37</v>
      </c>
      <c r="BE118" s="2">
        <v>0.2</v>
      </c>
      <c r="BF118" t="s">
        <v>2569</v>
      </c>
      <c r="BG118" s="4"/>
      <c r="BH118" t="s">
        <v>2580</v>
      </c>
      <c r="BI118" s="72" t="str">
        <f t="shared" si="57"/>
        <v>NCC J7D3aLibrary - reading room and general areas; radiant/visible fraction split retained from original WA/COMNET-REV9 source (AIRAH Technical Handbook does not publish this split)LightingDef</v>
      </c>
      <c r="BJ118" t="s">
        <v>365</v>
      </c>
      <c r="BK118" s="4" t="s">
        <v>2165</v>
      </c>
      <c r="BL118" s="4" t="s">
        <v>2165</v>
      </c>
      <c r="BM118" s="4" t="s">
        <v>2165</v>
      </c>
      <c r="BN118" s="4" t="s">
        <v>2165</v>
      </c>
      <c r="BO118" s="4" t="s">
        <v>2165</v>
      </c>
      <c r="BP118" s="4" t="s">
        <v>2165</v>
      </c>
      <c r="BQ118" s="4" t="s">
        <v>2165</v>
      </c>
      <c r="BR118" s="4" t="s">
        <v>2165</v>
      </c>
      <c r="BS118" s="4" t="s">
        <v>2165</v>
      </c>
      <c r="BT118" s="73" t="s">
        <v>2165</v>
      </c>
      <c r="BU118" s="4" t="s">
        <v>2165</v>
      </c>
      <c r="BW118">
        <v>0.7</v>
      </c>
      <c r="BY118" t="s">
        <v>2660</v>
      </c>
      <c r="BZ118" t="s">
        <v>2661</v>
      </c>
      <c r="CB118" s="50" t="str">
        <f t="shared" si="58"/>
        <v>Space Function_Library - reading</v>
      </c>
      <c r="CC118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Function_Library - readingInfil</v>
      </c>
      <c r="CD118" t="s">
        <v>266</v>
      </c>
      <c r="CE118" t="s">
        <v>250</v>
      </c>
      <c r="CF118" t="s">
        <v>307</v>
      </c>
      <c r="CG118" s="4"/>
      <c r="CH118">
        <v>1.54</v>
      </c>
      <c r="CI118" s="4"/>
      <c r="CJ118" t="s">
        <v>2205</v>
      </c>
      <c r="CK118">
        <v>2.2100000000000002E-2</v>
      </c>
      <c r="CL118">
        <v>0.18</v>
      </c>
      <c r="CM118">
        <v>344</v>
      </c>
      <c r="CN118">
        <v>1399</v>
      </c>
      <c r="CO118">
        <v>0.9</v>
      </c>
      <c r="CP118">
        <v>0.7</v>
      </c>
      <c r="CQ118">
        <v>0.7</v>
      </c>
      <c r="CR118" t="s">
        <v>2288</v>
      </c>
      <c r="CS118" t="s">
        <v>2206</v>
      </c>
      <c r="CT118" t="s">
        <v>2389</v>
      </c>
      <c r="CU118" s="4" t="s">
        <v>2165</v>
      </c>
      <c r="CV118" t="str">
        <f t="shared" si="62"/>
        <v>Mixed_Library_ReadingArea_22mm</v>
      </c>
      <c r="CW118" s="72" t="str">
        <f t="shared" si="63"/>
        <v>CalculatedEstimateWoodTablesCarrelsAndSeatingMixed_Library_ReadingArea_22mmInternalMassDef</v>
      </c>
    </row>
    <row r="119" spans="1:101" ht="14.5" customHeight="1" x14ac:dyDescent="0.35">
      <c r="A119" t="s">
        <v>190</v>
      </c>
      <c r="B119" s="50" t="str">
        <f t="shared" si="41"/>
        <v>2025_AU_NCC</v>
      </c>
      <c r="C119" s="50" t="s">
        <v>112</v>
      </c>
      <c r="D119" s="50" t="s">
        <v>2497</v>
      </c>
      <c r="E119" t="s">
        <v>308</v>
      </c>
      <c r="F119" s="62">
        <v>2025</v>
      </c>
      <c r="G119" s="62" t="s">
        <v>2522</v>
      </c>
      <c r="H119" t="s">
        <v>2523</v>
      </c>
      <c r="I119">
        <v>218</v>
      </c>
      <c r="J119">
        <v>165</v>
      </c>
      <c r="K119">
        <v>32</v>
      </c>
      <c r="L119" s="50" t="str">
        <f t="shared" si="54"/>
        <v>SS Library - Stacks  _2025AUNCC</v>
      </c>
      <c r="M119" s="50" t="str">
        <f t="shared" si="42"/>
        <v>SS Library - Stacks  _2025AUNCCScheduleSet</v>
      </c>
      <c r="N119" s="68">
        <v>100</v>
      </c>
      <c r="O119">
        <v>10</v>
      </c>
      <c r="P119" s="38">
        <v>0.107639151</v>
      </c>
      <c r="Q119">
        <v>255.91</v>
      </c>
      <c r="R119" s="6">
        <v>75</v>
      </c>
      <c r="S119">
        <v>187.67</v>
      </c>
      <c r="T119" s="6">
        <v>55</v>
      </c>
      <c r="U119" s="6"/>
      <c r="V119" s="6"/>
      <c r="W119" s="6">
        <v>130</v>
      </c>
      <c r="X119" s="2">
        <v>0.57692307700000001</v>
      </c>
      <c r="Y119" t="s">
        <v>2524</v>
      </c>
      <c r="Z119" t="s">
        <v>2525</v>
      </c>
      <c r="AB119" s="4"/>
      <c r="AC119" s="50" t="str">
        <f t="shared" si="64"/>
        <v>NCC S35C2nOther applications (non-dining)PeopleDef</v>
      </c>
      <c r="AD119" t="s">
        <v>353</v>
      </c>
      <c r="AE119" s="50" t="str">
        <f t="shared" si="65"/>
        <v>SS Library - Stacks  Activity</v>
      </c>
      <c r="AF119" s="62">
        <v>5</v>
      </c>
      <c r="AG119" s="62">
        <f t="shared" si="60"/>
        <v>2.3596035865974517E-3</v>
      </c>
      <c r="AH119" s="62">
        <v>0.12</v>
      </c>
      <c r="AI119" s="62">
        <f t="shared" si="52"/>
        <v>6.0959999999999996E-4</v>
      </c>
      <c r="AJ119" s="63" t="s">
        <v>2165</v>
      </c>
      <c r="AK119" s="4" t="s">
        <v>2165</v>
      </c>
      <c r="AL119" s="4" t="s">
        <v>2165</v>
      </c>
      <c r="AM119" t="s">
        <v>37</v>
      </c>
      <c r="AN119" t="s">
        <v>80</v>
      </c>
      <c r="AO119" s="4" t="s">
        <v>2165</v>
      </c>
      <c r="AP119" s="4" t="s">
        <v>2165</v>
      </c>
      <c r="AQ119" s="72" t="str">
        <f t="shared" si="51"/>
        <v>Washington State Mechanical Code TABLE 403.3.1.1Public spaces - LibrariesVent</v>
      </c>
      <c r="AR119" s="2">
        <v>0</v>
      </c>
      <c r="AS119" s="2">
        <v>0</v>
      </c>
      <c r="AT119" s="2">
        <v>0</v>
      </c>
      <c r="AU119" s="2">
        <v>0.5</v>
      </c>
      <c r="AV119" s="2">
        <v>0</v>
      </c>
      <c r="AW119" t="s">
        <v>2528</v>
      </c>
      <c r="AX119" s="4"/>
      <c r="AY119" t="s">
        <v>2533</v>
      </c>
      <c r="AZ119" s="72" t="str">
        <f t="shared" si="66"/>
        <v>NCC S35C2lClass 9b (Other applications) - no equipment load per S35C2l; radiant/latent/lost fraction split retained from original WA/COMNET-REV9 source (AIRAH Technical Handbook does not publish this split)SS Library - Stacks  ElectricalEquipDef</v>
      </c>
      <c r="BA119" s="8" t="s">
        <v>336</v>
      </c>
      <c r="BB119" s="50">
        <v>0.23225799999999999</v>
      </c>
      <c r="BC119" s="2">
        <v>2.5</v>
      </c>
      <c r="BD119" s="2">
        <v>0.37</v>
      </c>
      <c r="BE119" s="2">
        <v>0.2</v>
      </c>
      <c r="BF119" t="s">
        <v>2569</v>
      </c>
      <c r="BG119" s="4"/>
      <c r="BH119" t="s">
        <v>2642</v>
      </c>
      <c r="BI119" s="72" t="str">
        <f t="shared" si="57"/>
        <v>NCC J7D3aLibrary - stack and shelving area; radiant/visible fraction split retained from original WA/COMNET-REV9 source (AIRAH Technical Handbook does not publish this split)LightingDef</v>
      </c>
      <c r="BJ119" t="s">
        <v>365</v>
      </c>
      <c r="BK119" s="4" t="s">
        <v>2165</v>
      </c>
      <c r="BL119" s="4" t="s">
        <v>2165</v>
      </c>
      <c r="BM119" s="4" t="s">
        <v>2165</v>
      </c>
      <c r="BN119" s="4" t="s">
        <v>2165</v>
      </c>
      <c r="BO119" s="4" t="s">
        <v>2165</v>
      </c>
      <c r="BP119" s="4" t="s">
        <v>2165</v>
      </c>
      <c r="BQ119" s="4" t="s">
        <v>2165</v>
      </c>
      <c r="BR119" s="4" t="s">
        <v>2165</v>
      </c>
      <c r="BS119" s="4" t="s">
        <v>2165</v>
      </c>
      <c r="BT119" s="73" t="s">
        <v>2165</v>
      </c>
      <c r="BU119" s="4" t="s">
        <v>2165</v>
      </c>
      <c r="BW119">
        <v>0.7</v>
      </c>
      <c r="BY119" t="s">
        <v>2660</v>
      </c>
      <c r="BZ119" t="s">
        <v>2661</v>
      </c>
      <c r="CB119" s="50" t="str">
        <f t="shared" si="58"/>
        <v>Space Function_Library - stacks</v>
      </c>
      <c r="CC119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Function_Library - stacksInfil</v>
      </c>
      <c r="CD119" t="s">
        <v>266</v>
      </c>
      <c r="CE119" t="s">
        <v>250</v>
      </c>
      <c r="CF119" t="s">
        <v>308</v>
      </c>
      <c r="CG119" s="4"/>
      <c r="CH119">
        <v>8.85</v>
      </c>
      <c r="CI119" s="4"/>
      <c r="CJ119" t="s">
        <v>2205</v>
      </c>
      <c r="CK119">
        <v>1.2200000000000001E-2</v>
      </c>
      <c r="CL119">
        <v>1.7070000000000001</v>
      </c>
      <c r="CM119">
        <v>1346</v>
      </c>
      <c r="CN119">
        <v>1140</v>
      </c>
      <c r="CO119">
        <v>0.9</v>
      </c>
      <c r="CP119">
        <v>0.7</v>
      </c>
      <c r="CQ119">
        <v>0.7</v>
      </c>
      <c r="CR119" t="s">
        <v>2289</v>
      </c>
      <c r="CS119" t="s">
        <v>2206</v>
      </c>
      <c r="CT119" t="s">
        <v>2390</v>
      </c>
      <c r="CU119" s="4" t="s">
        <v>2165</v>
      </c>
      <c r="CV119" t="str">
        <f t="shared" si="62"/>
        <v>Mixed_Library_Stacks_12mm</v>
      </c>
      <c r="CW119" s="72" t="str">
        <f t="shared" si="63"/>
        <v>CalculatedEstimateSteelShelvingWithBooksMixed_Library_Stacks_12mmInternalMassDef</v>
      </c>
    </row>
    <row r="120" spans="1:101" ht="101.5" x14ac:dyDescent="0.35">
      <c r="A120" t="s">
        <v>191</v>
      </c>
      <c r="B120" s="50" t="str">
        <f t="shared" si="41"/>
        <v>2025_AU_NCC</v>
      </c>
      <c r="C120" s="50" t="s">
        <v>2431</v>
      </c>
      <c r="D120" s="50" t="s">
        <v>2498</v>
      </c>
      <c r="E120" t="s">
        <v>2075</v>
      </c>
      <c r="F120" s="62">
        <v>2025</v>
      </c>
      <c r="G120" s="62" t="s">
        <v>2522</v>
      </c>
      <c r="H120" t="s">
        <v>2523</v>
      </c>
      <c r="I120">
        <v>127</v>
      </c>
      <c r="J120">
        <v>0</v>
      </c>
      <c r="K120">
        <v>255</v>
      </c>
      <c r="L120" s="50" t="str">
        <f t="shared" si="54"/>
        <v>SS Manufacturing Facility - Detailed Manufacturing  _2025AUNCC</v>
      </c>
      <c r="M120" s="50" t="str">
        <f t="shared" si="42"/>
        <v>SS Manufacturing Facility - Detailed Manufacturing  _2025AUNCCScheduleSet</v>
      </c>
      <c r="N120" s="68">
        <v>142.85714290000001</v>
      </c>
      <c r="O120">
        <v>7</v>
      </c>
      <c r="P120" s="38">
        <v>7.5347405000000006E-2</v>
      </c>
      <c r="Q120">
        <v>255.91</v>
      </c>
      <c r="R120" s="6">
        <v>75</v>
      </c>
      <c r="S120">
        <v>187.67</v>
      </c>
      <c r="T120" s="6">
        <v>55</v>
      </c>
      <c r="U120" s="6"/>
      <c r="V120" s="6"/>
      <c r="W120" s="6">
        <v>130</v>
      </c>
      <c r="X120" s="2">
        <v>0.57692307700000001</v>
      </c>
      <c r="Y120" t="s">
        <v>2524</v>
      </c>
      <c r="Z120" s="1" t="s">
        <v>2525</v>
      </c>
      <c r="AB120" s="4"/>
      <c r="AC120" s="50" t="str">
        <f t="shared" si="64"/>
        <v>NCC S35C2nOther applications (non-dining)PeopleDef</v>
      </c>
      <c r="AD120" t="s">
        <v>354</v>
      </c>
      <c r="AE120" s="50" t="str">
        <f t="shared" si="65"/>
        <v>SS Manufacturing Facility - Detailed Manufacturing  Activity</v>
      </c>
      <c r="AF120" s="62">
        <v>10</v>
      </c>
      <c r="AG120" s="62">
        <f t="shared" si="60"/>
        <v>4.7192071731949033E-3</v>
      </c>
      <c r="AH120" s="62">
        <v>0.18</v>
      </c>
      <c r="AI120" s="62">
        <f t="shared" si="52"/>
        <v>9.144E-4</v>
      </c>
      <c r="AJ120" s="63" t="s">
        <v>2165</v>
      </c>
      <c r="AK120" s="4" t="s">
        <v>2165</v>
      </c>
      <c r="AL120" s="4" t="s">
        <v>2165</v>
      </c>
      <c r="AM120" t="s">
        <v>94</v>
      </c>
      <c r="AN120" s="1" t="s">
        <v>103</v>
      </c>
      <c r="AO120" s="4" t="s">
        <v>2165</v>
      </c>
      <c r="AP120" s="4" t="s">
        <v>2165</v>
      </c>
      <c r="AQ120" s="72" t="str">
        <f t="shared" si="51"/>
        <v>ASHRAE 62.1-2019Miscellaneous Spaces - Manufacturing where hazardous materials are not usedVent</v>
      </c>
      <c r="AR120" s="2">
        <v>0</v>
      </c>
      <c r="AS120" s="2">
        <v>0</v>
      </c>
      <c r="AT120" s="2">
        <v>0.1</v>
      </c>
      <c r="AU120" s="2">
        <v>0.5</v>
      </c>
      <c r="AV120" s="2">
        <v>0.1</v>
      </c>
      <c r="AW120" t="s">
        <v>2528</v>
      </c>
      <c r="AX120" s="4"/>
      <c r="AY120" t="s">
        <v>2537</v>
      </c>
      <c r="AZ120" s="72" t="str">
        <f t="shared" si="66"/>
        <v>NCC S35C2lClass 8 (Other applications) - no equipment load per S35C2l; radiant/latent/lost fraction split retained from original WA/COMNET-REV9 source (AIRAH Technical Handbook does not publish this split)SS Manufacturing Facility - Detailed Manufacturing  ElectricalEquipDef</v>
      </c>
      <c r="BA120" s="8" t="s">
        <v>337</v>
      </c>
      <c r="BB120" s="50">
        <v>0.75</v>
      </c>
      <c r="BC120" s="2">
        <v>8.0729299999999995</v>
      </c>
      <c r="BD120" s="2">
        <v>0.37</v>
      </c>
      <c r="BE120" s="2">
        <v>0.2</v>
      </c>
      <c r="BF120" t="s">
        <v>2599</v>
      </c>
      <c r="BG120" s="4"/>
      <c r="BH120" t="s">
        <v>2643</v>
      </c>
      <c r="BI120" s="72" t="str">
        <f t="shared" si="57"/>
        <v>IECC Table C405.3.2(2)Manufacturing facility - in a detailed manufacturing area; radiant/visible fraction split retained from original WA/COMNET-REV9 sourceLightingDef</v>
      </c>
      <c r="BJ120" t="s">
        <v>366</v>
      </c>
      <c r="BK120" s="4" t="s">
        <v>2165</v>
      </c>
      <c r="BL120" s="4" t="s">
        <v>2165</v>
      </c>
      <c r="BM120" s="4" t="s">
        <v>2165</v>
      </c>
      <c r="BN120" s="4" t="s">
        <v>2165</v>
      </c>
      <c r="BO120" s="4" t="s">
        <v>2165</v>
      </c>
      <c r="BP120" s="4" t="s">
        <v>2165</v>
      </c>
      <c r="BQ120" s="4" t="s">
        <v>2165</v>
      </c>
      <c r="BR120" s="4" t="s">
        <v>2165</v>
      </c>
      <c r="BS120" s="4" t="s">
        <v>2165</v>
      </c>
      <c r="BT120" s="73" t="s">
        <v>2165</v>
      </c>
      <c r="BU120" s="4" t="s">
        <v>2165</v>
      </c>
      <c r="BW120">
        <v>0.7</v>
      </c>
      <c r="BY120" t="s">
        <v>2660</v>
      </c>
      <c r="BZ120" t="s">
        <v>2661</v>
      </c>
      <c r="CB120" s="50" t="str">
        <f t="shared" si="58"/>
        <v>Space Function_Mfg - detailed</v>
      </c>
      <c r="CC120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Function_Mfg - detailedInfil</v>
      </c>
      <c r="CD120" t="s">
        <v>266</v>
      </c>
      <c r="CE120" t="s">
        <v>250</v>
      </c>
      <c r="CF120" t="s">
        <v>2075</v>
      </c>
      <c r="CG120" s="4"/>
      <c r="CH120">
        <v>1.04</v>
      </c>
      <c r="CI120" s="4"/>
      <c r="CJ120" t="s">
        <v>2205</v>
      </c>
      <c r="CK120">
        <v>1.1599999999999999E-2</v>
      </c>
      <c r="CL120">
        <v>40.35</v>
      </c>
      <c r="CM120">
        <v>6074</v>
      </c>
      <c r="CN120">
        <v>483</v>
      </c>
      <c r="CO120">
        <v>0.9</v>
      </c>
      <c r="CP120">
        <v>0.7</v>
      </c>
      <c r="CQ120">
        <v>0.7</v>
      </c>
      <c r="CR120" t="s">
        <v>2290</v>
      </c>
      <c r="CS120" t="s">
        <v>2206</v>
      </c>
      <c r="CT120" t="s">
        <v>2391</v>
      </c>
      <c r="CU120" s="4" t="s">
        <v>2165</v>
      </c>
      <c r="CV120" t="str">
        <f t="shared" si="62"/>
        <v>Mixed_Manufacturing_Detailed_12mm</v>
      </c>
      <c r="CW120" s="72" t="str">
        <f t="shared" si="63"/>
        <v>CalculatedEstimateCNCMachineToolsAndWorkbenchesMixed_Manufacturing_Detailed_12mmInternalMassDef</v>
      </c>
    </row>
    <row r="121" spans="1:101" ht="14.5" customHeight="1" x14ac:dyDescent="0.35">
      <c r="A121" t="s">
        <v>192</v>
      </c>
      <c r="B121" s="50" t="str">
        <f t="shared" si="41"/>
        <v>2025_AU_NCC</v>
      </c>
      <c r="C121" s="50" t="s">
        <v>2431</v>
      </c>
      <c r="D121" s="50" t="s">
        <v>2499</v>
      </c>
      <c r="E121" t="s">
        <v>2076</v>
      </c>
      <c r="F121" s="62">
        <v>2025</v>
      </c>
      <c r="G121" s="62" t="s">
        <v>2522</v>
      </c>
      <c r="H121" t="s">
        <v>2523</v>
      </c>
      <c r="I121">
        <v>41</v>
      </c>
      <c r="J121">
        <v>31</v>
      </c>
      <c r="K121">
        <v>175</v>
      </c>
      <c r="L121" s="50" t="str">
        <f t="shared" si="54"/>
        <v>SS Manufacturing Facility - Equipment Room  _2025AUNCC</v>
      </c>
      <c r="M121" s="50" t="str">
        <f t="shared" si="42"/>
        <v>SS Manufacturing Facility - Equipment Room  _2025AUNCCScheduleSet</v>
      </c>
      <c r="N121" s="68">
        <v>142.85714290000001</v>
      </c>
      <c r="O121">
        <v>7</v>
      </c>
      <c r="P121" s="38">
        <v>7.5347405000000006E-2</v>
      </c>
      <c r="Q121" s="4">
        <v>255.91</v>
      </c>
      <c r="R121" s="6">
        <v>75</v>
      </c>
      <c r="S121" s="4">
        <v>187.67</v>
      </c>
      <c r="T121" s="6">
        <v>55</v>
      </c>
      <c r="U121" s="6"/>
      <c r="V121" s="6"/>
      <c r="W121" s="6">
        <v>130</v>
      </c>
      <c r="X121" s="2">
        <v>0.57692307700000001</v>
      </c>
      <c r="Y121" t="s">
        <v>2524</v>
      </c>
      <c r="Z121" t="s">
        <v>2525</v>
      </c>
      <c r="AB121" s="4"/>
      <c r="AC121" s="50" t="str">
        <f t="shared" si="64"/>
        <v>NCC S35C2nOther applications (non-dining)PeopleDef</v>
      </c>
      <c r="AD121" t="s">
        <v>354</v>
      </c>
      <c r="AE121" s="50" t="str">
        <f t="shared" si="65"/>
        <v>SS Manufacturing Facility - Equipment Room  Activity</v>
      </c>
      <c r="AF121" s="63" t="s">
        <v>2165</v>
      </c>
      <c r="AG121" s="63" t="s">
        <v>2165</v>
      </c>
      <c r="AH121" s="63" t="s">
        <v>2165</v>
      </c>
      <c r="AI121" s="63" t="s">
        <v>2165</v>
      </c>
      <c r="AJ121" s="63" t="s">
        <v>2165</v>
      </c>
      <c r="AK121" s="4" t="s">
        <v>2165</v>
      </c>
      <c r="AL121">
        <v>6</v>
      </c>
      <c r="AM121" t="s">
        <v>92</v>
      </c>
      <c r="AN121" t="s">
        <v>132</v>
      </c>
      <c r="AO121" s="4" t="s">
        <v>2165</v>
      </c>
      <c r="AP121" s="4" t="s">
        <v>2165</v>
      </c>
      <c r="AQ121" s="72" t="str">
        <f t="shared" si="51"/>
        <v>Rule of ThumbRequires engineering analysis per Section 403.3.1.1Vent</v>
      </c>
      <c r="AR121" s="2">
        <v>0</v>
      </c>
      <c r="AS121" s="2">
        <v>0</v>
      </c>
      <c r="AT121" s="2">
        <v>0</v>
      </c>
      <c r="AU121" s="2">
        <v>0.5</v>
      </c>
      <c r="AV121" s="2">
        <v>0</v>
      </c>
      <c r="AW121" t="s">
        <v>2528</v>
      </c>
      <c r="AX121" s="4"/>
      <c r="AY121" t="s">
        <v>2550</v>
      </c>
      <c r="AZ121" s="72" t="str">
        <f t="shared" si="66"/>
        <v>NCC S35C2lPlant/equipment room (Other applications) - no equipment load per S35C2l; radiant/latent/lost fraction split retained from original WA/COMNET-REV9 source (AIRAH Technical Handbook does not publish this split)SS Manufacturing Facility - Equipment Room  ElectricalEquipDef</v>
      </c>
      <c r="BA121" s="8" t="s">
        <v>337</v>
      </c>
      <c r="BB121" s="50">
        <v>0.185806</v>
      </c>
      <c r="BC121" s="2">
        <v>2</v>
      </c>
      <c r="BD121" s="2">
        <v>0.37</v>
      </c>
      <c r="BE121" s="2">
        <v>0.2</v>
      </c>
      <c r="BF121" t="s">
        <v>2569</v>
      </c>
      <c r="BG121" s="4"/>
      <c r="BH121" t="s">
        <v>2618</v>
      </c>
      <c r="BI121" s="72" t="str">
        <f t="shared" si="57"/>
        <v>NCC J7D3aPlant rooms with a horizontal illuminance target of 80 lx; radiant/visible fraction split retained from original WA/COMNET-REV9 source (AIRAH Technical Handbook does not publish this split)LightingDef</v>
      </c>
      <c r="BJ121" t="s">
        <v>366</v>
      </c>
      <c r="BK121" s="4" t="s">
        <v>2165</v>
      </c>
      <c r="BL121" s="4" t="s">
        <v>2165</v>
      </c>
      <c r="BM121" s="4" t="s">
        <v>2165</v>
      </c>
      <c r="BN121" s="4" t="s">
        <v>2165</v>
      </c>
      <c r="BO121" s="4" t="s">
        <v>2165</v>
      </c>
      <c r="BP121" s="4" t="s">
        <v>2165</v>
      </c>
      <c r="BQ121" s="4" t="s">
        <v>2165</v>
      </c>
      <c r="BR121" s="4" t="s">
        <v>2165</v>
      </c>
      <c r="BS121" s="4" t="s">
        <v>2165</v>
      </c>
      <c r="BT121" s="73" t="s">
        <v>2165</v>
      </c>
      <c r="BU121" s="4" t="s">
        <v>2165</v>
      </c>
      <c r="BW121">
        <v>0.7</v>
      </c>
      <c r="BY121" t="s">
        <v>2660</v>
      </c>
      <c r="BZ121" t="s">
        <v>2661</v>
      </c>
      <c r="CB121" s="50" t="str">
        <f t="shared" si="58"/>
        <v>Space Function_Mfg - equipment</v>
      </c>
      <c r="CC121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Function_Mfg - equipmentInfil</v>
      </c>
      <c r="CD121" t="s">
        <v>266</v>
      </c>
      <c r="CE121" t="s">
        <v>250</v>
      </c>
      <c r="CF121" t="s">
        <v>2076</v>
      </c>
      <c r="CG121" s="4"/>
      <c r="CH121">
        <v>0.76</v>
      </c>
      <c r="CI121" s="4"/>
      <c r="CJ121" t="s">
        <v>2205</v>
      </c>
      <c r="CK121">
        <v>6.8999999999999999E-3</v>
      </c>
      <c r="CL121">
        <v>40.549999999999997</v>
      </c>
      <c r="CM121">
        <v>4978</v>
      </c>
      <c r="CN121">
        <v>548</v>
      </c>
      <c r="CO121">
        <v>0.9</v>
      </c>
      <c r="CP121">
        <v>0.7</v>
      </c>
      <c r="CQ121">
        <v>0.7</v>
      </c>
      <c r="CR121" t="s">
        <v>2291</v>
      </c>
      <c r="CS121" t="s">
        <v>2206</v>
      </c>
      <c r="CT121" t="s">
        <v>2392</v>
      </c>
      <c r="CU121" s="4" t="s">
        <v>2165</v>
      </c>
      <c r="CV121" t="str">
        <f t="shared" si="62"/>
        <v>Mixed_Manufacturing_EquipRoom_7mm</v>
      </c>
      <c r="CW121" s="72" t="str">
        <f t="shared" si="63"/>
        <v>CalculatedEstimateCompressorsHPUsAndElectricalPanelsMixed_Manufacturing_EquipRoom_7mmInternalMassDef</v>
      </c>
    </row>
    <row r="122" spans="1:101" ht="14.5" customHeight="1" x14ac:dyDescent="0.35">
      <c r="A122" t="s">
        <v>193</v>
      </c>
      <c r="B122" s="50" t="str">
        <f t="shared" si="41"/>
        <v>2025_AU_NCC</v>
      </c>
      <c r="C122" s="50" t="s">
        <v>2431</v>
      </c>
      <c r="D122" s="50" t="s">
        <v>2500</v>
      </c>
      <c r="E122" t="s">
        <v>2077</v>
      </c>
      <c r="F122" s="62">
        <v>2025</v>
      </c>
      <c r="G122" s="62" t="s">
        <v>2522</v>
      </c>
      <c r="H122" t="s">
        <v>2523</v>
      </c>
      <c r="I122">
        <v>102</v>
      </c>
      <c r="J122">
        <v>0</v>
      </c>
      <c r="K122">
        <v>204</v>
      </c>
      <c r="L122" s="50" t="str">
        <f t="shared" si="54"/>
        <v>SS Manufacturing Facility - Extra High Bay (&gt;50 ft Floor to Ceiling Height)  _2025AUNCC</v>
      </c>
      <c r="M122" s="50" t="str">
        <f t="shared" si="42"/>
        <v>SS Manufacturing Facility - Extra High Bay (&gt;50 ft Floor to Ceiling Height)  _2025AUNCCScheduleSet</v>
      </c>
      <c r="N122" s="68">
        <v>142.85714290000001</v>
      </c>
      <c r="O122">
        <v>7</v>
      </c>
      <c r="P122" s="38">
        <v>7.5347405000000006E-2</v>
      </c>
      <c r="Q122" s="4">
        <v>255.91</v>
      </c>
      <c r="R122" s="6">
        <v>75</v>
      </c>
      <c r="S122" s="4">
        <v>187.67</v>
      </c>
      <c r="T122" s="6">
        <v>55</v>
      </c>
      <c r="U122" s="6"/>
      <c r="V122" s="6"/>
      <c r="W122" s="6">
        <v>130</v>
      </c>
      <c r="X122" s="2">
        <v>0.57692307700000001</v>
      </c>
      <c r="Y122" t="s">
        <v>2524</v>
      </c>
      <c r="Z122" s="1" t="s">
        <v>2525</v>
      </c>
      <c r="AB122" s="4"/>
      <c r="AC122" s="50" t="str">
        <f t="shared" si="64"/>
        <v>NCC S35C2nOther applications (non-dining)PeopleDef</v>
      </c>
      <c r="AD122" t="s">
        <v>354</v>
      </c>
      <c r="AE122" s="50" t="str">
        <f t="shared" si="65"/>
        <v>SS Manufacturing Facility - Extra High Bay (&gt;50 ft Floor to Ceiling Height)  Activity</v>
      </c>
      <c r="AF122" s="63" t="s">
        <v>2165</v>
      </c>
      <c r="AG122" s="63" t="s">
        <v>2165</v>
      </c>
      <c r="AH122" s="63" t="s">
        <v>2165</v>
      </c>
      <c r="AI122" s="63" t="s">
        <v>2165</v>
      </c>
      <c r="AJ122" s="63" t="s">
        <v>2165</v>
      </c>
      <c r="AK122" s="4" t="s">
        <v>2165</v>
      </c>
      <c r="AL122">
        <v>0.09</v>
      </c>
      <c r="AM122" t="s">
        <v>94</v>
      </c>
      <c r="AN122" s="1" t="s">
        <v>103</v>
      </c>
      <c r="AO122" t="s">
        <v>247</v>
      </c>
      <c r="AP122" s="4" t="s">
        <v>2165</v>
      </c>
      <c r="AQ122" s="72" t="str">
        <f t="shared" si="51"/>
        <v>ASHRAE 62.1-2019Miscellaneous Spaces - Manufacturing where hazardous materials are not usedACHVent</v>
      </c>
      <c r="AR122" s="2">
        <v>0</v>
      </c>
      <c r="AS122" s="2">
        <v>0</v>
      </c>
      <c r="AT122" s="2">
        <v>0.1</v>
      </c>
      <c r="AU122" s="2">
        <v>0.5</v>
      </c>
      <c r="AV122" s="2">
        <v>0.1</v>
      </c>
      <c r="AW122" t="s">
        <v>2528</v>
      </c>
      <c r="AX122" s="4"/>
      <c r="AY122" t="s">
        <v>2537</v>
      </c>
      <c r="AZ122" s="72" t="str">
        <f t="shared" si="66"/>
        <v>NCC S35C2lClass 8 (Other applications) - no equipment load per S35C2l; radiant/latent/lost fraction split retained from original WA/COMNET-REV9 source (AIRAH Technical Handbook does not publish this split)SS Manufacturing Facility - Extra High Bay (&gt;50 ft Floor to Ceiling Height)  ElectricalEquipDef</v>
      </c>
      <c r="BA122" s="8" t="s">
        <v>337</v>
      </c>
      <c r="BB122" s="50">
        <v>1.36</v>
      </c>
      <c r="BC122" s="2">
        <v>14.638920000000001</v>
      </c>
      <c r="BD122" s="2">
        <v>0.37</v>
      </c>
      <c r="BE122" s="2">
        <v>0.2</v>
      </c>
      <c r="BF122" t="s">
        <v>2599</v>
      </c>
      <c r="BG122" s="4"/>
      <c r="BH122" t="s">
        <v>2644</v>
      </c>
      <c r="BI122" s="72" t="str">
        <f t="shared" si="57"/>
        <v>IECC Table C405.3.2(2)Manufacturing facility - in an extra-high-bay area (greater than 50 feet floor-to-ceiling height); radiant/visible fraction split retained from original WA/COMNET-REV9 sourceLightingDef</v>
      </c>
      <c r="BJ122" t="s">
        <v>366</v>
      </c>
      <c r="BK122" s="4" t="s">
        <v>2165</v>
      </c>
      <c r="BL122" s="4" t="s">
        <v>2165</v>
      </c>
      <c r="BM122" s="4" t="s">
        <v>2165</v>
      </c>
      <c r="BN122" s="4" t="s">
        <v>2165</v>
      </c>
      <c r="BO122" s="4" t="s">
        <v>2165</v>
      </c>
      <c r="BP122" s="4" t="s">
        <v>2165</v>
      </c>
      <c r="BQ122" s="4" t="s">
        <v>2165</v>
      </c>
      <c r="BR122" s="4" t="s">
        <v>2165</v>
      </c>
      <c r="BS122" s="4" t="s">
        <v>2165</v>
      </c>
      <c r="BT122" s="73" t="s">
        <v>2165</v>
      </c>
      <c r="BU122" s="4" t="s">
        <v>2165</v>
      </c>
      <c r="BW122">
        <v>0.7</v>
      </c>
      <c r="BY122" t="s">
        <v>2660</v>
      </c>
      <c r="BZ122" t="s">
        <v>2661</v>
      </c>
      <c r="CB122" s="50" t="str">
        <f t="shared" si="58"/>
        <v>Space Function_Mfg - bay H &gt; 15m</v>
      </c>
      <c r="CC122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Function_Mfg - bay H &gt; 15mInfil</v>
      </c>
      <c r="CD122" t="s">
        <v>266</v>
      </c>
      <c r="CE122" t="s">
        <v>250</v>
      </c>
      <c r="CF122" t="s">
        <v>2077</v>
      </c>
      <c r="CG122" s="4"/>
      <c r="CH122">
        <v>0.67</v>
      </c>
      <c r="CI122" s="4"/>
      <c r="CJ122" t="s">
        <v>2205</v>
      </c>
      <c r="CK122">
        <v>2.9000000000000001E-2</v>
      </c>
      <c r="CL122">
        <v>48.41</v>
      </c>
      <c r="CM122">
        <v>7474</v>
      </c>
      <c r="CN122">
        <v>463</v>
      </c>
      <c r="CO122">
        <v>0.9</v>
      </c>
      <c r="CP122">
        <v>0.7</v>
      </c>
      <c r="CQ122">
        <v>0.7</v>
      </c>
      <c r="CR122" t="s">
        <v>2292</v>
      </c>
      <c r="CS122" t="s">
        <v>2206</v>
      </c>
      <c r="CT122" t="s">
        <v>2393</v>
      </c>
      <c r="CU122" s="4" t="s">
        <v>2165</v>
      </c>
      <c r="CV122" t="str">
        <f t="shared" si="62"/>
        <v>Mixed_Manufacturing_ExtraHighBay_29mm</v>
      </c>
      <c r="CW122" s="72" t="str">
        <f t="shared" si="63"/>
        <v>CalculatedEstimateOverheadCranesAndHeavyPressesMixed_Manufacturing_ExtraHighBay_29mmInternalMassDef</v>
      </c>
    </row>
    <row r="123" spans="1:101" ht="14.5" customHeight="1" x14ac:dyDescent="0.35">
      <c r="A123" t="s">
        <v>194</v>
      </c>
      <c r="B123" s="50" t="str">
        <f t="shared" si="41"/>
        <v>2025_AU_NCC</v>
      </c>
      <c r="C123" s="50" t="s">
        <v>2431</v>
      </c>
      <c r="D123" s="50" t="s">
        <v>2501</v>
      </c>
      <c r="E123" t="s">
        <v>2078</v>
      </c>
      <c r="F123" s="62">
        <v>2025</v>
      </c>
      <c r="G123" s="62" t="s">
        <v>2522</v>
      </c>
      <c r="H123" t="s">
        <v>2523</v>
      </c>
      <c r="I123">
        <v>216</v>
      </c>
      <c r="J123">
        <v>191</v>
      </c>
      <c r="K123">
        <v>216</v>
      </c>
      <c r="L123" s="50" t="str">
        <f t="shared" si="54"/>
        <v>SS Manufacturing Facility - High Bay  (25–50 ft Floor to Ceiling  Height)  _2025AUNCC</v>
      </c>
      <c r="M123" s="50" t="str">
        <f t="shared" si="42"/>
        <v>SS Manufacturing Facility - High Bay  (25–50 ft Floor to Ceiling  Height)  _2025AUNCCScheduleSet</v>
      </c>
      <c r="N123" s="68">
        <v>142.85714290000001</v>
      </c>
      <c r="O123">
        <v>7</v>
      </c>
      <c r="P123" s="38">
        <v>7.5347405000000006E-2</v>
      </c>
      <c r="Q123" s="4">
        <v>255.91</v>
      </c>
      <c r="R123" s="6">
        <v>75</v>
      </c>
      <c r="S123" s="4">
        <v>187.67</v>
      </c>
      <c r="T123" s="6">
        <v>55</v>
      </c>
      <c r="U123" s="6"/>
      <c r="V123" s="6"/>
      <c r="W123" s="6">
        <v>130</v>
      </c>
      <c r="X123" s="2">
        <v>0.57692307700000001</v>
      </c>
      <c r="Y123" t="s">
        <v>2524</v>
      </c>
      <c r="Z123" s="1" t="s">
        <v>2525</v>
      </c>
      <c r="AB123" s="4"/>
      <c r="AC123" s="50" t="str">
        <f t="shared" si="64"/>
        <v>NCC S35C2nOther applications (non-dining)PeopleDef</v>
      </c>
      <c r="AD123" t="s">
        <v>354</v>
      </c>
      <c r="AE123" s="50" t="str">
        <f t="shared" si="65"/>
        <v>SS Manufacturing Facility - High Bay  (25–50 ft Floor to Ceiling  Height)  Activity</v>
      </c>
      <c r="AF123" s="63" t="s">
        <v>2165</v>
      </c>
      <c r="AG123" s="63" t="s">
        <v>2165</v>
      </c>
      <c r="AH123" s="63" t="s">
        <v>2165</v>
      </c>
      <c r="AI123" s="63" t="s">
        <v>2165</v>
      </c>
      <c r="AJ123" s="63" t="s">
        <v>2165</v>
      </c>
      <c r="AK123" s="4" t="s">
        <v>2165</v>
      </c>
      <c r="AL123">
        <v>0.09</v>
      </c>
      <c r="AM123" t="s">
        <v>94</v>
      </c>
      <c r="AN123" s="1" t="s">
        <v>103</v>
      </c>
      <c r="AO123" t="s">
        <v>247</v>
      </c>
      <c r="AP123" s="4" t="s">
        <v>2165</v>
      </c>
      <c r="AQ123" s="72" t="str">
        <f t="shared" si="51"/>
        <v>ASHRAE 62.1-2019Miscellaneous Spaces - Manufacturing where hazardous materials are not usedACHVent</v>
      </c>
      <c r="AR123" s="2">
        <v>0</v>
      </c>
      <c r="AS123" s="2">
        <v>0</v>
      </c>
      <c r="AT123" s="2">
        <v>0.1</v>
      </c>
      <c r="AU123" s="2">
        <v>0.5</v>
      </c>
      <c r="AV123" s="2">
        <v>0.1</v>
      </c>
      <c r="AW123" t="s">
        <v>2528</v>
      </c>
      <c r="AX123" s="4"/>
      <c r="AY123" t="s">
        <v>2537</v>
      </c>
      <c r="AZ123" s="72" t="str">
        <f t="shared" si="66"/>
        <v>NCC S35C2lClass 8 (Other applications) - no equipment load per S35C2l; radiant/latent/lost fraction split retained from original WA/COMNET-REV9 source (AIRAH Technical Handbook does not publish this split)SS Manufacturing Facility - High Bay  (25–50 ft Floor to Ceiling  Height)  ElectricalEquipDef</v>
      </c>
      <c r="BA123" s="8" t="s">
        <v>337</v>
      </c>
      <c r="BB123" s="50">
        <v>1.24</v>
      </c>
      <c r="BC123" s="2">
        <v>13.347250000000001</v>
      </c>
      <c r="BD123" s="2">
        <v>0.37</v>
      </c>
      <c r="BE123" s="2">
        <v>0.2</v>
      </c>
      <c r="BF123" t="s">
        <v>2599</v>
      </c>
      <c r="BG123" s="4"/>
      <c r="BH123" t="s">
        <v>2645</v>
      </c>
      <c r="BI123" s="72" t="str">
        <f t="shared" si="57"/>
        <v>IECC Table C405.3.2(2)Manufacturing facility - in a high-bay area (25-50 feet floor-to-ceiling height); radiant/visible fraction split retained from original WA/COMNET-REV9 sourceLightingDef</v>
      </c>
      <c r="BJ123" t="s">
        <v>366</v>
      </c>
      <c r="BK123" s="4" t="s">
        <v>2165</v>
      </c>
      <c r="BL123" s="4" t="s">
        <v>2165</v>
      </c>
      <c r="BM123" s="4" t="s">
        <v>2165</v>
      </c>
      <c r="BN123" s="4" t="s">
        <v>2165</v>
      </c>
      <c r="BO123" s="4" t="s">
        <v>2165</v>
      </c>
      <c r="BP123" s="4" t="s">
        <v>2165</v>
      </c>
      <c r="BQ123" s="4" t="s">
        <v>2165</v>
      </c>
      <c r="BR123" s="4" t="s">
        <v>2165</v>
      </c>
      <c r="BS123" s="4" t="s">
        <v>2165</v>
      </c>
      <c r="BT123" s="73" t="s">
        <v>2165</v>
      </c>
      <c r="BU123" s="4" t="s">
        <v>2165</v>
      </c>
      <c r="BW123">
        <v>0.7</v>
      </c>
      <c r="BY123" t="s">
        <v>2660</v>
      </c>
      <c r="BZ123" t="s">
        <v>2661</v>
      </c>
      <c r="CB123" s="50" t="str">
        <f t="shared" si="58"/>
        <v>Space Function_Mfg - 7.5 &lt;= bay H &lt;= 15m</v>
      </c>
      <c r="CC123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Function_Mfg - 7.5 &lt;= bay H &lt;= 15mInfil</v>
      </c>
      <c r="CD123" t="s">
        <v>266</v>
      </c>
      <c r="CE123" t="s">
        <v>250</v>
      </c>
      <c r="CF123" t="s">
        <v>2078</v>
      </c>
      <c r="CG123" s="4"/>
      <c r="CH123">
        <v>0.93</v>
      </c>
      <c r="CI123" s="4"/>
      <c r="CJ123" t="s">
        <v>2205</v>
      </c>
      <c r="CK123">
        <v>1.5800000000000002E-2</v>
      </c>
      <c r="CL123">
        <v>35.21</v>
      </c>
      <c r="CM123">
        <v>6079</v>
      </c>
      <c r="CN123">
        <v>611</v>
      </c>
      <c r="CO123">
        <v>0.9</v>
      </c>
      <c r="CP123">
        <v>0.7</v>
      </c>
      <c r="CQ123">
        <v>0.7</v>
      </c>
      <c r="CR123" t="s">
        <v>2293</v>
      </c>
      <c r="CS123" t="s">
        <v>2206</v>
      </c>
      <c r="CT123" t="s">
        <v>2394</v>
      </c>
      <c r="CU123" s="4" t="s">
        <v>2165</v>
      </c>
      <c r="CV123" t="str">
        <f t="shared" si="62"/>
        <v>Mixed_Manufacturing_HighBay_16mm</v>
      </c>
      <c r="CW123" s="72" t="str">
        <f t="shared" si="63"/>
        <v>CalculatedEstimateCranesCuttingTablesAndStorageRacksMixed_Manufacturing_HighBay_16mmInternalMassDef</v>
      </c>
    </row>
    <row r="124" spans="1:101" ht="101.5" x14ac:dyDescent="0.35">
      <c r="A124" t="s">
        <v>195</v>
      </c>
      <c r="B124" s="50" t="str">
        <f t="shared" si="41"/>
        <v>2025_AU_NCC</v>
      </c>
      <c r="C124" s="50" t="s">
        <v>2431</v>
      </c>
      <c r="D124" s="50" t="s">
        <v>2502</v>
      </c>
      <c r="E124" t="s">
        <v>2079</v>
      </c>
      <c r="F124" s="62">
        <v>2025</v>
      </c>
      <c r="G124" s="62" t="s">
        <v>2522</v>
      </c>
      <c r="H124" t="s">
        <v>2523</v>
      </c>
      <c r="I124">
        <v>221</v>
      </c>
      <c r="J124">
        <v>160</v>
      </c>
      <c r="K124">
        <v>221</v>
      </c>
      <c r="L124" s="50" t="str">
        <f t="shared" si="54"/>
        <v>SS Manufacturing Facility - Low Bay (&lt;25 ft Floor to Ceiling Height)  _2025AUNCC</v>
      </c>
      <c r="M124" s="50" t="str">
        <f t="shared" si="42"/>
        <v>SS Manufacturing Facility - Low Bay (&lt;25 ft Floor to Ceiling Height)  _2025AUNCCScheduleSet</v>
      </c>
      <c r="N124" s="68">
        <v>142.85714290000001</v>
      </c>
      <c r="O124">
        <v>7</v>
      </c>
      <c r="P124" s="38">
        <v>7.5347405000000006E-2</v>
      </c>
      <c r="Q124" s="4">
        <v>255.91</v>
      </c>
      <c r="R124" s="6">
        <v>75</v>
      </c>
      <c r="S124" s="4">
        <v>187.67</v>
      </c>
      <c r="T124" s="6">
        <v>55</v>
      </c>
      <c r="U124" s="6"/>
      <c r="V124" s="6"/>
      <c r="W124" s="6">
        <v>130</v>
      </c>
      <c r="X124" s="2">
        <v>0.57692307700000001</v>
      </c>
      <c r="Y124" t="s">
        <v>2524</v>
      </c>
      <c r="Z124" s="1" t="s">
        <v>2525</v>
      </c>
      <c r="AB124" s="4"/>
      <c r="AC124" s="50" t="str">
        <f t="shared" si="64"/>
        <v>NCC S35C2nOther applications (non-dining)PeopleDef</v>
      </c>
      <c r="AD124" t="s">
        <v>354</v>
      </c>
      <c r="AE124" s="50" t="str">
        <f t="shared" si="65"/>
        <v>SS Manufacturing Facility - Low Bay (&lt;25 ft Floor to Ceiling Height)  Activity</v>
      </c>
      <c r="AF124" s="63" t="s">
        <v>2165</v>
      </c>
      <c r="AG124" s="63" t="s">
        <v>2165</v>
      </c>
      <c r="AH124" s="63" t="s">
        <v>2165</v>
      </c>
      <c r="AI124" s="63" t="s">
        <v>2165</v>
      </c>
      <c r="AJ124" s="63" t="s">
        <v>2165</v>
      </c>
      <c r="AK124" s="4" t="s">
        <v>2165</v>
      </c>
      <c r="AL124">
        <v>0.09</v>
      </c>
      <c r="AM124" t="s">
        <v>94</v>
      </c>
      <c r="AN124" s="1" t="s">
        <v>103</v>
      </c>
      <c r="AO124" t="s">
        <v>247</v>
      </c>
      <c r="AP124" s="4" t="s">
        <v>2165</v>
      </c>
      <c r="AQ124" s="72" t="str">
        <f t="shared" si="51"/>
        <v>ASHRAE 62.1-2019Miscellaneous Spaces - Manufacturing where hazardous materials are not usedACHVent</v>
      </c>
      <c r="AR124" s="2">
        <v>0</v>
      </c>
      <c r="AS124" s="2">
        <v>0</v>
      </c>
      <c r="AT124" s="2">
        <v>0.1</v>
      </c>
      <c r="AU124" s="2">
        <v>0.5</v>
      </c>
      <c r="AV124" s="2">
        <v>0.1</v>
      </c>
      <c r="AW124" t="s">
        <v>2528</v>
      </c>
      <c r="AX124" s="4"/>
      <c r="AY124" t="s">
        <v>2537</v>
      </c>
      <c r="AZ124" s="72" t="str">
        <f t="shared" si="66"/>
        <v>NCC S35C2lClass 8 (Other applications) - no equipment load per S35C2l; radiant/latent/lost fraction split retained from original WA/COMNET-REV9 source (AIRAH Technical Handbook does not publish this split)SS Manufacturing Facility - Low Bay (&lt;25 ft Floor to Ceiling Height)  ElectricalEquipDef</v>
      </c>
      <c r="BA124" s="8" t="s">
        <v>337</v>
      </c>
      <c r="BB124" s="50">
        <v>0.86</v>
      </c>
      <c r="BC124" s="2">
        <v>9.2569599999999994</v>
      </c>
      <c r="BD124" s="2">
        <v>0.37</v>
      </c>
      <c r="BE124" s="2">
        <v>0.2</v>
      </c>
      <c r="BF124" t="s">
        <v>2599</v>
      </c>
      <c r="BG124" s="4"/>
      <c r="BH124" t="s">
        <v>2646</v>
      </c>
      <c r="BI124" s="72" t="str">
        <f t="shared" si="57"/>
        <v>IECC Table C405.3.2(2)Manufacturing facility - in a low-bay area (less than 25 feet floor-to-ceiling height); radiant/visible fraction split retained from original WA/COMNET-REV9 sourceLightingDef</v>
      </c>
      <c r="BJ124" t="s">
        <v>366</v>
      </c>
      <c r="BK124" s="4" t="s">
        <v>2165</v>
      </c>
      <c r="BL124" s="4" t="s">
        <v>2165</v>
      </c>
      <c r="BM124" s="4" t="s">
        <v>2165</v>
      </c>
      <c r="BN124" s="4" t="s">
        <v>2165</v>
      </c>
      <c r="BO124" s="4" t="s">
        <v>2165</v>
      </c>
      <c r="BP124" s="4" t="s">
        <v>2165</v>
      </c>
      <c r="BQ124" s="4" t="s">
        <v>2165</v>
      </c>
      <c r="BR124" s="4" t="s">
        <v>2165</v>
      </c>
      <c r="BS124" s="4" t="s">
        <v>2165</v>
      </c>
      <c r="BT124" s="73" t="s">
        <v>2165</v>
      </c>
      <c r="BU124" s="4" t="s">
        <v>2165</v>
      </c>
      <c r="BW124">
        <v>0.7</v>
      </c>
      <c r="BY124" t="s">
        <v>2660</v>
      </c>
      <c r="BZ124" t="s">
        <v>2661</v>
      </c>
      <c r="CB124" s="50" t="str">
        <f t="shared" si="58"/>
        <v>Space Function_Mfg - bay H &lt; 7.5m</v>
      </c>
      <c r="CC124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Function_Mfg - bay H &lt; 7.5mInfil</v>
      </c>
      <c r="CD124" t="s">
        <v>266</v>
      </c>
      <c r="CE124" t="s">
        <v>250</v>
      </c>
      <c r="CF124" t="s">
        <v>2079</v>
      </c>
      <c r="CG124" s="4"/>
      <c r="CH124">
        <v>1.21</v>
      </c>
      <c r="CI124" s="4"/>
      <c r="CJ124" t="s">
        <v>2205</v>
      </c>
      <c r="CK124">
        <v>1.21E-2</v>
      </c>
      <c r="CL124">
        <v>41.22</v>
      </c>
      <c r="CM124">
        <v>5929</v>
      </c>
      <c r="CN124">
        <v>485</v>
      </c>
      <c r="CO124">
        <v>0.9</v>
      </c>
      <c r="CP124">
        <v>0.7</v>
      </c>
      <c r="CQ124">
        <v>0.7</v>
      </c>
      <c r="CR124" t="s">
        <v>2294</v>
      </c>
      <c r="CS124" t="s">
        <v>2206</v>
      </c>
      <c r="CT124" t="s">
        <v>2395</v>
      </c>
      <c r="CU124" s="4" t="s">
        <v>2165</v>
      </c>
      <c r="CV124" t="str">
        <f t="shared" si="62"/>
        <v>Mixed_Manufacturing_LowBay_12mm</v>
      </c>
      <c r="CW124" s="72" t="str">
        <f t="shared" si="63"/>
        <v>CalculatedEstimateStampingPressesAndInjectionMoldersMixed_Manufacturing_LowBay_12mmInternalMassDef</v>
      </c>
    </row>
    <row r="125" spans="1:101" x14ac:dyDescent="0.35">
      <c r="A125" t="s">
        <v>196</v>
      </c>
      <c r="B125" s="50" t="str">
        <f t="shared" si="41"/>
        <v>2025_AU_NCC</v>
      </c>
      <c r="C125" s="50" t="s">
        <v>114</v>
      </c>
      <c r="D125" s="50" t="s">
        <v>2503</v>
      </c>
      <c r="E125" t="s">
        <v>309</v>
      </c>
      <c r="F125" s="62">
        <v>2025</v>
      </c>
      <c r="G125" s="62" t="s">
        <v>2522</v>
      </c>
      <c r="H125" t="s">
        <v>2523</v>
      </c>
      <c r="I125">
        <v>204</v>
      </c>
      <c r="J125">
        <v>204</v>
      </c>
      <c r="K125">
        <v>0</v>
      </c>
      <c r="L125" s="50" t="str">
        <f t="shared" si="54"/>
        <v>SS Museum - General Exhibition  _2025AUNCC</v>
      </c>
      <c r="M125" s="50" t="str">
        <f t="shared" si="42"/>
        <v>SS Museum - General Exhibition  _2025AUNCCScheduleSet</v>
      </c>
      <c r="N125" s="68">
        <v>25</v>
      </c>
      <c r="O125">
        <v>40</v>
      </c>
      <c r="P125" s="38">
        <v>0.43055660200000001</v>
      </c>
      <c r="Q125">
        <v>255.91</v>
      </c>
      <c r="R125" s="6">
        <v>75</v>
      </c>
      <c r="S125">
        <v>187.67</v>
      </c>
      <c r="T125" s="6">
        <v>55</v>
      </c>
      <c r="U125" s="6"/>
      <c r="V125" s="6"/>
      <c r="W125" s="6">
        <v>130</v>
      </c>
      <c r="X125" s="2">
        <v>0.57692307700000001</v>
      </c>
      <c r="Y125" t="s">
        <v>2524</v>
      </c>
      <c r="Z125" t="s">
        <v>2525</v>
      </c>
      <c r="AB125" s="4"/>
      <c r="AC125" s="50" t="str">
        <f t="shared" si="64"/>
        <v>NCC S35C2nOther applications (non-dining)PeopleDef</v>
      </c>
      <c r="AD125" t="s">
        <v>353</v>
      </c>
      <c r="AE125" s="50" t="str">
        <f t="shared" si="65"/>
        <v>SS Museum - General Exhibition  Activity</v>
      </c>
      <c r="AF125" s="62">
        <v>7.5</v>
      </c>
      <c r="AG125" s="62">
        <f t="shared" si="60"/>
        <v>3.5394053798961773E-3</v>
      </c>
      <c r="AH125" s="62">
        <v>0.06</v>
      </c>
      <c r="AI125" s="62">
        <f t="shared" ref="AI125:AI141" si="67">AH125*0.00508</f>
        <v>3.0479999999999998E-4</v>
      </c>
      <c r="AJ125" s="63" t="s">
        <v>2165</v>
      </c>
      <c r="AK125" s="4" t="s">
        <v>2165</v>
      </c>
      <c r="AL125" s="4" t="s">
        <v>2165</v>
      </c>
      <c r="AM125" t="s">
        <v>37</v>
      </c>
      <c r="AN125" t="s">
        <v>77</v>
      </c>
      <c r="AO125" s="4" t="s">
        <v>2165</v>
      </c>
      <c r="AP125" s="4" t="s">
        <v>2165</v>
      </c>
      <c r="AQ125" s="72" t="str">
        <f t="shared" ref="AQ125:AQ141" si="68">CONCATENATE(AM125,AN125,AO125,AP125,"Vent")</f>
        <v>Washington State Mechanical Code TABLE 403.3.1.1Public spaces - Museums/galleriesVent</v>
      </c>
      <c r="AR125" s="2">
        <v>0</v>
      </c>
      <c r="AS125" s="2">
        <v>0</v>
      </c>
      <c r="AT125" s="2">
        <v>0</v>
      </c>
      <c r="AU125" s="2">
        <v>0.5</v>
      </c>
      <c r="AV125" s="2">
        <v>0</v>
      </c>
      <c r="AW125" t="s">
        <v>2528</v>
      </c>
      <c r="AX125" s="4"/>
      <c r="AY125" t="s">
        <v>2533</v>
      </c>
      <c r="AZ125" s="72" t="str">
        <f t="shared" si="66"/>
        <v>NCC S35C2lClass 9b (Other applications) - no equipment load per S35C2l; radiant/latent/lost fraction split retained from original WA/COMNET-REV9 source (AIRAH Technical Handbook does not publish this split)SS Museum - General Exhibition  ElectricalEquipDef</v>
      </c>
      <c r="BA125" s="8" t="s">
        <v>336</v>
      </c>
      <c r="BB125" s="50">
        <v>0.31</v>
      </c>
      <c r="BC125" s="2">
        <v>3.3368099999999998</v>
      </c>
      <c r="BD125" s="2">
        <v>0.37</v>
      </c>
      <c r="BE125" s="2">
        <v>0.2</v>
      </c>
      <c r="BF125" t="s">
        <v>2599</v>
      </c>
      <c r="BG125" s="4"/>
      <c r="BH125" t="s">
        <v>2647</v>
      </c>
      <c r="BI125" s="72" t="str">
        <f t="shared" si="57"/>
        <v>IECC Table C405.3.2(2)Museum - in a general exhibition area; radiant/visible fraction split retained from original WA/COMNET-REV9 sourceLightingDef</v>
      </c>
      <c r="BJ125" t="s">
        <v>365</v>
      </c>
      <c r="BK125" s="4" t="s">
        <v>2165</v>
      </c>
      <c r="BL125" s="4" t="s">
        <v>2165</v>
      </c>
      <c r="BM125" s="4" t="s">
        <v>2165</v>
      </c>
      <c r="BN125" s="4" t="s">
        <v>2165</v>
      </c>
      <c r="BO125" s="4" t="s">
        <v>2165</v>
      </c>
      <c r="BP125" s="4" t="s">
        <v>2165</v>
      </c>
      <c r="BQ125" s="4" t="s">
        <v>2165</v>
      </c>
      <c r="BR125" s="4" t="s">
        <v>2165</v>
      </c>
      <c r="BS125" s="4" t="s">
        <v>2165</v>
      </c>
      <c r="BT125" s="73" t="s">
        <v>2165</v>
      </c>
      <c r="BU125" s="4" t="s">
        <v>2165</v>
      </c>
      <c r="BW125">
        <v>0.7</v>
      </c>
      <c r="BY125" t="s">
        <v>2660</v>
      </c>
      <c r="BZ125" t="s">
        <v>2661</v>
      </c>
      <c r="CB125" s="50" t="str">
        <f t="shared" si="58"/>
        <v>Space Function_Museum - exhibition</v>
      </c>
      <c r="CC125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Function_Museum - exhibitionInfil</v>
      </c>
      <c r="CD125" t="s">
        <v>266</v>
      </c>
      <c r="CE125" t="s">
        <v>250</v>
      </c>
      <c r="CF125" t="s">
        <v>309</v>
      </c>
      <c r="CG125" s="4"/>
      <c r="CH125">
        <v>1.18</v>
      </c>
      <c r="CI125" s="4"/>
      <c r="CJ125" t="s">
        <v>2205</v>
      </c>
      <c r="CK125">
        <v>1.3299999999999999E-2</v>
      </c>
      <c r="CL125">
        <v>5.26</v>
      </c>
      <c r="CM125">
        <v>846</v>
      </c>
      <c r="CN125">
        <v>1136</v>
      </c>
      <c r="CO125">
        <v>0.9</v>
      </c>
      <c r="CP125">
        <v>0.7</v>
      </c>
      <c r="CQ125">
        <v>0.7</v>
      </c>
      <c r="CR125" t="s">
        <v>2295</v>
      </c>
      <c r="CS125" t="s">
        <v>2206</v>
      </c>
      <c r="CT125" t="s">
        <v>2396</v>
      </c>
      <c r="CU125" s="4" t="s">
        <v>2165</v>
      </c>
      <c r="CV125" t="str">
        <f t="shared" si="62"/>
        <v>Mixed_Museum_Exhibition_13mm</v>
      </c>
      <c r="CW125" s="72" t="str">
        <f t="shared" si="63"/>
        <v>CalculatedEstimateDisplayCasesAndPedestalsMixed_Museum_Exhibition_13mmInternalMassDef</v>
      </c>
    </row>
    <row r="126" spans="1:101" x14ac:dyDescent="0.35">
      <c r="A126" t="s">
        <v>197</v>
      </c>
      <c r="B126" s="50" t="str">
        <f t="shared" si="41"/>
        <v>2025_AU_NCC</v>
      </c>
      <c r="C126" s="50" t="s">
        <v>114</v>
      </c>
      <c r="D126" s="50" t="s">
        <v>2504</v>
      </c>
      <c r="E126" t="s">
        <v>310</v>
      </c>
      <c r="F126" s="62">
        <v>2025</v>
      </c>
      <c r="G126" s="62" t="s">
        <v>2522</v>
      </c>
      <c r="H126" t="s">
        <v>2523</v>
      </c>
      <c r="I126">
        <v>160</v>
      </c>
      <c r="J126">
        <v>160</v>
      </c>
      <c r="K126">
        <v>160</v>
      </c>
      <c r="L126" s="50" t="str">
        <f t="shared" si="54"/>
        <v>SS Museum - Restoration  _2025AUNCC</v>
      </c>
      <c r="M126" s="50" t="str">
        <f t="shared" si="42"/>
        <v>SS Museum - Restoration  _2025AUNCCScheduleSet</v>
      </c>
      <c r="N126" s="68">
        <v>25</v>
      </c>
      <c r="O126">
        <v>40</v>
      </c>
      <c r="P126" s="38">
        <v>0.43055660200000001</v>
      </c>
      <c r="Q126">
        <v>255.91</v>
      </c>
      <c r="R126" s="6">
        <v>75</v>
      </c>
      <c r="S126">
        <v>187.67</v>
      </c>
      <c r="T126" s="6">
        <v>55</v>
      </c>
      <c r="U126" s="6"/>
      <c r="V126" s="6"/>
      <c r="W126" s="6">
        <v>130</v>
      </c>
      <c r="X126" s="2">
        <v>0.57692307700000001</v>
      </c>
      <c r="Y126" t="s">
        <v>2524</v>
      </c>
      <c r="Z126" t="s">
        <v>2525</v>
      </c>
      <c r="AB126" s="4"/>
      <c r="AC126" s="50" t="str">
        <f t="shared" si="64"/>
        <v>NCC S35C2nOther applications (non-dining)PeopleDef</v>
      </c>
      <c r="AD126" t="s">
        <v>354</v>
      </c>
      <c r="AE126" s="50" t="str">
        <f t="shared" si="65"/>
        <v>SS Museum - Restoration  Activity</v>
      </c>
      <c r="AF126" s="62">
        <v>7.5</v>
      </c>
      <c r="AG126" s="62">
        <f t="shared" si="60"/>
        <v>3.5394053798961773E-3</v>
      </c>
      <c r="AH126" s="62">
        <v>0.12</v>
      </c>
      <c r="AI126" s="62">
        <f t="shared" si="67"/>
        <v>6.0959999999999996E-4</v>
      </c>
      <c r="AJ126" s="63" t="s">
        <v>2165</v>
      </c>
      <c r="AK126" s="4" t="s">
        <v>2165</v>
      </c>
      <c r="AL126" s="4" t="s">
        <v>2165</v>
      </c>
      <c r="AM126" t="s">
        <v>94</v>
      </c>
      <c r="AN126" t="s">
        <v>100</v>
      </c>
      <c r="AO126" s="4" t="s">
        <v>2165</v>
      </c>
      <c r="AP126" s="4" t="s">
        <v>2165</v>
      </c>
      <c r="AQ126" s="72" t="str">
        <f t="shared" si="68"/>
        <v>ASHRAE 62.1-2019Public Assembly Spaces - Museums (children’s)Vent</v>
      </c>
      <c r="AR126" s="2">
        <v>1.393546</v>
      </c>
      <c r="AS126" s="2">
        <v>15</v>
      </c>
      <c r="AT126" s="2">
        <v>0</v>
      </c>
      <c r="AU126" s="2">
        <v>0.5</v>
      </c>
      <c r="AV126" s="2">
        <v>0</v>
      </c>
      <c r="AW126" t="s">
        <v>2528</v>
      </c>
      <c r="AX126" s="4"/>
      <c r="AY126" t="s">
        <v>2565</v>
      </c>
      <c r="AZ126" s="72" t="str">
        <f t="shared" si="66"/>
        <v>NCC S35C2lClass 8 laboratory (conservation/restoration workshop treated as lab); radiant/latent/lost fraction split retained from original WA/COMNET-REV9 source (AIRAH Technical Handbook does not publish this split)SS Museum - Restoration  ElectricalEquipDef</v>
      </c>
      <c r="BA126" s="8" t="s">
        <v>337</v>
      </c>
      <c r="BB126" s="50">
        <v>0.55741799999999997</v>
      </c>
      <c r="BC126" s="2">
        <v>6</v>
      </c>
      <c r="BD126" s="2">
        <v>0.37</v>
      </c>
      <c r="BE126" s="2">
        <v>0.2</v>
      </c>
      <c r="BF126" t="s">
        <v>2569</v>
      </c>
      <c r="BG126" s="4"/>
      <c r="BH126" t="s">
        <v>2621</v>
      </c>
      <c r="BI126" s="72" t="str">
        <f t="shared" si="57"/>
        <v>NCC J7D3aLaboratory - artificially lit to an ambient level of 400 lx or more; radiant/visible fraction split retained from original WA/COMNET-REV9 source (AIRAH Technical Handbook does not publish this split)LightingDef</v>
      </c>
      <c r="BJ126" t="s">
        <v>366</v>
      </c>
      <c r="BK126" s="4" t="s">
        <v>2165</v>
      </c>
      <c r="BL126" s="4" t="s">
        <v>2165</v>
      </c>
      <c r="BM126" s="4" t="s">
        <v>2165</v>
      </c>
      <c r="BN126" s="4" t="s">
        <v>2165</v>
      </c>
      <c r="BO126" s="4" t="s">
        <v>2165</v>
      </c>
      <c r="BP126" s="4" t="s">
        <v>2165</v>
      </c>
      <c r="BQ126" s="4" t="s">
        <v>2165</v>
      </c>
      <c r="BR126" s="4" t="s">
        <v>2165</v>
      </c>
      <c r="BS126" s="4" t="s">
        <v>2165</v>
      </c>
      <c r="BT126" s="73" t="s">
        <v>2165</v>
      </c>
      <c r="BU126" s="4" t="s">
        <v>2165</v>
      </c>
      <c r="BW126">
        <v>0.7</v>
      </c>
      <c r="BY126" t="s">
        <v>2660</v>
      </c>
      <c r="BZ126" t="s">
        <v>2661</v>
      </c>
      <c r="CB126" s="50" t="str">
        <f t="shared" si="58"/>
        <v>Space Function_Museum - restoration</v>
      </c>
      <c r="CC126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Function_Museum - restorationInfil</v>
      </c>
      <c r="CD126" t="s">
        <v>266</v>
      </c>
      <c r="CE126" t="s">
        <v>250</v>
      </c>
      <c r="CF126" t="s">
        <v>310</v>
      </c>
      <c r="CG126" s="4"/>
      <c r="CH126">
        <v>1.65</v>
      </c>
      <c r="CI126" s="4"/>
      <c r="CJ126" t="s">
        <v>2205</v>
      </c>
      <c r="CK126">
        <v>5.7999999999999996E-3</v>
      </c>
      <c r="CL126">
        <v>12.26</v>
      </c>
      <c r="CM126">
        <v>2395</v>
      </c>
      <c r="CN126">
        <v>642</v>
      </c>
      <c r="CO126">
        <v>0.9</v>
      </c>
      <c r="CP126">
        <v>0.6</v>
      </c>
      <c r="CQ126">
        <v>0.6</v>
      </c>
      <c r="CR126" t="s">
        <v>2296</v>
      </c>
      <c r="CS126" t="s">
        <v>2206</v>
      </c>
      <c r="CT126" t="s">
        <v>2397</v>
      </c>
      <c r="CU126" s="4" t="s">
        <v>2165</v>
      </c>
      <c r="CV126" t="str">
        <f t="shared" si="62"/>
        <v>Mixed_Museum_Restoration_6mm</v>
      </c>
      <c r="CW126" s="72" t="str">
        <f t="shared" si="63"/>
        <v>CalculatedEstimateSteelCaseworkHoodsAndHardwoodBenchesMixed_Museum_Restoration_6mmInternalMassDef</v>
      </c>
    </row>
    <row r="127" spans="1:101" x14ac:dyDescent="0.35">
      <c r="A127" t="s">
        <v>198</v>
      </c>
      <c r="B127" s="50" t="str">
        <f t="shared" si="41"/>
        <v>2025_AU_NCC</v>
      </c>
      <c r="C127" s="50" t="s">
        <v>2444</v>
      </c>
      <c r="D127" s="50" t="s">
        <v>2505</v>
      </c>
      <c r="E127" t="s">
        <v>311</v>
      </c>
      <c r="F127" s="62">
        <v>2025</v>
      </c>
      <c r="G127" s="62" t="s">
        <v>2522</v>
      </c>
      <c r="H127" t="s">
        <v>2523</v>
      </c>
      <c r="I127">
        <v>245</v>
      </c>
      <c r="J127">
        <v>245</v>
      </c>
      <c r="K127">
        <v>220</v>
      </c>
      <c r="L127" s="50" t="str">
        <f t="shared" si="54"/>
        <v>SS Post Office - Sorting Area  _2025AUNCC</v>
      </c>
      <c r="M127" s="50" t="str">
        <f t="shared" si="42"/>
        <v>SS Post Office - Sorting Area  _2025AUNCCScheduleSet</v>
      </c>
      <c r="N127" s="68">
        <v>142.85714290000001</v>
      </c>
      <c r="O127">
        <v>7</v>
      </c>
      <c r="P127" s="38">
        <v>7.5347405000000006E-2</v>
      </c>
      <c r="Q127">
        <v>255.91</v>
      </c>
      <c r="R127" s="6">
        <v>75</v>
      </c>
      <c r="S127">
        <v>187.67</v>
      </c>
      <c r="T127" s="6">
        <v>55</v>
      </c>
      <c r="U127" s="6"/>
      <c r="V127" s="6"/>
      <c r="W127" s="6">
        <v>130</v>
      </c>
      <c r="X127" s="2">
        <v>0.57692307700000001</v>
      </c>
      <c r="Y127" t="s">
        <v>2524</v>
      </c>
      <c r="Z127" t="s">
        <v>2525</v>
      </c>
      <c r="AB127" s="4"/>
      <c r="AC127" s="50" t="str">
        <f t="shared" si="64"/>
        <v>NCC S35C2nOther applications (non-dining)PeopleDef</v>
      </c>
      <c r="AD127" t="s">
        <v>354</v>
      </c>
      <c r="AE127" s="50" t="str">
        <f t="shared" si="65"/>
        <v>SS Post Office - Sorting Area  Activity</v>
      </c>
      <c r="AF127" s="62">
        <v>7.5</v>
      </c>
      <c r="AG127" s="62">
        <f t="shared" si="60"/>
        <v>3.5394053798961773E-3</v>
      </c>
      <c r="AH127" s="62">
        <v>0.12</v>
      </c>
      <c r="AI127" s="62">
        <f t="shared" si="67"/>
        <v>6.0959999999999996E-4</v>
      </c>
      <c r="AJ127" s="63" t="s">
        <v>2165</v>
      </c>
      <c r="AK127" s="4" t="s">
        <v>2165</v>
      </c>
      <c r="AL127" s="4" t="s">
        <v>2165</v>
      </c>
      <c r="AM127" t="s">
        <v>94</v>
      </c>
      <c r="AN127" t="s">
        <v>102</v>
      </c>
      <c r="AO127" s="4" t="s">
        <v>2165</v>
      </c>
      <c r="AP127" s="4" t="s">
        <v>2165</v>
      </c>
      <c r="AQ127" s="72" t="str">
        <f t="shared" si="68"/>
        <v>ASHRAE 62.1-2019Miscellaneous Spaces - Sorting, packing, light assemblyVent</v>
      </c>
      <c r="AR127" s="2">
        <v>0</v>
      </c>
      <c r="AS127" s="2">
        <v>0</v>
      </c>
      <c r="AT127" s="2">
        <v>0</v>
      </c>
      <c r="AU127" s="2">
        <v>0.5</v>
      </c>
      <c r="AV127" s="2">
        <v>0</v>
      </c>
      <c r="AW127" t="s">
        <v>2528</v>
      </c>
      <c r="AX127" s="4"/>
      <c r="AY127" t="s">
        <v>2537</v>
      </c>
      <c r="AZ127" s="72" t="str">
        <f t="shared" si="66"/>
        <v>NCC S35C2lClass 8 (Other applications) - no equipment load per S35C2l; radiant/latent/lost fraction split retained from original WA/COMNET-REV9 source (AIRAH Technical Handbook does not publish this split)SS Post Office - Sorting Area  ElectricalEquipDef</v>
      </c>
      <c r="BA127" s="8" t="s">
        <v>337</v>
      </c>
      <c r="BB127" s="50">
        <v>0.371612</v>
      </c>
      <c r="BC127" s="2">
        <v>4</v>
      </c>
      <c r="BD127" s="2">
        <v>0.37</v>
      </c>
      <c r="BE127" s="2">
        <v>0.2</v>
      </c>
      <c r="BF127" t="s">
        <v>2569</v>
      </c>
      <c r="BG127" s="4"/>
      <c r="BH127" t="s">
        <v>2648</v>
      </c>
      <c r="BI127" s="72" t="str">
        <f t="shared" si="57"/>
        <v>NCC J7D3aWholesale storage area with a vertical illuminance target of 160 lx (sorting/logistics floor); radiant/visible fraction split retained from original WA/COMNET-REV9 source (AIRAH Technical Handbook does not publish this split)LightingDef</v>
      </c>
      <c r="BJ127" t="s">
        <v>366</v>
      </c>
      <c r="BK127" s="4" t="s">
        <v>2165</v>
      </c>
      <c r="BL127" s="4" t="s">
        <v>2165</v>
      </c>
      <c r="BM127" s="4" t="s">
        <v>2165</v>
      </c>
      <c r="BN127" s="4" t="s">
        <v>2165</v>
      </c>
      <c r="BO127" s="4" t="s">
        <v>2165</v>
      </c>
      <c r="BP127" s="4" t="s">
        <v>2165</v>
      </c>
      <c r="BQ127" s="4" t="s">
        <v>2165</v>
      </c>
      <c r="BR127" s="4" t="s">
        <v>2165</v>
      </c>
      <c r="BS127" s="4" t="s">
        <v>2165</v>
      </c>
      <c r="BT127" s="73" t="s">
        <v>2165</v>
      </c>
      <c r="BU127" s="4" t="s">
        <v>2165</v>
      </c>
      <c r="BW127">
        <v>0.7</v>
      </c>
      <c r="BY127" t="s">
        <v>2660</v>
      </c>
      <c r="BZ127" t="s">
        <v>2661</v>
      </c>
      <c r="CB127" s="50" t="str">
        <f t="shared" si="58"/>
        <v>Space Function_Post office sorting</v>
      </c>
      <c r="CC127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Function_Post office sortingInfil</v>
      </c>
      <c r="CD127" t="s">
        <v>266</v>
      </c>
      <c r="CE127" t="s">
        <v>250</v>
      </c>
      <c r="CF127" t="s">
        <v>311</v>
      </c>
      <c r="CG127" s="4"/>
      <c r="CH127">
        <v>3.09</v>
      </c>
      <c r="CI127" s="4"/>
      <c r="CJ127" t="s">
        <v>2205</v>
      </c>
      <c r="CK127">
        <v>1.6000000000000001E-3</v>
      </c>
      <c r="CL127">
        <v>42.18</v>
      </c>
      <c r="CM127">
        <v>6314</v>
      </c>
      <c r="CN127">
        <v>491</v>
      </c>
      <c r="CO127">
        <v>0.9</v>
      </c>
      <c r="CP127">
        <v>0.7</v>
      </c>
      <c r="CQ127">
        <v>0.7</v>
      </c>
      <c r="CR127" t="s">
        <v>2297</v>
      </c>
      <c r="CS127" t="s">
        <v>2206</v>
      </c>
      <c r="CT127" t="s">
        <v>2398</v>
      </c>
      <c r="CU127" s="4" t="s">
        <v>2165</v>
      </c>
      <c r="CV127" t="str">
        <f t="shared" si="62"/>
        <v>Mixed_PostOffice_SortingArea_2mm</v>
      </c>
      <c r="CW127" s="72" t="str">
        <f t="shared" si="63"/>
        <v>CalculatedEstimateFlatSortCasesAndMailHampersMixed_PostOffice_SortingArea_2mmInternalMassDef</v>
      </c>
    </row>
    <row r="128" spans="1:101" x14ac:dyDescent="0.35">
      <c r="A128" t="s">
        <v>199</v>
      </c>
      <c r="B128" s="50" t="str">
        <f t="shared" si="41"/>
        <v>2025_AU_NCC</v>
      </c>
      <c r="C128" s="50" t="s">
        <v>262</v>
      </c>
      <c r="D128" s="50" t="s">
        <v>2506</v>
      </c>
      <c r="E128" t="s">
        <v>312</v>
      </c>
      <c r="F128" s="62">
        <v>2025</v>
      </c>
      <c r="G128" s="62" t="s">
        <v>2522</v>
      </c>
      <c r="H128" t="s">
        <v>2523</v>
      </c>
      <c r="I128">
        <v>255</v>
      </c>
      <c r="J128">
        <v>153</v>
      </c>
      <c r="K128">
        <v>255</v>
      </c>
      <c r="L128" s="50" t="str">
        <f t="shared" si="54"/>
        <v>SS Religious Building - Fellowship Hall_2025AUNCC</v>
      </c>
      <c r="M128" s="50" t="str">
        <f t="shared" si="42"/>
        <v>SS Religious Building - Fellowship Hall_2025AUNCCScheduleSet</v>
      </c>
      <c r="N128" s="68">
        <v>8.3333333330000006</v>
      </c>
      <c r="O128">
        <v>120</v>
      </c>
      <c r="P128" s="38">
        <v>1.291669806</v>
      </c>
      <c r="Q128">
        <v>255.91</v>
      </c>
      <c r="R128" s="6">
        <v>75</v>
      </c>
      <c r="S128">
        <v>187.67</v>
      </c>
      <c r="T128" s="6">
        <v>55</v>
      </c>
      <c r="U128" s="6"/>
      <c r="V128" s="6"/>
      <c r="W128" s="6">
        <v>130</v>
      </c>
      <c r="X128" s="2">
        <v>0.57692307700000001</v>
      </c>
      <c r="Y128" t="s">
        <v>2524</v>
      </c>
      <c r="Z128" t="s">
        <v>2525</v>
      </c>
      <c r="AB128" s="4"/>
      <c r="AC128" s="50" t="str">
        <f t="shared" si="64"/>
        <v>NCC S35C2nOther applications (non-dining)PeopleDef</v>
      </c>
      <c r="AD128" t="s">
        <v>353</v>
      </c>
      <c r="AE128" s="50" t="str">
        <f t="shared" si="65"/>
        <v>SS Religious Building - Fellowship HallActivity</v>
      </c>
      <c r="AF128" s="62">
        <v>5</v>
      </c>
      <c r="AG128" s="62">
        <f t="shared" si="60"/>
        <v>2.3596035865974517E-3</v>
      </c>
      <c r="AH128" s="62">
        <v>0.06</v>
      </c>
      <c r="AI128" s="62">
        <f t="shared" si="67"/>
        <v>3.0479999999999998E-4</v>
      </c>
      <c r="AJ128" s="63" t="s">
        <v>2165</v>
      </c>
      <c r="AK128" s="4" t="s">
        <v>2165</v>
      </c>
      <c r="AL128" s="4" t="s">
        <v>2165</v>
      </c>
      <c r="AM128" t="s">
        <v>37</v>
      </c>
      <c r="AN128" t="s">
        <v>75</v>
      </c>
      <c r="AO128" s="4" t="s">
        <v>2165</v>
      </c>
      <c r="AP128" s="4" t="s">
        <v>2165</v>
      </c>
      <c r="AQ128" s="72" t="str">
        <f t="shared" si="68"/>
        <v>Washington State Mechanical Code TABLE 403.3.1.1Public spaces - Places of religious worshipVent</v>
      </c>
      <c r="AR128" s="2">
        <v>0</v>
      </c>
      <c r="AS128" s="2">
        <v>0</v>
      </c>
      <c r="AT128" s="2">
        <v>0</v>
      </c>
      <c r="AU128" s="2">
        <v>0.5</v>
      </c>
      <c r="AV128" s="2">
        <v>0</v>
      </c>
      <c r="AW128" t="s">
        <v>2528</v>
      </c>
      <c r="AX128" s="4"/>
      <c r="AY128" t="s">
        <v>2533</v>
      </c>
      <c r="AZ128" s="72" t="str">
        <f t="shared" si="66"/>
        <v>NCC S35C2lClass 9b (Other applications) - no equipment load per S35C2l; radiant/latent/lost fraction split retained from original WA/COMNET-REV9 source (AIRAH Technical Handbook does not publish this split)SS Religious Building - Fellowship HallElectricalEquipDef</v>
      </c>
      <c r="BA128" s="8" t="s">
        <v>336</v>
      </c>
      <c r="BB128" s="50">
        <v>0.743224</v>
      </c>
      <c r="BC128" s="2">
        <v>8</v>
      </c>
      <c r="BD128" s="2">
        <v>0.37</v>
      </c>
      <c r="BE128" s="2">
        <v>0.2</v>
      </c>
      <c r="BF128" t="s">
        <v>2569</v>
      </c>
      <c r="BG128" s="4"/>
      <c r="BH128" t="s">
        <v>2591</v>
      </c>
      <c r="BI128" s="72" t="str">
        <f t="shared" si="57"/>
        <v>NCC J7D3aAuditorium, church and public hall; radiant/visible fraction split retained from original WA/COMNET-REV9 source (AIRAH Technical Handbook does not publish this split)LightingDef</v>
      </c>
      <c r="BJ128" t="s">
        <v>365</v>
      </c>
      <c r="BK128" s="4" t="s">
        <v>2165</v>
      </c>
      <c r="BL128" s="4" t="s">
        <v>2165</v>
      </c>
      <c r="BM128" s="4" t="s">
        <v>2165</v>
      </c>
      <c r="BN128" s="4" t="s">
        <v>2165</v>
      </c>
      <c r="BO128" s="4" t="s">
        <v>2165</v>
      </c>
      <c r="BP128" s="4" t="s">
        <v>2165</v>
      </c>
      <c r="BQ128" s="4" t="s">
        <v>2165</v>
      </c>
      <c r="BR128" s="4" t="s">
        <v>2165</v>
      </c>
      <c r="BS128" s="4" t="s">
        <v>2165</v>
      </c>
      <c r="BT128" s="73" t="s">
        <v>2165</v>
      </c>
      <c r="BU128" s="4" t="s">
        <v>2165</v>
      </c>
      <c r="BW128">
        <v>0.7</v>
      </c>
      <c r="BY128" t="s">
        <v>2660</v>
      </c>
      <c r="BZ128" t="s">
        <v>2661</v>
      </c>
      <c r="CB128" s="50" t="str">
        <f t="shared" si="58"/>
        <v>Space Function_Religious - fellowship hall</v>
      </c>
      <c r="CC128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Function_Religious - fellowship hallInfil</v>
      </c>
      <c r="CD128" t="s">
        <v>266</v>
      </c>
      <c r="CE128" t="s">
        <v>250</v>
      </c>
      <c r="CF128" t="s">
        <v>312</v>
      </c>
      <c r="CG128" s="4"/>
      <c r="CH128">
        <v>1.1499999999999999</v>
      </c>
      <c r="CI128" s="4"/>
      <c r="CJ128" t="s">
        <v>2205</v>
      </c>
      <c r="CK128">
        <v>7.3000000000000001E-3</v>
      </c>
      <c r="CL128">
        <v>2.6139999999999999</v>
      </c>
      <c r="CM128">
        <v>902</v>
      </c>
      <c r="CN128">
        <v>1157</v>
      </c>
      <c r="CO128">
        <v>0.9</v>
      </c>
      <c r="CP128">
        <v>0.7</v>
      </c>
      <c r="CQ128">
        <v>0.7</v>
      </c>
      <c r="CR128" t="s">
        <v>2298</v>
      </c>
      <c r="CS128" t="s">
        <v>2206</v>
      </c>
      <c r="CT128" t="s">
        <v>2399</v>
      </c>
      <c r="CU128" s="4" t="s">
        <v>2165</v>
      </c>
      <c r="CV128" t="str">
        <f t="shared" si="62"/>
        <v>Mixed_ReligiousBuilding_FellowshipHall_7mm</v>
      </c>
      <c r="CW128" s="72" t="str">
        <f t="shared" si="63"/>
        <v>CalculatedEstimateFoldingTablesAndStackableChairsMixed_ReligiousBuilding_FellowshipHall_7mmInternalMassDef</v>
      </c>
    </row>
    <row r="129" spans="1:101" x14ac:dyDescent="0.35">
      <c r="A129" t="s">
        <v>200</v>
      </c>
      <c r="B129" s="50" t="str">
        <f t="shared" si="41"/>
        <v>2025_AU_NCC</v>
      </c>
      <c r="C129" s="50" t="s">
        <v>262</v>
      </c>
      <c r="D129" s="50" t="s">
        <v>2507</v>
      </c>
      <c r="E129" t="s">
        <v>313</v>
      </c>
      <c r="F129" s="62">
        <v>2025</v>
      </c>
      <c r="G129" s="62" t="s">
        <v>2522</v>
      </c>
      <c r="H129" t="s">
        <v>2523</v>
      </c>
      <c r="I129">
        <v>255</v>
      </c>
      <c r="J129">
        <v>153</v>
      </c>
      <c r="K129">
        <v>255</v>
      </c>
      <c r="L129" s="50" t="str">
        <f t="shared" si="54"/>
        <v>SS Religious Building - Worship/Pulpit/Choir_2025AUNCC</v>
      </c>
      <c r="M129" s="50" t="str">
        <f t="shared" si="42"/>
        <v>SS Religious Building - Worship/Pulpit/Choir_2025AUNCCScheduleSet</v>
      </c>
      <c r="N129" s="68">
        <v>8.3333333330000006</v>
      </c>
      <c r="O129">
        <v>120</v>
      </c>
      <c r="P129" s="38">
        <v>1.291669806</v>
      </c>
      <c r="Q129">
        <v>255.91</v>
      </c>
      <c r="R129" s="6">
        <v>75</v>
      </c>
      <c r="S129">
        <v>187.67</v>
      </c>
      <c r="T129" s="6">
        <v>55</v>
      </c>
      <c r="U129" s="6"/>
      <c r="V129" s="6"/>
      <c r="W129" s="6">
        <v>130</v>
      </c>
      <c r="X129" s="2">
        <v>0.57692307700000001</v>
      </c>
      <c r="Y129" t="s">
        <v>2524</v>
      </c>
      <c r="Z129" t="s">
        <v>2525</v>
      </c>
      <c r="AB129" s="4"/>
      <c r="AC129" s="50" t="str">
        <f t="shared" si="64"/>
        <v>NCC S35C2nOther applications (non-dining)PeopleDef</v>
      </c>
      <c r="AD129" t="s">
        <v>359</v>
      </c>
      <c r="AE129" s="50" t="str">
        <f t="shared" si="65"/>
        <v>SS Religious Building - Worship/Pulpit/ChoirActivity</v>
      </c>
      <c r="AF129" s="62">
        <v>5</v>
      </c>
      <c r="AG129" s="62">
        <f t="shared" si="60"/>
        <v>2.3596035865974517E-3</v>
      </c>
      <c r="AH129" s="62">
        <v>0.06</v>
      </c>
      <c r="AI129" s="62">
        <f t="shared" si="67"/>
        <v>3.0479999999999998E-4</v>
      </c>
      <c r="AJ129" s="63" t="s">
        <v>2165</v>
      </c>
      <c r="AK129" s="4" t="s">
        <v>2165</v>
      </c>
      <c r="AL129" s="4" t="s">
        <v>2165</v>
      </c>
      <c r="AM129" t="s">
        <v>37</v>
      </c>
      <c r="AN129" t="s">
        <v>75</v>
      </c>
      <c r="AO129" s="4" t="s">
        <v>2165</v>
      </c>
      <c r="AP129" s="4" t="s">
        <v>2165</v>
      </c>
      <c r="AQ129" s="72" t="str">
        <f t="shared" si="68"/>
        <v>Washington State Mechanical Code TABLE 403.3.1.1Public spaces - Places of religious worshipVent</v>
      </c>
      <c r="AR129" s="2">
        <v>0</v>
      </c>
      <c r="AS129" s="2">
        <v>0</v>
      </c>
      <c r="AT129" s="2">
        <v>0</v>
      </c>
      <c r="AU129" s="2">
        <v>0.5</v>
      </c>
      <c r="AV129" s="2">
        <v>0</v>
      </c>
      <c r="AW129" t="s">
        <v>2528</v>
      </c>
      <c r="AX129" s="4"/>
      <c r="AY129" t="s">
        <v>2533</v>
      </c>
      <c r="AZ129" s="72" t="str">
        <f t="shared" si="66"/>
        <v>NCC S35C2lClass 9b (Other applications) - no equipment load per S35C2l; radiant/latent/lost fraction split retained from original WA/COMNET-REV9 source (AIRAH Technical Handbook does not publish this split)SS Religious Building - Worship/Pulpit/ChoirElectricalEquipDef</v>
      </c>
      <c r="BA129" s="8" t="s">
        <v>342</v>
      </c>
      <c r="BB129" s="50">
        <v>0.743224</v>
      </c>
      <c r="BC129" s="2">
        <v>8</v>
      </c>
      <c r="BD129" s="2">
        <v>0.37</v>
      </c>
      <c r="BE129" s="2">
        <v>0.2</v>
      </c>
      <c r="BF129" t="s">
        <v>2569</v>
      </c>
      <c r="BG129" s="4"/>
      <c r="BH129" t="s">
        <v>2591</v>
      </c>
      <c r="BI129" s="72" t="str">
        <f t="shared" si="57"/>
        <v>NCC J7D3aAuditorium, church and public hall; radiant/visible fraction split retained from original WA/COMNET-REV9 source (AIRAH Technical Handbook does not publish this split)LightingDef</v>
      </c>
      <c r="BJ129" t="s">
        <v>371</v>
      </c>
      <c r="BK129" s="4" t="s">
        <v>2165</v>
      </c>
      <c r="BL129" s="4" t="s">
        <v>2165</v>
      </c>
      <c r="BM129" s="4" t="s">
        <v>2165</v>
      </c>
      <c r="BN129" s="4" t="s">
        <v>2165</v>
      </c>
      <c r="BO129" s="4" t="s">
        <v>2165</v>
      </c>
      <c r="BP129" s="4" t="s">
        <v>2165</v>
      </c>
      <c r="BQ129" s="4" t="s">
        <v>2165</v>
      </c>
      <c r="BR129" s="4" t="s">
        <v>2165</v>
      </c>
      <c r="BS129" s="4" t="s">
        <v>2165</v>
      </c>
      <c r="BT129" s="73" t="s">
        <v>2165</v>
      </c>
      <c r="BU129" s="4" t="s">
        <v>2165</v>
      </c>
      <c r="BW129">
        <v>0.7</v>
      </c>
      <c r="BY129" t="s">
        <v>2660</v>
      </c>
      <c r="BZ129" t="s">
        <v>2661</v>
      </c>
      <c r="CB129" s="50" t="str">
        <f t="shared" si="58"/>
        <v>Space Function_Religious - pulpit/choir</v>
      </c>
      <c r="CC129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Function_Religious - pulpit/choirInfil</v>
      </c>
      <c r="CD129" t="s">
        <v>266</v>
      </c>
      <c r="CE129" t="s">
        <v>250</v>
      </c>
      <c r="CF129" t="s">
        <v>313</v>
      </c>
      <c r="CG129" s="4"/>
      <c r="CH129">
        <v>0.88</v>
      </c>
      <c r="CI129" s="4"/>
      <c r="CJ129" t="s">
        <v>2205</v>
      </c>
      <c r="CK129">
        <v>2.0799999999999999E-2</v>
      </c>
      <c r="CL129">
        <v>0.251</v>
      </c>
      <c r="CM129">
        <v>721</v>
      </c>
      <c r="CN129">
        <v>1568</v>
      </c>
      <c r="CO129">
        <v>0.9</v>
      </c>
      <c r="CP129">
        <v>0.7</v>
      </c>
      <c r="CQ129">
        <v>0.7</v>
      </c>
      <c r="CR129" t="s">
        <v>2299</v>
      </c>
      <c r="CS129" t="s">
        <v>2206</v>
      </c>
      <c r="CT129" t="s">
        <v>2400</v>
      </c>
      <c r="CU129" s="4" t="s">
        <v>2165</v>
      </c>
      <c r="CV129" t="str">
        <f t="shared" si="62"/>
        <v>Mixed_ReligiousBuilding_WorshipChoir_21mm</v>
      </c>
      <c r="CW129" s="72" t="str">
        <f t="shared" si="63"/>
        <v>CalculatedEstimateSolidHardwoodPewsAndPulpitMixed_ReligiousBuilding_WorshipChoir_21mmInternalMassDef</v>
      </c>
    </row>
    <row r="130" spans="1:101" x14ac:dyDescent="0.35">
      <c r="A130" t="s">
        <v>201</v>
      </c>
      <c r="B130" s="50" t="str">
        <f t="shared" si="41"/>
        <v>2025_AU_NCC</v>
      </c>
      <c r="C130" s="50" t="s">
        <v>120</v>
      </c>
      <c r="D130" s="50" t="s">
        <v>2508</v>
      </c>
      <c r="E130" t="s">
        <v>314</v>
      </c>
      <c r="F130" s="62">
        <v>2025</v>
      </c>
      <c r="G130" s="62" t="s">
        <v>2522</v>
      </c>
      <c r="H130" t="s">
        <v>2523</v>
      </c>
      <c r="I130">
        <v>230</v>
      </c>
      <c r="J130">
        <v>230</v>
      </c>
      <c r="K130">
        <v>250</v>
      </c>
      <c r="L130" s="50" t="str">
        <f t="shared" si="54"/>
        <v>SS Retail - Dressing/Fitting Room  _2025AUNCC</v>
      </c>
      <c r="M130" s="50" t="str">
        <f t="shared" si="42"/>
        <v>SS Retail - Dressing/Fitting Room  _2025AUNCCScheduleSet</v>
      </c>
      <c r="N130" s="69"/>
      <c r="O130" s="46"/>
      <c r="P130" s="46"/>
      <c r="Q130" s="46">
        <v>255.91</v>
      </c>
      <c r="R130" s="46">
        <v>75</v>
      </c>
      <c r="S130" s="46">
        <v>187.67</v>
      </c>
      <c r="T130" s="46">
        <v>55</v>
      </c>
      <c r="U130" s="46"/>
      <c r="V130" s="46"/>
      <c r="W130" s="46">
        <v>130</v>
      </c>
      <c r="X130" s="48">
        <v>0.57692307700000001</v>
      </c>
      <c r="Y130" s="46" t="s">
        <v>2524</v>
      </c>
      <c r="Z130" s="46" t="s">
        <v>2525</v>
      </c>
      <c r="AA130" s="46"/>
      <c r="AB130" s="46"/>
      <c r="AC130" s="54" t="s">
        <v>2165</v>
      </c>
      <c r="AD130" s="46" t="s">
        <v>2165</v>
      </c>
      <c r="AE130" s="54" t="s">
        <v>2165</v>
      </c>
      <c r="AF130" s="63" t="s">
        <v>2165</v>
      </c>
      <c r="AG130" s="63" t="s">
        <v>2165</v>
      </c>
      <c r="AH130" s="63" t="s">
        <v>2165</v>
      </c>
      <c r="AI130" s="63" t="s">
        <v>2165</v>
      </c>
      <c r="AJ130" s="62">
        <v>0.25</v>
      </c>
      <c r="AK130">
        <f t="shared" ref="AK130" si="69">AJ130*0.000471947</f>
        <v>1.1798675E-4</v>
      </c>
      <c r="AL130" s="4" t="s">
        <v>2165</v>
      </c>
      <c r="AM130" t="s">
        <v>37</v>
      </c>
      <c r="AN130" t="s">
        <v>81</v>
      </c>
      <c r="AO130" s="4" t="s">
        <v>2165</v>
      </c>
      <c r="AP130" s="4" t="s">
        <v>2165</v>
      </c>
      <c r="AQ130" s="72" t="str">
        <f t="shared" si="68"/>
        <v>Washington State Mechanical Code TABLE 403.3.1.1Retail stores, sales floors, and showroom floors - Dressing roomsVent</v>
      </c>
      <c r="AR130" s="2">
        <v>0.46451500000000001</v>
      </c>
      <c r="AS130" s="2">
        <v>5</v>
      </c>
      <c r="AT130" s="2">
        <v>0</v>
      </c>
      <c r="AU130" s="2">
        <v>0.5</v>
      </c>
      <c r="AV130" s="2">
        <v>0</v>
      </c>
      <c r="AW130" t="s">
        <v>2528</v>
      </c>
      <c r="AX130" s="4"/>
      <c r="AY130" t="s">
        <v>2566</v>
      </c>
      <c r="AZ130" s="72" t="str">
        <f t="shared" si="66"/>
        <v>NCC S35C2lClass 6 shop/shopping centre (reduced); radiant/latent/lost fraction split retained from original WA/COMNET-REV9 source (AIRAH Technical Handbook does not publish this split)SS Retail - Dressing/Fitting Room  ElectricalEquipDef</v>
      </c>
      <c r="BA130" s="8" t="s">
        <v>336</v>
      </c>
      <c r="BB130" s="50">
        <v>1.300643</v>
      </c>
      <c r="BC130" s="2">
        <v>14</v>
      </c>
      <c r="BD130" s="2">
        <v>0.37</v>
      </c>
      <c r="BE130" s="2">
        <v>0.2</v>
      </c>
      <c r="BF130" t="s">
        <v>2569</v>
      </c>
      <c r="BG130" s="4"/>
      <c r="BH130" t="s">
        <v>2592</v>
      </c>
      <c r="BI130" s="72" t="str">
        <f t="shared" si="57"/>
        <v>NCC J7D3aRetail space including a museum and gallery whose purpose is the sale of objects; radiant/visible fraction split retained from original WA/COMNET-REV9 source (AIRAH Technical Handbook does not publish this split)LightingDef</v>
      </c>
      <c r="BJ130" t="s">
        <v>365</v>
      </c>
      <c r="BK130" s="4" t="s">
        <v>2165</v>
      </c>
      <c r="BL130" s="4" t="s">
        <v>2165</v>
      </c>
      <c r="BM130" s="4" t="s">
        <v>2165</v>
      </c>
      <c r="BN130" s="4" t="s">
        <v>2165</v>
      </c>
      <c r="BO130" s="4" t="s">
        <v>2165</v>
      </c>
      <c r="BP130" s="4" t="s">
        <v>2165</v>
      </c>
      <c r="BQ130" s="4" t="s">
        <v>2165</v>
      </c>
      <c r="BR130" s="4" t="s">
        <v>2165</v>
      </c>
      <c r="BS130" s="4" t="s">
        <v>2165</v>
      </c>
      <c r="BT130" s="73" t="s">
        <v>2165</v>
      </c>
      <c r="BU130" s="4" t="s">
        <v>2165</v>
      </c>
      <c r="BW130">
        <v>0.7</v>
      </c>
      <c r="BY130" t="s">
        <v>2660</v>
      </c>
      <c r="BZ130" t="s">
        <v>2661</v>
      </c>
      <c r="CB130" s="50" t="str">
        <f t="shared" si="58"/>
        <v>Space Function_Retail - dressing/fitting</v>
      </c>
      <c r="CC130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Function_Retail - dressing/fittingInfil</v>
      </c>
      <c r="CD130" t="s">
        <v>266</v>
      </c>
      <c r="CE130" t="s">
        <v>250</v>
      </c>
      <c r="CF130" t="s">
        <v>314</v>
      </c>
      <c r="CG130" s="4"/>
      <c r="CH130">
        <v>3.91</v>
      </c>
      <c r="CI130" s="4"/>
      <c r="CJ130" t="s">
        <v>2205</v>
      </c>
      <c r="CK130">
        <v>9.1999999999999998E-3</v>
      </c>
      <c r="CL130">
        <v>0.66800000000000004</v>
      </c>
      <c r="CM130">
        <v>773</v>
      </c>
      <c r="CN130">
        <v>1222</v>
      </c>
      <c r="CO130">
        <v>0.9</v>
      </c>
      <c r="CP130">
        <v>0.7</v>
      </c>
      <c r="CQ130">
        <v>0.7</v>
      </c>
      <c r="CR130" t="s">
        <v>2300</v>
      </c>
      <c r="CS130" t="s">
        <v>2206</v>
      </c>
      <c r="CT130" t="s">
        <v>2401</v>
      </c>
      <c r="CU130" s="4" t="s">
        <v>2165</v>
      </c>
      <c r="CV130" t="str">
        <f t="shared" si="62"/>
        <v>Mixed_Retail_DressingRoom_9mm</v>
      </c>
      <c r="CW130" s="72" t="str">
        <f t="shared" si="63"/>
        <v>CalculatedEstimateMDFStallPartitionsAndMirrorsMixed_Retail_DressingRoom_9mmInternalMassDef</v>
      </c>
    </row>
    <row r="131" spans="1:101" x14ac:dyDescent="0.35">
      <c r="A131" t="s">
        <v>202</v>
      </c>
      <c r="B131" s="50" t="str">
        <f t="shared" si="41"/>
        <v>2025_AU_NCC</v>
      </c>
      <c r="C131" s="50" t="s">
        <v>120</v>
      </c>
      <c r="D131" s="50" t="s">
        <v>2509</v>
      </c>
      <c r="E131" t="s">
        <v>315</v>
      </c>
      <c r="F131" s="62">
        <v>2025</v>
      </c>
      <c r="G131" s="62" t="s">
        <v>2522</v>
      </c>
      <c r="H131" t="s">
        <v>2523</v>
      </c>
      <c r="I131">
        <v>176</v>
      </c>
      <c r="J131">
        <v>196</v>
      </c>
      <c r="K131">
        <v>222</v>
      </c>
      <c r="L131" s="50" t="str">
        <f t="shared" si="54"/>
        <v>SS Retail - Mall Concourse  _2025AUNCC</v>
      </c>
      <c r="M131" s="50" t="str">
        <f t="shared" si="42"/>
        <v>SS Retail - Mall Concourse  _2025AUNCCScheduleSet</v>
      </c>
      <c r="N131" s="68">
        <v>25</v>
      </c>
      <c r="O131">
        <v>40</v>
      </c>
      <c r="P131" s="38">
        <v>0.43055660200000001</v>
      </c>
      <c r="Q131">
        <v>255.91</v>
      </c>
      <c r="R131" s="6">
        <v>75</v>
      </c>
      <c r="S131">
        <v>187.67</v>
      </c>
      <c r="T131" s="6">
        <v>55</v>
      </c>
      <c r="U131" s="6"/>
      <c r="V131" s="6"/>
      <c r="W131" s="6">
        <v>130</v>
      </c>
      <c r="X131" s="2">
        <v>0.57692307700000001</v>
      </c>
      <c r="Y131" t="s">
        <v>2524</v>
      </c>
      <c r="Z131" t="s">
        <v>2525</v>
      </c>
      <c r="AB131" s="4"/>
      <c r="AC131" s="50" t="str">
        <f t="shared" ref="AC131:AC138" si="70">CONCATENATE(Y131,Z131,AA131,AB131,"PeopleDef")</f>
        <v>NCC S35C2nOther applications (non-dining)PeopleDef</v>
      </c>
      <c r="AD131" t="s">
        <v>353</v>
      </c>
      <c r="AE131" s="50" t="str">
        <f t="shared" ref="AE131:AE138" si="71">CONCATENATE(A131,"Activity")</f>
        <v>SS Retail - Mall Concourse  Activity</v>
      </c>
      <c r="AF131" s="62">
        <v>7.5</v>
      </c>
      <c r="AG131" s="62">
        <f t="shared" si="60"/>
        <v>3.5394053798961773E-3</v>
      </c>
      <c r="AH131" s="62">
        <v>0.06</v>
      </c>
      <c r="AI131" s="62">
        <f t="shared" si="67"/>
        <v>3.0479999999999998E-4</v>
      </c>
      <c r="AJ131" s="63" t="s">
        <v>2165</v>
      </c>
      <c r="AK131" s="4" t="s">
        <v>2165</v>
      </c>
      <c r="AL131" s="4" t="s">
        <v>2165</v>
      </c>
      <c r="AM131" t="s">
        <v>37</v>
      </c>
      <c r="AN131" t="s">
        <v>82</v>
      </c>
      <c r="AO131" s="4" t="s">
        <v>2165</v>
      </c>
      <c r="AP131" s="4" t="s">
        <v>2165</v>
      </c>
      <c r="AQ131" s="72" t="str">
        <f t="shared" si="68"/>
        <v>Washington State Mechanical Code TABLE 403.3.1.1Retail stores, sales floors, and showroom floors - Mall common areasVent</v>
      </c>
      <c r="AR131" s="2">
        <v>0.46451500000000001</v>
      </c>
      <c r="AS131" s="2">
        <v>5</v>
      </c>
      <c r="AT131" s="2">
        <v>0</v>
      </c>
      <c r="AU131" s="2">
        <v>0.5</v>
      </c>
      <c r="AV131" s="2">
        <v>0</v>
      </c>
      <c r="AW131" t="s">
        <v>2528</v>
      </c>
      <c r="AX131" s="4"/>
      <c r="AY131" t="s">
        <v>2541</v>
      </c>
      <c r="AZ131" s="72" t="str">
        <f t="shared" si="66"/>
        <v>NCC S35C2lClass 6 shop/shopping centre; radiant/latent/lost fraction split retained from original WA/COMNET-REV9 source (AIRAH Technical Handbook does not publish this split)SS Retail - Mall Concourse  ElectricalEquipDef</v>
      </c>
      <c r="BA131" s="8" t="s">
        <v>336</v>
      </c>
      <c r="BB131" s="50">
        <v>0.46451500000000001</v>
      </c>
      <c r="BC131" s="2">
        <v>5</v>
      </c>
      <c r="BD131" s="2">
        <v>0.37</v>
      </c>
      <c r="BE131" s="2">
        <v>0.2</v>
      </c>
      <c r="BF131" t="s">
        <v>2569</v>
      </c>
      <c r="BG131" s="4"/>
      <c r="BH131" t="s">
        <v>2649</v>
      </c>
      <c r="BI131" s="72" t="str">
        <f t="shared" si="57"/>
        <v>NCC J7D3aCorridors (circulation concourse, not merchandising floor); radiant/visible fraction split retained from original WA/COMNET-REV9 source (AIRAH Technical Handbook does not publish this split)LightingDef</v>
      </c>
      <c r="BJ131" t="s">
        <v>365</v>
      </c>
      <c r="BK131" s="4" t="s">
        <v>2165</v>
      </c>
      <c r="BL131" s="4" t="s">
        <v>2165</v>
      </c>
      <c r="BM131" s="4" t="s">
        <v>2165</v>
      </c>
      <c r="BN131" s="4" t="s">
        <v>2165</v>
      </c>
      <c r="BO131" s="4" t="s">
        <v>2165</v>
      </c>
      <c r="BP131" s="4" t="s">
        <v>2165</v>
      </c>
      <c r="BQ131" s="4" t="s">
        <v>2165</v>
      </c>
      <c r="BR131" s="4" t="s">
        <v>2165</v>
      </c>
      <c r="BS131" s="4" t="s">
        <v>2165</v>
      </c>
      <c r="BT131" s="73" t="s">
        <v>2165</v>
      </c>
      <c r="BU131" s="4" t="s">
        <v>2165</v>
      </c>
      <c r="BW131">
        <v>0.7</v>
      </c>
      <c r="BY131" t="s">
        <v>2660</v>
      </c>
      <c r="BZ131" t="s">
        <v>2661</v>
      </c>
      <c r="CB131" s="50" t="str">
        <f t="shared" si="58"/>
        <v>Space Function_Retail - mall concourse</v>
      </c>
      <c r="CC131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Function_Retail - mall concourseInfil</v>
      </c>
      <c r="CD131" t="s">
        <v>266</v>
      </c>
      <c r="CE131" t="s">
        <v>250</v>
      </c>
      <c r="CF131" t="s">
        <v>315</v>
      </c>
      <c r="CG131" s="4"/>
      <c r="CH131">
        <v>0.4</v>
      </c>
      <c r="CI131" s="4"/>
      <c r="CJ131" t="s">
        <v>2205</v>
      </c>
      <c r="CK131">
        <v>1.9199999999999998E-2</v>
      </c>
      <c r="CL131">
        <v>5.444</v>
      </c>
      <c r="CM131">
        <v>1338</v>
      </c>
      <c r="CN131">
        <v>1154</v>
      </c>
      <c r="CO131">
        <v>0.9</v>
      </c>
      <c r="CP131">
        <v>0.7</v>
      </c>
      <c r="CQ131">
        <v>0.7</v>
      </c>
      <c r="CR131" t="s">
        <v>2301</v>
      </c>
      <c r="CS131" t="s">
        <v>2206</v>
      </c>
      <c r="CT131" t="s">
        <v>2402</v>
      </c>
      <c r="CU131" s="4" t="s">
        <v>2165</v>
      </c>
      <c r="CV131" t="str">
        <f t="shared" si="62"/>
        <v>Mixed_Retail_MallConcourse_19mm</v>
      </c>
      <c r="CW131" s="72" t="str">
        <f t="shared" si="63"/>
        <v>CalculatedEstimateKiosksBenchesAndConcretePlantersMixed_Retail_MallConcourse_19mmInternalMassDef</v>
      </c>
    </row>
    <row r="132" spans="1:101" x14ac:dyDescent="0.35">
      <c r="A132" t="s">
        <v>203</v>
      </c>
      <c r="B132" s="50" t="str">
        <f t="shared" si="41"/>
        <v>2025_AU_NCC</v>
      </c>
      <c r="C132" s="50" t="s">
        <v>2445</v>
      </c>
      <c r="D132" s="50" t="s">
        <v>2510</v>
      </c>
      <c r="E132" t="s">
        <v>2080</v>
      </c>
      <c r="F132" s="62">
        <v>2025</v>
      </c>
      <c r="G132" s="62" t="s">
        <v>2522</v>
      </c>
      <c r="H132" t="s">
        <v>2523</v>
      </c>
      <c r="I132">
        <v>127</v>
      </c>
      <c r="J132">
        <v>255</v>
      </c>
      <c r="K132">
        <v>212</v>
      </c>
      <c r="L132" s="50" t="str">
        <f t="shared" si="54"/>
        <v>SS Sports Arena Playing Area - Class I _2025AUNCC</v>
      </c>
      <c r="M132" s="50" t="str">
        <f t="shared" si="42"/>
        <v>SS Sports Arena Playing Area - Class I _2025AUNCCScheduleSet</v>
      </c>
      <c r="N132" s="68">
        <v>6.6666666670000003</v>
      </c>
      <c r="O132">
        <v>150</v>
      </c>
      <c r="P132" s="38">
        <v>1.614587258</v>
      </c>
      <c r="Q132">
        <v>255.91</v>
      </c>
      <c r="R132" s="6">
        <v>75</v>
      </c>
      <c r="S132">
        <v>187.67</v>
      </c>
      <c r="T132" s="6">
        <v>55</v>
      </c>
      <c r="U132" s="6"/>
      <c r="V132" s="6"/>
      <c r="W132" s="6">
        <v>130</v>
      </c>
      <c r="X132" s="2">
        <v>0.57692307700000001</v>
      </c>
      <c r="Y132" t="s">
        <v>2524</v>
      </c>
      <c r="Z132" t="s">
        <v>2525</v>
      </c>
      <c r="AB132" s="4"/>
      <c r="AC132" s="50" t="str">
        <f t="shared" si="70"/>
        <v>NCC S35C2nOther applications (non-dining)PeopleDef</v>
      </c>
      <c r="AD132" t="s">
        <v>355</v>
      </c>
      <c r="AE132" s="50" t="str">
        <f t="shared" si="71"/>
        <v>SS Sports Arena Playing Area - Class I Activity</v>
      </c>
      <c r="AF132" s="62">
        <v>7.5</v>
      </c>
      <c r="AG132" s="62">
        <f t="shared" si="60"/>
        <v>3.5394053798961773E-3</v>
      </c>
      <c r="AH132" s="62">
        <v>0.06</v>
      </c>
      <c r="AI132" s="62">
        <f t="shared" si="67"/>
        <v>3.0479999999999998E-4</v>
      </c>
      <c r="AJ132" s="63" t="s">
        <v>2165</v>
      </c>
      <c r="AK132" s="4" t="s">
        <v>2165</v>
      </c>
      <c r="AL132" s="4" t="s">
        <v>2165</v>
      </c>
      <c r="AM132" t="s">
        <v>37</v>
      </c>
      <c r="AN132" t="s">
        <v>83</v>
      </c>
      <c r="AO132" s="4" t="s">
        <v>2165</v>
      </c>
      <c r="AP132" s="4" t="s">
        <v>2165</v>
      </c>
      <c r="AQ132" s="72" t="str">
        <f t="shared" si="68"/>
        <v>Washington State Mechanical Code TABLE 403.3.1.1Sports and amusement - Spectator areasVent</v>
      </c>
      <c r="AR132" s="2">
        <v>0</v>
      </c>
      <c r="AS132" s="2">
        <v>0</v>
      </c>
      <c r="AT132" s="2">
        <v>0</v>
      </c>
      <c r="AU132" s="2">
        <v>0.5</v>
      </c>
      <c r="AV132" s="2">
        <v>0</v>
      </c>
      <c r="AW132" t="s">
        <v>2528</v>
      </c>
      <c r="AX132" s="4"/>
      <c r="AY132" t="s">
        <v>2533</v>
      </c>
      <c r="AZ132" s="72" t="str">
        <f t="shared" si="66"/>
        <v>NCC S35C2lClass 9b (Other applications) - no equipment load per S35C2l; radiant/latent/lost fraction split retained from original WA/COMNET-REV9 source (AIRAH Technical Handbook does not publish this split)SS Sports Arena Playing Area - Class I ElectricalEquipDef</v>
      </c>
      <c r="BA132" s="8" t="s">
        <v>338</v>
      </c>
      <c r="BB132" s="50">
        <v>2.86</v>
      </c>
      <c r="BC132" s="2">
        <v>30.784780000000001</v>
      </c>
      <c r="BD132" s="2">
        <v>0.37</v>
      </c>
      <c r="BE132" s="2">
        <v>0.2</v>
      </c>
      <c r="BF132" t="s">
        <v>2599</v>
      </c>
      <c r="BG132" s="4"/>
      <c r="BH132" t="s">
        <v>2650</v>
      </c>
      <c r="BI132" s="72" t="str">
        <f t="shared" si="57"/>
        <v>IECC Table C405.3.2(2)Sports arena - playing area, Class I facility; radiant/visible fraction split retained from original WA/COMNET-REV9 sourceLightingDef</v>
      </c>
      <c r="BJ132" t="s">
        <v>367</v>
      </c>
      <c r="BK132" s="4" t="s">
        <v>2165</v>
      </c>
      <c r="BL132" s="4" t="s">
        <v>2165</v>
      </c>
      <c r="BM132" s="4" t="s">
        <v>2165</v>
      </c>
      <c r="BN132" s="4" t="s">
        <v>2165</v>
      </c>
      <c r="BO132" s="4" t="s">
        <v>2165</v>
      </c>
      <c r="BP132" s="4" t="s">
        <v>2165</v>
      </c>
      <c r="BQ132" s="4" t="s">
        <v>2165</v>
      </c>
      <c r="BR132" s="4" t="s">
        <v>2165</v>
      </c>
      <c r="BS132" s="4" t="s">
        <v>2165</v>
      </c>
      <c r="BT132" s="73" t="s">
        <v>2165</v>
      </c>
      <c r="BU132" s="4" t="s">
        <v>2165</v>
      </c>
      <c r="BW132">
        <v>0.7</v>
      </c>
      <c r="BY132" t="s">
        <v>2660</v>
      </c>
      <c r="BZ132" t="s">
        <v>2661</v>
      </c>
      <c r="CB132" s="50" t="str">
        <f t="shared" si="58"/>
        <v>Space Function_Sports arena - court c1</v>
      </c>
      <c r="CC132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Function_Sports arena - court c1Infil</v>
      </c>
      <c r="CD132" t="s">
        <v>266</v>
      </c>
      <c r="CE132" t="s">
        <v>250</v>
      </c>
      <c r="CF132" t="s">
        <v>2080</v>
      </c>
      <c r="CG132" s="4"/>
      <c r="CH132">
        <v>0.23</v>
      </c>
      <c r="CI132" s="4"/>
      <c r="CJ132" t="s">
        <v>2205</v>
      </c>
      <c r="CK132">
        <v>2.1600000000000001E-2</v>
      </c>
      <c r="CL132">
        <v>3.077</v>
      </c>
      <c r="CM132">
        <v>438</v>
      </c>
      <c r="CN132">
        <v>1165</v>
      </c>
      <c r="CO132">
        <v>0.9</v>
      </c>
      <c r="CP132">
        <v>0.7</v>
      </c>
      <c r="CQ132">
        <v>0.7</v>
      </c>
      <c r="CR132" t="s">
        <v>2302</v>
      </c>
      <c r="CS132" t="s">
        <v>2206</v>
      </c>
      <c r="CT132" t="s">
        <v>2403</v>
      </c>
      <c r="CU132" s="4" t="s">
        <v>2165</v>
      </c>
      <c r="CV132" t="str">
        <f t="shared" si="62"/>
        <v>Mixed_SportsArena_PlayingArea_22mm</v>
      </c>
      <c r="CW132" s="72" t="str">
        <f t="shared" si="63"/>
        <v>CalculatedEstimatePortableGoalsAndBenchesClassIMixed_SportsArena_PlayingArea_22mmInternalMassDef</v>
      </c>
    </row>
    <row r="133" spans="1:101" x14ac:dyDescent="0.35">
      <c r="A133" t="s">
        <v>204</v>
      </c>
      <c r="B133" s="50" t="str">
        <f t="shared" si="41"/>
        <v>2025_AU_NCC</v>
      </c>
      <c r="C133" s="50" t="s">
        <v>2445</v>
      </c>
      <c r="D133" s="50" t="s">
        <v>2511</v>
      </c>
      <c r="E133" t="s">
        <v>2081</v>
      </c>
      <c r="F133" s="62">
        <v>2025</v>
      </c>
      <c r="G133" s="62" t="s">
        <v>2522</v>
      </c>
      <c r="H133" t="s">
        <v>2523</v>
      </c>
      <c r="I133">
        <v>176</v>
      </c>
      <c r="J133">
        <v>224</v>
      </c>
      <c r="K133">
        <v>230</v>
      </c>
      <c r="L133" s="50" t="str">
        <f t="shared" ref="L133:L141" si="72">CONCATENATE(A133,"_",F133,G133,H133)</f>
        <v>SS Sports Arena Playing Area - Class II _2025AUNCC</v>
      </c>
      <c r="M133" s="50" t="str">
        <f t="shared" si="42"/>
        <v>SS Sports Arena Playing Area - Class II _2025AUNCCScheduleSet</v>
      </c>
      <c r="N133" s="68">
        <v>6.6666666670000003</v>
      </c>
      <c r="O133">
        <v>150</v>
      </c>
      <c r="P133" s="38">
        <v>1.614587258</v>
      </c>
      <c r="Q133">
        <v>255.91</v>
      </c>
      <c r="R133" s="6">
        <v>75</v>
      </c>
      <c r="S133">
        <v>187.67</v>
      </c>
      <c r="T133" s="6">
        <v>55</v>
      </c>
      <c r="U133" s="6"/>
      <c r="V133" s="6"/>
      <c r="W133" s="6">
        <v>130</v>
      </c>
      <c r="X133" s="2">
        <v>0.57692307700000001</v>
      </c>
      <c r="Y133" t="s">
        <v>2524</v>
      </c>
      <c r="Z133" t="s">
        <v>2525</v>
      </c>
      <c r="AB133" s="4"/>
      <c r="AC133" s="50" t="str">
        <f t="shared" si="70"/>
        <v>NCC S35C2nOther applications (non-dining)PeopleDef</v>
      </c>
      <c r="AD133" t="s">
        <v>355</v>
      </c>
      <c r="AE133" s="50" t="str">
        <f t="shared" si="71"/>
        <v>SS Sports Arena Playing Area - Class II Activity</v>
      </c>
      <c r="AF133" s="62">
        <v>7.5</v>
      </c>
      <c r="AG133" s="62">
        <f t="shared" si="60"/>
        <v>3.5394053798961773E-3</v>
      </c>
      <c r="AH133" s="62">
        <v>0.06</v>
      </c>
      <c r="AI133" s="62">
        <f t="shared" si="67"/>
        <v>3.0479999999999998E-4</v>
      </c>
      <c r="AJ133" s="63" t="s">
        <v>2165</v>
      </c>
      <c r="AK133" s="4" t="s">
        <v>2165</v>
      </c>
      <c r="AL133" s="4" t="s">
        <v>2165</v>
      </c>
      <c r="AM133" t="s">
        <v>37</v>
      </c>
      <c r="AN133" t="s">
        <v>83</v>
      </c>
      <c r="AO133" s="4" t="s">
        <v>2165</v>
      </c>
      <c r="AP133" s="4" t="s">
        <v>2165</v>
      </c>
      <c r="AQ133" s="72" t="str">
        <f t="shared" si="68"/>
        <v>Washington State Mechanical Code TABLE 403.3.1.1Sports and amusement - Spectator areasVent</v>
      </c>
      <c r="AR133" s="2">
        <v>0</v>
      </c>
      <c r="AS133" s="2">
        <v>0</v>
      </c>
      <c r="AT133" s="2">
        <v>0</v>
      </c>
      <c r="AU133" s="2">
        <v>0.5</v>
      </c>
      <c r="AV133" s="2">
        <v>0</v>
      </c>
      <c r="AW133" t="s">
        <v>2528</v>
      </c>
      <c r="AX133" s="4"/>
      <c r="AY133" t="s">
        <v>2533</v>
      </c>
      <c r="AZ133" s="72" t="str">
        <f t="shared" si="66"/>
        <v>NCC S35C2lClass 9b (Other applications) - no equipment load per S35C2l; radiant/latent/lost fraction split retained from original WA/COMNET-REV9 source (AIRAH Technical Handbook does not publish this split)SS Sports Arena Playing Area - Class II ElectricalEquipDef</v>
      </c>
      <c r="BA133" s="8" t="s">
        <v>338</v>
      </c>
      <c r="BB133" s="50">
        <v>1.98</v>
      </c>
      <c r="BC133" s="2">
        <v>21.312539999999998</v>
      </c>
      <c r="BD133" s="2">
        <v>0.37</v>
      </c>
      <c r="BE133" s="2">
        <v>0.2</v>
      </c>
      <c r="BF133" t="s">
        <v>2599</v>
      </c>
      <c r="BG133" s="4"/>
      <c r="BH133" t="s">
        <v>2651</v>
      </c>
      <c r="BI133" s="72" t="str">
        <f t="shared" ref="BI133:BI141" si="73">CONCATENATE(BF133,BG133,BH133,"LightingDef")</f>
        <v>IECC Table C405.3.2(2)Sports arena - playing area, Class II facility; radiant/visible fraction split retained from original WA/COMNET-REV9 sourceLightingDef</v>
      </c>
      <c r="BJ133" t="s">
        <v>367</v>
      </c>
      <c r="BK133" s="4" t="s">
        <v>2165</v>
      </c>
      <c r="BL133" s="4" t="s">
        <v>2165</v>
      </c>
      <c r="BM133" s="4" t="s">
        <v>2165</v>
      </c>
      <c r="BN133" s="4" t="s">
        <v>2165</v>
      </c>
      <c r="BO133" s="4" t="s">
        <v>2165</v>
      </c>
      <c r="BP133" s="4" t="s">
        <v>2165</v>
      </c>
      <c r="BQ133" s="4" t="s">
        <v>2165</v>
      </c>
      <c r="BR133" s="4" t="s">
        <v>2165</v>
      </c>
      <c r="BS133" s="4" t="s">
        <v>2165</v>
      </c>
      <c r="BT133" s="73" t="s">
        <v>2165</v>
      </c>
      <c r="BU133" s="4" t="s">
        <v>2165</v>
      </c>
      <c r="BW133">
        <v>0.7</v>
      </c>
      <c r="BY133" t="s">
        <v>2660</v>
      </c>
      <c r="BZ133" t="s">
        <v>2661</v>
      </c>
      <c r="CB133" s="50" t="str">
        <f t="shared" ref="CB133:CB141" si="74">CONCATENATE(CE133,"_",CF133)</f>
        <v>Space Function_Sports arena - court c2</v>
      </c>
      <c r="CC133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Function_Sports arena - court c2Infil</v>
      </c>
      <c r="CD133" t="s">
        <v>266</v>
      </c>
      <c r="CE133" t="s">
        <v>250</v>
      </c>
      <c r="CF133" t="s">
        <v>2081</v>
      </c>
      <c r="CG133" s="4"/>
      <c r="CH133">
        <v>0.23</v>
      </c>
      <c r="CI133" s="4"/>
      <c r="CJ133" t="s">
        <v>2205</v>
      </c>
      <c r="CK133">
        <v>2.1600000000000001E-2</v>
      </c>
      <c r="CL133">
        <v>3.077</v>
      </c>
      <c r="CM133">
        <v>438</v>
      </c>
      <c r="CN133">
        <v>1165</v>
      </c>
      <c r="CO133">
        <v>0.9</v>
      </c>
      <c r="CP133">
        <v>0.7</v>
      </c>
      <c r="CQ133">
        <v>0.7</v>
      </c>
      <c r="CR133" t="s">
        <v>2302</v>
      </c>
      <c r="CS133" t="s">
        <v>2206</v>
      </c>
      <c r="CT133" t="s">
        <v>2404</v>
      </c>
      <c r="CU133" s="4" t="s">
        <v>2165</v>
      </c>
      <c r="CV133" t="str">
        <f t="shared" si="62"/>
        <v>Mixed_SportsArena_PlayingArea_22mm</v>
      </c>
      <c r="CW133" s="72" t="str">
        <f t="shared" si="63"/>
        <v>CalculatedEstimatePortableGoalsAndBenchesClassIIMixed_SportsArena_PlayingArea_22mmInternalMassDef</v>
      </c>
    </row>
    <row r="134" spans="1:101" x14ac:dyDescent="0.35">
      <c r="A134" t="s">
        <v>205</v>
      </c>
      <c r="B134" s="50" t="str">
        <f t="shared" ref="B134:B141" si="75">CONCATENATE(F134,"_",G134,"_",H134)</f>
        <v>2025_AU_NCC</v>
      </c>
      <c r="C134" s="50" t="s">
        <v>2445</v>
      </c>
      <c r="D134" s="50" t="s">
        <v>2512</v>
      </c>
      <c r="E134" t="s">
        <v>2082</v>
      </c>
      <c r="F134" s="62">
        <v>2025</v>
      </c>
      <c r="G134" s="62" t="s">
        <v>2522</v>
      </c>
      <c r="H134" t="s">
        <v>2523</v>
      </c>
      <c r="I134">
        <v>70</v>
      </c>
      <c r="J134">
        <v>130</v>
      </c>
      <c r="K134">
        <v>180</v>
      </c>
      <c r="L134" s="50" t="str">
        <f t="shared" si="72"/>
        <v>SS Sports Arena Playing Area - Class III _2025AUNCC</v>
      </c>
      <c r="M134" s="50" t="str">
        <f t="shared" ref="M134:M141" si="76">CONCATENATE(L134,"ScheduleSet")</f>
        <v>SS Sports Arena Playing Area - Class III _2025AUNCCScheduleSet</v>
      </c>
      <c r="N134" s="68">
        <v>6.6666666670000003</v>
      </c>
      <c r="O134">
        <v>150</v>
      </c>
      <c r="P134" s="38">
        <v>1.614587258</v>
      </c>
      <c r="Q134">
        <v>255.91</v>
      </c>
      <c r="R134" s="6">
        <v>75</v>
      </c>
      <c r="S134">
        <v>187.67</v>
      </c>
      <c r="T134" s="6">
        <v>55</v>
      </c>
      <c r="U134" s="6"/>
      <c r="V134" s="6"/>
      <c r="W134" s="6">
        <v>130</v>
      </c>
      <c r="X134" s="2">
        <v>0.57692307700000001</v>
      </c>
      <c r="Y134" t="s">
        <v>2524</v>
      </c>
      <c r="Z134" t="s">
        <v>2525</v>
      </c>
      <c r="AB134" s="4"/>
      <c r="AC134" s="50" t="str">
        <f t="shared" si="70"/>
        <v>NCC S35C2nOther applications (non-dining)PeopleDef</v>
      </c>
      <c r="AD134" t="s">
        <v>355</v>
      </c>
      <c r="AE134" s="50" t="str">
        <f t="shared" si="71"/>
        <v>SS Sports Arena Playing Area - Class III Activity</v>
      </c>
      <c r="AF134" s="62">
        <v>7.5</v>
      </c>
      <c r="AG134" s="62">
        <f t="shared" si="60"/>
        <v>3.5394053798961773E-3</v>
      </c>
      <c r="AH134" s="62">
        <v>0.06</v>
      </c>
      <c r="AI134" s="62">
        <f t="shared" si="67"/>
        <v>3.0479999999999998E-4</v>
      </c>
      <c r="AJ134" s="63" t="s">
        <v>2165</v>
      </c>
      <c r="AK134" s="4" t="s">
        <v>2165</v>
      </c>
      <c r="AL134" s="4" t="s">
        <v>2165</v>
      </c>
      <c r="AM134" t="s">
        <v>37</v>
      </c>
      <c r="AN134" t="s">
        <v>83</v>
      </c>
      <c r="AO134" s="4" t="s">
        <v>2165</v>
      </c>
      <c r="AP134" s="4" t="s">
        <v>2165</v>
      </c>
      <c r="AQ134" s="72" t="str">
        <f t="shared" si="68"/>
        <v>Washington State Mechanical Code TABLE 403.3.1.1Sports and amusement - Spectator areasVent</v>
      </c>
      <c r="AR134" s="2">
        <v>0</v>
      </c>
      <c r="AS134" s="2">
        <v>0</v>
      </c>
      <c r="AT134" s="2">
        <v>0</v>
      </c>
      <c r="AU134" s="2">
        <v>0.5</v>
      </c>
      <c r="AV134" s="2">
        <v>0</v>
      </c>
      <c r="AW134" t="s">
        <v>2528</v>
      </c>
      <c r="AX134" s="4"/>
      <c r="AY134" t="s">
        <v>2533</v>
      </c>
      <c r="AZ134" s="72" t="str">
        <f t="shared" si="66"/>
        <v>NCC S35C2lClass 9b (Other applications) - no equipment load per S35C2l; radiant/latent/lost fraction split retained from original WA/COMNET-REV9 source (AIRAH Technical Handbook does not publish this split)SS Sports Arena Playing Area - Class III ElectricalEquipDef</v>
      </c>
      <c r="BA134" s="8" t="s">
        <v>338</v>
      </c>
      <c r="BB134" s="50">
        <v>1.29</v>
      </c>
      <c r="BC134" s="2">
        <v>13.885439999999999</v>
      </c>
      <c r="BD134" s="2">
        <v>0.37</v>
      </c>
      <c r="BE134" s="2">
        <v>0.2</v>
      </c>
      <c r="BF134" t="s">
        <v>2599</v>
      </c>
      <c r="BG134" s="4"/>
      <c r="BH134" t="s">
        <v>2652</v>
      </c>
      <c r="BI134" s="72" t="str">
        <f t="shared" si="73"/>
        <v>IECC Table C405.3.2(2)Sports arena - playing area, Class III facility; radiant/visible fraction split retained from original WA/COMNET-REV9 sourceLightingDef</v>
      </c>
      <c r="BJ134" t="s">
        <v>367</v>
      </c>
      <c r="BK134" s="4" t="s">
        <v>2165</v>
      </c>
      <c r="BL134" s="4" t="s">
        <v>2165</v>
      </c>
      <c r="BM134" s="4" t="s">
        <v>2165</v>
      </c>
      <c r="BN134" s="4" t="s">
        <v>2165</v>
      </c>
      <c r="BO134" s="4" t="s">
        <v>2165</v>
      </c>
      <c r="BP134" s="4" t="s">
        <v>2165</v>
      </c>
      <c r="BQ134" s="4" t="s">
        <v>2165</v>
      </c>
      <c r="BR134" s="4" t="s">
        <v>2165</v>
      </c>
      <c r="BS134" s="4" t="s">
        <v>2165</v>
      </c>
      <c r="BT134" s="73" t="s">
        <v>2165</v>
      </c>
      <c r="BU134" s="4" t="s">
        <v>2165</v>
      </c>
      <c r="BW134">
        <v>0.7</v>
      </c>
      <c r="BY134" t="s">
        <v>2660</v>
      </c>
      <c r="BZ134" t="s">
        <v>2661</v>
      </c>
      <c r="CB134" s="50" t="str">
        <f t="shared" si="74"/>
        <v>Space Function_Sports arena - court c3</v>
      </c>
      <c r="CC134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Function_Sports arena - court c3Infil</v>
      </c>
      <c r="CD134" t="s">
        <v>266</v>
      </c>
      <c r="CE134" t="s">
        <v>250</v>
      </c>
      <c r="CF134" t="s">
        <v>2082</v>
      </c>
      <c r="CG134" s="4"/>
      <c r="CH134">
        <v>0.23</v>
      </c>
      <c r="CI134" s="4"/>
      <c r="CJ134" t="s">
        <v>2205</v>
      </c>
      <c r="CK134">
        <v>2.1600000000000001E-2</v>
      </c>
      <c r="CL134">
        <v>3.077</v>
      </c>
      <c r="CM134">
        <v>438</v>
      </c>
      <c r="CN134">
        <v>1165</v>
      </c>
      <c r="CO134">
        <v>0.9</v>
      </c>
      <c r="CP134">
        <v>0.7</v>
      </c>
      <c r="CQ134">
        <v>0.7</v>
      </c>
      <c r="CR134" t="s">
        <v>2302</v>
      </c>
      <c r="CS134" t="s">
        <v>2206</v>
      </c>
      <c r="CT134" t="s">
        <v>2405</v>
      </c>
      <c r="CU134" s="4" t="s">
        <v>2165</v>
      </c>
      <c r="CV134" t="str">
        <f t="shared" si="62"/>
        <v>Mixed_SportsArena_PlayingArea_22mm</v>
      </c>
      <c r="CW134" s="72" t="str">
        <f t="shared" si="63"/>
        <v>CalculatedEstimatePortableGoalsAndBenchesClassIIIMixed_SportsArena_PlayingArea_22mmInternalMassDef</v>
      </c>
    </row>
    <row r="135" spans="1:101" x14ac:dyDescent="0.35">
      <c r="A135" t="s">
        <v>206</v>
      </c>
      <c r="B135" s="50" t="str">
        <f t="shared" si="75"/>
        <v>2025_AU_NCC</v>
      </c>
      <c r="C135" s="50" t="s">
        <v>2445</v>
      </c>
      <c r="D135" s="50" t="s">
        <v>2513</v>
      </c>
      <c r="E135" t="s">
        <v>2083</v>
      </c>
      <c r="F135" s="62">
        <v>2025</v>
      </c>
      <c r="G135" s="62" t="s">
        <v>2522</v>
      </c>
      <c r="H135" t="s">
        <v>2523</v>
      </c>
      <c r="I135">
        <v>0</v>
      </c>
      <c r="J135">
        <v>191</v>
      </c>
      <c r="K135">
        <v>255</v>
      </c>
      <c r="L135" s="50" t="str">
        <f t="shared" si="72"/>
        <v>SS Sports Arena Playing Area - Class IV_2025AUNCC</v>
      </c>
      <c r="M135" s="50" t="str">
        <f t="shared" si="76"/>
        <v>SS Sports Arena Playing Area - Class IV_2025AUNCCScheduleSet</v>
      </c>
      <c r="N135" s="68">
        <v>6.6666666670000003</v>
      </c>
      <c r="O135">
        <v>150</v>
      </c>
      <c r="P135" s="38">
        <v>1.614587258</v>
      </c>
      <c r="Q135">
        <v>255.91</v>
      </c>
      <c r="R135" s="6">
        <v>75</v>
      </c>
      <c r="S135">
        <v>187.67</v>
      </c>
      <c r="T135" s="6">
        <v>55</v>
      </c>
      <c r="U135" s="6"/>
      <c r="V135" s="6"/>
      <c r="W135" s="6">
        <v>130</v>
      </c>
      <c r="X135" s="2">
        <v>0.57692307700000001</v>
      </c>
      <c r="Y135" t="s">
        <v>2524</v>
      </c>
      <c r="Z135" t="s">
        <v>2525</v>
      </c>
      <c r="AB135" s="4"/>
      <c r="AC135" s="50" t="str">
        <f t="shared" si="70"/>
        <v>NCC S35C2nOther applications (non-dining)PeopleDef</v>
      </c>
      <c r="AD135" t="s">
        <v>355</v>
      </c>
      <c r="AE135" s="50" t="str">
        <f t="shared" si="71"/>
        <v>SS Sports Arena Playing Area - Class IVActivity</v>
      </c>
      <c r="AF135" s="62">
        <v>7.5</v>
      </c>
      <c r="AG135" s="62">
        <f t="shared" si="60"/>
        <v>3.5394053798961773E-3</v>
      </c>
      <c r="AH135" s="62">
        <v>0.06</v>
      </c>
      <c r="AI135" s="62">
        <f t="shared" si="67"/>
        <v>3.0479999999999998E-4</v>
      </c>
      <c r="AJ135" s="63" t="s">
        <v>2165</v>
      </c>
      <c r="AK135" s="4" t="s">
        <v>2165</v>
      </c>
      <c r="AL135" s="4" t="s">
        <v>2165</v>
      </c>
      <c r="AM135" t="s">
        <v>37</v>
      </c>
      <c r="AN135" t="s">
        <v>83</v>
      </c>
      <c r="AO135" s="4" t="s">
        <v>2165</v>
      </c>
      <c r="AP135" s="4" t="s">
        <v>2165</v>
      </c>
      <c r="AQ135" s="72" t="str">
        <f t="shared" si="68"/>
        <v>Washington State Mechanical Code TABLE 403.3.1.1Sports and amusement - Spectator areasVent</v>
      </c>
      <c r="AR135" s="2">
        <v>0</v>
      </c>
      <c r="AS135" s="2">
        <v>0</v>
      </c>
      <c r="AT135" s="2">
        <v>0</v>
      </c>
      <c r="AU135" s="2">
        <v>0.5</v>
      </c>
      <c r="AV135" s="2">
        <v>0</v>
      </c>
      <c r="AW135" t="s">
        <v>2528</v>
      </c>
      <c r="AX135" s="4"/>
      <c r="AY135" t="s">
        <v>2533</v>
      </c>
      <c r="AZ135" s="72" t="str">
        <f t="shared" si="66"/>
        <v>NCC S35C2lClass 9b (Other applications) - no equipment load per S35C2l; radiant/latent/lost fraction split retained from original WA/COMNET-REV9 source (AIRAH Technical Handbook does not publish this split)SS Sports Arena Playing Area - Class IVElectricalEquipDef</v>
      </c>
      <c r="BA135" s="8" t="s">
        <v>338</v>
      </c>
      <c r="BB135" s="50">
        <v>0.86</v>
      </c>
      <c r="BC135" s="2">
        <v>9.2569599999999994</v>
      </c>
      <c r="BD135" s="2">
        <v>0.37</v>
      </c>
      <c r="BE135" s="2">
        <v>0.2</v>
      </c>
      <c r="BF135" t="s">
        <v>2599</v>
      </c>
      <c r="BG135" s="4"/>
      <c r="BH135" t="s">
        <v>2653</v>
      </c>
      <c r="BI135" s="72" t="str">
        <f t="shared" si="73"/>
        <v>IECC Table C405.3.2(2)Sports arena - playing area, Class IV facility; radiant/visible fraction split retained from original WA/COMNET-REV9 sourceLightingDef</v>
      </c>
      <c r="BJ135" t="s">
        <v>367</v>
      </c>
      <c r="BK135" s="4" t="s">
        <v>2165</v>
      </c>
      <c r="BL135" s="4" t="s">
        <v>2165</v>
      </c>
      <c r="BM135" s="4" t="s">
        <v>2165</v>
      </c>
      <c r="BN135" s="4" t="s">
        <v>2165</v>
      </c>
      <c r="BO135" s="4" t="s">
        <v>2165</v>
      </c>
      <c r="BP135" s="4" t="s">
        <v>2165</v>
      </c>
      <c r="BQ135" s="4" t="s">
        <v>2165</v>
      </c>
      <c r="BR135" s="4" t="s">
        <v>2165</v>
      </c>
      <c r="BS135" s="4" t="s">
        <v>2165</v>
      </c>
      <c r="BT135" s="73" t="s">
        <v>2165</v>
      </c>
      <c r="BU135" s="4" t="s">
        <v>2165</v>
      </c>
      <c r="BW135">
        <v>0.7</v>
      </c>
      <c r="BY135" t="s">
        <v>2660</v>
      </c>
      <c r="BZ135" t="s">
        <v>2661</v>
      </c>
      <c r="CB135" s="50" t="str">
        <f t="shared" si="74"/>
        <v>Space Function_Sports arena - court c4</v>
      </c>
      <c r="CC135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Function_Sports arena - court c4Infil</v>
      </c>
      <c r="CD135" t="s">
        <v>266</v>
      </c>
      <c r="CE135" t="s">
        <v>250</v>
      </c>
      <c r="CF135" t="s">
        <v>2083</v>
      </c>
      <c r="CG135" s="4"/>
      <c r="CH135">
        <v>0.23</v>
      </c>
      <c r="CI135" s="4"/>
      <c r="CJ135" t="s">
        <v>2205</v>
      </c>
      <c r="CK135">
        <v>2.1600000000000001E-2</v>
      </c>
      <c r="CL135">
        <v>3.077</v>
      </c>
      <c r="CM135">
        <v>438</v>
      </c>
      <c r="CN135">
        <v>1165</v>
      </c>
      <c r="CO135">
        <v>0.9</v>
      </c>
      <c r="CP135">
        <v>0.7</v>
      </c>
      <c r="CQ135">
        <v>0.7</v>
      </c>
      <c r="CR135" t="s">
        <v>2302</v>
      </c>
      <c r="CS135" t="s">
        <v>2206</v>
      </c>
      <c r="CT135" t="s">
        <v>2406</v>
      </c>
      <c r="CU135" s="4" t="s">
        <v>2165</v>
      </c>
      <c r="CV135" t="str">
        <f t="shared" si="62"/>
        <v>Mixed_SportsArena_PlayingArea_22mm</v>
      </c>
      <c r="CW135" s="72" t="str">
        <f t="shared" si="63"/>
        <v>CalculatedEstimatePortableGoalsAndBenchesClassIVMixed_SportsArena_PlayingArea_22mmInternalMassDef</v>
      </c>
    </row>
    <row r="136" spans="1:101" x14ac:dyDescent="0.35">
      <c r="A136" t="s">
        <v>207</v>
      </c>
      <c r="B136" s="50" t="str">
        <f t="shared" si="75"/>
        <v>2025_AU_NCC</v>
      </c>
      <c r="C136" s="50" t="s">
        <v>2425</v>
      </c>
      <c r="D136" s="50" t="s">
        <v>2514</v>
      </c>
      <c r="E136" t="s">
        <v>316</v>
      </c>
      <c r="F136" s="62">
        <v>2025</v>
      </c>
      <c r="G136" s="62" t="s">
        <v>2522</v>
      </c>
      <c r="H136" t="s">
        <v>2523</v>
      </c>
      <c r="I136">
        <v>135</v>
      </c>
      <c r="J136">
        <v>206</v>
      </c>
      <c r="K136">
        <v>250</v>
      </c>
      <c r="L136" s="50" t="str">
        <f t="shared" si="72"/>
        <v>SS Transportation - Baggage/Carousel Area  _2025AUNCC</v>
      </c>
      <c r="M136" s="50" t="str">
        <f t="shared" si="76"/>
        <v>SS Transportation - Baggage/Carousel Area  _2025AUNCCScheduleSet</v>
      </c>
      <c r="N136" s="68">
        <v>10</v>
      </c>
      <c r="O136">
        <v>100</v>
      </c>
      <c r="P136" s="38">
        <v>1.0763915049999999</v>
      </c>
      <c r="Q136">
        <v>255.91</v>
      </c>
      <c r="R136" s="6">
        <v>75</v>
      </c>
      <c r="S136">
        <v>187.67</v>
      </c>
      <c r="T136" s="6">
        <v>55</v>
      </c>
      <c r="U136" s="6"/>
      <c r="V136" s="6"/>
      <c r="W136" s="6">
        <v>130</v>
      </c>
      <c r="X136" s="2">
        <v>0.57692307700000001</v>
      </c>
      <c r="Y136" t="s">
        <v>2524</v>
      </c>
      <c r="Z136" t="s">
        <v>2525</v>
      </c>
      <c r="AB136" s="4"/>
      <c r="AC136" s="50" t="str">
        <f t="shared" si="70"/>
        <v>NCC S35C2nOther applications (non-dining)PeopleDef</v>
      </c>
      <c r="AD136" t="s">
        <v>358</v>
      </c>
      <c r="AE136" s="50" t="str">
        <f t="shared" si="71"/>
        <v>SS Transportation - Baggage/Carousel Area  Activity</v>
      </c>
      <c r="AF136" s="62">
        <v>7.5</v>
      </c>
      <c r="AG136" s="62">
        <f t="shared" si="60"/>
        <v>3.5394053798961773E-3</v>
      </c>
      <c r="AH136" s="62">
        <v>0.06</v>
      </c>
      <c r="AI136" s="62">
        <f t="shared" si="67"/>
        <v>3.0479999999999998E-4</v>
      </c>
      <c r="AJ136" s="63" t="s">
        <v>2165</v>
      </c>
      <c r="AK136" s="4" t="s">
        <v>2165</v>
      </c>
      <c r="AL136" s="4" t="s">
        <v>2165</v>
      </c>
      <c r="AM136" t="s">
        <v>37</v>
      </c>
      <c r="AN136" t="s">
        <v>84</v>
      </c>
      <c r="AO136" s="4" t="s">
        <v>2165</v>
      </c>
      <c r="AP136" s="4" t="s">
        <v>2165</v>
      </c>
      <c r="AQ136" s="72" t="str">
        <f t="shared" si="68"/>
        <v>Washington State Mechanical Code TABLE 403.3.1.1Transportation - Transportation waitingVent</v>
      </c>
      <c r="AR136" s="2">
        <v>0</v>
      </c>
      <c r="AS136" s="2">
        <v>0</v>
      </c>
      <c r="AT136" s="2">
        <v>0</v>
      </c>
      <c r="AU136" s="2">
        <v>0.5</v>
      </c>
      <c r="AV136" s="2">
        <v>0</v>
      </c>
      <c r="AW136" t="s">
        <v>2528</v>
      </c>
      <c r="AX136" s="4"/>
      <c r="AY136" t="s">
        <v>2533</v>
      </c>
      <c r="AZ136" s="72" t="str">
        <f t="shared" si="66"/>
        <v>NCC S35C2lClass 9b (Other applications) - no equipment load per S35C2l; radiant/latent/lost fraction split retained from original WA/COMNET-REV9 source (AIRAH Technical Handbook does not publish this split)SS Transportation - Baggage/Carousel Area  ElectricalEquipDef</v>
      </c>
      <c r="BA136" s="8" t="s">
        <v>341</v>
      </c>
      <c r="BB136" s="50">
        <v>0.28000000000000003</v>
      </c>
      <c r="BC136" s="2">
        <v>3.01389</v>
      </c>
      <c r="BD136" s="2">
        <v>0.37</v>
      </c>
      <c r="BE136" s="2">
        <v>0.2</v>
      </c>
      <c r="BF136" t="s">
        <v>2599</v>
      </c>
      <c r="BG136" s="4"/>
      <c r="BH136" t="s">
        <v>2654</v>
      </c>
      <c r="BI136" s="72" t="str">
        <f t="shared" si="73"/>
        <v>IECC Table C405.3.2(2)Transportation facility - in a baggage/carousel area; radiant/visible fraction split retained from original WA/COMNET-REV9 sourceLightingDef</v>
      </c>
      <c r="BJ136" t="s">
        <v>370</v>
      </c>
      <c r="BK136" s="4" t="s">
        <v>2165</v>
      </c>
      <c r="BL136" s="4" t="s">
        <v>2165</v>
      </c>
      <c r="BM136" s="4" t="s">
        <v>2165</v>
      </c>
      <c r="BN136" s="4" t="s">
        <v>2165</v>
      </c>
      <c r="BO136" s="4" t="s">
        <v>2165</v>
      </c>
      <c r="BP136" s="4" t="s">
        <v>2165</v>
      </c>
      <c r="BQ136" s="4" t="s">
        <v>2165</v>
      </c>
      <c r="BR136" s="4" t="s">
        <v>2165</v>
      </c>
      <c r="BS136" s="4" t="s">
        <v>2165</v>
      </c>
      <c r="BT136" s="73" t="s">
        <v>2165</v>
      </c>
      <c r="BU136" s="4" t="s">
        <v>2165</v>
      </c>
      <c r="BW136">
        <v>0.7</v>
      </c>
      <c r="BY136" t="s">
        <v>2660</v>
      </c>
      <c r="BZ136" t="s">
        <v>2661</v>
      </c>
      <c r="CB136" s="50" t="str">
        <f t="shared" si="74"/>
        <v>Space Function_Transp. baggage</v>
      </c>
      <c r="CC136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Function_Transp. baggageInfil</v>
      </c>
      <c r="CD136" t="s">
        <v>266</v>
      </c>
      <c r="CE136" t="s">
        <v>250</v>
      </c>
      <c r="CF136" t="s">
        <v>316</v>
      </c>
      <c r="CG136" s="4"/>
      <c r="CH136">
        <v>0.98</v>
      </c>
      <c r="CI136" s="4"/>
      <c r="CJ136" t="s">
        <v>2205</v>
      </c>
      <c r="CK136">
        <v>4.4999999999999997E-3</v>
      </c>
      <c r="CL136">
        <v>37.619999999999997</v>
      </c>
      <c r="CM136">
        <v>3363</v>
      </c>
      <c r="CN136">
        <v>670</v>
      </c>
      <c r="CO136">
        <v>0.9</v>
      </c>
      <c r="CP136">
        <v>0.7</v>
      </c>
      <c r="CQ136">
        <v>0.7</v>
      </c>
      <c r="CR136" t="s">
        <v>2303</v>
      </c>
      <c r="CS136" t="s">
        <v>2206</v>
      </c>
      <c r="CT136" t="s">
        <v>2407</v>
      </c>
      <c r="CU136" s="4" t="s">
        <v>2165</v>
      </c>
      <c r="CV136" t="str">
        <f t="shared" si="62"/>
        <v>Mixed_Transportation_BaggageCarousel_5mm</v>
      </c>
      <c r="CW136" s="72" t="str">
        <f t="shared" si="63"/>
        <v>CalculatedEstimateCarouselsAndBaggageCartsMixed_Transportation_BaggageCarousel_5mmInternalMassDef</v>
      </c>
    </row>
    <row r="137" spans="1:101" x14ac:dyDescent="0.35">
      <c r="A137" t="s">
        <v>208</v>
      </c>
      <c r="B137" s="50" t="str">
        <f t="shared" si="75"/>
        <v>2025_AU_NCC</v>
      </c>
      <c r="C137" s="50" t="s">
        <v>2425</v>
      </c>
      <c r="D137" s="50" t="s">
        <v>2515</v>
      </c>
      <c r="E137" t="s">
        <v>317</v>
      </c>
      <c r="F137" s="62">
        <v>2025</v>
      </c>
      <c r="G137" s="62" t="s">
        <v>2522</v>
      </c>
      <c r="H137" t="s">
        <v>2523</v>
      </c>
      <c r="I137">
        <v>138</v>
      </c>
      <c r="J137">
        <v>43</v>
      </c>
      <c r="K137">
        <v>226</v>
      </c>
      <c r="L137" s="50" t="str">
        <f t="shared" si="72"/>
        <v>SS Transportation - Concourse_2025AUNCC</v>
      </c>
      <c r="M137" s="50" t="str">
        <f t="shared" si="76"/>
        <v>SS Transportation - Concourse_2025AUNCCScheduleSet</v>
      </c>
      <c r="N137" s="68">
        <v>10</v>
      </c>
      <c r="O137">
        <v>100</v>
      </c>
      <c r="P137" s="38">
        <v>1.0763915049999999</v>
      </c>
      <c r="Q137">
        <v>255.91</v>
      </c>
      <c r="R137" s="6">
        <v>75</v>
      </c>
      <c r="S137">
        <v>187.67</v>
      </c>
      <c r="T137" s="6">
        <v>55</v>
      </c>
      <c r="U137" s="6"/>
      <c r="V137" s="6"/>
      <c r="W137" s="6">
        <v>130</v>
      </c>
      <c r="X137" s="2">
        <v>0.57692307700000001</v>
      </c>
      <c r="Y137" t="s">
        <v>2524</v>
      </c>
      <c r="Z137" t="s">
        <v>2525</v>
      </c>
      <c r="AB137" s="4"/>
      <c r="AC137" s="50" t="str">
        <f t="shared" si="70"/>
        <v>NCC S35C2nOther applications (non-dining)PeopleDef</v>
      </c>
      <c r="AD137" t="s">
        <v>358</v>
      </c>
      <c r="AE137" s="50" t="str">
        <f t="shared" si="71"/>
        <v>SS Transportation - ConcourseActivity</v>
      </c>
      <c r="AF137" s="62">
        <v>7.5</v>
      </c>
      <c r="AG137" s="62">
        <f t="shared" si="60"/>
        <v>3.5394053798961773E-3</v>
      </c>
      <c r="AH137" s="62">
        <v>0.06</v>
      </c>
      <c r="AI137" s="62">
        <f t="shared" si="67"/>
        <v>3.0479999999999998E-4</v>
      </c>
      <c r="AJ137" s="63" t="s">
        <v>2165</v>
      </c>
      <c r="AK137" s="4" t="s">
        <v>2165</v>
      </c>
      <c r="AL137" s="4" t="s">
        <v>2165</v>
      </c>
      <c r="AM137" t="s">
        <v>37</v>
      </c>
      <c r="AN137" t="s">
        <v>84</v>
      </c>
      <c r="AO137" s="4" t="s">
        <v>2165</v>
      </c>
      <c r="AP137" s="4" t="s">
        <v>2165</v>
      </c>
      <c r="AQ137" s="72" t="str">
        <f t="shared" si="68"/>
        <v>Washington State Mechanical Code TABLE 403.3.1.1Transportation - Transportation waitingVent</v>
      </c>
      <c r="AR137" s="2">
        <v>0</v>
      </c>
      <c r="AS137" s="2">
        <v>0</v>
      </c>
      <c r="AT137" s="2">
        <v>0</v>
      </c>
      <c r="AU137" s="2">
        <v>0.5</v>
      </c>
      <c r="AV137" s="2">
        <v>0</v>
      </c>
      <c r="AW137" t="s">
        <v>2528</v>
      </c>
      <c r="AX137" s="4"/>
      <c r="AY137" t="s">
        <v>2533</v>
      </c>
      <c r="AZ137" s="72" t="str">
        <f t="shared" si="66"/>
        <v>NCC S35C2lClass 9b (Other applications) - no equipment load per S35C2l; radiant/latent/lost fraction split retained from original WA/COMNET-REV9 source (AIRAH Technical Handbook does not publish this split)SS Transportation - ConcourseElectricalEquipDef</v>
      </c>
      <c r="BA137" s="8" t="s">
        <v>341</v>
      </c>
      <c r="BB137" s="50">
        <v>0.46451500000000001</v>
      </c>
      <c r="BC137" s="2">
        <v>5</v>
      </c>
      <c r="BD137" s="2">
        <v>0.37</v>
      </c>
      <c r="BE137" s="2">
        <v>0.2</v>
      </c>
      <c r="BF137" t="s">
        <v>2569</v>
      </c>
      <c r="BG137" s="4"/>
      <c r="BH137" t="s">
        <v>2655</v>
      </c>
      <c r="BI137" s="72" t="str">
        <f t="shared" si="73"/>
        <v>NCC J7D3aCorridors (concourse circulation); radiant/visible fraction split retained from original WA/COMNET-REV9 source (AIRAH Technical Handbook does not publish this split)LightingDef</v>
      </c>
      <c r="BJ137" t="s">
        <v>370</v>
      </c>
      <c r="BK137" s="4" t="s">
        <v>2165</v>
      </c>
      <c r="BL137" s="4" t="s">
        <v>2165</v>
      </c>
      <c r="BM137" s="4" t="s">
        <v>2165</v>
      </c>
      <c r="BN137" s="4" t="s">
        <v>2165</v>
      </c>
      <c r="BO137" s="4" t="s">
        <v>2165</v>
      </c>
      <c r="BP137" s="4" t="s">
        <v>2165</v>
      </c>
      <c r="BQ137" s="4" t="s">
        <v>2165</v>
      </c>
      <c r="BR137" s="4" t="s">
        <v>2165</v>
      </c>
      <c r="BS137" s="4" t="s">
        <v>2165</v>
      </c>
      <c r="BT137" s="73" t="s">
        <v>2165</v>
      </c>
      <c r="BU137" s="4" t="s">
        <v>2165</v>
      </c>
      <c r="BW137">
        <v>0.7</v>
      </c>
      <c r="BY137" t="s">
        <v>2660</v>
      </c>
      <c r="BZ137" t="s">
        <v>2661</v>
      </c>
      <c r="CB137" s="50" t="str">
        <f t="shared" si="74"/>
        <v>Space Function_Transp. concourse</v>
      </c>
      <c r="CC137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Function_Transp. concourseInfil</v>
      </c>
      <c r="CD137" t="s">
        <v>266</v>
      </c>
      <c r="CE137" t="s">
        <v>250</v>
      </c>
      <c r="CF137" t="s">
        <v>317</v>
      </c>
      <c r="CG137" s="4"/>
      <c r="CH137">
        <v>0.37</v>
      </c>
      <c r="CI137" s="4"/>
      <c r="CJ137" t="s">
        <v>2205</v>
      </c>
      <c r="CK137">
        <v>5.0000000000000001E-3</v>
      </c>
      <c r="CL137">
        <v>35.72</v>
      </c>
      <c r="CM137">
        <v>2081</v>
      </c>
      <c r="CN137">
        <v>857</v>
      </c>
      <c r="CO137">
        <v>0.9</v>
      </c>
      <c r="CP137">
        <v>0.7</v>
      </c>
      <c r="CQ137">
        <v>0.7</v>
      </c>
      <c r="CR137" t="s">
        <v>2304</v>
      </c>
      <c r="CS137" t="s">
        <v>2206</v>
      </c>
      <c r="CT137" t="s">
        <v>2408</v>
      </c>
      <c r="CU137" s="4" t="s">
        <v>2165</v>
      </c>
      <c r="CV137" t="str">
        <f t="shared" si="62"/>
        <v>Mixed_Transportation_Concourse_5mm</v>
      </c>
      <c r="CW137" s="72" t="str">
        <f t="shared" si="63"/>
        <v>CalculatedEstimateGateSeatingKiosksAndWalkwayMixed_Transportation_Concourse_5mmInternalMassDef</v>
      </c>
    </row>
    <row r="138" spans="1:101" x14ac:dyDescent="0.35">
      <c r="A138" t="s">
        <v>209</v>
      </c>
      <c r="B138" s="50" t="str">
        <f t="shared" si="75"/>
        <v>2025_AU_NCC</v>
      </c>
      <c r="C138" s="50" t="s">
        <v>2425</v>
      </c>
      <c r="D138" s="50" t="s">
        <v>2516</v>
      </c>
      <c r="E138" t="s">
        <v>318</v>
      </c>
      <c r="F138" s="62">
        <v>2025</v>
      </c>
      <c r="G138" s="62" t="s">
        <v>2522</v>
      </c>
      <c r="H138" t="s">
        <v>2523</v>
      </c>
      <c r="I138">
        <v>32</v>
      </c>
      <c r="J138">
        <v>178</v>
      </c>
      <c r="K138">
        <v>170</v>
      </c>
      <c r="L138" s="50" t="str">
        <f t="shared" si="72"/>
        <v>SS Transportation - Ticket Counter_2025AUNCC</v>
      </c>
      <c r="M138" s="50" t="str">
        <f t="shared" si="76"/>
        <v>SS Transportation - Ticket Counter_2025AUNCCScheduleSet</v>
      </c>
      <c r="N138" s="68">
        <v>16.666666670000001</v>
      </c>
      <c r="O138">
        <v>60</v>
      </c>
      <c r="P138" s="38">
        <v>0.64583490300000002</v>
      </c>
      <c r="Q138">
        <v>255.91</v>
      </c>
      <c r="R138" s="6">
        <v>75</v>
      </c>
      <c r="S138">
        <v>187.67</v>
      </c>
      <c r="T138" s="6">
        <v>55</v>
      </c>
      <c r="U138" s="6"/>
      <c r="V138" s="6"/>
      <c r="W138" s="6">
        <v>130</v>
      </c>
      <c r="X138" s="2">
        <v>0.57692307700000001</v>
      </c>
      <c r="Y138" t="s">
        <v>2524</v>
      </c>
      <c r="Z138" t="s">
        <v>2525</v>
      </c>
      <c r="AB138" s="4"/>
      <c r="AC138" s="50" t="str">
        <f t="shared" si="70"/>
        <v>NCC S35C2nOther applications (non-dining)PeopleDef</v>
      </c>
      <c r="AD138" t="s">
        <v>358</v>
      </c>
      <c r="AE138" s="50" t="str">
        <f t="shared" si="71"/>
        <v>SS Transportation - Ticket CounterActivity</v>
      </c>
      <c r="AF138" s="62">
        <v>5</v>
      </c>
      <c r="AG138" s="62">
        <f t="shared" si="60"/>
        <v>2.3596035865974517E-3</v>
      </c>
      <c r="AH138" s="62">
        <v>0.06</v>
      </c>
      <c r="AI138" s="62">
        <f t="shared" si="67"/>
        <v>3.0479999999999998E-4</v>
      </c>
      <c r="AJ138" s="63" t="s">
        <v>2165</v>
      </c>
      <c r="AK138" s="4" t="s">
        <v>2165</v>
      </c>
      <c r="AL138" s="4" t="s">
        <v>2165</v>
      </c>
      <c r="AM138" t="s">
        <v>37</v>
      </c>
      <c r="AN138" t="s">
        <v>85</v>
      </c>
      <c r="AO138" s="4" t="s">
        <v>2165</v>
      </c>
      <c r="AP138" s="4" t="s">
        <v>2165</v>
      </c>
      <c r="AQ138" s="72" t="str">
        <f t="shared" si="68"/>
        <v>Washington State Mechanical Code TABLE 403.3.1.1Theaters - Ticket boothsVent</v>
      </c>
      <c r="AR138" s="2">
        <v>0</v>
      </c>
      <c r="AS138" s="2">
        <v>0</v>
      </c>
      <c r="AT138" s="2">
        <v>0</v>
      </c>
      <c r="AU138" s="2">
        <v>0.5</v>
      </c>
      <c r="AV138" s="2">
        <v>0</v>
      </c>
      <c r="AW138" t="s">
        <v>2528</v>
      </c>
      <c r="AX138" s="4"/>
      <c r="AY138" t="s">
        <v>2533</v>
      </c>
      <c r="AZ138" s="72" t="str">
        <f t="shared" si="66"/>
        <v>NCC S35C2lClass 9b (Other applications) - no equipment load per S35C2l; radiant/latent/lost fraction split retained from original WA/COMNET-REV9 source (AIRAH Technical Handbook does not publish this split)SS Transportation - Ticket CounterElectricalEquipDef</v>
      </c>
      <c r="BA138" s="8" t="s">
        <v>341</v>
      </c>
      <c r="BB138" s="50">
        <v>0.41806399999999999</v>
      </c>
      <c r="BC138" s="2">
        <v>4.5</v>
      </c>
      <c r="BD138" s="2">
        <v>0.37</v>
      </c>
      <c r="BE138" s="2">
        <v>0.2</v>
      </c>
      <c r="BF138" t="s">
        <v>2569</v>
      </c>
      <c r="BG138" s="4"/>
      <c r="BH138" t="s">
        <v>2656</v>
      </c>
      <c r="BI138" s="72" t="str">
        <f t="shared" si="73"/>
        <v>NCC J7D3aOffice - artificially lit to &gt;= 200 lux (counter fit); radiant/visible fraction split retained from original WA/COMNET-REV9 source (AIRAH Technical Handbook does not publish this split)LightingDef</v>
      </c>
      <c r="BJ138" t="s">
        <v>370</v>
      </c>
      <c r="BK138" s="4" t="s">
        <v>2165</v>
      </c>
      <c r="BL138" s="4" t="s">
        <v>2165</v>
      </c>
      <c r="BM138" s="4" t="s">
        <v>2165</v>
      </c>
      <c r="BN138" s="4" t="s">
        <v>2165</v>
      </c>
      <c r="BO138" s="4" t="s">
        <v>2165</v>
      </c>
      <c r="BP138" s="4" t="s">
        <v>2165</v>
      </c>
      <c r="BQ138" s="4" t="s">
        <v>2165</v>
      </c>
      <c r="BR138" s="4" t="s">
        <v>2165</v>
      </c>
      <c r="BS138" s="4" t="s">
        <v>2165</v>
      </c>
      <c r="BT138" s="73" t="s">
        <v>2165</v>
      </c>
      <c r="BU138" s="4" t="s">
        <v>2165</v>
      </c>
      <c r="BW138">
        <v>0.7</v>
      </c>
      <c r="BY138" t="s">
        <v>2660</v>
      </c>
      <c r="BZ138" t="s">
        <v>2661</v>
      </c>
      <c r="CB138" s="50" t="str">
        <f t="shared" si="74"/>
        <v>Space Function_Transp. counter</v>
      </c>
      <c r="CC138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Function_Transp. counterInfil</v>
      </c>
      <c r="CD138" t="s">
        <v>266</v>
      </c>
      <c r="CE138" t="s">
        <v>250</v>
      </c>
      <c r="CF138" t="s">
        <v>318</v>
      </c>
      <c r="CG138" s="4"/>
      <c r="CH138">
        <v>1.07</v>
      </c>
      <c r="CI138" s="4"/>
      <c r="CJ138" t="s">
        <v>2205</v>
      </c>
      <c r="CK138">
        <v>1.0500000000000001E-2</v>
      </c>
      <c r="CL138">
        <v>5.1719999999999997</v>
      </c>
      <c r="CM138">
        <v>1374</v>
      </c>
      <c r="CN138">
        <v>952</v>
      </c>
      <c r="CO138">
        <v>0.9</v>
      </c>
      <c r="CP138">
        <v>0.7</v>
      </c>
      <c r="CQ138">
        <v>0.7</v>
      </c>
      <c r="CR138" t="s">
        <v>2305</v>
      </c>
      <c r="CS138" t="s">
        <v>2206</v>
      </c>
      <c r="CT138" t="s">
        <v>2409</v>
      </c>
      <c r="CU138" s="4" t="s">
        <v>2165</v>
      </c>
      <c r="CV138" t="str">
        <f t="shared" si="62"/>
        <v>Mixed_Transportation_TicketCounter_11mm</v>
      </c>
      <c r="CW138" s="72" t="str">
        <f t="shared" si="63"/>
        <v>CalculatedEstimateGraniteCountersAndQueueStanchionsMixed_Transportation_TicketCounter_11mmInternalMassDef</v>
      </c>
    </row>
    <row r="139" spans="1:101" x14ac:dyDescent="0.35">
      <c r="A139" t="s">
        <v>210</v>
      </c>
      <c r="B139" s="50" t="str">
        <f t="shared" si="75"/>
        <v>2025_AU_NCC</v>
      </c>
      <c r="C139" s="50" t="s">
        <v>125</v>
      </c>
      <c r="D139" s="50" t="s">
        <v>2517</v>
      </c>
      <c r="E139" t="s">
        <v>319</v>
      </c>
      <c r="F139" s="62">
        <v>2025</v>
      </c>
      <c r="G139" s="62" t="s">
        <v>2522</v>
      </c>
      <c r="H139" t="s">
        <v>2523</v>
      </c>
      <c r="I139">
        <v>220</v>
      </c>
      <c r="J139">
        <v>20</v>
      </c>
      <c r="K139">
        <v>60</v>
      </c>
      <c r="L139" s="50" t="str">
        <f t="shared" si="72"/>
        <v>SS Warehouse - Medium/Bulky Items on Pallets_2025AUNCC</v>
      </c>
      <c r="M139" s="50" t="str">
        <f t="shared" si="76"/>
        <v>SS Warehouse - Medium/Bulky Items on Pallets_2025AUNCCScheduleSet</v>
      </c>
      <c r="N139" s="63"/>
      <c r="O139" s="4"/>
      <c r="P139" s="46"/>
      <c r="Q139" s="4">
        <v>255.91</v>
      </c>
      <c r="R139" s="46">
        <v>75</v>
      </c>
      <c r="S139" s="4">
        <v>187.67</v>
      </c>
      <c r="T139" s="46">
        <v>55</v>
      </c>
      <c r="U139" s="46"/>
      <c r="V139" s="46"/>
      <c r="W139" s="46">
        <v>130</v>
      </c>
      <c r="X139" s="48">
        <v>0.57692307700000001</v>
      </c>
      <c r="Y139" s="4" t="s">
        <v>2524</v>
      </c>
      <c r="Z139" s="4" t="s">
        <v>2525</v>
      </c>
      <c r="AA139" s="4"/>
      <c r="AB139" s="4"/>
      <c r="AC139" s="51" t="s">
        <v>2165</v>
      </c>
      <c r="AD139" s="4" t="s">
        <v>2165</v>
      </c>
      <c r="AE139" s="51" t="s">
        <v>2165</v>
      </c>
      <c r="AF139" s="62">
        <v>10</v>
      </c>
      <c r="AG139" s="62">
        <f t="shared" si="60"/>
        <v>4.7192071731949033E-3</v>
      </c>
      <c r="AH139" s="62">
        <v>0.06</v>
      </c>
      <c r="AI139" s="62">
        <f t="shared" si="67"/>
        <v>3.0479999999999998E-4</v>
      </c>
      <c r="AJ139" s="63" t="s">
        <v>2165</v>
      </c>
      <c r="AK139" s="4" t="s">
        <v>2165</v>
      </c>
      <c r="AL139" s="4" t="s">
        <v>2165</v>
      </c>
      <c r="AM139" t="s">
        <v>37</v>
      </c>
      <c r="AN139" t="s">
        <v>86</v>
      </c>
      <c r="AO139" s="4" t="s">
        <v>2165</v>
      </c>
      <c r="AP139" s="4" t="s">
        <v>2165</v>
      </c>
      <c r="AQ139" s="72" t="str">
        <f t="shared" si="68"/>
        <v>Washington State Mechanical Code TABLE 403.3.1.1Retail stores, sales floors, and showroom floors - Warehouses (see Storage)Vent</v>
      </c>
      <c r="AR139" s="2">
        <v>0</v>
      </c>
      <c r="AS139" s="2">
        <v>0</v>
      </c>
      <c r="AT139" s="2">
        <v>0</v>
      </c>
      <c r="AU139" s="2">
        <v>0.5</v>
      </c>
      <c r="AV139" s="2">
        <v>0</v>
      </c>
      <c r="AW139" t="s">
        <v>2528</v>
      </c>
      <c r="AX139" s="4"/>
      <c r="AY139" t="s">
        <v>2543</v>
      </c>
      <c r="AZ139" s="72" t="str">
        <f t="shared" si="66"/>
        <v>NCC S35C2lClass 7b (Other applications) - no equipment load per S35C2l; radiant/latent/lost fraction split retained from original WA/COMNET-REV9 source (AIRAH Technical Handbook does not publish this split)SS Warehouse - Medium/Bulky Items on PalletsElectricalEquipDef</v>
      </c>
      <c r="BA139" s="8" t="s">
        <v>337</v>
      </c>
      <c r="BB139" s="50">
        <v>0.371612</v>
      </c>
      <c r="BC139" s="2">
        <v>4</v>
      </c>
      <c r="BD139" s="2">
        <v>0.37</v>
      </c>
      <c r="BE139" s="2">
        <v>0.2</v>
      </c>
      <c r="BF139" t="s">
        <v>2569</v>
      </c>
      <c r="BG139" s="4"/>
      <c r="BH139" t="s">
        <v>2657</v>
      </c>
      <c r="BI139" s="72" t="str">
        <f t="shared" si="73"/>
        <v>NCC J7D3aWholesale storage area with a vertical illuminance target of 160 lx; radiant/visible fraction split retained from original WA/COMNET-REV9 source (AIRAH Technical Handbook does not publish this split)LightingDef</v>
      </c>
      <c r="BJ139" t="s">
        <v>366</v>
      </c>
      <c r="BK139" s="4" t="s">
        <v>2165</v>
      </c>
      <c r="BL139" s="4" t="s">
        <v>2165</v>
      </c>
      <c r="BM139" s="4" t="s">
        <v>2165</v>
      </c>
      <c r="BN139" s="4" t="s">
        <v>2165</v>
      </c>
      <c r="BO139" s="4" t="s">
        <v>2165</v>
      </c>
      <c r="BP139" s="4" t="s">
        <v>2165</v>
      </c>
      <c r="BQ139" s="4" t="s">
        <v>2165</v>
      </c>
      <c r="BR139" s="4" t="s">
        <v>2165</v>
      </c>
      <c r="BS139" s="4" t="s">
        <v>2165</v>
      </c>
      <c r="BT139" s="73" t="s">
        <v>2165</v>
      </c>
      <c r="BU139" s="4" t="s">
        <v>2165</v>
      </c>
      <c r="BW139">
        <v>0.7</v>
      </c>
      <c r="BY139" t="s">
        <v>2660</v>
      </c>
      <c r="BZ139" t="s">
        <v>2661</v>
      </c>
      <c r="CB139" s="50" t="str">
        <f t="shared" si="74"/>
        <v>Space Function_Warehouse - med/blk</v>
      </c>
      <c r="CC139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Function_Warehouse - med/blkInfil</v>
      </c>
      <c r="CD139" t="s">
        <v>266</v>
      </c>
      <c r="CE139" t="s">
        <v>250</v>
      </c>
      <c r="CF139" t="s">
        <v>319</v>
      </c>
      <c r="CG139" s="4"/>
      <c r="CH139">
        <v>1.1499999999999999</v>
      </c>
      <c r="CI139" s="4"/>
      <c r="CJ139" t="s">
        <v>2205</v>
      </c>
      <c r="CK139">
        <v>4.6399999999999997E-2</v>
      </c>
      <c r="CL139">
        <v>2.7890000000000001</v>
      </c>
      <c r="CM139">
        <v>1088</v>
      </c>
      <c r="CN139">
        <v>1158</v>
      </c>
      <c r="CO139">
        <v>0.9</v>
      </c>
      <c r="CP139">
        <v>0.7</v>
      </c>
      <c r="CQ139">
        <v>0.7</v>
      </c>
      <c r="CR139" t="s">
        <v>2306</v>
      </c>
      <c r="CS139" t="s">
        <v>2206</v>
      </c>
      <c r="CT139" t="s">
        <v>2410</v>
      </c>
      <c r="CU139" s="4" t="s">
        <v>2165</v>
      </c>
      <c r="CV139" t="str">
        <f t="shared" si="62"/>
        <v>Mixed_Warehouse_PalletItems_46mm</v>
      </c>
      <c r="CW139" s="72" t="str">
        <f t="shared" si="63"/>
        <v>CalculatedEstimatePalletRackingAndStoredGoodsMixed_Warehouse_PalletItems_46mmInternalMassDef</v>
      </c>
    </row>
    <row r="140" spans="1:101" x14ac:dyDescent="0.35">
      <c r="A140" t="s">
        <v>211</v>
      </c>
      <c r="B140" s="50" t="str">
        <f t="shared" si="75"/>
        <v>2025_AU_NCC</v>
      </c>
      <c r="C140" s="50" t="s">
        <v>125</v>
      </c>
      <c r="D140" s="50" t="s">
        <v>2518</v>
      </c>
      <c r="E140" t="s">
        <v>2084</v>
      </c>
      <c r="F140" s="62">
        <v>2025</v>
      </c>
      <c r="G140" s="62" t="s">
        <v>2522</v>
      </c>
      <c r="H140" t="s">
        <v>2523</v>
      </c>
      <c r="I140">
        <v>255</v>
      </c>
      <c r="J140">
        <v>160</v>
      </c>
      <c r="K140">
        <v>122</v>
      </c>
      <c r="L140" s="50" t="str">
        <f t="shared" si="72"/>
        <v>SS Warehouse - Smaller Hand Carried Items_2025AUNCC</v>
      </c>
      <c r="M140" s="50" t="str">
        <f t="shared" si="76"/>
        <v>SS Warehouse - Smaller Hand Carried Items_2025AUNCCScheduleSet</v>
      </c>
      <c r="N140" s="63"/>
      <c r="O140" s="4"/>
      <c r="P140" s="46"/>
      <c r="Q140" s="4">
        <v>255.91</v>
      </c>
      <c r="R140" s="46">
        <v>75</v>
      </c>
      <c r="S140" s="4">
        <v>187.67</v>
      </c>
      <c r="T140" s="46">
        <v>55</v>
      </c>
      <c r="U140" s="46"/>
      <c r="V140" s="46"/>
      <c r="W140" s="46">
        <v>130</v>
      </c>
      <c r="X140" s="48">
        <v>0.57692307700000001</v>
      </c>
      <c r="Y140" s="4" t="s">
        <v>2524</v>
      </c>
      <c r="Z140" s="4" t="s">
        <v>2525</v>
      </c>
      <c r="AA140" s="4"/>
      <c r="AB140" s="4"/>
      <c r="AC140" s="51" t="s">
        <v>2165</v>
      </c>
      <c r="AD140" s="4" t="s">
        <v>2165</v>
      </c>
      <c r="AE140" s="51" t="s">
        <v>2165</v>
      </c>
      <c r="AF140" s="62">
        <v>10</v>
      </c>
      <c r="AG140" s="62">
        <f t="shared" si="60"/>
        <v>4.7192071731949033E-3</v>
      </c>
      <c r="AH140" s="62">
        <v>0.06</v>
      </c>
      <c r="AI140" s="62">
        <f t="shared" si="67"/>
        <v>3.0479999999999998E-4</v>
      </c>
      <c r="AJ140" s="63" t="s">
        <v>2165</v>
      </c>
      <c r="AK140" s="4" t="s">
        <v>2165</v>
      </c>
      <c r="AL140" s="4" t="s">
        <v>2165</v>
      </c>
      <c r="AM140" t="s">
        <v>37</v>
      </c>
      <c r="AN140" t="s">
        <v>86</v>
      </c>
      <c r="AO140" s="4" t="s">
        <v>2165</v>
      </c>
      <c r="AP140" s="4" t="s">
        <v>2165</v>
      </c>
      <c r="AQ140" s="72" t="str">
        <f t="shared" si="68"/>
        <v>Washington State Mechanical Code TABLE 403.3.1.1Retail stores, sales floors, and showroom floors - Warehouses (see Storage)Vent</v>
      </c>
      <c r="AR140" s="2">
        <v>0</v>
      </c>
      <c r="AS140" s="2">
        <v>0</v>
      </c>
      <c r="AT140" s="2">
        <v>0</v>
      </c>
      <c r="AU140" s="2">
        <v>0.5</v>
      </c>
      <c r="AV140" s="2">
        <v>0</v>
      </c>
      <c r="AW140" t="s">
        <v>2528</v>
      </c>
      <c r="AX140" s="4"/>
      <c r="AY140" t="s">
        <v>2543</v>
      </c>
      <c r="AZ140" s="72" t="str">
        <f t="shared" si="66"/>
        <v>NCC S35C2lClass 7b (Other applications) - no equipment load per S35C2l; radiant/latent/lost fraction split retained from original WA/COMNET-REV9 source (AIRAH Technical Handbook does not publish this split)SS Warehouse - Smaller Hand Carried ItemsElectricalEquipDef</v>
      </c>
      <c r="BA140" s="8" t="s">
        <v>337</v>
      </c>
      <c r="BB140" s="50">
        <v>0.371612</v>
      </c>
      <c r="BC140" s="2">
        <v>4</v>
      </c>
      <c r="BD140" s="2">
        <v>0.37</v>
      </c>
      <c r="BE140" s="2">
        <v>0.2</v>
      </c>
      <c r="BF140" t="s">
        <v>2569</v>
      </c>
      <c r="BG140" s="4"/>
      <c r="BH140" t="s">
        <v>2657</v>
      </c>
      <c r="BI140" s="72" t="str">
        <f t="shared" si="73"/>
        <v>NCC J7D3aWholesale storage area with a vertical illuminance target of 160 lx; radiant/visible fraction split retained from original WA/COMNET-REV9 source (AIRAH Technical Handbook does not publish this split)LightingDef</v>
      </c>
      <c r="BJ140" t="s">
        <v>366</v>
      </c>
      <c r="BK140" s="4" t="s">
        <v>2165</v>
      </c>
      <c r="BL140" s="4" t="s">
        <v>2165</v>
      </c>
      <c r="BM140" s="4" t="s">
        <v>2165</v>
      </c>
      <c r="BN140" s="4" t="s">
        <v>2165</v>
      </c>
      <c r="BO140" s="4" t="s">
        <v>2165</v>
      </c>
      <c r="BP140" s="4" t="s">
        <v>2165</v>
      </c>
      <c r="BQ140" s="4" t="s">
        <v>2165</v>
      </c>
      <c r="BR140" s="4" t="s">
        <v>2165</v>
      </c>
      <c r="BS140" s="4" t="s">
        <v>2165</v>
      </c>
      <c r="BT140" s="73" t="s">
        <v>2165</v>
      </c>
      <c r="BU140" s="4" t="s">
        <v>2165</v>
      </c>
      <c r="BW140">
        <v>0.7</v>
      </c>
      <c r="BY140" t="s">
        <v>2660</v>
      </c>
      <c r="BZ140" t="s">
        <v>2661</v>
      </c>
      <c r="CB140" s="50" t="str">
        <f t="shared" si="74"/>
        <v>Space Function_Warehouse - fine</v>
      </c>
      <c r="CC140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Function_Warehouse - fineInfil</v>
      </c>
      <c r="CD140" t="s">
        <v>266</v>
      </c>
      <c r="CE140" t="s">
        <v>250</v>
      </c>
      <c r="CF140" t="s">
        <v>2084</v>
      </c>
      <c r="CG140" s="4"/>
      <c r="CH140">
        <v>1.92</v>
      </c>
      <c r="CI140" s="4"/>
      <c r="CJ140" t="s">
        <v>2205</v>
      </c>
      <c r="CK140">
        <v>1.01E-2</v>
      </c>
      <c r="CL140">
        <v>4.0730000000000004</v>
      </c>
      <c r="CM140">
        <v>1303</v>
      </c>
      <c r="CN140">
        <v>1027</v>
      </c>
      <c r="CO140">
        <v>0.9</v>
      </c>
      <c r="CP140">
        <v>0.7</v>
      </c>
      <c r="CQ140">
        <v>0.7</v>
      </c>
      <c r="CR140" t="s">
        <v>2307</v>
      </c>
      <c r="CS140" t="s">
        <v>2206</v>
      </c>
      <c r="CT140" t="s">
        <v>2411</v>
      </c>
      <c r="CU140" s="4" t="s">
        <v>2165</v>
      </c>
      <c r="CV140" t="str">
        <f t="shared" si="62"/>
        <v>Mixed_Warehouse_HandCarryItems_10mm</v>
      </c>
      <c r="CW140" s="72" t="str">
        <f t="shared" si="63"/>
        <v>CalculatedEstimateBoltlessShelvingAndBinStorageMixed_Warehouse_HandCarryItems_10mmInternalMassDef</v>
      </c>
    </row>
    <row r="141" spans="1:101" x14ac:dyDescent="0.35">
      <c r="A141" t="s">
        <v>239</v>
      </c>
      <c r="B141" s="50" t="str">
        <f t="shared" si="75"/>
        <v>2025_AU_NCC</v>
      </c>
      <c r="C141" s="50" t="s">
        <v>2437</v>
      </c>
      <c r="D141" s="50" t="s">
        <v>2519</v>
      </c>
      <c r="E141" t="s">
        <v>128</v>
      </c>
      <c r="F141" s="62">
        <v>2025</v>
      </c>
      <c r="G141" s="62" t="s">
        <v>2522</v>
      </c>
      <c r="H141" t="s">
        <v>2523</v>
      </c>
      <c r="I141">
        <v>255</v>
      </c>
      <c r="J141">
        <v>178</v>
      </c>
      <c r="K141">
        <v>102</v>
      </c>
      <c r="L141" s="50" t="str">
        <f t="shared" si="72"/>
        <v>CS Food Preparation - Electric Cooking_2025AUNCC</v>
      </c>
      <c r="M141" s="50" t="str">
        <f t="shared" si="76"/>
        <v>CS Food Preparation - Electric Cooking_2025AUNCCScheduleSet</v>
      </c>
      <c r="N141" s="68">
        <v>50</v>
      </c>
      <c r="O141">
        <v>20</v>
      </c>
      <c r="P141" s="38">
        <v>0.21527830100000001</v>
      </c>
      <c r="Q141">
        <v>255.91</v>
      </c>
      <c r="R141" s="6">
        <v>75</v>
      </c>
      <c r="S141">
        <v>187.67</v>
      </c>
      <c r="T141" s="6">
        <v>55</v>
      </c>
      <c r="U141" s="6"/>
      <c r="V141" s="6"/>
      <c r="W141" s="6">
        <v>130</v>
      </c>
      <c r="X141" s="2">
        <v>0.57692307700000001</v>
      </c>
      <c r="Y141" t="s">
        <v>2524</v>
      </c>
      <c r="Z141" t="s">
        <v>2525</v>
      </c>
      <c r="AB141" s="4"/>
      <c r="AC141" s="50" t="str">
        <f>CONCATENATE(Y141,Z141,AA141,AB141,"PeopleDef")</f>
        <v>NCC S35C2nOther applications (non-dining)PeopleDef</v>
      </c>
      <c r="AD141" t="s">
        <v>355</v>
      </c>
      <c r="AE141" s="50" t="str">
        <f>CONCATENATE(A141,"Activity")</f>
        <v>CS Food Preparation - Electric CookingActivity</v>
      </c>
      <c r="AF141" s="62">
        <v>7.5</v>
      </c>
      <c r="AG141" s="62">
        <f t="shared" si="60"/>
        <v>3.5394053798961773E-3</v>
      </c>
      <c r="AH141" s="62">
        <v>0.12</v>
      </c>
      <c r="AI141" s="62">
        <f t="shared" si="67"/>
        <v>6.0959999999999996E-4</v>
      </c>
      <c r="AJ141" s="62">
        <v>0.7</v>
      </c>
      <c r="AK141">
        <f t="shared" ref="AK141" si="77">AJ141*0.000471947</f>
        <v>3.3036289999999999E-4</v>
      </c>
      <c r="AL141" s="4" t="s">
        <v>2165</v>
      </c>
      <c r="AM141" t="s">
        <v>37</v>
      </c>
      <c r="AN141" t="s">
        <v>58</v>
      </c>
      <c r="AO141" s="4" t="s">
        <v>2165</v>
      </c>
      <c r="AP141" s="4" t="s">
        <v>2165</v>
      </c>
      <c r="AQ141" s="72" t="str">
        <f t="shared" si="68"/>
        <v>Washington State Mechanical Code TABLE 403.3.1.1Food and beverage service_Kitchens (cooking)Vent</v>
      </c>
      <c r="AR141" s="3">
        <v>10.278002430000001</v>
      </c>
      <c r="AS141" s="2">
        <v>110.6324182</v>
      </c>
      <c r="AT141" s="2">
        <v>0.25</v>
      </c>
      <c r="AU141" s="2">
        <v>0.3</v>
      </c>
      <c r="AV141" s="2">
        <v>0.2</v>
      </c>
      <c r="AW141" t="s">
        <v>104</v>
      </c>
      <c r="AX141" t="s">
        <v>133</v>
      </c>
      <c r="AY141" t="s">
        <v>334</v>
      </c>
      <c r="AZ141" s="72" t="str">
        <f t="shared" si="66"/>
        <v>COMNET-REV9California Commercial End-Use Survey (CEUS)DOEPrototypeCS Food Preparation - Electric CookingElectricalEquipDef</v>
      </c>
      <c r="BA141" s="8" t="s">
        <v>338</v>
      </c>
      <c r="BB141" s="50">
        <v>0.371612</v>
      </c>
      <c r="BC141" s="2">
        <v>4</v>
      </c>
      <c r="BD141" s="2">
        <v>0.37</v>
      </c>
      <c r="BE141" s="2">
        <v>0.2</v>
      </c>
      <c r="BF141" t="s">
        <v>2569</v>
      </c>
      <c r="BG141" s="4"/>
      <c r="BH141" t="s">
        <v>2619</v>
      </c>
      <c r="BI141" s="72" t="str">
        <f t="shared" si="73"/>
        <v>NCC J7D3aKitchen and food preparation area; radiant/visible fraction split retained from original WA/COMNET-REV9 source (AIRAH Technical Handbook does not publish this split)LightingDef</v>
      </c>
      <c r="BJ141" t="s">
        <v>367</v>
      </c>
      <c r="BK141" s="4" t="s">
        <v>2165</v>
      </c>
      <c r="BL141" s="4" t="s">
        <v>2165</v>
      </c>
      <c r="BM141" s="4" t="s">
        <v>2165</v>
      </c>
      <c r="BN141" s="4" t="s">
        <v>2165</v>
      </c>
      <c r="BO141" s="4" t="s">
        <v>2165</v>
      </c>
      <c r="BP141" s="4" t="s">
        <v>2165</v>
      </c>
      <c r="BQ141" s="4" t="s">
        <v>2165</v>
      </c>
      <c r="BR141" s="4" t="s">
        <v>2165</v>
      </c>
      <c r="BS141" s="4" t="s">
        <v>2165</v>
      </c>
      <c r="BT141" s="73" t="s">
        <v>2165</v>
      </c>
      <c r="BU141" s="4" t="s">
        <v>2165</v>
      </c>
      <c r="BW141">
        <v>0.7</v>
      </c>
      <c r="BY141" t="s">
        <v>2660</v>
      </c>
      <c r="BZ141" t="s">
        <v>2661</v>
      </c>
      <c r="CB141" s="50" t="str">
        <f t="shared" si="74"/>
        <v>Space Function_Food preparation</v>
      </c>
      <c r="CC141" s="72" t="str">
        <f t="shared" si="61"/>
        <v>NCC S34C2(6)0.7 ACH assumed as design infiltration for periods without mechanical outdoor air supply; NCC also specifies 0.35 ACH when mechanical OA is operating (to be applied via infiltration schedule once developed)Space Function_Food preparationInfil</v>
      </c>
      <c r="CD141" t="s">
        <v>266</v>
      </c>
      <c r="CE141" t="s">
        <v>250</v>
      </c>
      <c r="CF141" t="s">
        <v>128</v>
      </c>
      <c r="CG141" s="4"/>
      <c r="CH141">
        <v>1.6</v>
      </c>
      <c r="CI141" s="4"/>
      <c r="CJ141" t="s">
        <v>2205</v>
      </c>
      <c r="CK141">
        <v>6.3E-3</v>
      </c>
      <c r="CL141">
        <v>16.8</v>
      </c>
      <c r="CM141">
        <v>2640</v>
      </c>
      <c r="CN141">
        <v>512</v>
      </c>
      <c r="CO141">
        <v>0.9</v>
      </c>
      <c r="CP141">
        <v>0.7</v>
      </c>
      <c r="CQ141">
        <v>0.7</v>
      </c>
      <c r="CR141" t="s">
        <v>2308</v>
      </c>
      <c r="CS141" t="s">
        <v>2206</v>
      </c>
      <c r="CT141" t="s">
        <v>2412</v>
      </c>
      <c r="CU141" s="4" t="s">
        <v>2165</v>
      </c>
      <c r="CV141" t="str">
        <f t="shared" si="62"/>
        <v>Mixed_FoodPrep_ElectricCooking_6mm</v>
      </c>
      <c r="CW141" s="72" t="str">
        <f t="shared" si="63"/>
        <v>CalculatedEstimateCommercialKitchenEquipmentSameAsGasCookingMixed_FoodPrep_ElectricCooking_6mmInternalMassDef</v>
      </c>
    </row>
    <row r="142" spans="1:101" x14ac:dyDescent="0.35">
      <c r="AL142" s="4"/>
      <c r="AZ142" s="51" t="s">
        <v>2165</v>
      </c>
      <c r="BA142" s="4"/>
      <c r="BM142" s="4"/>
    </row>
    <row r="143" spans="1:101" x14ac:dyDescent="0.35">
      <c r="BM143" s="4"/>
    </row>
  </sheetData>
  <autoFilter ref="A4:CW142" xr:uid="{F501D4BF-3F73-4EA5-AF97-587922B50964}"/>
  <mergeCells count="7">
    <mergeCell ref="A1:M1"/>
    <mergeCell ref="BV1:CF1"/>
    <mergeCell ref="BK1:BU1"/>
    <mergeCell ref="N1:AE1"/>
    <mergeCell ref="AR1:BA1"/>
    <mergeCell ref="BB1:BJ1"/>
    <mergeCell ref="AF1:AQ1"/>
  </mergeCells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A96B-01CB-44D9-B36D-80832A11C213}">
  <dimension ref="A1:BB138"/>
  <sheetViews>
    <sheetView workbookViewId="0">
      <selection activeCell="A15" sqref="A15"/>
    </sheetView>
  </sheetViews>
  <sheetFormatPr defaultRowHeight="14.5" x14ac:dyDescent="0.35"/>
  <cols>
    <col min="1" max="38" width="36.6328125" customWidth="1"/>
    <col min="39" max="39" width="15.54296875" customWidth="1"/>
    <col min="40" max="40" width="64.1796875" customWidth="1"/>
    <col min="41" max="41" width="30" customWidth="1"/>
    <col min="42" max="44" width="5.7265625" customWidth="1"/>
    <col min="45" max="45" width="15.26953125" customWidth="1"/>
    <col min="46" max="52" width="6.54296875" customWidth="1"/>
    <col min="53" max="53" width="45.453125" customWidth="1"/>
    <col min="54" max="54" width="102.54296875" customWidth="1"/>
    <col min="55" max="57" width="8.6328125" customWidth="1"/>
  </cols>
  <sheetData>
    <row r="1" spans="1:54" x14ac:dyDescent="0.35">
      <c r="A1" t="str">
        <f>'Space Types'!A4</f>
        <v>d83d8e85-c973-43f1-8010-e8f36dc62725</v>
      </c>
      <c r="B1" t="str">
        <f>'Space Types'!B4</f>
        <v>464b7a91-abc0-48af-b607-07922fa703df</v>
      </c>
      <c r="C1" t="str">
        <f>'Space Types'!C4</f>
        <v>789d7a7f-91a3-4dde-9310-9a74c14d32e5</v>
      </c>
      <c r="D1" t="str">
        <f>'Space Types'!D4</f>
        <v>c3101f12-7b66-41ad-90b5-0c5afec65227</v>
      </c>
      <c r="E1" t="str">
        <f>'Space Types'!I4</f>
        <v>bb3bf4f1-c80b-43b9-93a6-263313c59141</v>
      </c>
      <c r="F1" t="str">
        <f>'Space Types'!J4</f>
        <v>f48c2a4a-3151-4163-b625-b93c6c227f62</v>
      </c>
      <c r="G1" t="str">
        <f>'Space Types'!K4</f>
        <v>35292a8f-2c31-428e-b12b-ecb42e41f30c</v>
      </c>
      <c r="H1" t="str">
        <f>'Space Types'!L4</f>
        <v>c318426a-e0cf-4c00-830e-9470f81507bb</v>
      </c>
      <c r="I1" t="str">
        <f>'Space Types'!M4</f>
        <v>36715673-fabf-4b26-bcb3-54efccbcf6ca</v>
      </c>
      <c r="J1" t="str">
        <f>'Space Types'!P4</f>
        <v>1f550d2e-d956-4855-8f6c-850193633ba2</v>
      </c>
      <c r="K1" t="str">
        <f>'Space Types'!U4</f>
        <v>f70f21e0-e825-4f34-a3a0-3417ba47b289</v>
      </c>
      <c r="L1" t="str">
        <f>'Space Types'!V4</f>
        <v>0a44a70a-025f-4b95-b067-1905cd773228</v>
      </c>
      <c r="M1" t="str">
        <f>'Space Types'!W4</f>
        <v>f3e926b6-9054-43e5-b214-72715fea5476</v>
      </c>
      <c r="N1" t="str">
        <f>'Space Types'!X4</f>
        <v>7e5f790a-2539-4f59-b04d-75858ff1caa0</v>
      </c>
      <c r="O1" t="str">
        <f>'Space Types'!AC4</f>
        <v>0e52365f-0968-4865-98c8-5a391db72fe1</v>
      </c>
      <c r="P1" t="str">
        <f>'Space Types'!AD4</f>
        <v>729982cd-0e35-4f56-90dd-aa3ce52c45a4</v>
      </c>
      <c r="Q1" t="str">
        <f>'Space Types'!AE4</f>
        <v>7c329b17-a9b9-429d-87d6-8d696bb1a0f1</v>
      </c>
      <c r="R1" t="str">
        <f>'Space Types'!AG4</f>
        <v>a791e0a0-108f-4ea5-ac55-ffbc9ef41f04</v>
      </c>
      <c r="S1" t="str">
        <f>'Space Types'!AI4</f>
        <v>03d16ff5-015b-4c1f-89e1-fb9e8f3c323e</v>
      </c>
      <c r="T1" t="str">
        <f>'Space Types'!AL4</f>
        <v>41dd9f25-8df0-46e6-9f29-cceef9210ae8</v>
      </c>
      <c r="U1" t="str">
        <f>'Space Types'!AQ4</f>
        <v>f8a27cd2-f746-4301-a112-59d13e40d78d</v>
      </c>
      <c r="V1" t="str">
        <f>'Space Types'!AS4</f>
        <v>dd740279-a043-472e-9440-1247838bdebd</v>
      </c>
      <c r="W1" t="str">
        <f>'Space Types'!AT4</f>
        <v>93c3190c-58c6-4fa6-b31d-e972f017b622</v>
      </c>
      <c r="X1" t="str">
        <f>'Space Types'!AU4</f>
        <v>e7668a0e-eeeb-49fe-b68d-e4673ff0492f</v>
      </c>
      <c r="Y1" t="str">
        <f>'Space Types'!AV4</f>
        <v>17a128c0-8bb3-42fe-8fa8-e9b6c9857c61</v>
      </c>
      <c r="Z1" t="str">
        <f>'Space Types'!AZ4</f>
        <v>88a913cc-2e7a-402c-8f68-e04d9aea2bfe</v>
      </c>
      <c r="AA1" t="str">
        <f>'Space Types'!BA4</f>
        <v>922e17af-4f99-4a08-92d5-c8797f685f91</v>
      </c>
      <c r="AB1" t="str">
        <f>'Space Types'!BC4</f>
        <v>da106b8e-74c8-48ae-9585-c42116b2ba37</v>
      </c>
      <c r="AC1" t="str">
        <f>'Space Types'!BD4</f>
        <v>37274c8e-ef2a-4273-be16-1568ef1010d8</v>
      </c>
      <c r="AD1" t="str">
        <f>'Space Types'!BE4</f>
        <v>2f6014cb-8ffd-48ef-8c06-e2f22e8f09fb</v>
      </c>
      <c r="AE1" t="str">
        <f>'Space Types'!BI4</f>
        <v>8cd22776-3059-4312-be9f-414a4cc9a5d4</v>
      </c>
      <c r="AF1" t="str">
        <f>'Space Types'!BJ4</f>
        <v>06a4bb43-86fe-4d0d-b323-df7f797ddedf</v>
      </c>
      <c r="AG1" t="str">
        <f>'Space Types'!BM4</f>
        <v>75657b05-6269-49ed-9dde-0685e47cd2e8</v>
      </c>
      <c r="AH1" t="str">
        <f>'Space Types'!BN4</f>
        <v>d7a052b3-0fd2-4248-aceb-14699019a4a4</v>
      </c>
      <c r="AI1" t="str">
        <f>'Space Types'!BO4</f>
        <v>fa38e540-d001-49d9-b3f1-d1a707fc1579</v>
      </c>
      <c r="AJ1" t="str">
        <f>'Space Types'!BP4</f>
        <v>297cff0e-3751-4d1e-8c51-b492f8bae160</v>
      </c>
      <c r="AK1" t="str">
        <f>'Space Types'!BT4</f>
        <v>4478951e-a465-46c5-913d-bcea7a66cb2a</v>
      </c>
      <c r="AL1" t="str">
        <f>'Space Types'!BU4</f>
        <v>be6b6705-67ab-46ec-a6e5-80adf6c48c0a</v>
      </c>
      <c r="AM1" t="str">
        <f>'Space Types'!BX4</f>
        <v>821df950-1005-42a1-bb71-94e21d06f843</v>
      </c>
      <c r="AN1" t="str">
        <f>'Space Types'!CC4</f>
        <v>f0b3db32-813a-495e-9ca0-dde8056737c8</v>
      </c>
      <c r="AO1" t="str">
        <f>'Space Types'!CD4</f>
        <v>94e29b50-ba90-424a-98b8-c2dc37ad1d28</v>
      </c>
      <c r="AP1" t="str">
        <f>'Space Types'!CG4</f>
        <v>620be5d0-583e-43e9-b3de-0b70c7cf5176</v>
      </c>
      <c r="AQ1" t="str">
        <f>'Space Types'!CH4</f>
        <v>953b161f-1acf-4fc3-a393-bdce6b3c5153</v>
      </c>
      <c r="AR1" t="str">
        <f>'Space Types'!CI4</f>
        <v>b80aad76-63a0-4cbf-802e-5e89b172c4f9</v>
      </c>
      <c r="AS1" t="str">
        <f>'Space Types'!CJ4</f>
        <v>1bd0cfbf-ead3-4e72-b15b-e4980f9b59db</v>
      </c>
      <c r="AT1" t="str">
        <f>'Space Types'!CK4</f>
        <v>dc1f4078-c6b5-4ccb-a537-4da64d413107</v>
      </c>
      <c r="AU1" t="str">
        <f>'Space Types'!CL4</f>
        <v>cff5961c-e380-4d30-9a4d-0bfdf353115f</v>
      </c>
      <c r="AV1" t="str">
        <f>'Space Types'!CM4</f>
        <v>5a6d7588-d7ab-4a8a-be29-d0e69477a2d9</v>
      </c>
      <c r="AW1" t="str">
        <f>'Space Types'!CN4</f>
        <v>51ff4529-089d-43c6-90c4-e6bdcb13b9fe</v>
      </c>
      <c r="AX1" t="str">
        <f>'Space Types'!CO4</f>
        <v>dc5451c6-9cf1-4680-bb77-8c264cd2f1ec</v>
      </c>
      <c r="AY1" t="str">
        <f>'Space Types'!CP4</f>
        <v>50e1157d-9579-4ef9-b50e-099cefad7e0f</v>
      </c>
      <c r="AZ1" t="str">
        <f>'Space Types'!CQ4</f>
        <v>2810bb86-71f1-4ece-94e6-b7427b2274ef</v>
      </c>
      <c r="BA1" t="str">
        <f>'Space Types'!CR4</f>
        <v>feb23d72-7ec3-4505-84ec-987e02009258</v>
      </c>
      <c r="BB1" t="str">
        <f>'Space Types'!CW4</f>
        <v>65c47774-d0bf-4ce9-ba77-1b1304459dc7</v>
      </c>
    </row>
    <row r="2" spans="1:54" x14ac:dyDescent="0.35">
      <c r="A2" t="str">
        <f>'Space Types'!A5</f>
        <v>BA Automotive Facility</v>
      </c>
      <c r="B2" t="str">
        <f>'Space Types'!B5</f>
        <v>2025_AU_NCC</v>
      </c>
      <c r="C2" t="str">
        <f>'Space Types'!C5</f>
        <v>Automotive Facility</v>
      </c>
      <c r="D2" t="str">
        <f>'Space Types'!D5</f>
        <v>Whole Building</v>
      </c>
      <c r="E2">
        <f>'Space Types'!I5</f>
        <v>255</v>
      </c>
      <c r="F2">
        <f>'Space Types'!J5</f>
        <v>255</v>
      </c>
      <c r="G2">
        <f>'Space Types'!K5</f>
        <v>255</v>
      </c>
      <c r="H2" t="str">
        <f>'Space Types'!L5</f>
        <v>BA Automotive Facility_2025AUNCC</v>
      </c>
      <c r="I2" t="str">
        <f>'Space Types'!M5</f>
        <v>BA Automotive Facility_2025AUNCCScheduleSet</v>
      </c>
      <c r="J2">
        <f>'Space Types'!P5</f>
        <v>7.5272133000000005E-2</v>
      </c>
      <c r="K2">
        <f>'Space Types'!U5</f>
        <v>0</v>
      </c>
      <c r="L2">
        <f>'Space Types'!V5</f>
        <v>0</v>
      </c>
      <c r="M2">
        <f>'Space Types'!W5</f>
        <v>130</v>
      </c>
      <c r="N2">
        <f>'Space Types'!X5</f>
        <v>0.57692307700000001</v>
      </c>
      <c r="O2" t="str">
        <f>'Space Types'!AC5</f>
        <v>NCC S35C2nOther applications (non-dining)BA Automotive FacilityPeopleDef</v>
      </c>
      <c r="P2" t="str">
        <f>'Space Types'!AD5</f>
        <v>NECB-E-Occupancy</v>
      </c>
      <c r="Q2" t="str">
        <f>'Space Types'!AE5</f>
        <v>BA Automotive FacilityActivity</v>
      </c>
      <c r="R2" t="str">
        <f>'Space Types'!AG5</f>
        <v/>
      </c>
      <c r="S2">
        <f>'Space Types'!AI5</f>
        <v>1.2700000000000001E-3</v>
      </c>
      <c r="T2" t="str">
        <f>'Space Types'!AL5</f>
        <v/>
      </c>
      <c r="U2" t="str">
        <f>'Space Types'!AQ5</f>
        <v>COMNET-REV9WholeBuildingBA Automotive FacilityVent</v>
      </c>
      <c r="V2">
        <f>'Space Types'!AS5</f>
        <v>0</v>
      </c>
      <c r="W2">
        <f>'Space Types'!AT5</f>
        <v>0</v>
      </c>
      <c r="X2">
        <f>'Space Types'!AU5</f>
        <v>0.5</v>
      </c>
      <c r="Y2">
        <f>'Space Types'!AV5</f>
        <v>0</v>
      </c>
      <c r="Z2" t="str">
        <f>'Space Types'!AZ5</f>
        <v>NCC S35C2lNREL 956/Eley AnalysisClass 8 (Automotive/other applications) - no equipment load per S35C2l; radiant/latent/lost fraction split retained from original WA/COMNET-REV9 source (AIRAH Technical Handbook does not publish this split)BA Automotive FacilityElectricalEquipDef</v>
      </c>
      <c r="AA2" t="str">
        <f>'Space Types'!BA5</f>
        <v>NECB-E-Electric-Equipment</v>
      </c>
      <c r="AB2">
        <f>'Space Types'!BC5</f>
        <v>7.8576499999999996</v>
      </c>
      <c r="AC2">
        <f>'Space Types'!BD5</f>
        <v>0.37</v>
      </c>
      <c r="AD2">
        <f>'Space Types'!BE5</f>
        <v>0.2</v>
      </c>
      <c r="AE2" t="str">
        <f>'Space Types'!BI5</f>
        <v>IECC Table C405.3.2(1)Automotive facility; radiant/visible fraction split retained from original WA/COMNET-REV9 sourceLightingDef</v>
      </c>
      <c r="AF2" t="str">
        <f>'Space Types'!BJ5</f>
        <v>NECB-E-Lighting</v>
      </c>
      <c r="AG2">
        <f>'Space Types'!BM5</f>
        <v>8.1098630140000001</v>
      </c>
      <c r="AH2">
        <f>'Space Types'!BN5</f>
        <v>0</v>
      </c>
      <c r="AI2">
        <f>'Space Types'!BO5</f>
        <v>0.75</v>
      </c>
      <c r="AJ2">
        <f>'Space Types'!BP5</f>
        <v>0.25</v>
      </c>
      <c r="AK2" t="str">
        <f>'Space Types'!BT5</f>
        <v>COMNET-REV9California Commercial End-Use Survey (CEUS)93%ThermEffRadiantBA Automotive FacilityGasEquipDef</v>
      </c>
      <c r="AL2" t="str">
        <f>'Space Types'!BU5</f>
        <v>NECB-E-Electric-Equipment</v>
      </c>
      <c r="AM2">
        <f>'Space Types'!BX5</f>
        <v>0</v>
      </c>
      <c r="AN2" t="str">
        <f>'Space Types'!CC5</f>
        <v>NCC S34C2(6)0.7 ACH assumed as design infiltration for periods without mechanical outdoor air supply; NCC also specifies 0.35 ACH when mechanical OA is operating (to be applied via infiltration schedule once developed)BA Automotive FacilityInfil</v>
      </c>
      <c r="AO2" t="str">
        <f>'Space Types'!CD5</f>
        <v>Always On</v>
      </c>
      <c r="AP2">
        <f>'Space Types'!CG5</f>
        <v>0</v>
      </c>
      <c r="AQ2">
        <f>'Space Types'!CH5</f>
        <v>2</v>
      </c>
      <c r="AR2">
        <f>'Space Types'!CI5</f>
        <v>0</v>
      </c>
      <c r="AS2" t="str">
        <f>'Space Types'!CJ5</f>
        <v>MediumSmooth</v>
      </c>
      <c r="AT2">
        <f>'Space Types'!CK5</f>
        <v>0.15</v>
      </c>
      <c r="AU2">
        <f>'Space Types'!CL5</f>
        <v>0.12</v>
      </c>
      <c r="AV2">
        <f>'Space Types'!CM5</f>
        <v>540</v>
      </c>
      <c r="AW2">
        <f>'Space Types'!CN5</f>
        <v>1210</v>
      </c>
      <c r="AX2">
        <f>'Space Types'!CO5</f>
        <v>0.9</v>
      </c>
      <c r="AY2">
        <f>'Space Types'!CP5</f>
        <v>0.7</v>
      </c>
      <c r="AZ2">
        <f>'Space Types'!CQ5</f>
        <v>0.7</v>
      </c>
      <c r="BA2" t="str">
        <f>'Space Types'!CR5</f>
        <v>Std Wood 6inch</v>
      </c>
      <c r="BB2" t="str">
        <f>'Space Types'!CW5</f>
        <v>OpenStudio-Prototype-BuildingsStd Wood 6inchInternalMassDef</v>
      </c>
    </row>
    <row r="3" spans="1:54" x14ac:dyDescent="0.35">
      <c r="A3" t="str">
        <f>'Space Types'!A6</f>
        <v>BA Convention Center</v>
      </c>
      <c r="B3" t="str">
        <f>'Space Types'!B6</f>
        <v>2025_AU_NCC</v>
      </c>
      <c r="C3" t="str">
        <f>'Space Types'!C6</f>
        <v>Convention Center</v>
      </c>
      <c r="D3" t="str">
        <f>'Space Types'!D6</f>
        <v>Whole Building</v>
      </c>
      <c r="E3">
        <f>'Space Types'!I6</f>
        <v>255</v>
      </c>
      <c r="F3">
        <f>'Space Types'!J6</f>
        <v>255</v>
      </c>
      <c r="G3">
        <f>'Space Types'!K6</f>
        <v>255</v>
      </c>
      <c r="H3" t="str">
        <f>'Space Types'!L6</f>
        <v>BA Convention Center_2025AUNCC</v>
      </c>
      <c r="I3" t="str">
        <f>'Space Types'!M6</f>
        <v>BA Convention Center_2025AUNCCScheduleSet</v>
      </c>
      <c r="J3">
        <f>'Space Types'!P6</f>
        <v>0.538195753</v>
      </c>
      <c r="K3">
        <f>'Space Types'!U6</f>
        <v>0</v>
      </c>
      <c r="L3">
        <f>'Space Types'!V6</f>
        <v>0</v>
      </c>
      <c r="M3">
        <f>'Space Types'!W6</f>
        <v>130</v>
      </c>
      <c r="N3">
        <f>'Space Types'!X6</f>
        <v>0.57692307700000001</v>
      </c>
      <c r="O3" t="str">
        <f>'Space Types'!AC6</f>
        <v>NCC S35C2nOther applications (non-dining)BA Convention CenterPeopleDef</v>
      </c>
      <c r="P3" t="str">
        <f>'Space Types'!AD6</f>
        <v>NECB-C-Occupancy</v>
      </c>
      <c r="Q3" t="str">
        <f>'Space Types'!AE6</f>
        <v>BA Convention CenterActivity</v>
      </c>
      <c r="R3" t="str">
        <f>'Space Types'!AG6</f>
        <v/>
      </c>
      <c r="S3">
        <f>'Space Types'!AI6</f>
        <v>1.5748000000000001E-3</v>
      </c>
      <c r="T3" t="str">
        <f>'Space Types'!AL6</f>
        <v/>
      </c>
      <c r="U3" t="str">
        <f>'Space Types'!AQ6</f>
        <v>COMNET-REV9WholeBuildingBA Convention CenterVent</v>
      </c>
      <c r="V3">
        <f>'Space Types'!AS6</f>
        <v>8.0472524320000005</v>
      </c>
      <c r="W3">
        <f>'Space Types'!AT6</f>
        <v>0</v>
      </c>
      <c r="X3">
        <f>'Space Types'!AU6</f>
        <v>0.5</v>
      </c>
      <c r="Y3">
        <f>'Space Types'!AV6</f>
        <v>0</v>
      </c>
      <c r="Z3" t="str">
        <f>'Space Types'!AZ6</f>
        <v>COMNET-REV9NREL 956/Eley AnalysisDOEPrototypeBA Convention CenterElectricalEquipDef</v>
      </c>
      <c r="AA3" t="str">
        <f>'Space Types'!BA6</f>
        <v>NECB-C-Electric-Equipment</v>
      </c>
      <c r="AB3">
        <f>'Space Types'!BC6</f>
        <v>8</v>
      </c>
      <c r="AC3">
        <f>'Space Types'!BD6</f>
        <v>0.37</v>
      </c>
      <c r="AD3">
        <f>'Space Types'!BE6</f>
        <v>0.2</v>
      </c>
      <c r="AE3" t="str">
        <f>'Space Types'!BI6</f>
        <v>NCC J7D3aAuditorium, church and public hall (nearest; Class 9b conference has a special 150W/room+10W/person provision, not populated pending room-count assumption); radiant/visible fraction split retained from original WA/COMNET-REV9 source (AIRAH Technical Handbook does not publish this split)LightingDef</v>
      </c>
      <c r="AF3" t="str">
        <f>'Space Types'!BJ6</f>
        <v>NECB-C-Lighting</v>
      </c>
      <c r="AG3">
        <f>'Space Types'!BM6</f>
        <v>0.245753425</v>
      </c>
      <c r="AH3">
        <f>'Space Types'!BN6</f>
        <v>0</v>
      </c>
      <c r="AI3">
        <f>'Space Types'!BO6</f>
        <v>0.75</v>
      </c>
      <c r="AJ3">
        <f>'Space Types'!BP6</f>
        <v>0.25</v>
      </c>
      <c r="AK3" t="str">
        <f>'Space Types'!BT6</f>
        <v>COMNET-REV9California Commercial End-Use Survey (CEUS)93%ThermEffRadiantBA Convention CenterGasEquipDef</v>
      </c>
      <c r="AL3" t="str">
        <f>'Space Types'!BU6</f>
        <v>NECB-C-Electric-Equipment</v>
      </c>
      <c r="AM3">
        <f>'Space Types'!BX6</f>
        <v>0</v>
      </c>
      <c r="AN3" t="str">
        <f>'Space Types'!CC6</f>
        <v>NCC S34C2(6)0.7 ACH assumed as design infiltration for periods without mechanical outdoor air supply; NCC also specifies 0.35 ACH when mechanical OA is operating (to be applied via infiltration schedule once developed)BA Convention CenterInfil</v>
      </c>
      <c r="AO3" t="str">
        <f>'Space Types'!CD6</f>
        <v>Always On</v>
      </c>
      <c r="AP3">
        <f>'Space Types'!CG6</f>
        <v>0</v>
      </c>
      <c r="AQ3">
        <f>'Space Types'!CH6</f>
        <v>2</v>
      </c>
      <c r="AR3">
        <f>'Space Types'!CI6</f>
        <v>0</v>
      </c>
      <c r="AS3" t="str">
        <f>'Space Types'!CJ6</f>
        <v>MediumSmooth</v>
      </c>
      <c r="AT3">
        <f>'Space Types'!CK6</f>
        <v>0.15</v>
      </c>
      <c r="AU3">
        <f>'Space Types'!CL6</f>
        <v>0.12</v>
      </c>
      <c r="AV3">
        <f>'Space Types'!CM6</f>
        <v>540</v>
      </c>
      <c r="AW3">
        <f>'Space Types'!CN6</f>
        <v>1210</v>
      </c>
      <c r="AX3">
        <f>'Space Types'!CO6</f>
        <v>0.9</v>
      </c>
      <c r="AY3">
        <f>'Space Types'!CP6</f>
        <v>0.7</v>
      </c>
      <c r="AZ3">
        <f>'Space Types'!CQ6</f>
        <v>0.7</v>
      </c>
      <c r="BA3" t="str">
        <f>'Space Types'!CR6</f>
        <v>Std Wood 6inch</v>
      </c>
      <c r="BB3" t="str">
        <f>'Space Types'!CW6</f>
        <v>OpenStudio-Prototype-BuildingsStd Wood 6inchInternalMassDef</v>
      </c>
    </row>
    <row r="4" spans="1:54" x14ac:dyDescent="0.35">
      <c r="A4" t="str">
        <f>'Space Types'!A7</f>
        <v>BA Courthouse</v>
      </c>
      <c r="B4" t="str">
        <f>'Space Types'!B7</f>
        <v>2025_AU_NCC</v>
      </c>
      <c r="C4" t="str">
        <f>'Space Types'!C7</f>
        <v>Courthouse</v>
      </c>
      <c r="D4" t="str">
        <f>'Space Types'!D7</f>
        <v>Whole Building</v>
      </c>
      <c r="E4">
        <f>'Space Types'!I7</f>
        <v>255</v>
      </c>
      <c r="F4">
        <f>'Space Types'!J7</f>
        <v>255</v>
      </c>
      <c r="G4">
        <f>'Space Types'!K7</f>
        <v>255</v>
      </c>
      <c r="H4" t="str">
        <f>'Space Types'!L7</f>
        <v>BA Courthouse_2025AUNCC</v>
      </c>
      <c r="I4" t="str">
        <f>'Space Types'!M7</f>
        <v>BA Courthouse_2025AUNCCScheduleSet</v>
      </c>
      <c r="J4">
        <f>'Space Types'!P7</f>
        <v>0.76885107500000005</v>
      </c>
      <c r="K4">
        <f>'Space Types'!U7</f>
        <v>0</v>
      </c>
      <c r="L4">
        <f>'Space Types'!V7</f>
        <v>0</v>
      </c>
      <c r="M4">
        <f>'Space Types'!W7</f>
        <v>130</v>
      </c>
      <c r="N4">
        <f>'Space Types'!X7</f>
        <v>0.57692307700000001</v>
      </c>
      <c r="O4" t="str">
        <f>'Space Types'!AC7</f>
        <v>NCC S35C2nOther applications (non-dining)BA CourthousePeopleDef</v>
      </c>
      <c r="P4" t="str">
        <f>'Space Types'!AD7</f>
        <v>NECB-A-Occupancy</v>
      </c>
      <c r="Q4" t="str">
        <f>'Space Types'!AE7</f>
        <v>BA CourthouseActivity</v>
      </c>
      <c r="R4" t="str">
        <f>'Space Types'!AG7</f>
        <v/>
      </c>
      <c r="S4">
        <f>'Space Types'!AI7</f>
        <v>2.0828000000000001E-3</v>
      </c>
      <c r="T4" t="str">
        <f>'Space Types'!AL7</f>
        <v/>
      </c>
      <c r="U4" t="str">
        <f>'Space Types'!AQ7</f>
        <v>COMNET-REV9WholeBuildingBA CourthouseVent</v>
      </c>
      <c r="V4">
        <f>'Space Types'!AS7</f>
        <v>0</v>
      </c>
      <c r="W4">
        <f>'Space Types'!AT7</f>
        <v>0</v>
      </c>
      <c r="X4">
        <f>'Space Types'!AU7</f>
        <v>0.5</v>
      </c>
      <c r="Y4">
        <f>'Space Types'!AV7</f>
        <v>0</v>
      </c>
      <c r="Z4" t="str">
        <f>'Space Types'!AZ7</f>
        <v>NCC S35C2lNREL 956/Eley AnalysisClass 9b special (Other applications) - no equipment load per S35C2l; radiant/latent/lost fraction split retained from original WA/COMNET-REV9 source (AIRAH Technical Handbook does not publish this split)BA CourthouseElectricalEquipDef</v>
      </c>
      <c r="AA4" t="str">
        <f>'Space Types'!BA7</f>
        <v>NECB-A-Electric-Equipment</v>
      </c>
      <c r="AB4">
        <f>'Space Types'!BC7</f>
        <v>4.5</v>
      </c>
      <c r="AC4">
        <f>'Space Types'!BD7</f>
        <v>0.37</v>
      </c>
      <c r="AD4">
        <f>'Space Types'!BE7</f>
        <v>0.2</v>
      </c>
      <c r="AE4" t="str">
        <f>'Space Types'!BI7</f>
        <v>NCC J7D3aCourtroom; radiant/visible fraction split retained from original WA/COMNET-REV9 source (AIRAH Technical Handbook does not publish this split)LightingDef</v>
      </c>
      <c r="AF4" t="str">
        <f>'Space Types'!BJ7</f>
        <v>NECB-A-Lighting</v>
      </c>
      <c r="AG4">
        <f>'Space Types'!BM7</f>
        <v>1.8431506849999999</v>
      </c>
      <c r="AH4">
        <f>'Space Types'!BN7</f>
        <v>0.01</v>
      </c>
      <c r="AI4">
        <f>'Space Types'!BO7</f>
        <v>0.4</v>
      </c>
      <c r="AJ4">
        <f>'Space Types'!BP7</f>
        <v>0.4</v>
      </c>
      <c r="AK4" t="str">
        <f>'Space Types'!BT7</f>
        <v>COMNET-REV9California Commercial End-Use Survey (CEUS)60%ThermEffProcessBA CourthouseGasEquipDef</v>
      </c>
      <c r="AL4" t="str">
        <f>'Space Types'!BU7</f>
        <v>NECB-A-Electric-Equipment</v>
      </c>
      <c r="AM4">
        <f>'Space Types'!BX7</f>
        <v>0</v>
      </c>
      <c r="AN4" t="str">
        <f>'Space Types'!CC7</f>
        <v>NCC S34C2(6)0.7 ACH assumed as design infiltration for periods without mechanical outdoor air supply; NCC also specifies 0.35 ACH when mechanical OA is operating (to be applied via infiltration schedule once developed)BA CourthouseInfil</v>
      </c>
      <c r="AO4" t="str">
        <f>'Space Types'!CD7</f>
        <v>Always On</v>
      </c>
      <c r="AP4">
        <f>'Space Types'!CG7</f>
        <v>0</v>
      </c>
      <c r="AQ4">
        <f>'Space Types'!CH7</f>
        <v>2</v>
      </c>
      <c r="AR4">
        <f>'Space Types'!CI7</f>
        <v>0</v>
      </c>
      <c r="AS4" t="str">
        <f>'Space Types'!CJ7</f>
        <v>MediumSmooth</v>
      </c>
      <c r="AT4">
        <f>'Space Types'!CK7</f>
        <v>0.15</v>
      </c>
      <c r="AU4">
        <f>'Space Types'!CL7</f>
        <v>0.12</v>
      </c>
      <c r="AV4">
        <f>'Space Types'!CM7</f>
        <v>540</v>
      </c>
      <c r="AW4">
        <f>'Space Types'!CN7</f>
        <v>1210</v>
      </c>
      <c r="AX4">
        <f>'Space Types'!CO7</f>
        <v>0.9</v>
      </c>
      <c r="AY4">
        <f>'Space Types'!CP7</f>
        <v>0.7</v>
      </c>
      <c r="AZ4">
        <f>'Space Types'!CQ7</f>
        <v>0.7</v>
      </c>
      <c r="BA4" t="str">
        <f>'Space Types'!CR7</f>
        <v>Std Wood 6inch</v>
      </c>
      <c r="BB4" t="str">
        <f>'Space Types'!CW7</f>
        <v>OpenStudio-Prototype-BuildingsStd Wood 6inchInternalMassDef</v>
      </c>
    </row>
    <row r="5" spans="1:54" x14ac:dyDescent="0.35">
      <c r="A5" t="str">
        <f>'Space Types'!A8</f>
        <v>BA Dining: Bar Lounge/Leisure</v>
      </c>
      <c r="B5" t="str">
        <f>'Space Types'!B8</f>
        <v>2025_AU_NCC</v>
      </c>
      <c r="C5" t="str">
        <f>'Space Types'!C8</f>
        <v>Dining: Bar Lounge/Leisure</v>
      </c>
      <c r="D5" t="str">
        <f>'Space Types'!D8</f>
        <v>Whole Building</v>
      </c>
      <c r="E5">
        <f>'Space Types'!I8</f>
        <v>255</v>
      </c>
      <c r="F5">
        <f>'Space Types'!J8</f>
        <v>255</v>
      </c>
      <c r="G5">
        <f>'Space Types'!K8</f>
        <v>255</v>
      </c>
      <c r="H5" t="str">
        <f>'Space Types'!L8</f>
        <v>BA Dining: Bar Lounge/Leisure_2025AUNCC</v>
      </c>
      <c r="I5" t="str">
        <f>'Space Types'!M8</f>
        <v>BA Dining: Bar Lounge/Leisure_2025AUNCCScheduleSet</v>
      </c>
      <c r="J5">
        <f>'Space Types'!P8</f>
        <v>1.0763915049999999</v>
      </c>
      <c r="K5">
        <f>'Space Types'!U8</f>
        <v>0</v>
      </c>
      <c r="L5">
        <f>'Space Types'!V8</f>
        <v>0</v>
      </c>
      <c r="M5">
        <f>'Space Types'!W8</f>
        <v>160</v>
      </c>
      <c r="N5">
        <f>'Space Types'!X8</f>
        <v>0.5</v>
      </c>
      <c r="O5" t="str">
        <f>'Space Types'!AC8</f>
        <v>NCC S35C2nDining room/restaurant/cafeBA Dining: Bar Lounge/LeisurePeopleDef</v>
      </c>
      <c r="P5" t="str">
        <f>'Space Types'!AD8</f>
        <v>NECB-B-Occupancy</v>
      </c>
      <c r="Q5" t="str">
        <f>'Space Types'!AE8</f>
        <v>BA Dining: Bar Lounge/LeisureActivity</v>
      </c>
      <c r="R5" t="str">
        <f>'Space Types'!AG8</f>
        <v/>
      </c>
      <c r="S5">
        <f>'Space Types'!AI8</f>
        <v>4.7244000000000001E-3</v>
      </c>
      <c r="T5" t="str">
        <f>'Space Types'!AL8</f>
        <v/>
      </c>
      <c r="U5" t="str">
        <f>'Space Types'!AQ8</f>
        <v>COMNET-REV9WholeBuildingBA Dining: Bar Lounge/LeisureVent</v>
      </c>
      <c r="V5">
        <f>'Space Types'!AS8</f>
        <v>5</v>
      </c>
      <c r="W5">
        <f>'Space Types'!AT8</f>
        <v>0</v>
      </c>
      <c r="X5">
        <f>'Space Types'!AU8</f>
        <v>0.5</v>
      </c>
      <c r="Y5">
        <f>'Space Types'!AV8</f>
        <v>0</v>
      </c>
      <c r="Z5" t="str">
        <f>'Space Types'!AZ8</f>
        <v>NCC S35C2lNREL 956/Eley AnalysisClass 6 cafe/restaurant; radiant/latent/lost fraction split retained from original WA/COMNET-REV9 source (AIRAH Technical Handbook does not publish this split)BA Dining: Bar Lounge/LeisureElectricalEquipDef</v>
      </c>
      <c r="AA5" t="str">
        <f>'Space Types'!BA8</f>
        <v>NECB-B-Electric-Equipment</v>
      </c>
      <c r="AB5">
        <f>'Space Types'!BC8</f>
        <v>14</v>
      </c>
      <c r="AC5">
        <f>'Space Types'!BD8</f>
        <v>0.37</v>
      </c>
      <c r="AD5">
        <f>'Space Types'!BE8</f>
        <v>0.2</v>
      </c>
      <c r="AE5" t="str">
        <f>'Space Types'!BI8</f>
        <v>NCC J7D3aRestaurant, cafe, bar, hotel lounge...; radiant/visible fraction split retained from original WA/COMNET-REV9 source (AIRAH Technical Handbook does not publish this split)LightingDef</v>
      </c>
      <c r="AF5" t="str">
        <f>'Space Types'!BJ8</f>
        <v>NECB-B-Lighting</v>
      </c>
      <c r="AG5">
        <f>'Space Types'!BM8</f>
        <v>188.73863009999999</v>
      </c>
      <c r="AH5">
        <f>'Space Types'!BN8</f>
        <v>0</v>
      </c>
      <c r="AI5">
        <f>'Space Types'!BO8</f>
        <v>0.75</v>
      </c>
      <c r="AJ5">
        <f>'Space Types'!BP8</f>
        <v>0.25</v>
      </c>
      <c r="AK5" t="str">
        <f>'Space Types'!BT8</f>
        <v>COMNET-REV9California Commercial End-Use Survey (CEUS)93%ThermEffRadiantBA Dining: Bar Lounge/LeisureGasEquipDef</v>
      </c>
      <c r="AL5" t="str">
        <f>'Space Types'!BU8</f>
        <v>RestaurantFastFood BLDG_EQUIP_SCH</v>
      </c>
      <c r="AM5">
        <f>'Space Types'!BX8</f>
        <v>0</v>
      </c>
      <c r="AN5" t="str">
        <f>'Space Types'!CC8</f>
        <v>NCC S34C2(6)0.7 ACH assumed as design infiltration for periods without mechanical outdoor air supply; NCC also specifies 0.35 ACH when mechanical OA is operating (to be applied via infiltration schedule once developed)BA Dining: Bar Lounge/LeisureInfil</v>
      </c>
      <c r="AO5" t="str">
        <f>'Space Types'!CD8</f>
        <v>Always On</v>
      </c>
      <c r="AP5">
        <f>'Space Types'!CG8</f>
        <v>0</v>
      </c>
      <c r="AQ5">
        <f>'Space Types'!CH8</f>
        <v>2</v>
      </c>
      <c r="AR5">
        <f>'Space Types'!CI8</f>
        <v>0</v>
      </c>
      <c r="AS5" t="str">
        <f>'Space Types'!CJ8</f>
        <v>MediumSmooth</v>
      </c>
      <c r="AT5">
        <f>'Space Types'!CK8</f>
        <v>0.15</v>
      </c>
      <c r="AU5">
        <f>'Space Types'!CL8</f>
        <v>0.12</v>
      </c>
      <c r="AV5">
        <f>'Space Types'!CM8</f>
        <v>540</v>
      </c>
      <c r="AW5">
        <f>'Space Types'!CN8</f>
        <v>1210</v>
      </c>
      <c r="AX5">
        <f>'Space Types'!CO8</f>
        <v>0.9</v>
      </c>
      <c r="AY5">
        <f>'Space Types'!CP8</f>
        <v>0.7</v>
      </c>
      <c r="AZ5">
        <f>'Space Types'!CQ8</f>
        <v>0.7</v>
      </c>
      <c r="BA5" t="str">
        <f>'Space Types'!CR8</f>
        <v>Std Wood 6inch</v>
      </c>
      <c r="BB5" t="str">
        <f>'Space Types'!CW8</f>
        <v>OpenStudio-Prototype-BuildingsStd Wood 6inchInternalMassDef</v>
      </c>
    </row>
    <row r="6" spans="1:54" x14ac:dyDescent="0.35">
      <c r="A6" t="str">
        <f>'Space Types'!A9</f>
        <v>BA Dining: Cafeteria/Fast Food</v>
      </c>
      <c r="B6" t="str">
        <f>'Space Types'!B9</f>
        <v>2025_AU_NCC</v>
      </c>
      <c r="C6" t="str">
        <f>'Space Types'!C9</f>
        <v>Dining: Cafeteria/Fast Food</v>
      </c>
      <c r="D6" t="str">
        <f>'Space Types'!D9</f>
        <v>Whole Building</v>
      </c>
      <c r="E6">
        <f>'Space Types'!I9</f>
        <v>255</v>
      </c>
      <c r="F6">
        <f>'Space Types'!J9</f>
        <v>255</v>
      </c>
      <c r="G6">
        <f>'Space Types'!K9</f>
        <v>255</v>
      </c>
      <c r="H6" t="str">
        <f>'Space Types'!L9</f>
        <v>BA Dining: Cafeteria/Fast Food_2025AUNCC</v>
      </c>
      <c r="I6" t="str">
        <f>'Space Types'!M9</f>
        <v>BA Dining: Cafeteria/Fast Food_2025AUNCCScheduleSet</v>
      </c>
      <c r="J6">
        <f>'Space Types'!P9</f>
        <v>1.0763915049999999</v>
      </c>
      <c r="K6">
        <f>'Space Types'!U9</f>
        <v>0</v>
      </c>
      <c r="L6">
        <f>'Space Types'!V9</f>
        <v>0</v>
      </c>
      <c r="M6">
        <f>'Space Types'!W9</f>
        <v>160</v>
      </c>
      <c r="N6">
        <f>'Space Types'!X9</f>
        <v>0.5</v>
      </c>
      <c r="O6" t="str">
        <f>'Space Types'!AC9</f>
        <v>NCC S35C2nDining room/restaurant/cafeBA Dining: Cafeteria/Fast FoodPeopleDef</v>
      </c>
      <c r="P6" t="str">
        <f>'Space Types'!AD9</f>
        <v>NECB-B-Occupancy</v>
      </c>
      <c r="Q6" t="str">
        <f>'Space Types'!AE9</f>
        <v>BA Dining: Cafeteria/Fast FoodActivity</v>
      </c>
      <c r="R6" t="str">
        <f>'Space Types'!AG9</f>
        <v/>
      </c>
      <c r="S6">
        <f>'Space Types'!AI9</f>
        <v>4.7244000000000001E-3</v>
      </c>
      <c r="T6" t="str">
        <f>'Space Types'!AL9</f>
        <v/>
      </c>
      <c r="U6" t="str">
        <f>'Space Types'!AQ9</f>
        <v>COMNET-REV9WholeBuildingBA Dining: Cafeteria/Fast FoodVent</v>
      </c>
      <c r="V6">
        <f>'Space Types'!AS9</f>
        <v>5</v>
      </c>
      <c r="W6">
        <f>'Space Types'!AT9</f>
        <v>0</v>
      </c>
      <c r="X6">
        <f>'Space Types'!AU9</f>
        <v>0.5</v>
      </c>
      <c r="Y6">
        <f>'Space Types'!AV9</f>
        <v>0</v>
      </c>
      <c r="Z6" t="str">
        <f>'Space Types'!AZ9</f>
        <v>NCC S35C2lNREL 956/Eley AnalysisClass 6 cafe/restaurant; radiant/latent/lost fraction split retained from original WA/COMNET-REV9 source (AIRAH Technical Handbook does not publish this split)BA Dining: Cafeteria/Fast FoodElectricalEquipDef</v>
      </c>
      <c r="AA6" t="str">
        <f>'Space Types'!BA9</f>
        <v>NECB-B-Electric-Equipment</v>
      </c>
      <c r="AB6">
        <f>'Space Types'!BC9</f>
        <v>14</v>
      </c>
      <c r="AC6">
        <f>'Space Types'!BD9</f>
        <v>0.37</v>
      </c>
      <c r="AD6">
        <f>'Space Types'!BE9</f>
        <v>0.2</v>
      </c>
      <c r="AE6" t="str">
        <f>'Space Types'!BI9</f>
        <v>NCC J7D3aRestaurant, cafe, bar, hotel lounge...; radiant/visible fraction split retained from original WA/COMNET-REV9 source (AIRAH Technical Handbook does not publish this split)LightingDef</v>
      </c>
      <c r="AF6" t="str">
        <f>'Space Types'!BJ9</f>
        <v>NECB-B-Lighting</v>
      </c>
      <c r="AG6">
        <f>'Space Types'!BM9</f>
        <v>188.73863009999999</v>
      </c>
      <c r="AH6">
        <f>'Space Types'!BN9</f>
        <v>0</v>
      </c>
      <c r="AI6">
        <f>'Space Types'!BO9</f>
        <v>0.75</v>
      </c>
      <c r="AJ6">
        <f>'Space Types'!BP9</f>
        <v>0.25</v>
      </c>
      <c r="AK6" t="str">
        <f>'Space Types'!BT9</f>
        <v>COMNET-REV9California Commercial End-Use Survey (CEUS)93%ThermEffRadiantBA Dining: Cafeteria/Fast FoodGasEquipDef</v>
      </c>
      <c r="AL6" t="str">
        <f>'Space Types'!BU9</f>
        <v>RestaurantFastFood BLDG_EQUIP_SCH</v>
      </c>
      <c r="AM6">
        <f>'Space Types'!BX9</f>
        <v>0</v>
      </c>
      <c r="AN6" t="str">
        <f>'Space Types'!CC9</f>
        <v>NCC S34C2(6)0.7 ACH assumed as design infiltration for periods without mechanical outdoor air supply; NCC also specifies 0.35 ACH when mechanical OA is operating (to be applied via infiltration schedule once developed)BA Dining: Cafeteria/Fast FoodInfil</v>
      </c>
      <c r="AO6" t="str">
        <f>'Space Types'!CD9</f>
        <v>Always On</v>
      </c>
      <c r="AP6">
        <f>'Space Types'!CG9</f>
        <v>0</v>
      </c>
      <c r="AQ6">
        <f>'Space Types'!CH9</f>
        <v>2</v>
      </c>
      <c r="AR6">
        <f>'Space Types'!CI9</f>
        <v>0</v>
      </c>
      <c r="AS6" t="str">
        <f>'Space Types'!CJ9</f>
        <v>MediumSmooth</v>
      </c>
      <c r="AT6">
        <f>'Space Types'!CK9</f>
        <v>0.15</v>
      </c>
      <c r="AU6">
        <f>'Space Types'!CL9</f>
        <v>0.12</v>
      </c>
      <c r="AV6">
        <f>'Space Types'!CM9</f>
        <v>540</v>
      </c>
      <c r="AW6">
        <f>'Space Types'!CN9</f>
        <v>1210</v>
      </c>
      <c r="AX6">
        <f>'Space Types'!CO9</f>
        <v>0.9</v>
      </c>
      <c r="AY6">
        <f>'Space Types'!CP9</f>
        <v>0.7</v>
      </c>
      <c r="AZ6">
        <f>'Space Types'!CQ9</f>
        <v>0.7</v>
      </c>
      <c r="BA6" t="str">
        <f>'Space Types'!CR9</f>
        <v>Std Wood 6inch</v>
      </c>
      <c r="BB6" t="str">
        <f>'Space Types'!CW9</f>
        <v>OpenStudio-Prototype-BuildingsStd Wood 6inchInternalMassDef</v>
      </c>
    </row>
    <row r="7" spans="1:54" x14ac:dyDescent="0.35">
      <c r="A7" t="str">
        <f>'Space Types'!A10</f>
        <v>BA Dining: Family</v>
      </c>
      <c r="B7" t="str">
        <f>'Space Types'!B10</f>
        <v>2025_AU_NCC</v>
      </c>
      <c r="C7" t="str">
        <f>'Space Types'!C10</f>
        <v>Dining: Family</v>
      </c>
      <c r="D7" t="str">
        <f>'Space Types'!D10</f>
        <v>Whole Building</v>
      </c>
      <c r="E7">
        <f>'Space Types'!I10</f>
        <v>255</v>
      </c>
      <c r="F7">
        <f>'Space Types'!J10</f>
        <v>255</v>
      </c>
      <c r="G7">
        <f>'Space Types'!K10</f>
        <v>255</v>
      </c>
      <c r="H7" t="str">
        <f>'Space Types'!L10</f>
        <v>BA Dining: Family_2025AUNCC</v>
      </c>
      <c r="I7" t="str">
        <f>'Space Types'!M10</f>
        <v>BA Dining: Family_2025AUNCCScheduleSet</v>
      </c>
      <c r="J7">
        <f>'Space Types'!P10</f>
        <v>0.76885107500000005</v>
      </c>
      <c r="K7">
        <f>'Space Types'!U10</f>
        <v>0</v>
      </c>
      <c r="L7">
        <f>'Space Types'!V10</f>
        <v>0</v>
      </c>
      <c r="M7">
        <f>'Space Types'!W10</f>
        <v>160</v>
      </c>
      <c r="N7">
        <f>'Space Types'!X10</f>
        <v>0.5</v>
      </c>
      <c r="O7" t="str">
        <f>'Space Types'!AC10</f>
        <v>NCC S35C2nDining room/restaurant/cafeBA Dining: FamilyPeopleDef</v>
      </c>
      <c r="P7" t="str">
        <f>'Space Types'!AD10</f>
        <v>NECB-B-Occupancy</v>
      </c>
      <c r="Q7" t="str">
        <f>'Space Types'!AE10</f>
        <v>BA Dining: FamilyActivity</v>
      </c>
      <c r="R7" t="str">
        <f>'Space Types'!AG10</f>
        <v/>
      </c>
      <c r="S7">
        <f>'Space Types'!AI10</f>
        <v>3.6067999999999998E-3</v>
      </c>
      <c r="T7" t="str">
        <f>'Space Types'!AL10</f>
        <v/>
      </c>
      <c r="U7" t="str">
        <f>'Space Types'!AQ10</f>
        <v>COMNET-REV9WholeBuildingBA Dining: FamilyVent</v>
      </c>
      <c r="V7">
        <f>'Space Types'!AS10</f>
        <v>5</v>
      </c>
      <c r="W7">
        <f>'Space Types'!AT10</f>
        <v>0</v>
      </c>
      <c r="X7">
        <f>'Space Types'!AU10</f>
        <v>0.5</v>
      </c>
      <c r="Y7">
        <f>'Space Types'!AV10</f>
        <v>0</v>
      </c>
      <c r="Z7" t="str">
        <f>'Space Types'!AZ10</f>
        <v>NCC S35C2lNREL 956/Eley AnalysisClass 6 cafe/restaurant; radiant/latent/lost fraction split retained from original WA/COMNET-REV9 source (AIRAH Technical Handbook does not publish this split)BA Dining: FamilyElectricalEquipDef</v>
      </c>
      <c r="AA7" t="str">
        <f>'Space Types'!BA10</f>
        <v>NECB-B-Electric-Equipment</v>
      </c>
      <c r="AB7">
        <f>'Space Types'!BC10</f>
        <v>14</v>
      </c>
      <c r="AC7">
        <f>'Space Types'!BD10</f>
        <v>0.37</v>
      </c>
      <c r="AD7">
        <f>'Space Types'!BE10</f>
        <v>0.2</v>
      </c>
      <c r="AE7" t="str">
        <f>'Space Types'!BI10</f>
        <v>NCC J7D3aRestaurant, cafe, bar, hotel lounge...; radiant/visible fraction split retained from original WA/COMNET-REV9 source (AIRAH Technical Handbook does not publish this split)LightingDef</v>
      </c>
      <c r="AF7" t="str">
        <f>'Space Types'!BJ10</f>
        <v>NECB-B-Lighting</v>
      </c>
      <c r="AG7">
        <f>'Space Types'!BM10</f>
        <v>188.73863009999999</v>
      </c>
      <c r="AH7">
        <f>'Space Types'!BN10</f>
        <v>0.05</v>
      </c>
      <c r="AI7">
        <f>'Space Types'!BO10</f>
        <v>0.4</v>
      </c>
      <c r="AJ7">
        <f>'Space Types'!BP10</f>
        <v>0.4</v>
      </c>
      <c r="AK7" t="str">
        <f>'Space Types'!BT10</f>
        <v>COMNET-REV9California Commercial End-Use Survey (CEUS)60%ThermEffProcessBA Dining: FamilyGasEquipDef</v>
      </c>
      <c r="AL7" t="str">
        <f>'Space Types'!BU10</f>
        <v>RestaurantSitDown BLDG_EQUIP_SCH</v>
      </c>
      <c r="AM7">
        <f>'Space Types'!BX10</f>
        <v>0</v>
      </c>
      <c r="AN7" t="str">
        <f>'Space Types'!CC10</f>
        <v>NCC S34C2(6)0.7 ACH assumed as design infiltration for periods without mechanical outdoor air supply; NCC also specifies 0.35 ACH when mechanical OA is operating (to be applied via infiltration schedule once developed)BA Dining: FamilyInfil</v>
      </c>
      <c r="AO7" t="str">
        <f>'Space Types'!CD10</f>
        <v>Always On</v>
      </c>
      <c r="AP7">
        <f>'Space Types'!CG10</f>
        <v>0</v>
      </c>
      <c r="AQ7">
        <f>'Space Types'!CH10</f>
        <v>2</v>
      </c>
      <c r="AR7">
        <f>'Space Types'!CI10</f>
        <v>0</v>
      </c>
      <c r="AS7" t="str">
        <f>'Space Types'!CJ10</f>
        <v>MediumSmooth</v>
      </c>
      <c r="AT7">
        <f>'Space Types'!CK10</f>
        <v>0.15</v>
      </c>
      <c r="AU7">
        <f>'Space Types'!CL10</f>
        <v>0.12</v>
      </c>
      <c r="AV7">
        <f>'Space Types'!CM10</f>
        <v>540</v>
      </c>
      <c r="AW7">
        <f>'Space Types'!CN10</f>
        <v>1210</v>
      </c>
      <c r="AX7">
        <f>'Space Types'!CO10</f>
        <v>0.9</v>
      </c>
      <c r="AY7">
        <f>'Space Types'!CP10</f>
        <v>0.7</v>
      </c>
      <c r="AZ7">
        <f>'Space Types'!CQ10</f>
        <v>0.7</v>
      </c>
      <c r="BA7" t="str">
        <f>'Space Types'!CR10</f>
        <v>Std Wood 6inch</v>
      </c>
      <c r="BB7" t="str">
        <f>'Space Types'!CW10</f>
        <v>OpenStudio-Prototype-BuildingsStd Wood 6inchInternalMassDef</v>
      </c>
    </row>
    <row r="8" spans="1:54" x14ac:dyDescent="0.35">
      <c r="A8" t="str">
        <f>'Space Types'!A11</f>
        <v>BA Dormitory</v>
      </c>
      <c r="B8" t="str">
        <f>'Space Types'!B11</f>
        <v>2025_AU_NCC</v>
      </c>
      <c r="C8" t="str">
        <f>'Space Types'!C11</f>
        <v>Dormitory</v>
      </c>
      <c r="D8" t="str">
        <f>'Space Types'!D11</f>
        <v>Whole Building</v>
      </c>
      <c r="E8">
        <f>'Space Types'!I11</f>
        <v>255</v>
      </c>
      <c r="F8">
        <f>'Space Types'!J11</f>
        <v>255</v>
      </c>
      <c r="G8">
        <f>'Space Types'!K11</f>
        <v>255</v>
      </c>
      <c r="H8" t="str">
        <f>'Space Types'!L11</f>
        <v>BA Dormitory_2025AUNCC</v>
      </c>
      <c r="I8" t="str">
        <f>'Space Types'!M11</f>
        <v>BA Dormitory_2025AUNCCScheduleSet</v>
      </c>
      <c r="J8">
        <f>'Space Types'!P11</f>
        <v>0.107639151</v>
      </c>
      <c r="K8">
        <f>'Space Types'!U11</f>
        <v>0</v>
      </c>
      <c r="L8">
        <f>'Space Types'!V11</f>
        <v>0</v>
      </c>
      <c r="M8">
        <f>'Space Types'!W11</f>
        <v>130</v>
      </c>
      <c r="N8">
        <f>'Space Types'!X11</f>
        <v>0.57692307700000001</v>
      </c>
      <c r="O8" t="str">
        <f>'Space Types'!AC11</f>
        <v>NCC S35C2nOther applications (non-dining)BA DormitoryPeopleDef</v>
      </c>
      <c r="P8" t="str">
        <f>'Space Types'!AD11</f>
        <v>NECB-G-Occupancy</v>
      </c>
      <c r="Q8" t="str">
        <f>'Space Types'!AE11</f>
        <v>BA DormitoryActivity</v>
      </c>
      <c r="R8" t="str">
        <f>'Space Types'!AG11</f>
        <v/>
      </c>
      <c r="S8">
        <f>'Space Types'!AI11</f>
        <v>5.5880000000000003E-4</v>
      </c>
      <c r="T8" t="str">
        <f>'Space Types'!AL11</f>
        <v/>
      </c>
      <c r="U8" t="str">
        <f>'Space Types'!AQ11</f>
        <v>COMNET-REV9WholeBuildingBA DormitoryVent</v>
      </c>
      <c r="V8">
        <f>'Space Types'!AS11</f>
        <v>0</v>
      </c>
      <c r="W8">
        <f>'Space Types'!AT11</f>
        <v>0</v>
      </c>
      <c r="X8">
        <f>'Space Types'!AU11</f>
        <v>0.5</v>
      </c>
      <c r="Y8">
        <f>'Space Types'!AV11</f>
        <v>0</v>
      </c>
      <c r="Z8" t="str">
        <f>'Space Types'!AZ11</f>
        <v>NCC S35C2lNREL 956/Eley AnalysisClass 3 dormitories - no load per S35C2l; radiant/latent/lost fraction split retained from original WA/COMNET-REV9 source (AIRAH Technical Handbook does not publish this split)BA DormitoryElectricalEquipDef</v>
      </c>
      <c r="AA8" t="str">
        <f>'Space Types'!BA11</f>
        <v>NECB-G-Electric-Equipment</v>
      </c>
      <c r="AB8">
        <f>'Space Types'!BC11</f>
        <v>4</v>
      </c>
      <c r="AC8">
        <f>'Space Types'!BD11</f>
        <v>0.37</v>
      </c>
      <c r="AD8">
        <f>'Space Types'!BE11</f>
        <v>0.2</v>
      </c>
      <c r="AE8" t="str">
        <f>'Space Types'!BI11</f>
        <v>NCC J7D3aDormitory of a Class 3 building used for sleeping and study; radiant/visible fraction split retained from original WA/COMNET-REV9 source (AIRAH Technical Handbook does not publish this split)LightingDef</v>
      </c>
      <c r="AF8" t="str">
        <f>'Space Types'!BJ11</f>
        <v>NECB-G-Lighting</v>
      </c>
      <c r="AG8">
        <f>'Space Types'!BM11</f>
        <v>7.4954794519999997</v>
      </c>
      <c r="AH8">
        <f>'Space Types'!BN11</f>
        <v>0.01</v>
      </c>
      <c r="AI8">
        <f>'Space Types'!BO11</f>
        <v>0.4</v>
      </c>
      <c r="AJ8">
        <f>'Space Types'!BP11</f>
        <v>0.4</v>
      </c>
      <c r="AK8" t="str">
        <f>'Space Types'!BT11</f>
        <v>COMNET-REV9California Commercial End-Use Survey (CEUS)60%ThermEffProcessBA DormitoryGasEquipDef</v>
      </c>
      <c r="AL8" t="str">
        <f>'Space Types'!BU11</f>
        <v>ApartmentMidRise EQP_APT_SCH</v>
      </c>
      <c r="AM8">
        <f>'Space Types'!BX11</f>
        <v>0</v>
      </c>
      <c r="AN8" t="str">
        <f>'Space Types'!CC11</f>
        <v>NCC S34C2(6)0.7 ACH assumed as design infiltration for periods without mechanical outdoor air supply; NCC also specifies 0.35 ACH when mechanical OA is operating (to be applied via infiltration schedule once developed)BA DormitoryInfil</v>
      </c>
      <c r="AO8" t="str">
        <f>'Space Types'!CD11</f>
        <v>Always On</v>
      </c>
      <c r="AP8">
        <f>'Space Types'!CG11</f>
        <v>0</v>
      </c>
      <c r="AQ8">
        <f>'Space Types'!CH11</f>
        <v>2</v>
      </c>
      <c r="AR8">
        <f>'Space Types'!CI11</f>
        <v>0</v>
      </c>
      <c r="AS8" t="str">
        <f>'Space Types'!CJ11</f>
        <v>MediumSmooth</v>
      </c>
      <c r="AT8">
        <f>'Space Types'!CK11</f>
        <v>0.15</v>
      </c>
      <c r="AU8">
        <f>'Space Types'!CL11</f>
        <v>0.12</v>
      </c>
      <c r="AV8">
        <f>'Space Types'!CM11</f>
        <v>540</v>
      </c>
      <c r="AW8">
        <f>'Space Types'!CN11</f>
        <v>1210</v>
      </c>
      <c r="AX8">
        <f>'Space Types'!CO11</f>
        <v>0.9</v>
      </c>
      <c r="AY8">
        <f>'Space Types'!CP11</f>
        <v>0.7</v>
      </c>
      <c r="AZ8">
        <f>'Space Types'!CQ11</f>
        <v>0.7</v>
      </c>
      <c r="BA8" t="str">
        <f>'Space Types'!CR11</f>
        <v>Std Wood 6inch</v>
      </c>
      <c r="BB8" t="str">
        <f>'Space Types'!CW11</f>
        <v>OpenStudio-Prototype-BuildingsStd Wood 6inchInternalMassDef</v>
      </c>
    </row>
    <row r="9" spans="1:54" x14ac:dyDescent="0.35">
      <c r="A9" t="str">
        <f>'Space Types'!A12</f>
        <v>BA Exercise Center</v>
      </c>
      <c r="B9" t="str">
        <f>'Space Types'!B12</f>
        <v>2025_AU_NCC</v>
      </c>
      <c r="C9" t="str">
        <f>'Space Types'!C12</f>
        <v>Exercise Center</v>
      </c>
      <c r="D9" t="str">
        <f>'Space Types'!D12</f>
        <v>Whole Building</v>
      </c>
      <c r="E9">
        <f>'Space Types'!I12</f>
        <v>255</v>
      </c>
      <c r="F9">
        <f>'Space Types'!J12</f>
        <v>255</v>
      </c>
      <c r="G9">
        <f>'Space Types'!K12</f>
        <v>255</v>
      </c>
      <c r="H9" t="str">
        <f>'Space Types'!L12</f>
        <v>BA Exercise Center_2025AUNCC</v>
      </c>
      <c r="I9" t="str">
        <f>'Space Types'!M12</f>
        <v>BA Exercise Center_2025AUNCCScheduleSet</v>
      </c>
      <c r="J9">
        <f>'Space Types'!P12</f>
        <v>0.107639151</v>
      </c>
      <c r="K9">
        <f>'Space Types'!U12</f>
        <v>0</v>
      </c>
      <c r="L9">
        <f>'Space Types'!V12</f>
        <v>0</v>
      </c>
      <c r="M9">
        <f>'Space Types'!W12</f>
        <v>130</v>
      </c>
      <c r="N9">
        <f>'Space Types'!X12</f>
        <v>0.57692307700000001</v>
      </c>
      <c r="O9" t="str">
        <f>'Space Types'!AC12</f>
        <v>NCC S35C2nOther applications (non-dining)BA Exercise CenterPeopleDef</v>
      </c>
      <c r="P9" t="str">
        <f>'Space Types'!AD12</f>
        <v>NECB-B-Occupancy</v>
      </c>
      <c r="Q9" t="str">
        <f>'Space Types'!AE12</f>
        <v>BA Exercise CenterActivity</v>
      </c>
      <c r="R9" t="str">
        <f>'Space Types'!AG12</f>
        <v/>
      </c>
      <c r="S9">
        <f>'Space Types'!AI12</f>
        <v>1.3208000000000002E-3</v>
      </c>
      <c r="T9" t="str">
        <f>'Space Types'!AL12</f>
        <v/>
      </c>
      <c r="U9" t="str">
        <f>'Space Types'!AQ12</f>
        <v>COMNET-REV9WholeBuildingBA Exercise CenterVent</v>
      </c>
      <c r="V9">
        <f>'Space Types'!AS12</f>
        <v>0</v>
      </c>
      <c r="W9">
        <f>'Space Types'!AT12</f>
        <v>0</v>
      </c>
      <c r="X9">
        <f>'Space Types'!AU12</f>
        <v>0.5</v>
      </c>
      <c r="Y9">
        <f>'Space Types'!AV12</f>
        <v>0</v>
      </c>
      <c r="Z9" t="str">
        <f>'Space Types'!AZ12</f>
        <v>NCC S35C2lNREL 956/Eley AnalysisClass 9b (Other applications) - no equipment load per S35C2l; radiant/latent/lost fraction split retained from original WA/COMNET-REV9 source (AIRAH Technical Handbook does not publish this split)BA Exercise CenterElectricalEquipDef</v>
      </c>
      <c r="AA9" t="str">
        <f>'Space Types'!BA12</f>
        <v>NECB-B-Electric-Equipment</v>
      </c>
      <c r="AB9">
        <f>'Space Types'!BC12</f>
        <v>7.7500200000000001</v>
      </c>
      <c r="AC9">
        <f>'Space Types'!BD12</f>
        <v>0.37</v>
      </c>
      <c r="AD9">
        <f>'Space Types'!BE12</f>
        <v>0.2</v>
      </c>
      <c r="AE9" t="str">
        <f>'Space Types'!BI12</f>
        <v>IECC Table C405.3.2(1)Exercise center; radiant/visible fraction split retained from original WA/COMNET-REV9 sourceLightingDef</v>
      </c>
      <c r="AF9" t="str">
        <f>'Space Types'!BJ12</f>
        <v>NECB-B-Lighting</v>
      </c>
      <c r="AG9">
        <f>'Space Types'!BM12</f>
        <v>0.245753425</v>
      </c>
      <c r="AH9">
        <f>'Space Types'!BN12</f>
        <v>0.05</v>
      </c>
      <c r="AI9">
        <f>'Space Types'!BO12</f>
        <v>0.4</v>
      </c>
      <c r="AJ9">
        <f>'Space Types'!BP12</f>
        <v>0.4</v>
      </c>
      <c r="AK9" t="str">
        <f>'Space Types'!BT12</f>
        <v>COMNET-REV9California Commercial End-Use Survey (CEUS)60%ThermEffProcessBA Exercise CenterGasEquipDef</v>
      </c>
      <c r="AL9" t="str">
        <f>'Space Types'!BU12</f>
        <v>HotelSmall ExerciseCenter_Eqp_Sch</v>
      </c>
      <c r="AM9">
        <f>'Space Types'!BX12</f>
        <v>0</v>
      </c>
      <c r="AN9" t="str">
        <f>'Space Types'!CC12</f>
        <v>NCC S34C2(6)0.7 ACH assumed as design infiltration for periods without mechanical outdoor air supply; NCC also specifies 0.35 ACH when mechanical OA is operating (to be applied via infiltration schedule once developed)BA Exercise CenterInfil</v>
      </c>
      <c r="AO9" t="str">
        <f>'Space Types'!CD12</f>
        <v>Always On</v>
      </c>
      <c r="AP9">
        <f>'Space Types'!CG12</f>
        <v>0</v>
      </c>
      <c r="AQ9">
        <f>'Space Types'!CH12</f>
        <v>2</v>
      </c>
      <c r="AR9">
        <f>'Space Types'!CI12</f>
        <v>0</v>
      </c>
      <c r="AS9" t="str">
        <f>'Space Types'!CJ12</f>
        <v>MediumSmooth</v>
      </c>
      <c r="AT9">
        <f>'Space Types'!CK12</f>
        <v>0.15</v>
      </c>
      <c r="AU9">
        <f>'Space Types'!CL12</f>
        <v>0.12</v>
      </c>
      <c r="AV9">
        <f>'Space Types'!CM12</f>
        <v>540</v>
      </c>
      <c r="AW9">
        <f>'Space Types'!CN12</f>
        <v>1210</v>
      </c>
      <c r="AX9">
        <f>'Space Types'!CO12</f>
        <v>0.9</v>
      </c>
      <c r="AY9">
        <f>'Space Types'!CP12</f>
        <v>0.7</v>
      </c>
      <c r="AZ9">
        <f>'Space Types'!CQ12</f>
        <v>0.7</v>
      </c>
      <c r="BA9" t="str">
        <f>'Space Types'!CR12</f>
        <v>Std Wood 6inch</v>
      </c>
      <c r="BB9" t="str">
        <f>'Space Types'!CW12</f>
        <v>OpenStudio-Prototype-BuildingsStd Wood 6inchInternalMassDef</v>
      </c>
    </row>
    <row r="10" spans="1:54" x14ac:dyDescent="0.35">
      <c r="A10" t="str">
        <f>'Space Types'!A13</f>
        <v>BA Fire Station</v>
      </c>
      <c r="B10" t="str">
        <f>'Space Types'!B13</f>
        <v>2025_AU_NCC</v>
      </c>
      <c r="C10" t="str">
        <f>'Space Types'!C13</f>
        <v>Fire Station</v>
      </c>
      <c r="D10" t="str">
        <f>'Space Types'!D13</f>
        <v>Whole Building</v>
      </c>
      <c r="E10">
        <f>'Space Types'!I13</f>
        <v>255</v>
      </c>
      <c r="F10">
        <f>'Space Types'!J13</f>
        <v>255</v>
      </c>
      <c r="G10">
        <f>'Space Types'!K13</f>
        <v>255</v>
      </c>
      <c r="H10" t="str">
        <f>'Space Types'!L13</f>
        <v>BA Fire Station_2025AUNCC</v>
      </c>
      <c r="I10" t="str">
        <f>'Space Types'!M13</f>
        <v>BA Fire Station_2025AUNCCScheduleSet</v>
      </c>
      <c r="J10">
        <f>'Space Types'!P13</f>
        <v>0.32617924399999998</v>
      </c>
      <c r="K10">
        <f>'Space Types'!U13</f>
        <v>0</v>
      </c>
      <c r="L10">
        <f>'Space Types'!V13</f>
        <v>0</v>
      </c>
      <c r="M10">
        <f>'Space Types'!W13</f>
        <v>130</v>
      </c>
      <c r="N10">
        <f>'Space Types'!X13</f>
        <v>0.57692307700000001</v>
      </c>
      <c r="O10" t="str">
        <f>'Space Types'!AC13</f>
        <v>NCC S35C2nOther applications (non-dining)BA Fire StationPeopleDef</v>
      </c>
      <c r="P10" t="str">
        <f>'Space Types'!AD13</f>
        <v>NECB-F-Occupancy</v>
      </c>
      <c r="Q10" t="str">
        <f>'Space Types'!AE13</f>
        <v>BA Fire StationActivity</v>
      </c>
      <c r="R10" t="str">
        <f>'Space Types'!AG13</f>
        <v/>
      </c>
      <c r="S10">
        <f>'Space Types'!AI13</f>
        <v>1.0668000000000001E-3</v>
      </c>
      <c r="T10" t="str">
        <f>'Space Types'!AL13</f>
        <v/>
      </c>
      <c r="U10" t="str">
        <f>'Space Types'!AQ13</f>
        <v>COMNET-REV9WholeBuildingBA Fire StationVent</v>
      </c>
      <c r="V10">
        <f>'Space Types'!AS13</f>
        <v>3.3</v>
      </c>
      <c r="W10">
        <f>'Space Types'!AT13</f>
        <v>0</v>
      </c>
      <c r="X10">
        <f>'Space Types'!AU13</f>
        <v>0.5</v>
      </c>
      <c r="Y10">
        <f>'Space Types'!AV13</f>
        <v>0</v>
      </c>
      <c r="Z10" t="str">
        <f>'Space Types'!AZ13</f>
        <v>NCC S35C2lNREL 956/Eley AnalysisAUTHOR-ASSUMED area-weighted composite (not a direct NCC table value) - Fire Station is not a single NCC building class, decomposed as: Apparatus Bay / Garage (Class 7a/8-like) 45%; Sleeping Quarters (Class 3 dormitory-style, sleeping only) 25%; Office / Admin / Dayroom (Class 5) 30%. Equipment W/m2 per component per S35C2l, blended by area fraction. Adjust fractions to match actual floor plan; radiant/latent/lost fraction split retained from original WA/COMNET-REV9 source (AIRAH Technical Handbook does not publish this split)BA Fire StationElectricalEquipDef</v>
      </c>
      <c r="AA10" t="str">
        <f>'Space Types'!BA13</f>
        <v>NECB-F-Electric-Equipment</v>
      </c>
      <c r="AB10">
        <f>'Space Types'!BC13</f>
        <v>3</v>
      </c>
      <c r="AC10">
        <f>'Space Types'!BD13</f>
        <v>0.37</v>
      </c>
      <c r="AD10">
        <f>'Space Types'!BE13</f>
        <v>0.2</v>
      </c>
      <c r="AE10" t="str">
        <f>'Space Types'!BI13</f>
        <v>NCC J7D3aAUTHOR-ASSUMED area-weighted composite (not a direct NCC table value) - Apparatus Bay / Garage (Class 7a/8-like) 45% -&gt; Carpark - general (nearest available proxy; NCC has no vehicle-bay-specific lighting row) (2.0 W/m2); Sleeping Quarters (Class 3 dormitory-style, sleeping only) 25% -&gt; Dormitory of a Class 3 building used for sleeping only (3.0 W/m2); Office / Admin / Dayroom (Class 5) 30% -&gt; Office - artificially lit to &gt;= 200 lux (4.5 W/m2). Adjust fractions to match actual floor plan; radiant/latent/lost fraction split retained from original WA/COMNET-REV9 source (AIRAH Technical Handbook does not publish this split)LightingDef</v>
      </c>
      <c r="AF10" t="str">
        <f>'Space Types'!BJ13</f>
        <v>NECB-F-Lighting</v>
      </c>
      <c r="AG10">
        <f>'Space Types'!BM13</f>
        <v>8.1098630140000001</v>
      </c>
      <c r="AH10">
        <f>'Space Types'!BN13</f>
        <v>0</v>
      </c>
      <c r="AI10">
        <f>'Space Types'!BO13</f>
        <v>0.75</v>
      </c>
      <c r="AJ10">
        <f>'Space Types'!BP13</f>
        <v>0.25</v>
      </c>
      <c r="AK10" t="str">
        <f>'Space Types'!BT13</f>
        <v>COMNET-REV9California Commercial End-Use Survey (CEUS)93%ThermEffRadiantBA Fire StationGasEquipDef</v>
      </c>
      <c r="AL10" t="str">
        <f>'Space Types'!BU13</f>
        <v>NECB-F-Electric-Equipment</v>
      </c>
      <c r="AM10">
        <f>'Space Types'!BX13</f>
        <v>0</v>
      </c>
      <c r="AN10" t="str">
        <f>'Space Types'!CC13</f>
        <v>NCC S34C2(6)0.7 ACH assumed as design infiltration for periods without mechanical outdoor air supply; NCC also specifies 0.35 ACH when mechanical OA is operating (to be applied via infiltration schedule once developed)BA Fire StationInfil</v>
      </c>
      <c r="AO10" t="str">
        <f>'Space Types'!CD13</f>
        <v>Always On</v>
      </c>
      <c r="AP10">
        <f>'Space Types'!CG13</f>
        <v>0</v>
      </c>
      <c r="AQ10">
        <f>'Space Types'!CH13</f>
        <v>2</v>
      </c>
      <c r="AR10">
        <f>'Space Types'!CI13</f>
        <v>0</v>
      </c>
      <c r="AS10" t="str">
        <f>'Space Types'!CJ13</f>
        <v>MediumSmooth</v>
      </c>
      <c r="AT10">
        <f>'Space Types'!CK13</f>
        <v>0.15</v>
      </c>
      <c r="AU10">
        <f>'Space Types'!CL13</f>
        <v>0.12</v>
      </c>
      <c r="AV10">
        <f>'Space Types'!CM13</f>
        <v>540</v>
      </c>
      <c r="AW10">
        <f>'Space Types'!CN13</f>
        <v>1210</v>
      </c>
      <c r="AX10">
        <f>'Space Types'!CO13</f>
        <v>0.9</v>
      </c>
      <c r="AY10">
        <f>'Space Types'!CP13</f>
        <v>0.7</v>
      </c>
      <c r="AZ10">
        <f>'Space Types'!CQ13</f>
        <v>0.7</v>
      </c>
      <c r="BA10" t="str">
        <f>'Space Types'!CR13</f>
        <v>Std Wood 6inch</v>
      </c>
      <c r="BB10" t="str">
        <f>'Space Types'!CW13</f>
        <v>OpenStudio-Prototype-BuildingsStd Wood 6inchInternalMassDef</v>
      </c>
    </row>
    <row r="11" spans="1:54" x14ac:dyDescent="0.35">
      <c r="A11" t="str">
        <f>'Space Types'!A14</f>
        <v>BA Gymnasium</v>
      </c>
      <c r="B11" t="str">
        <f>'Space Types'!B14</f>
        <v>2025_AU_NCC</v>
      </c>
      <c r="C11" t="str">
        <f>'Space Types'!C14</f>
        <v>Gymnasium</v>
      </c>
      <c r="D11" t="str">
        <f>'Space Types'!D14</f>
        <v>Whole Building</v>
      </c>
      <c r="E11">
        <f>'Space Types'!I14</f>
        <v>255</v>
      </c>
      <c r="F11">
        <f>'Space Types'!J14</f>
        <v>255</v>
      </c>
      <c r="G11">
        <f>'Space Types'!K14</f>
        <v>255</v>
      </c>
      <c r="H11" t="str">
        <f>'Space Types'!L14</f>
        <v>BA Gymnasium_2025AUNCC</v>
      </c>
      <c r="I11" t="str">
        <f>'Space Types'!M14</f>
        <v>BA Gymnasium_2025AUNCCScheduleSet</v>
      </c>
      <c r="J11">
        <f>'Space Types'!P14</f>
        <v>0.32617924399999998</v>
      </c>
      <c r="K11">
        <f>'Space Types'!U14</f>
        <v>0</v>
      </c>
      <c r="L11">
        <f>'Space Types'!V14</f>
        <v>0</v>
      </c>
      <c r="M11">
        <f>'Space Types'!W14</f>
        <v>130</v>
      </c>
      <c r="N11">
        <f>'Space Types'!X14</f>
        <v>0.57692307700000001</v>
      </c>
      <c r="O11" t="str">
        <f>'Space Types'!AC14</f>
        <v>NCC S35C2nOther applications (non-dining)BA GymnasiumPeopleDef</v>
      </c>
      <c r="P11" t="str">
        <f>'Space Types'!AD14</f>
        <v>NECB-B-Occupancy</v>
      </c>
      <c r="Q11" t="str">
        <f>'Space Types'!AE14</f>
        <v>BA GymnasiumActivity</v>
      </c>
      <c r="R11" t="str">
        <f>'Space Types'!AG14</f>
        <v/>
      </c>
      <c r="S11">
        <f>'Space Types'!AI14</f>
        <v>1.524E-3</v>
      </c>
      <c r="T11" t="str">
        <f>'Space Types'!AL14</f>
        <v/>
      </c>
      <c r="U11" t="str">
        <f>'Space Types'!AQ14</f>
        <v>COMNET-REV9WholeBuildingBA GymnasiumVent</v>
      </c>
      <c r="V11">
        <f>'Space Types'!AS14</f>
        <v>0</v>
      </c>
      <c r="W11">
        <f>'Space Types'!AT14</f>
        <v>0</v>
      </c>
      <c r="X11">
        <f>'Space Types'!AU14</f>
        <v>0.5</v>
      </c>
      <c r="Y11">
        <f>'Space Types'!AV14</f>
        <v>0</v>
      </c>
      <c r="Z11" t="str">
        <f>'Space Types'!AZ14</f>
        <v>NCC S35C2lNREL 956/Eley AnalysisClass 9b (Other applications) - no equipment load per S35C2l; radiant/latent/lost fraction split retained from original WA/COMNET-REV9 source (AIRAH Technical Handbook does not publish this split)BA GymnasiumElectricalEquipDef</v>
      </c>
      <c r="AA11" t="str">
        <f>'Space Types'!BA14</f>
        <v>NECB-B-Electric-Equipment</v>
      </c>
      <c r="AB11">
        <f>'Space Types'!BC14</f>
        <v>8.0729299999999995</v>
      </c>
      <c r="AC11">
        <f>'Space Types'!BD14</f>
        <v>0.37</v>
      </c>
      <c r="AD11">
        <f>'Space Types'!BE14</f>
        <v>0.2</v>
      </c>
      <c r="AE11" t="str">
        <f>'Space Types'!BI14</f>
        <v>IECC Table C405.3.2(1)Gymnasium; radiant/visible fraction split retained from original WA/COMNET-REV9 sourceLightingDef</v>
      </c>
      <c r="AF11" t="str">
        <f>'Space Types'!BJ14</f>
        <v>NECB-B-Lighting</v>
      </c>
      <c r="AG11">
        <f>'Space Types'!BM14</f>
        <v>0.245753425</v>
      </c>
      <c r="AH11">
        <f>'Space Types'!BN14</f>
        <v>0</v>
      </c>
      <c r="AI11">
        <f>'Space Types'!BO14</f>
        <v>0.75</v>
      </c>
      <c r="AJ11">
        <f>'Space Types'!BP14</f>
        <v>0.25</v>
      </c>
      <c r="AK11" t="str">
        <f>'Space Types'!BT14</f>
        <v>COMNET-REV9California Commercial End-Use Survey (CEUS)93%ThermEffRadiantBA GymnasiumGasEquipDef</v>
      </c>
      <c r="AL11" t="str">
        <f>'Space Types'!BU14</f>
        <v>SchoolSecondary BLDG_EQUIP_SCH</v>
      </c>
      <c r="AM11">
        <f>'Space Types'!BX14</f>
        <v>0</v>
      </c>
      <c r="AN11" t="str">
        <f>'Space Types'!CC14</f>
        <v>NCC S34C2(6)0.7 ACH assumed as design infiltration for periods without mechanical outdoor air supply; NCC also specifies 0.35 ACH when mechanical OA is operating (to be applied via infiltration schedule once developed)BA GymnasiumInfil</v>
      </c>
      <c r="AO11" t="str">
        <f>'Space Types'!CD14</f>
        <v>Always On</v>
      </c>
      <c r="AP11">
        <f>'Space Types'!CG14</f>
        <v>0</v>
      </c>
      <c r="AQ11">
        <f>'Space Types'!CH14</f>
        <v>2</v>
      </c>
      <c r="AR11">
        <f>'Space Types'!CI14</f>
        <v>0</v>
      </c>
      <c r="AS11" t="str">
        <f>'Space Types'!CJ14</f>
        <v>MediumSmooth</v>
      </c>
      <c r="AT11">
        <f>'Space Types'!CK14</f>
        <v>0.15</v>
      </c>
      <c r="AU11">
        <f>'Space Types'!CL14</f>
        <v>0.12</v>
      </c>
      <c r="AV11">
        <f>'Space Types'!CM14</f>
        <v>540</v>
      </c>
      <c r="AW11">
        <f>'Space Types'!CN14</f>
        <v>1210</v>
      </c>
      <c r="AX11">
        <f>'Space Types'!CO14</f>
        <v>0.9</v>
      </c>
      <c r="AY11">
        <f>'Space Types'!CP14</f>
        <v>0.7</v>
      </c>
      <c r="AZ11">
        <f>'Space Types'!CQ14</f>
        <v>0.7</v>
      </c>
      <c r="BA11" t="str">
        <f>'Space Types'!CR14</f>
        <v>Std Wood 6inch</v>
      </c>
      <c r="BB11" t="str">
        <f>'Space Types'!CW14</f>
        <v>OpenStudio-Prototype-BuildingsStd Wood 6inchInternalMassDef</v>
      </c>
    </row>
    <row r="12" spans="1:54" x14ac:dyDescent="0.35">
      <c r="A12" t="str">
        <f>'Space Types'!A15</f>
        <v>BA Healthcare Clinic</v>
      </c>
      <c r="B12" t="str">
        <f>'Space Types'!B15</f>
        <v>2025_AU_NCC</v>
      </c>
      <c r="C12" t="str">
        <f>'Space Types'!C15</f>
        <v>Healthcare Clinic</v>
      </c>
      <c r="D12" t="str">
        <f>'Space Types'!D15</f>
        <v>Whole Building</v>
      </c>
      <c r="E12">
        <f>'Space Types'!I15</f>
        <v>255</v>
      </c>
      <c r="F12">
        <f>'Space Types'!J15</f>
        <v>255</v>
      </c>
      <c r="G12">
        <f>'Space Types'!K15</f>
        <v>255</v>
      </c>
      <c r="H12" t="str">
        <f>'Space Types'!L15</f>
        <v>BA Healthcare Clinic_2025AUNCC</v>
      </c>
      <c r="I12" t="str">
        <f>'Space Types'!M15</f>
        <v>BA Healthcare Clinic_2025AUNCCScheduleSet</v>
      </c>
      <c r="J12">
        <f>'Space Types'!P15</f>
        <v>5.3819575000000001E-2</v>
      </c>
      <c r="K12">
        <f>'Space Types'!U15</f>
        <v>0</v>
      </c>
      <c r="L12">
        <f>'Space Types'!V15</f>
        <v>0</v>
      </c>
      <c r="M12">
        <f>'Space Types'!W15</f>
        <v>130</v>
      </c>
      <c r="N12">
        <f>'Space Types'!X15</f>
        <v>0.57692307700000001</v>
      </c>
      <c r="O12" t="str">
        <f>'Space Types'!AC15</f>
        <v>NCC S35C2nOther applications (non-dining)BA Healthcare ClinicPeopleDef</v>
      </c>
      <c r="P12" t="str">
        <f>'Space Types'!AD15</f>
        <v>NECB-A-Occupancy</v>
      </c>
      <c r="Q12" t="str">
        <f>'Space Types'!AE15</f>
        <v>BA Healthcare ClinicActivity</v>
      </c>
      <c r="R12" t="str">
        <f>'Space Types'!AG15</f>
        <v/>
      </c>
      <c r="S12">
        <f>'Space Types'!AI15</f>
        <v>2.3876000000000001E-3</v>
      </c>
      <c r="T12" t="str">
        <f>'Space Types'!AL15</f>
        <v/>
      </c>
      <c r="U12" t="str">
        <f>'Space Types'!AQ15</f>
        <v>COMNET-REV9WholeBuildingBA Healthcare ClinicVent</v>
      </c>
      <c r="V12">
        <f>'Space Types'!AS15</f>
        <v>15</v>
      </c>
      <c r="W12">
        <f>'Space Types'!AT15</f>
        <v>0</v>
      </c>
      <c r="X12">
        <f>'Space Types'!AU15</f>
        <v>0.5</v>
      </c>
      <c r="Y12">
        <f>'Space Types'!AV15</f>
        <v>0</v>
      </c>
      <c r="Z12" t="str">
        <f>'Space Types'!AZ15</f>
        <v>NCC S35C2lNREL 956/Eley AnalysisClass 9a clinic/day surgery/procedure unit; radiant/latent/lost fraction split retained from original WA/COMNET-REV9 source (AIRAH Technical Handbook does not publish this split)BA Healthcare ClinicElectricalEquipDef</v>
      </c>
      <c r="AA12" t="str">
        <f>'Space Types'!BA15</f>
        <v>NECB-A-Electric-Equipment</v>
      </c>
      <c r="AB12">
        <f>'Space Types'!BC15</f>
        <v>4.5</v>
      </c>
      <c r="AC12">
        <f>'Space Types'!BD15</f>
        <v>0.37</v>
      </c>
      <c r="AD12">
        <f>'Space Types'!BE15</f>
        <v>0.2</v>
      </c>
      <c r="AE12" t="str">
        <f>'Space Types'!BI15</f>
        <v>NCC J7D3aHealth-care - examination room; radiant/visible fraction split retained from original WA/COMNET-REV9 source (AIRAH Technical Handbook does not publish this split)LightingDef</v>
      </c>
      <c r="AF12" t="str">
        <f>'Space Types'!BJ15</f>
        <v>NECB-A-Lighting</v>
      </c>
      <c r="AG12">
        <f>'Space Types'!BM15</f>
        <v>12.164794519999999</v>
      </c>
      <c r="AH12">
        <f>'Space Types'!BN15</f>
        <v>0</v>
      </c>
      <c r="AI12">
        <f>'Space Types'!BO15</f>
        <v>0</v>
      </c>
      <c r="AJ12">
        <f>'Space Types'!BP15</f>
        <v>0.5</v>
      </c>
      <c r="AK12" t="str">
        <f>'Space Types'!BT15</f>
        <v>COMNET-REV9California Commercial End-Use Survey (CEUS)DOEPrototypeBA Healthcare ClinicGasEquipDef</v>
      </c>
      <c r="AL12" t="str">
        <f>'Space Types'!BU15</f>
        <v>OutPatientHealthCare BLDG_EQUIP_SCH_BASE</v>
      </c>
      <c r="AM12">
        <f>'Space Types'!BX15</f>
        <v>0</v>
      </c>
      <c r="AN12" t="str">
        <f>'Space Types'!CC15</f>
        <v>NCC S34C2(6)0.7 ACH assumed as design infiltration for periods without mechanical outdoor air supply; NCC also specifies 0.35 ACH when mechanical OA is operating (to be applied via infiltration schedule once developed)BA Healthcare ClinicInfil</v>
      </c>
      <c r="AO12" t="str">
        <f>'Space Types'!CD15</f>
        <v>Always On</v>
      </c>
      <c r="AP12">
        <f>'Space Types'!CG15</f>
        <v>0</v>
      </c>
      <c r="AQ12">
        <f>'Space Types'!CH15</f>
        <v>2</v>
      </c>
      <c r="AR12">
        <f>'Space Types'!CI15</f>
        <v>0</v>
      </c>
      <c r="AS12" t="str">
        <f>'Space Types'!CJ15</f>
        <v>MediumSmooth</v>
      </c>
      <c r="AT12">
        <f>'Space Types'!CK15</f>
        <v>0.15</v>
      </c>
      <c r="AU12">
        <f>'Space Types'!CL15</f>
        <v>0.12</v>
      </c>
      <c r="AV12">
        <f>'Space Types'!CM15</f>
        <v>540</v>
      </c>
      <c r="AW12">
        <f>'Space Types'!CN15</f>
        <v>1210</v>
      </c>
      <c r="AX12">
        <f>'Space Types'!CO15</f>
        <v>0.9</v>
      </c>
      <c r="AY12">
        <f>'Space Types'!CP15</f>
        <v>0.7</v>
      </c>
      <c r="AZ12">
        <f>'Space Types'!CQ15</f>
        <v>0.7</v>
      </c>
      <c r="BA12" t="str">
        <f>'Space Types'!CR15</f>
        <v>Std Wood 6inch</v>
      </c>
      <c r="BB12" t="str">
        <f>'Space Types'!CW15</f>
        <v>OpenStudio-Prototype-BuildingsStd Wood 6inchInternalMassDef</v>
      </c>
    </row>
    <row r="13" spans="1:54" x14ac:dyDescent="0.35">
      <c r="A13" t="str">
        <f>'Space Types'!A16</f>
        <v>BA Hospital</v>
      </c>
      <c r="B13" t="str">
        <f>'Space Types'!B16</f>
        <v>2025_AU_NCC</v>
      </c>
      <c r="C13" t="str">
        <f>'Space Types'!C16</f>
        <v>Hospital</v>
      </c>
      <c r="D13" t="str">
        <f>'Space Types'!D16</f>
        <v>Whole Building</v>
      </c>
      <c r="E13">
        <f>'Space Types'!I16</f>
        <v>255</v>
      </c>
      <c r="F13">
        <f>'Space Types'!J16</f>
        <v>255</v>
      </c>
      <c r="G13">
        <f>'Space Types'!K16</f>
        <v>255</v>
      </c>
      <c r="H13" t="str">
        <f>'Space Types'!L16</f>
        <v>BA Hospital_2025AUNCC</v>
      </c>
      <c r="I13" t="str">
        <f>'Space Types'!M16</f>
        <v>BA Hospital_2025AUNCCScheduleSet</v>
      </c>
      <c r="J13">
        <f>'Space Types'!P16</f>
        <v>5.3819575000000001E-2</v>
      </c>
      <c r="K13">
        <f>'Space Types'!U16</f>
        <v>0</v>
      </c>
      <c r="L13">
        <f>'Space Types'!V16</f>
        <v>0</v>
      </c>
      <c r="M13">
        <f>'Space Types'!W16</f>
        <v>130</v>
      </c>
      <c r="N13">
        <f>'Space Types'!X16</f>
        <v>0.57692307700000001</v>
      </c>
      <c r="O13" t="str">
        <f>'Space Types'!AC16</f>
        <v>NCC S35C2nOther applications (non-dining)BA HospitalPeopleDef</v>
      </c>
      <c r="P13" t="str">
        <f>'Space Types'!AD16</f>
        <v>NECB-H-Occupancy</v>
      </c>
      <c r="Q13" t="str">
        <f>'Space Types'!AE16</f>
        <v>BA HospitalActivity</v>
      </c>
      <c r="R13" t="str">
        <f>'Space Types'!AG16</f>
        <v/>
      </c>
      <c r="S13">
        <f>'Space Types'!AI16</f>
        <v>2.3876000000000001E-3</v>
      </c>
      <c r="T13" t="str">
        <f>'Space Types'!AL16</f>
        <v/>
      </c>
      <c r="U13" t="str">
        <f>'Space Types'!AQ16</f>
        <v>COMNET-REV9WholeBuildingBA HospitalVent</v>
      </c>
      <c r="V13">
        <f>'Space Types'!AS16</f>
        <v>5</v>
      </c>
      <c r="W13">
        <f>'Space Types'!AT16</f>
        <v>0</v>
      </c>
      <c r="X13">
        <f>'Space Types'!AU16</f>
        <v>0.5</v>
      </c>
      <c r="Y13">
        <f>'Space Types'!AV16</f>
        <v>0</v>
      </c>
      <c r="Z13" t="str">
        <f>'Space Types'!AZ16</f>
        <v>NCC S35C2lNREL 956/Eley AnalysisClass 9a ward area (whole-building composite default); radiant/latent/lost fraction split retained from original WA/COMNET-REV9 source (AIRAH Technical Handbook does not publish this split)BA HospitalElectricalEquipDef</v>
      </c>
      <c r="AA13" t="str">
        <f>'Space Types'!BA16</f>
        <v>NECB-H-Electric-Equipment</v>
      </c>
      <c r="AB13">
        <f>'Space Types'!BC16</f>
        <v>2.5</v>
      </c>
      <c r="AC13">
        <f>'Space Types'!BD16</f>
        <v>0.37</v>
      </c>
      <c r="AD13">
        <f>'Space Types'!BE16</f>
        <v>0.2</v>
      </c>
      <c r="AE13" t="str">
        <f>'Space Types'!BI16</f>
        <v>NCC J7D3aHealth-care - all other patient care areas including wards and corridors; radiant/visible fraction split retained from original WA/COMNET-REV9 source (AIRAH Technical Handbook does not publish this split)LightingDef</v>
      </c>
      <c r="AF13" t="str">
        <f>'Space Types'!BJ16</f>
        <v>NECB-H-Lighting</v>
      </c>
      <c r="AG13">
        <f>'Space Types'!BM16</f>
        <v>12.164794519999999</v>
      </c>
      <c r="AH13">
        <f>'Space Types'!BN16</f>
        <v>0.01</v>
      </c>
      <c r="AI13">
        <f>'Space Types'!BO16</f>
        <v>0.2</v>
      </c>
      <c r="AJ13">
        <f>'Space Types'!BP16</f>
        <v>0.7</v>
      </c>
      <c r="AK13" t="str">
        <f>'Space Types'!BT16</f>
        <v>COMNET-REV9California Commercial End-Use Survey (CEUS)DOEPrototypeBA HospitalGasEquipDef</v>
      </c>
      <c r="AL13" t="str">
        <f>'Space Types'!BU16</f>
        <v>Hospital BLDG_EQUIP_SCH</v>
      </c>
      <c r="AM13">
        <f>'Space Types'!BX16</f>
        <v>0</v>
      </c>
      <c r="AN13" t="str">
        <f>'Space Types'!CC16</f>
        <v>NCC S34C2(6)0.7 ACH assumed as design infiltration for periods without mechanical outdoor air supply; NCC also specifies 0.35 ACH when mechanical OA is operating (to be applied via infiltration schedule once developed)BA HospitalInfil</v>
      </c>
      <c r="AO13" t="str">
        <f>'Space Types'!CD16</f>
        <v>Always On</v>
      </c>
      <c r="AP13">
        <f>'Space Types'!CG16</f>
        <v>0</v>
      </c>
      <c r="AQ13">
        <f>'Space Types'!CH16</f>
        <v>2</v>
      </c>
      <c r="AR13">
        <f>'Space Types'!CI16</f>
        <v>0</v>
      </c>
      <c r="AS13" t="str">
        <f>'Space Types'!CJ16</f>
        <v>MediumSmooth</v>
      </c>
      <c r="AT13">
        <f>'Space Types'!CK16</f>
        <v>0.15</v>
      </c>
      <c r="AU13">
        <f>'Space Types'!CL16</f>
        <v>0.12</v>
      </c>
      <c r="AV13">
        <f>'Space Types'!CM16</f>
        <v>540</v>
      </c>
      <c r="AW13">
        <f>'Space Types'!CN16</f>
        <v>1210</v>
      </c>
      <c r="AX13">
        <f>'Space Types'!CO16</f>
        <v>0.9</v>
      </c>
      <c r="AY13">
        <f>'Space Types'!CP16</f>
        <v>0.7</v>
      </c>
      <c r="AZ13">
        <f>'Space Types'!CQ16</f>
        <v>0.7</v>
      </c>
      <c r="BA13" t="str">
        <f>'Space Types'!CR16</f>
        <v>Std Wood 6inch</v>
      </c>
      <c r="BB13" t="str">
        <f>'Space Types'!CW16</f>
        <v>OpenStudio-Prototype-BuildingsStd Wood 6inchInternalMassDef</v>
      </c>
    </row>
    <row r="14" spans="1:54" x14ac:dyDescent="0.35">
      <c r="A14" t="str">
        <f>'Space Types'!A17</f>
        <v>BA Hotel</v>
      </c>
      <c r="B14" t="str">
        <f>'Space Types'!B17</f>
        <v>2025_AU_NCC</v>
      </c>
      <c r="C14" t="str">
        <f>'Space Types'!C17</f>
        <v>Hotel</v>
      </c>
      <c r="D14" t="str">
        <f>'Space Types'!D17</f>
        <v>Whole Building</v>
      </c>
      <c r="E14">
        <f>'Space Types'!I17</f>
        <v>255</v>
      </c>
      <c r="F14">
        <f>'Space Types'!J17</f>
        <v>255</v>
      </c>
      <c r="G14">
        <f>'Space Types'!K17</f>
        <v>255</v>
      </c>
      <c r="H14" t="str">
        <f>'Space Types'!L17</f>
        <v>BA Hotel_2025AUNCC</v>
      </c>
      <c r="I14" t="str">
        <f>'Space Types'!M17</f>
        <v>BA Hotel_2025AUNCCScheduleSet</v>
      </c>
      <c r="J14">
        <f>'Space Types'!P17</f>
        <v>4.3055660000000003E-2</v>
      </c>
      <c r="K14">
        <f>'Space Types'!U17</f>
        <v>0</v>
      </c>
      <c r="L14">
        <f>'Space Types'!V17</f>
        <v>0</v>
      </c>
      <c r="M14">
        <f>'Space Types'!W17</f>
        <v>130</v>
      </c>
      <c r="N14">
        <f>'Space Types'!X17</f>
        <v>0.57692307700000001</v>
      </c>
      <c r="O14" t="str">
        <f>'Space Types'!AC17</f>
        <v>NCC S35C2nOther applications (non-dining)BA HotelPeopleDef</v>
      </c>
      <c r="P14" t="str">
        <f>'Space Types'!AD17</f>
        <v>NECB-F-Occupancy</v>
      </c>
      <c r="Q14" t="str">
        <f>'Space Types'!AE17</f>
        <v>BA HotelActivity</v>
      </c>
      <c r="R14" t="str">
        <f>'Space Types'!AG17</f>
        <v/>
      </c>
      <c r="S14">
        <f>'Space Types'!AI17</f>
        <v>4.0640000000000001E-4</v>
      </c>
      <c r="T14" t="str">
        <f>'Space Types'!AL17</f>
        <v/>
      </c>
      <c r="U14" t="str">
        <f>'Space Types'!AQ17</f>
        <v>COMNET-REV9WholeBuildingBA HotelVent</v>
      </c>
      <c r="V14">
        <f>'Space Types'!AS17</f>
        <v>16.836282629999999</v>
      </c>
      <c r="W14">
        <f>'Space Types'!AT17</f>
        <v>0</v>
      </c>
      <c r="X14">
        <f>'Space Types'!AU17</f>
        <v>0.5</v>
      </c>
      <c r="Y14">
        <f>'Space Types'!AV17</f>
        <v>0</v>
      </c>
      <c r="Z14" t="str">
        <f>'Space Types'!AZ17</f>
        <v>COMNET-REV9NREL 956/Eley AnalysisDOEPrototypeBA HotelElectricalEquipDef</v>
      </c>
      <c r="AA14" t="str">
        <f>'Space Types'!BA17</f>
        <v>NECB-F-Electric-Equipment</v>
      </c>
      <c r="AB14">
        <f>'Space Types'!BC17</f>
        <v>5.7048699999999997</v>
      </c>
      <c r="AC14">
        <f>'Space Types'!BD17</f>
        <v>0.37</v>
      </c>
      <c r="AD14">
        <f>'Space Types'!BE17</f>
        <v>0.2</v>
      </c>
      <c r="AE14" t="str">
        <f>'Space Types'!BI17</f>
        <v>IECC Table C405.3.2(1)Hotel/Motel; radiant/visible fraction split retained from original WA/COMNET-REV9 sourceLightingDef</v>
      </c>
      <c r="AF14" t="str">
        <f>'Space Types'!BJ17</f>
        <v>NECB-F-Lighting</v>
      </c>
      <c r="AG14">
        <f>'Space Types'!BM17</f>
        <v>7.4954794519999997</v>
      </c>
      <c r="AH14">
        <f>'Space Types'!BN17</f>
        <v>0</v>
      </c>
      <c r="AI14">
        <f>'Space Types'!BO17</f>
        <v>0.5</v>
      </c>
      <c r="AJ14">
        <f>'Space Types'!BP17</f>
        <v>0</v>
      </c>
      <c r="AK14" t="str">
        <f>'Space Types'!BT17</f>
        <v>COMNET-REV9California Commercial End-Use Survey (CEUS)DOEPrototypeBA HotelGasEquipDef</v>
      </c>
      <c r="AL14" t="str">
        <f>'Space Types'!BU17</f>
        <v>HotelLarge BLDG_EQUIP_SCH</v>
      </c>
      <c r="AM14">
        <f>'Space Types'!BX17</f>
        <v>0</v>
      </c>
      <c r="AN14" t="str">
        <f>'Space Types'!CC17</f>
        <v>NCC S34C2(6)0.7 ACH assumed as design infiltration for periods without mechanical outdoor air supply; NCC also specifies 0.35 ACH when mechanical OA is operating (to be applied via infiltration schedule once developed)BA HotelInfil</v>
      </c>
      <c r="AO14" t="str">
        <f>'Space Types'!CD17</f>
        <v>Always On</v>
      </c>
      <c r="AP14">
        <f>'Space Types'!CG17</f>
        <v>0</v>
      </c>
      <c r="AQ14">
        <f>'Space Types'!CH17</f>
        <v>2</v>
      </c>
      <c r="AR14">
        <f>'Space Types'!CI17</f>
        <v>0</v>
      </c>
      <c r="AS14" t="str">
        <f>'Space Types'!CJ17</f>
        <v>MediumSmooth</v>
      </c>
      <c r="AT14">
        <f>'Space Types'!CK17</f>
        <v>0.15</v>
      </c>
      <c r="AU14">
        <f>'Space Types'!CL17</f>
        <v>0.12</v>
      </c>
      <c r="AV14">
        <f>'Space Types'!CM17</f>
        <v>540</v>
      </c>
      <c r="AW14">
        <f>'Space Types'!CN17</f>
        <v>1210</v>
      </c>
      <c r="AX14">
        <f>'Space Types'!CO17</f>
        <v>0.9</v>
      </c>
      <c r="AY14">
        <f>'Space Types'!CP17</f>
        <v>0.7</v>
      </c>
      <c r="AZ14">
        <f>'Space Types'!CQ17</f>
        <v>0.7</v>
      </c>
      <c r="BA14" t="str">
        <f>'Space Types'!CR17</f>
        <v>Std Wood 6inch</v>
      </c>
      <c r="BB14" t="str">
        <f>'Space Types'!CW17</f>
        <v>OpenStudio-Prototype-BuildingsStd Wood 6inchInternalMassDef</v>
      </c>
    </row>
    <row r="15" spans="1:54" x14ac:dyDescent="0.35">
      <c r="A15" t="str">
        <f>'Space Types'!A18</f>
        <v>BA Library</v>
      </c>
      <c r="B15" t="str">
        <f>'Space Types'!B18</f>
        <v>2025_AU_NCC</v>
      </c>
      <c r="C15" t="str">
        <f>'Space Types'!C18</f>
        <v>Library</v>
      </c>
      <c r="D15" t="str">
        <f>'Space Types'!D18</f>
        <v>Whole Building</v>
      </c>
      <c r="E15">
        <f>'Space Types'!I18</f>
        <v>255</v>
      </c>
      <c r="F15">
        <f>'Space Types'!J18</f>
        <v>255</v>
      </c>
      <c r="G15">
        <f>'Space Types'!K18</f>
        <v>255</v>
      </c>
      <c r="H15" t="str">
        <f>'Space Types'!L18</f>
        <v>BA Library_2025AUNCC</v>
      </c>
      <c r="I15" t="str">
        <f>'Space Types'!M18</f>
        <v>BA Library_2025AUNCCScheduleSet</v>
      </c>
      <c r="J15">
        <f>'Space Types'!P18</f>
        <v>0.107639151</v>
      </c>
      <c r="K15">
        <f>'Space Types'!U18</f>
        <v>0</v>
      </c>
      <c r="L15">
        <f>'Space Types'!V18</f>
        <v>0</v>
      </c>
      <c r="M15">
        <f>'Space Types'!W18</f>
        <v>130</v>
      </c>
      <c r="N15">
        <f>'Space Types'!X18</f>
        <v>0.57692307700000001</v>
      </c>
      <c r="O15" t="str">
        <f>'Space Types'!AC18</f>
        <v>NCC S35C2nOther applications (non-dining)BA LibraryPeopleDef</v>
      </c>
      <c r="P15" t="str">
        <f>'Space Types'!AD18</f>
        <v>NECB-C-Occupancy</v>
      </c>
      <c r="Q15" t="str">
        <f>'Space Types'!AE18</f>
        <v>BA LibraryActivity</v>
      </c>
      <c r="R15" t="str">
        <f>'Space Types'!AG18</f>
        <v/>
      </c>
      <c r="S15">
        <f>'Space Types'!AI18</f>
        <v>5.5880000000000003E-4</v>
      </c>
      <c r="T15" t="str">
        <f>'Space Types'!AL18</f>
        <v/>
      </c>
      <c r="U15" t="str">
        <f>'Space Types'!AQ18</f>
        <v>COMNET-REV9WholeBuildingBA LibraryVent</v>
      </c>
      <c r="V15">
        <f>'Space Types'!AS18</f>
        <v>0</v>
      </c>
      <c r="W15">
        <f>'Space Types'!AT18</f>
        <v>0</v>
      </c>
      <c r="X15">
        <f>'Space Types'!AU18</f>
        <v>0.5</v>
      </c>
      <c r="Y15">
        <f>'Space Types'!AV18</f>
        <v>0</v>
      </c>
      <c r="Z15" t="str">
        <f>'Space Types'!AZ18</f>
        <v>NCC S35C2lNREL 956/Eley AnalysisClass 9b (Other applications) - no equipment load per S35C2l; radiant/latent/lost fraction split retained from original WA/COMNET-REV9 source (AIRAH Technical Handbook does not publish this split)BA LibraryElectricalEquipDef</v>
      </c>
      <c r="AA15" t="str">
        <f>'Space Types'!BA18</f>
        <v>NECB-C-Electric-Equipment</v>
      </c>
      <c r="AB15">
        <f>'Space Types'!BC18</f>
        <v>4.5</v>
      </c>
      <c r="AC15">
        <f>'Space Types'!BD18</f>
        <v>0.37</v>
      </c>
      <c r="AD15">
        <f>'Space Types'!BE18</f>
        <v>0.2</v>
      </c>
      <c r="AE15" t="str">
        <f>'Space Types'!BI18</f>
        <v>NCC J7D3aLibrary - reading room and general areas; radiant/visible fraction split retained from original WA/COMNET-REV9 source (AIRAH Technical Handbook does not publish this split)LightingDef</v>
      </c>
      <c r="AF15" t="str">
        <f>'Space Types'!BJ18</f>
        <v>NECB-C-Lighting</v>
      </c>
      <c r="AG15">
        <f>'Space Types'!BM18</f>
        <v>0.245753425</v>
      </c>
      <c r="AH15">
        <f>'Space Types'!BN18</f>
        <v>0.01</v>
      </c>
      <c r="AI15">
        <f>'Space Types'!BO18</f>
        <v>0.4</v>
      </c>
      <c r="AJ15">
        <f>'Space Types'!BP18</f>
        <v>0.4</v>
      </c>
      <c r="AK15" t="str">
        <f>'Space Types'!BT18</f>
        <v>COMNET-REV9California Commercial End-Use Survey (CEUS)60%ThermEffProcessBA LibraryGasEquipDef</v>
      </c>
      <c r="AL15" t="str">
        <f>'Space Types'!BU18</f>
        <v>NECB-C-Electric-Equipment</v>
      </c>
      <c r="AM15">
        <f>'Space Types'!BX18</f>
        <v>0</v>
      </c>
      <c r="AN15" t="str">
        <f>'Space Types'!CC18</f>
        <v>NCC S34C2(6)0.7 ACH assumed as design infiltration for periods without mechanical outdoor air supply; NCC also specifies 0.35 ACH when mechanical OA is operating (to be applied via infiltration schedule once developed)BA LibraryInfil</v>
      </c>
      <c r="AO15" t="str">
        <f>'Space Types'!CD18</f>
        <v>Always On</v>
      </c>
      <c r="AP15">
        <f>'Space Types'!CG18</f>
        <v>0</v>
      </c>
      <c r="AQ15">
        <f>'Space Types'!CH18</f>
        <v>2</v>
      </c>
      <c r="AR15">
        <f>'Space Types'!CI18</f>
        <v>0</v>
      </c>
      <c r="AS15" t="str">
        <f>'Space Types'!CJ18</f>
        <v>MediumSmooth</v>
      </c>
      <c r="AT15">
        <f>'Space Types'!CK18</f>
        <v>0.15</v>
      </c>
      <c r="AU15">
        <f>'Space Types'!CL18</f>
        <v>0.12</v>
      </c>
      <c r="AV15">
        <f>'Space Types'!CM18</f>
        <v>540</v>
      </c>
      <c r="AW15">
        <f>'Space Types'!CN18</f>
        <v>1210</v>
      </c>
      <c r="AX15">
        <f>'Space Types'!CO18</f>
        <v>0.9</v>
      </c>
      <c r="AY15">
        <f>'Space Types'!CP18</f>
        <v>0.7</v>
      </c>
      <c r="AZ15">
        <f>'Space Types'!CQ18</f>
        <v>0.7</v>
      </c>
      <c r="BA15" t="str">
        <f>'Space Types'!CR18</f>
        <v>Std Wood 6inch</v>
      </c>
      <c r="BB15" t="str">
        <f>'Space Types'!CW18</f>
        <v>OpenStudio-Prototype-BuildingsStd Wood 6inchInternalMassDef</v>
      </c>
    </row>
    <row r="16" spans="1:54" x14ac:dyDescent="0.35">
      <c r="A16" t="str">
        <f>'Space Types'!A19</f>
        <v>BA Manufacturing Facility</v>
      </c>
      <c r="B16" t="str">
        <f>'Space Types'!B19</f>
        <v>2025_AU_NCC</v>
      </c>
      <c r="C16" t="str">
        <f>'Space Types'!C19</f>
        <v>Manufacturing Facility</v>
      </c>
      <c r="D16" t="str">
        <f>'Space Types'!D19</f>
        <v>Whole Building</v>
      </c>
      <c r="E16">
        <f>'Space Types'!I19</f>
        <v>255</v>
      </c>
      <c r="F16">
        <f>'Space Types'!J19</f>
        <v>255</v>
      </c>
      <c r="G16">
        <f>'Space Types'!K19</f>
        <v>255</v>
      </c>
      <c r="H16" t="str">
        <f>'Space Types'!L19</f>
        <v>BA Manufacturing Facility_2025AUNCC</v>
      </c>
      <c r="I16" t="str">
        <f>'Space Types'!M19</f>
        <v>BA Manufacturing Facility_2025AUNCCScheduleSet</v>
      </c>
      <c r="J16">
        <f>'Space Types'!P19</f>
        <v>7.5272133000000005E-2</v>
      </c>
      <c r="K16">
        <f>'Space Types'!U19</f>
        <v>0</v>
      </c>
      <c r="L16">
        <f>'Space Types'!V19</f>
        <v>0</v>
      </c>
      <c r="M16">
        <f>'Space Types'!W19</f>
        <v>130</v>
      </c>
      <c r="N16">
        <f>'Space Types'!X19</f>
        <v>0.57692307700000001</v>
      </c>
      <c r="O16" t="str">
        <f>'Space Types'!AC19</f>
        <v>NCC S35C2nOther applications (non-dining)BA Manufacturing FacilityPeopleDef</v>
      </c>
      <c r="P16" t="str">
        <f>'Space Types'!AD19</f>
        <v>NECB-A-Occupancy</v>
      </c>
      <c r="Q16" t="str">
        <f>'Space Types'!AE19</f>
        <v>BA Manufacturing FacilityActivity</v>
      </c>
      <c r="R16" t="str">
        <f>'Space Types'!AG19</f>
        <v/>
      </c>
      <c r="S16">
        <f>'Space Types'!AI19</f>
        <v>1.2700000000000001E-3</v>
      </c>
      <c r="T16" t="str">
        <f>'Space Types'!AL19</f>
        <v/>
      </c>
      <c r="U16" t="str">
        <f>'Space Types'!AQ19</f>
        <v>COMNET-REV9WholeBuildingBA Manufacturing FacilityVent</v>
      </c>
      <c r="V16">
        <f>'Space Types'!AS19</f>
        <v>0</v>
      </c>
      <c r="W16">
        <f>'Space Types'!AT19</f>
        <v>0</v>
      </c>
      <c r="X16">
        <f>'Space Types'!AU19</f>
        <v>0.5</v>
      </c>
      <c r="Y16">
        <f>'Space Types'!AV19</f>
        <v>0</v>
      </c>
      <c r="Z16" t="str">
        <f>'Space Types'!AZ19</f>
        <v>NCC S35C2lNREL 956/Eley AnalysisClass 8 (Other applications) - no equipment load per S35C2l; radiant/latent/lost fraction split retained from original WA/COMNET-REV9 source (AIRAH Technical Handbook does not publish this split)BA Manufacturing FacilityElectricalEquipDef</v>
      </c>
      <c r="AA16" t="str">
        <f>'Space Types'!BA19</f>
        <v>NECB-A-Electric-Equipment</v>
      </c>
      <c r="AB16">
        <f>'Space Types'!BC19</f>
        <v>8.8264099999999992</v>
      </c>
      <c r="AC16">
        <f>'Space Types'!BD19</f>
        <v>0.37</v>
      </c>
      <c r="AD16">
        <f>'Space Types'!BE19</f>
        <v>0.2</v>
      </c>
      <c r="AE16" t="str">
        <f>'Space Types'!BI19</f>
        <v>IECC Table C405.3.2(1)Manufacturing facility; radiant/visible fraction split retained from original WA/COMNET-REV9 sourceLightingDef</v>
      </c>
      <c r="AF16" t="str">
        <f>'Space Types'!BJ19</f>
        <v>NECB-A-Lighting</v>
      </c>
      <c r="AG16">
        <f>'Space Types'!BM19</f>
        <v>8.1098630140000001</v>
      </c>
      <c r="AH16">
        <f>'Space Types'!BN19</f>
        <v>0</v>
      </c>
      <c r="AI16">
        <f>'Space Types'!BO19</f>
        <v>0.75</v>
      </c>
      <c r="AJ16">
        <f>'Space Types'!BP19</f>
        <v>0.25</v>
      </c>
      <c r="AK16" t="str">
        <f>'Space Types'!BT19</f>
        <v>COMNET-REV9California Commercial End-Use Survey (CEUS)93%ThermEffRadiantBA Manufacturing FacilityGasEquipDef</v>
      </c>
      <c r="AL16" t="str">
        <f>'Space Types'!BU19</f>
        <v>NECB-A-Electric-Equipment</v>
      </c>
      <c r="AM16">
        <f>'Space Types'!BX19</f>
        <v>0</v>
      </c>
      <c r="AN16" t="str">
        <f>'Space Types'!CC19</f>
        <v>NCC S34C2(6)0.7 ACH assumed as design infiltration for periods without mechanical outdoor air supply; NCC also specifies 0.35 ACH when mechanical OA is operating (to be applied via infiltration schedule once developed)BA Manufacturing FacilityInfil</v>
      </c>
      <c r="AO16" t="str">
        <f>'Space Types'!CD19</f>
        <v>Always On</v>
      </c>
      <c r="AP16">
        <f>'Space Types'!CG19</f>
        <v>0</v>
      </c>
      <c r="AQ16">
        <f>'Space Types'!CH19</f>
        <v>2</v>
      </c>
      <c r="AR16">
        <f>'Space Types'!CI19</f>
        <v>0</v>
      </c>
      <c r="AS16" t="str">
        <f>'Space Types'!CJ19</f>
        <v>MediumSmooth</v>
      </c>
      <c r="AT16">
        <f>'Space Types'!CK19</f>
        <v>0.15</v>
      </c>
      <c r="AU16">
        <f>'Space Types'!CL19</f>
        <v>0.12</v>
      </c>
      <c r="AV16">
        <f>'Space Types'!CM19</f>
        <v>540</v>
      </c>
      <c r="AW16">
        <f>'Space Types'!CN19</f>
        <v>1210</v>
      </c>
      <c r="AX16">
        <f>'Space Types'!CO19</f>
        <v>0.9</v>
      </c>
      <c r="AY16">
        <f>'Space Types'!CP19</f>
        <v>0.7</v>
      </c>
      <c r="AZ16">
        <f>'Space Types'!CQ19</f>
        <v>0.7</v>
      </c>
      <c r="BA16" t="str">
        <f>'Space Types'!CR19</f>
        <v>Std Wood 6inch</v>
      </c>
      <c r="BB16" t="str">
        <f>'Space Types'!CW19</f>
        <v>OpenStudio-Prototype-BuildingsStd Wood 6inchInternalMassDef</v>
      </c>
    </row>
    <row r="17" spans="1:54" x14ac:dyDescent="0.35">
      <c r="A17" t="str">
        <f>'Space Types'!A20</f>
        <v>BA Motel</v>
      </c>
      <c r="B17" t="str">
        <f>'Space Types'!B20</f>
        <v>2025_AU_NCC</v>
      </c>
      <c r="C17" t="str">
        <f>'Space Types'!C20</f>
        <v>Motel</v>
      </c>
      <c r="D17" t="str">
        <f>'Space Types'!D20</f>
        <v>Whole Building</v>
      </c>
      <c r="E17">
        <f>'Space Types'!I20</f>
        <v>255</v>
      </c>
      <c r="F17">
        <f>'Space Types'!J20</f>
        <v>255</v>
      </c>
      <c r="G17">
        <f>'Space Types'!K20</f>
        <v>255</v>
      </c>
      <c r="H17" t="str">
        <f>'Space Types'!L20</f>
        <v>BA Motel_2025AUNCC</v>
      </c>
      <c r="I17" t="str">
        <f>'Space Types'!M20</f>
        <v>BA Motel_2025AUNCCScheduleSet</v>
      </c>
      <c r="J17">
        <f>'Space Types'!P20</f>
        <v>4.3055660000000003E-2</v>
      </c>
      <c r="K17">
        <f>'Space Types'!U20</f>
        <v>0</v>
      </c>
      <c r="L17">
        <f>'Space Types'!V20</f>
        <v>0</v>
      </c>
      <c r="M17">
        <f>'Space Types'!W20</f>
        <v>130</v>
      </c>
      <c r="N17">
        <f>'Space Types'!X20</f>
        <v>0.57692307700000001</v>
      </c>
      <c r="O17" t="str">
        <f>'Space Types'!AC20</f>
        <v>NCC S35C2nOther applications (non-dining)BA MotelPeopleDef</v>
      </c>
      <c r="P17" t="str">
        <f>'Space Types'!AD20</f>
        <v>NECB-F-Occupancy</v>
      </c>
      <c r="Q17" t="str">
        <f>'Space Types'!AE20</f>
        <v>BA MotelActivity</v>
      </c>
      <c r="R17" t="str">
        <f>'Space Types'!AG20</f>
        <v/>
      </c>
      <c r="S17">
        <f>'Space Types'!AI20</f>
        <v>4.0640000000000001E-4</v>
      </c>
      <c r="T17" t="str">
        <f>'Space Types'!AL20</f>
        <v/>
      </c>
      <c r="U17" t="str">
        <f>'Space Types'!AQ20</f>
        <v>COMNET-REV9WholeBuildingBA MotelVent</v>
      </c>
      <c r="V17">
        <f>'Space Types'!AS20</f>
        <v>16.836282629999999</v>
      </c>
      <c r="W17">
        <f>'Space Types'!AT20</f>
        <v>0</v>
      </c>
      <c r="X17">
        <f>'Space Types'!AU20</f>
        <v>0.5</v>
      </c>
      <c r="Y17">
        <f>'Space Types'!AV20</f>
        <v>0</v>
      </c>
      <c r="Z17" t="str">
        <f>'Space Types'!AZ20</f>
        <v>COMNET-REV9NREL 956/Eley AnalysisDOEPrototypeBA MotelElectricalEquipDef</v>
      </c>
      <c r="AA17" t="str">
        <f>'Space Types'!BA20</f>
        <v>NECB-F-Electric-Equipment</v>
      </c>
      <c r="AB17">
        <f>'Space Types'!BC20</f>
        <v>5.7048699999999997</v>
      </c>
      <c r="AC17">
        <f>'Space Types'!BD20</f>
        <v>0.37</v>
      </c>
      <c r="AD17">
        <f>'Space Types'!BE20</f>
        <v>0.2</v>
      </c>
      <c r="AE17" t="str">
        <f>'Space Types'!BI20</f>
        <v>IECC Table C405.3.2(1)Hotel/Motel; radiant/visible fraction split retained from original WA/COMNET-REV9 sourceLightingDef</v>
      </c>
      <c r="AF17" t="str">
        <f>'Space Types'!BJ20</f>
        <v>NECB-F-Lighting</v>
      </c>
      <c r="AG17">
        <f>'Space Types'!BM20</f>
        <v>7.4954794519999997</v>
      </c>
      <c r="AH17">
        <f>'Space Types'!BN20</f>
        <v>0.01</v>
      </c>
      <c r="AI17">
        <f>'Space Types'!BO20</f>
        <v>0.4</v>
      </c>
      <c r="AJ17">
        <f>'Space Types'!BP20</f>
        <v>0.4</v>
      </c>
      <c r="AK17" t="str">
        <f>'Space Types'!BT20</f>
        <v>COMNET-REV9California Commercial End-Use Survey (CEUS)60%ThermEffProcessBA MotelGasEquipDef</v>
      </c>
      <c r="AL17" t="str">
        <f>'Space Types'!BU20</f>
        <v>NECB-F-Electric-Equipment</v>
      </c>
      <c r="AM17">
        <f>'Space Types'!BX20</f>
        <v>0</v>
      </c>
      <c r="AN17" t="str">
        <f>'Space Types'!CC20</f>
        <v>NCC S34C2(6)0.7 ACH assumed as design infiltration for periods without mechanical outdoor air supply; NCC also specifies 0.35 ACH when mechanical OA is operating (to be applied via infiltration schedule once developed)BA MotelInfil</v>
      </c>
      <c r="AO17" t="str">
        <f>'Space Types'!CD20</f>
        <v>Always On</v>
      </c>
      <c r="AP17">
        <f>'Space Types'!CG20</f>
        <v>0</v>
      </c>
      <c r="AQ17">
        <f>'Space Types'!CH20</f>
        <v>2</v>
      </c>
      <c r="AR17">
        <f>'Space Types'!CI20</f>
        <v>0</v>
      </c>
      <c r="AS17" t="str">
        <f>'Space Types'!CJ20</f>
        <v>MediumSmooth</v>
      </c>
      <c r="AT17">
        <f>'Space Types'!CK20</f>
        <v>0.15</v>
      </c>
      <c r="AU17">
        <f>'Space Types'!CL20</f>
        <v>0.12</v>
      </c>
      <c r="AV17">
        <f>'Space Types'!CM20</f>
        <v>540</v>
      </c>
      <c r="AW17">
        <f>'Space Types'!CN20</f>
        <v>1210</v>
      </c>
      <c r="AX17">
        <f>'Space Types'!CO20</f>
        <v>0.9</v>
      </c>
      <c r="AY17">
        <f>'Space Types'!CP20</f>
        <v>0.7</v>
      </c>
      <c r="AZ17">
        <f>'Space Types'!CQ20</f>
        <v>0.7</v>
      </c>
      <c r="BA17" t="str">
        <f>'Space Types'!CR20</f>
        <v>Std Wood 6inch</v>
      </c>
      <c r="BB17" t="str">
        <f>'Space Types'!CW20</f>
        <v>OpenStudio-Prototype-BuildingsStd Wood 6inchInternalMassDef</v>
      </c>
    </row>
    <row r="18" spans="1:54" x14ac:dyDescent="0.35">
      <c r="A18" t="str">
        <f>'Space Types'!A21</f>
        <v>BA Motion Picture Theater</v>
      </c>
      <c r="B18" t="str">
        <f>'Space Types'!B21</f>
        <v>2025_AU_NCC</v>
      </c>
      <c r="C18" t="str">
        <f>'Space Types'!C21</f>
        <v>Motion Picture Theater</v>
      </c>
      <c r="D18" t="str">
        <f>'Space Types'!D21</f>
        <v>Whole Building</v>
      </c>
      <c r="E18">
        <f>'Space Types'!I21</f>
        <v>255</v>
      </c>
      <c r="F18">
        <f>'Space Types'!J21</f>
        <v>255</v>
      </c>
      <c r="G18">
        <f>'Space Types'!K21</f>
        <v>255</v>
      </c>
      <c r="H18" t="str">
        <f>'Space Types'!L21</f>
        <v>BA Motion Picture Theater_2025AUNCC</v>
      </c>
      <c r="I18" t="str">
        <f>'Space Types'!M21</f>
        <v>BA Motion Picture Theater_2025AUNCCScheduleSet</v>
      </c>
      <c r="J18">
        <f>'Space Types'!P21</f>
        <v>1.5377021500000001</v>
      </c>
      <c r="K18">
        <f>'Space Types'!U21</f>
        <v>0</v>
      </c>
      <c r="L18">
        <f>'Space Types'!V21</f>
        <v>0</v>
      </c>
      <c r="M18">
        <f>'Space Types'!W21</f>
        <v>130</v>
      </c>
      <c r="N18">
        <f>'Space Types'!X21</f>
        <v>0.57692307700000001</v>
      </c>
      <c r="O18" t="str">
        <f>'Space Types'!AC21</f>
        <v>NCC S35C2nOther applications (non-dining)BA Motion Picture TheaterPeopleDef</v>
      </c>
      <c r="P18" t="str">
        <f>'Space Types'!AD21</f>
        <v>NECB-C-Occupancy</v>
      </c>
      <c r="Q18" t="str">
        <f>'Space Types'!AE21</f>
        <v>BA Motion Picture TheaterActivity</v>
      </c>
      <c r="R18" t="str">
        <f>'Space Types'!AG21</f>
        <v/>
      </c>
      <c r="S18">
        <f>'Space Types'!AI21</f>
        <v>6.0451999999999997E-3</v>
      </c>
      <c r="T18" t="str">
        <f>'Space Types'!AL21</f>
        <v/>
      </c>
      <c r="U18" t="str">
        <f>'Space Types'!AQ21</f>
        <v>COMNET-REV9WholeBuildingBA Motion Picture TheaterVent</v>
      </c>
      <c r="V18">
        <f>'Space Types'!AS21</f>
        <v>0</v>
      </c>
      <c r="W18">
        <f>'Space Types'!AT21</f>
        <v>0</v>
      </c>
      <c r="X18">
        <f>'Space Types'!AU21</f>
        <v>0.5</v>
      </c>
      <c r="Y18">
        <f>'Space Types'!AV21</f>
        <v>0</v>
      </c>
      <c r="Z18" t="str">
        <f>'Space Types'!AZ21</f>
        <v>NCC S35C2lNREL 956/Eley AnalysisClass 9b (Other applications) - no equipment load per S35C2l; radiant/latent/lost fraction split retained from original WA/COMNET-REV9 source (AIRAH Technical Handbook does not publish this split)BA Motion Picture TheaterElectricalEquipDef</v>
      </c>
      <c r="AA18" t="str">
        <f>'Space Types'!BA21</f>
        <v>NECB-C-Electric-Equipment</v>
      </c>
      <c r="AB18">
        <f>'Space Types'!BC21</f>
        <v>8</v>
      </c>
      <c r="AC18">
        <f>'Space Types'!BD21</f>
        <v>0.37</v>
      </c>
      <c r="AD18">
        <f>'Space Types'!BE21</f>
        <v>0.2</v>
      </c>
      <c r="AE18" t="str">
        <f>'Space Types'!BI21</f>
        <v>NCC J7D3aAuditorium, church and public hall (nearest; no dedicated cinema row); radiant/visible fraction split retained from original WA/COMNET-REV9 source (AIRAH Technical Handbook does not publish this split)LightingDef</v>
      </c>
      <c r="AF18" t="str">
        <f>'Space Types'!BJ21</f>
        <v>NECB-C-Lighting</v>
      </c>
      <c r="AG18">
        <f>'Space Types'!BM21</f>
        <v>0.245753425</v>
      </c>
      <c r="AH18">
        <f>'Space Types'!BN21</f>
        <v>0.01</v>
      </c>
      <c r="AI18">
        <f>'Space Types'!BO21</f>
        <v>0.4</v>
      </c>
      <c r="AJ18">
        <f>'Space Types'!BP21</f>
        <v>0.4</v>
      </c>
      <c r="AK18" t="str">
        <f>'Space Types'!BT21</f>
        <v>COMNET-REV9California Commercial End-Use Survey (CEUS)60%ThermEffProcessBA Motion Picture TheaterGasEquipDef</v>
      </c>
      <c r="AL18" t="str">
        <f>'Space Types'!BU21</f>
        <v>NECB-C-Electric-Equipment</v>
      </c>
      <c r="AM18">
        <f>'Space Types'!BX21</f>
        <v>0</v>
      </c>
      <c r="AN18" t="str">
        <f>'Space Types'!CC21</f>
        <v>NCC S34C2(6)0.7 ACH assumed as design infiltration for periods without mechanical outdoor air supply; NCC also specifies 0.35 ACH when mechanical OA is operating (to be applied via infiltration schedule once developed)BA Motion Picture TheaterInfil</v>
      </c>
      <c r="AO18" t="str">
        <f>'Space Types'!CD21</f>
        <v>Always On</v>
      </c>
      <c r="AP18">
        <f>'Space Types'!CG21</f>
        <v>0</v>
      </c>
      <c r="AQ18">
        <f>'Space Types'!CH21</f>
        <v>2</v>
      </c>
      <c r="AR18">
        <f>'Space Types'!CI21</f>
        <v>0</v>
      </c>
      <c r="AS18" t="str">
        <f>'Space Types'!CJ21</f>
        <v>MediumSmooth</v>
      </c>
      <c r="AT18">
        <f>'Space Types'!CK21</f>
        <v>0.15</v>
      </c>
      <c r="AU18">
        <f>'Space Types'!CL21</f>
        <v>0.12</v>
      </c>
      <c r="AV18">
        <f>'Space Types'!CM21</f>
        <v>540</v>
      </c>
      <c r="AW18">
        <f>'Space Types'!CN21</f>
        <v>1210</v>
      </c>
      <c r="AX18">
        <f>'Space Types'!CO21</f>
        <v>0.9</v>
      </c>
      <c r="AY18">
        <f>'Space Types'!CP21</f>
        <v>0.7</v>
      </c>
      <c r="AZ18">
        <f>'Space Types'!CQ21</f>
        <v>0.7</v>
      </c>
      <c r="BA18" t="str">
        <f>'Space Types'!CR21</f>
        <v>Std Wood 6inch</v>
      </c>
      <c r="BB18" t="str">
        <f>'Space Types'!CW21</f>
        <v>OpenStudio-Prototype-BuildingsStd Wood 6inchInternalMassDef</v>
      </c>
    </row>
    <row r="19" spans="1:54" x14ac:dyDescent="0.35">
      <c r="A19" t="str">
        <f>'Space Types'!A22</f>
        <v>BA Multifamily</v>
      </c>
      <c r="B19" t="str">
        <f>'Space Types'!B22</f>
        <v>2025_AU_NCC</v>
      </c>
      <c r="C19" t="str">
        <f>'Space Types'!C22</f>
        <v>Multifamily</v>
      </c>
      <c r="D19" t="str">
        <f>'Space Types'!D22</f>
        <v>Whole Building</v>
      </c>
      <c r="E19">
        <f>'Space Types'!I22</f>
        <v>255</v>
      </c>
      <c r="F19">
        <f>'Space Types'!J22</f>
        <v>255</v>
      </c>
      <c r="G19">
        <f>'Space Types'!K22</f>
        <v>255</v>
      </c>
      <c r="H19" t="str">
        <f>'Space Types'!L22</f>
        <v>BA Multifamily_2025AUNCC</v>
      </c>
      <c r="I19" t="str">
        <f>'Space Types'!M22</f>
        <v>BA Multifamily_2025AUNCCScheduleSet</v>
      </c>
      <c r="J19">
        <f>'Space Types'!P22</f>
        <v>2.8326092000000001E-2</v>
      </c>
      <c r="K19">
        <f>'Space Types'!U22</f>
        <v>0</v>
      </c>
      <c r="L19">
        <f>'Space Types'!V22</f>
        <v>0</v>
      </c>
      <c r="M19">
        <f>'Space Types'!W22</f>
        <v>130</v>
      </c>
      <c r="N19">
        <f>'Space Types'!X22</f>
        <v>0.57692307700000001</v>
      </c>
      <c r="O19" t="str">
        <f>'Space Types'!AC22</f>
        <v>NCC S35C2nOther applications (non-dining)BA MultifamilyPeopleDef</v>
      </c>
      <c r="P19" t="str">
        <f>'Space Types'!AD22</f>
        <v>NECB-G-Occupancy</v>
      </c>
      <c r="Q19" t="str">
        <f>'Space Types'!AE22</f>
        <v>BA MultifamilyActivity</v>
      </c>
      <c r="R19" t="str">
        <f>'Space Types'!AG22</f>
        <v/>
      </c>
      <c r="S19">
        <f>'Space Types'!AI22</f>
        <v>3.0479999999999998E-4</v>
      </c>
      <c r="T19" t="str">
        <f>'Space Types'!AL22</f>
        <v/>
      </c>
      <c r="U19" t="str">
        <f>'Space Types'!AQ22</f>
        <v>COMNET-REV9WholeBuildingBA MultifamilyVent</v>
      </c>
      <c r="V19">
        <f>'Space Types'!AS22</f>
        <v>15.333058250000001</v>
      </c>
      <c r="W19">
        <f>'Space Types'!AT22</f>
        <v>0</v>
      </c>
      <c r="X19">
        <f>'Space Types'!AU22</f>
        <v>0.5</v>
      </c>
      <c r="Y19">
        <f>'Space Types'!AV22</f>
        <v>0</v>
      </c>
      <c r="Z19" t="str">
        <f>'Space Types'!AZ22</f>
        <v>COMNET-REV9NREL 956/Eley AnalysisDOEPrototypeBA MultifamilyElectricalEquipDef</v>
      </c>
      <c r="AA19" t="str">
        <f>'Space Types'!BA22</f>
        <v>NECB-G-Electric-Equipment</v>
      </c>
      <c r="AB19">
        <f>'Space Types'!BC22</f>
        <v>4.9513999999999996</v>
      </c>
      <c r="AC19">
        <f>'Space Types'!BD22</f>
        <v>0.37</v>
      </c>
      <c r="AD19">
        <f>'Space Types'!BE22</f>
        <v>0.2</v>
      </c>
      <c r="AE19" t="str">
        <f>'Space Types'!BI22</f>
        <v>IECC Table C405.3.2(1)Multiple-family; radiant/visible fraction split retained from original WA/COMNET-REV9 sourceLightingDef</v>
      </c>
      <c r="AF19" t="str">
        <f>'Space Types'!BJ22</f>
        <v>NECB-G-Lighting</v>
      </c>
      <c r="AG19">
        <f>'Space Types'!BM22</f>
        <v>7.4954794519999997</v>
      </c>
      <c r="AH19">
        <f>'Space Types'!BN22</f>
        <v>0.01</v>
      </c>
      <c r="AI19">
        <f>'Space Types'!BO22</f>
        <v>0.4</v>
      </c>
      <c r="AJ19">
        <f>'Space Types'!BP22</f>
        <v>0.4</v>
      </c>
      <c r="AK19" t="str">
        <f>'Space Types'!BT22</f>
        <v>COMNET-REV9California Commercial End-Use Survey (CEUS)60%ThermEffProcessBA MultifamilyGasEquipDef</v>
      </c>
      <c r="AL19" t="str">
        <f>'Space Types'!BU22</f>
        <v>NECB-G-Electric-Equipment</v>
      </c>
      <c r="AM19">
        <f>'Space Types'!BX22</f>
        <v>0</v>
      </c>
      <c r="AN19" t="str">
        <f>'Space Types'!CC22</f>
        <v>NCC S34C2(6)0.7 ACH assumed as design infiltration for periods without mechanical outdoor air supply; NCC also specifies 0.35 ACH when mechanical OA is operating (to be applied via infiltration schedule once developed)BA MultifamilyInfil</v>
      </c>
      <c r="AO19" t="str">
        <f>'Space Types'!CD22</f>
        <v>Always On</v>
      </c>
      <c r="AP19">
        <f>'Space Types'!CG22</f>
        <v>0</v>
      </c>
      <c r="AQ19">
        <f>'Space Types'!CH22</f>
        <v>2</v>
      </c>
      <c r="AR19">
        <f>'Space Types'!CI22</f>
        <v>0</v>
      </c>
      <c r="AS19" t="str">
        <f>'Space Types'!CJ22</f>
        <v>MediumSmooth</v>
      </c>
      <c r="AT19">
        <f>'Space Types'!CK22</f>
        <v>0.15</v>
      </c>
      <c r="AU19">
        <f>'Space Types'!CL22</f>
        <v>0.12</v>
      </c>
      <c r="AV19">
        <f>'Space Types'!CM22</f>
        <v>540</v>
      </c>
      <c r="AW19">
        <f>'Space Types'!CN22</f>
        <v>1210</v>
      </c>
      <c r="AX19">
        <f>'Space Types'!CO22</f>
        <v>0.9</v>
      </c>
      <c r="AY19">
        <f>'Space Types'!CP22</f>
        <v>0.7</v>
      </c>
      <c r="AZ19">
        <f>'Space Types'!CQ22</f>
        <v>0.7</v>
      </c>
      <c r="BA19" t="str">
        <f>'Space Types'!CR22</f>
        <v>Std Wood 6inch</v>
      </c>
      <c r="BB19" t="str">
        <f>'Space Types'!CW22</f>
        <v>OpenStudio-Prototype-BuildingsStd Wood 6inchInternalMassDef</v>
      </c>
    </row>
    <row r="20" spans="1:54" x14ac:dyDescent="0.35">
      <c r="A20" t="str">
        <f>'Space Types'!A23</f>
        <v>BA Museum</v>
      </c>
      <c r="B20" t="str">
        <f>'Space Types'!B23</f>
        <v>2025_AU_NCC</v>
      </c>
      <c r="C20" t="str">
        <f>'Space Types'!C23</f>
        <v>Museum</v>
      </c>
      <c r="D20" t="str">
        <f>'Space Types'!D23</f>
        <v>Whole Building</v>
      </c>
      <c r="E20">
        <f>'Space Types'!I23</f>
        <v>255</v>
      </c>
      <c r="F20">
        <f>'Space Types'!J23</f>
        <v>255</v>
      </c>
      <c r="G20">
        <f>'Space Types'!K23</f>
        <v>255</v>
      </c>
      <c r="H20" t="str">
        <f>'Space Types'!L23</f>
        <v>BA Museum_2025AUNCC</v>
      </c>
      <c r="I20" t="str">
        <f>'Space Types'!M23</f>
        <v>BA Museum_2025AUNCCScheduleSet</v>
      </c>
      <c r="J20">
        <f>'Space Types'!P23</f>
        <v>0.43055660200000001</v>
      </c>
      <c r="K20">
        <f>'Space Types'!U23</f>
        <v>0</v>
      </c>
      <c r="L20">
        <f>'Space Types'!V23</f>
        <v>0</v>
      </c>
      <c r="M20">
        <f>'Space Types'!W23</f>
        <v>130</v>
      </c>
      <c r="N20">
        <f>'Space Types'!X23</f>
        <v>0.57692307700000001</v>
      </c>
      <c r="O20" t="str">
        <f>'Space Types'!AC23</f>
        <v>NCC S35C2nOther applications (non-dining)BA MuseumPeopleDef</v>
      </c>
      <c r="P20" t="str">
        <f>'Space Types'!AD23</f>
        <v>NECB-C-Occupancy</v>
      </c>
      <c r="Q20" t="str">
        <f>'Space Types'!AE23</f>
        <v>BA MuseumActivity</v>
      </c>
      <c r="R20" t="str">
        <f>'Space Types'!AG23</f>
        <v/>
      </c>
      <c r="S20">
        <f>'Space Types'!AI23</f>
        <v>1.8288E-3</v>
      </c>
      <c r="T20" t="str">
        <f>'Space Types'!AL23</f>
        <v/>
      </c>
      <c r="U20" t="str">
        <f>'Space Types'!AQ23</f>
        <v>COMNET-REV9WholeBuildingBA MuseumVent</v>
      </c>
      <c r="V20">
        <f>'Space Types'!AS23</f>
        <v>0</v>
      </c>
      <c r="W20">
        <f>'Space Types'!AT23</f>
        <v>0</v>
      </c>
      <c r="X20">
        <f>'Space Types'!AU23</f>
        <v>0.5</v>
      </c>
      <c r="Y20">
        <f>'Space Types'!AV23</f>
        <v>0</v>
      </c>
      <c r="Z20" t="str">
        <f>'Space Types'!AZ23</f>
        <v>NCC S35C2lNREL 956/Eley AnalysisClass 9b (Other applications) - no equipment load per S35C2l; radiant/latent/lost fraction split retained from original WA/COMNET-REV9 source (AIRAH Technical Handbook does not publish this split)BA MuseumElectricalEquipDef</v>
      </c>
      <c r="AA20" t="str">
        <f>'Space Types'!BA23</f>
        <v>NECB-C-Electric-Equipment</v>
      </c>
      <c r="AB20">
        <f>'Space Types'!BC23</f>
        <v>2.5</v>
      </c>
      <c r="AC20">
        <f>'Space Types'!BD23</f>
        <v>0.37</v>
      </c>
      <c r="AD20">
        <f>'Space Types'!BE23</f>
        <v>0.2</v>
      </c>
      <c r="AE20" t="str">
        <f>'Space Types'!BI23</f>
        <v>NCC J7D3aMuseum and gallery - circulation, cleaning and service lighting; radiant/visible fraction split retained from original WA/COMNET-REV9 source (AIRAH Technical Handbook does not publish this split)LightingDef</v>
      </c>
      <c r="AF20" t="str">
        <f>'Space Types'!BJ23</f>
        <v>NECB-C-Lighting</v>
      </c>
      <c r="AG20">
        <f>'Space Types'!BM23</f>
        <v>0.245753425</v>
      </c>
      <c r="AH20">
        <f>'Space Types'!BN23</f>
        <v>0</v>
      </c>
      <c r="AI20">
        <f>'Space Types'!BO23</f>
        <v>0.75</v>
      </c>
      <c r="AJ20">
        <f>'Space Types'!BP23</f>
        <v>0.25</v>
      </c>
      <c r="AK20" t="str">
        <f>'Space Types'!BT23</f>
        <v>COMNET-REV9California Commercial End-Use Survey (CEUS)93%ThermEffRadiantBA MuseumGasEquipDef</v>
      </c>
      <c r="AL20" t="str">
        <f>'Space Types'!BU23</f>
        <v>NECB-A-Electric-Equipment</v>
      </c>
      <c r="AM20">
        <f>'Space Types'!BX23</f>
        <v>0</v>
      </c>
      <c r="AN20" t="str">
        <f>'Space Types'!CC23</f>
        <v>NCC S34C2(6)0.7 ACH assumed as design infiltration for periods without mechanical outdoor air supply; NCC also specifies 0.35 ACH when mechanical OA is operating (to be applied via infiltration schedule once developed)BA MuseumInfil</v>
      </c>
      <c r="AO20" t="str">
        <f>'Space Types'!CD23</f>
        <v>Always On</v>
      </c>
      <c r="AP20">
        <f>'Space Types'!CG23</f>
        <v>0</v>
      </c>
      <c r="AQ20">
        <f>'Space Types'!CH23</f>
        <v>2</v>
      </c>
      <c r="AR20">
        <f>'Space Types'!CI23</f>
        <v>0</v>
      </c>
      <c r="AS20" t="str">
        <f>'Space Types'!CJ23</f>
        <v>MediumSmooth</v>
      </c>
      <c r="AT20">
        <f>'Space Types'!CK23</f>
        <v>0.15</v>
      </c>
      <c r="AU20">
        <f>'Space Types'!CL23</f>
        <v>0.12</v>
      </c>
      <c r="AV20">
        <f>'Space Types'!CM23</f>
        <v>540</v>
      </c>
      <c r="AW20">
        <f>'Space Types'!CN23</f>
        <v>1210</v>
      </c>
      <c r="AX20">
        <f>'Space Types'!CO23</f>
        <v>0.9</v>
      </c>
      <c r="AY20">
        <f>'Space Types'!CP23</f>
        <v>0.7</v>
      </c>
      <c r="AZ20">
        <f>'Space Types'!CQ23</f>
        <v>0.7</v>
      </c>
      <c r="BA20" t="str">
        <f>'Space Types'!CR23</f>
        <v>Std Wood 6inch</v>
      </c>
      <c r="BB20" t="str">
        <f>'Space Types'!CW23</f>
        <v>OpenStudio-Prototype-BuildingsStd Wood 6inchInternalMassDef</v>
      </c>
    </row>
    <row r="21" spans="1:54" x14ac:dyDescent="0.35">
      <c r="A21" t="str">
        <f>'Space Types'!A24</f>
        <v>BA Office</v>
      </c>
      <c r="B21" t="str">
        <f>'Space Types'!B24</f>
        <v>2025_AU_NCC</v>
      </c>
      <c r="C21" t="str">
        <f>'Space Types'!C24</f>
        <v>Office</v>
      </c>
      <c r="D21" t="str">
        <f>'Space Types'!D24</f>
        <v>Whole Building</v>
      </c>
      <c r="E21">
        <f>'Space Types'!I24</f>
        <v>255</v>
      </c>
      <c r="F21">
        <f>'Space Types'!J24</f>
        <v>255</v>
      </c>
      <c r="G21">
        <f>'Space Types'!K24</f>
        <v>255</v>
      </c>
      <c r="H21" t="str">
        <f>'Space Types'!L24</f>
        <v>BA Office_2025AUNCC</v>
      </c>
      <c r="I21" t="str">
        <f>'Space Types'!M24</f>
        <v>BA Office_2025AUNCCScheduleSet</v>
      </c>
      <c r="J21">
        <f>'Space Types'!P24</f>
        <v>5.3819575000000001E-2</v>
      </c>
      <c r="K21">
        <f>'Space Types'!U24</f>
        <v>0</v>
      </c>
      <c r="L21">
        <f>'Space Types'!V24</f>
        <v>0</v>
      </c>
      <c r="M21">
        <f>'Space Types'!W24</f>
        <v>130</v>
      </c>
      <c r="N21">
        <f>'Space Types'!X24</f>
        <v>0.57692307700000001</v>
      </c>
      <c r="O21" t="str">
        <f>'Space Types'!AC24</f>
        <v>NCC S35C2nClass 5 (Office) - Other applications (non-dining)BA OfficePeopleDef</v>
      </c>
      <c r="P21" t="str">
        <f>'Space Types'!AD24</f>
        <v>NECB-A-Occupancy</v>
      </c>
      <c r="Q21" t="str">
        <f>'Space Types'!AE24</f>
        <v>BA OfficeActivity</v>
      </c>
      <c r="R21" t="str">
        <f>'Space Types'!AG24</f>
        <v/>
      </c>
      <c r="S21">
        <f>'Space Types'!AI24</f>
        <v>4.572E-4</v>
      </c>
      <c r="T21" t="str">
        <f>'Space Types'!AL24</f>
        <v/>
      </c>
      <c r="U21" t="str">
        <f>'Space Types'!AQ24</f>
        <v>COMNET-REV9WholeBuildingBA OfficeVent</v>
      </c>
      <c r="V21">
        <f>'Space Types'!AS24</f>
        <v>11</v>
      </c>
      <c r="W21">
        <f>'Space Types'!AT24</f>
        <v>0</v>
      </c>
      <c r="X21">
        <f>'Space Types'!AU24</f>
        <v>0.5</v>
      </c>
      <c r="Y21">
        <f>'Space Types'!AV24</f>
        <v>0</v>
      </c>
      <c r="Z21" t="str">
        <f>'Space Types'!AZ24</f>
        <v>NCC S35C2lCOMNET-REV9NCC S35C2l for equipment W/m2; radiant/latent/lost fraction split retained from original WA/COMNET-REV9 source (AIRAH Technical Handbook does not publish this split)BA OfficeElectricalEquipDef</v>
      </c>
      <c r="AA21" t="str">
        <f>'Space Types'!BA24</f>
        <v>NECB-A-Electric-Equipment</v>
      </c>
      <c r="AB21">
        <f>'Space Types'!BC24</f>
        <v>4.5</v>
      </c>
      <c r="AC21">
        <f>'Space Types'!BD24</f>
        <v>0.37</v>
      </c>
      <c r="AD21">
        <f>'Space Types'!BE24</f>
        <v>0.2</v>
      </c>
      <c r="AE21" t="str">
        <f>'Space Types'!BI24</f>
        <v>NCC J7D3aCOMNET-REV9NCC J7D3a for lighting W/m2 (office &gt;= 200 lux row); radiant/visible fraction split retained from original WA/COMNET-REV9 source (AIRAH Technical Handbook does not publish this split)LightingDef</v>
      </c>
      <c r="AF21" t="str">
        <f>'Space Types'!BJ24</f>
        <v>NECB-A-Lighting</v>
      </c>
      <c r="AG21">
        <f>'Space Types'!BM24</f>
        <v>0</v>
      </c>
      <c r="AH21">
        <f>'Space Types'!BN24</f>
        <v>0</v>
      </c>
      <c r="AI21">
        <f>'Space Types'!BO24</f>
        <v>0</v>
      </c>
      <c r="AJ21">
        <f>'Space Types'!BP24</f>
        <v>0</v>
      </c>
      <c r="AK21" t="str">
        <f>'Space Types'!BT24</f>
        <v>N/ANo gas appliances assumed for Class 5 office; consistent with NCC Spec 35 (no gas equipment profile modelled for offices)BA OfficeGasEquipDef</v>
      </c>
      <c r="AL21" t="str">
        <f>'Space Types'!BU24</f>
        <v>OfficeMedium BLDG_EQUIP_SCH</v>
      </c>
      <c r="AM21">
        <f>'Space Types'!BX24</f>
        <v>0</v>
      </c>
      <c r="AN21" t="str">
        <f>'Space Types'!CC24</f>
        <v>NCC S34C2(6)0.7 ACH assumed as design infiltration for periods without mechanical outdoor air supply; NCC also specifies 0.35 ACH when mechanical OA is operating (to be applied via infiltration schedule once developed)BA OfficeInfil</v>
      </c>
      <c r="AO21" t="str">
        <f>'Space Types'!CD24</f>
        <v>Always On</v>
      </c>
      <c r="AP21">
        <f>'Space Types'!CG24</f>
        <v>0</v>
      </c>
      <c r="AQ21">
        <f>'Space Types'!CH24</f>
        <v>2</v>
      </c>
      <c r="AR21">
        <f>'Space Types'!CI24</f>
        <v>0</v>
      </c>
      <c r="AS21" t="str">
        <f>'Space Types'!CJ24</f>
        <v>MediumSmooth</v>
      </c>
      <c r="AT21">
        <f>'Space Types'!CK24</f>
        <v>0.15</v>
      </c>
      <c r="AU21">
        <f>'Space Types'!CL24</f>
        <v>0.12</v>
      </c>
      <c r="AV21">
        <f>'Space Types'!CM24</f>
        <v>540</v>
      </c>
      <c r="AW21">
        <f>'Space Types'!CN24</f>
        <v>1210</v>
      </c>
      <c r="AX21">
        <f>'Space Types'!CO24</f>
        <v>0.9</v>
      </c>
      <c r="AY21">
        <f>'Space Types'!CP24</f>
        <v>0.7</v>
      </c>
      <c r="AZ21">
        <f>'Space Types'!CQ24</f>
        <v>0.7</v>
      </c>
      <c r="BA21" t="str">
        <f>'Space Types'!CR24</f>
        <v>Std Wood 6inch</v>
      </c>
      <c r="BB21" t="str">
        <f>'Space Types'!CW24</f>
        <v>OpenStudio-Prototype-BuildingsStd Wood 6inchInternalMassDef</v>
      </c>
    </row>
    <row r="22" spans="1:54" x14ac:dyDescent="0.35">
      <c r="A22" t="str">
        <f>'Space Types'!A25</f>
        <v>BA Parking Garage</v>
      </c>
      <c r="B22" t="str">
        <f>'Space Types'!B25</f>
        <v>2025_AU_NCC</v>
      </c>
      <c r="C22" t="str">
        <f>'Space Types'!C25</f>
        <v>Parking Garage</v>
      </c>
      <c r="D22" t="str">
        <f>'Space Types'!D25</f>
        <v>Whole Building</v>
      </c>
      <c r="E22">
        <f>'Space Types'!I25</f>
        <v>255</v>
      </c>
      <c r="F22">
        <f>'Space Types'!J25</f>
        <v>255</v>
      </c>
      <c r="G22">
        <f>'Space Types'!K25</f>
        <v>255</v>
      </c>
      <c r="H22" t="str">
        <f>'Space Types'!L25</f>
        <v>BA Parking Garage_2025AUNCC</v>
      </c>
      <c r="I22" t="str">
        <f>'Space Types'!M25</f>
        <v>BA Parking Garage_2025AUNCCScheduleSet</v>
      </c>
      <c r="J22">
        <f>'Space Types'!P25</f>
        <v>0</v>
      </c>
      <c r="K22">
        <f>'Space Types'!U25</f>
        <v>0</v>
      </c>
      <c r="L22">
        <f>'Space Types'!V25</f>
        <v>0</v>
      </c>
      <c r="M22">
        <f>'Space Types'!W25</f>
        <v>130</v>
      </c>
      <c r="N22">
        <f>'Space Types'!X25</f>
        <v>0.57692307700000001</v>
      </c>
      <c r="O22" t="str">
        <f>'Space Types'!AC25</f>
        <v/>
      </c>
      <c r="P22" t="str">
        <f>'Space Types'!AD25</f>
        <v/>
      </c>
      <c r="Q22" t="str">
        <f>'Space Types'!AE25</f>
        <v/>
      </c>
      <c r="R22" t="str">
        <f>'Space Types'!AG25</f>
        <v/>
      </c>
      <c r="S22" t="str">
        <f>'Space Types'!AI25</f>
        <v/>
      </c>
      <c r="T22" t="str">
        <f>'Space Types'!AL25</f>
        <v/>
      </c>
      <c r="U22" t="str">
        <f>'Space Types'!AQ25</f>
        <v/>
      </c>
      <c r="V22">
        <f>'Space Types'!AS25</f>
        <v>0</v>
      </c>
      <c r="W22">
        <f>'Space Types'!AT25</f>
        <v>0</v>
      </c>
      <c r="X22">
        <f>'Space Types'!AU25</f>
        <v>0.06</v>
      </c>
      <c r="Y22">
        <f>'Space Types'!AV25</f>
        <v>0.88</v>
      </c>
      <c r="Z22" t="str">
        <f>'Space Types'!AZ25</f>
        <v>NCC S35C2lMedium Estimate: Workplace, 20% of Spaces with Level 2 Charger12%lost to heatClass 7a (Other applications) - no equipment load per S35C2l; radiant/latent/lost fraction split retained from original WA/COMNET-REV9 source (AIRAH Technical Handbook does not publish this split)BA Parking GarageElectricalEquipDef</v>
      </c>
      <c r="AA22" t="str">
        <f>'Space Types'!BA25</f>
        <v>NECB-H-Electric-Equipment</v>
      </c>
      <c r="AB22">
        <f>'Space Types'!BC25</f>
        <v>2</v>
      </c>
      <c r="AC22">
        <f>'Space Types'!BD25</f>
        <v>0.37</v>
      </c>
      <c r="AD22">
        <f>'Space Types'!BE25</f>
        <v>0.2</v>
      </c>
      <c r="AE22" t="str">
        <f>'Space Types'!BI25</f>
        <v>NCC J7D3aCarpark - general; radiant/visible fraction split retained from original WA/COMNET-REV9 source (AIRAH Technical Handbook does not publish this split)LightingDef</v>
      </c>
      <c r="AF22" t="str">
        <f>'Space Types'!BJ25</f>
        <v>NECB-H-Lighting</v>
      </c>
      <c r="AG22">
        <f>'Space Types'!BM25</f>
        <v>0</v>
      </c>
      <c r="AH22">
        <f>'Space Types'!BN25</f>
        <v>0</v>
      </c>
      <c r="AI22">
        <f>'Space Types'!BO25</f>
        <v>0.75</v>
      </c>
      <c r="AJ22">
        <f>'Space Types'!BP25</f>
        <v>0.25</v>
      </c>
      <c r="AK22" t="str">
        <f>'Space Types'!BT25</f>
        <v>COMNET-REV9California Commercial End-Use Survey (CEUS)93%ThermEffRadiantBA Parking GarageGasEquipDef</v>
      </c>
      <c r="AL22" t="str">
        <f>'Space Types'!BU25</f>
        <v>NECB-H-Electric-Equipment</v>
      </c>
      <c r="AM22">
        <f>'Space Types'!BX25</f>
        <v>0</v>
      </c>
      <c r="AN22" t="str">
        <f>'Space Types'!CC25</f>
        <v>NCC S34C2(6)0.7 ACH assumed as design infiltration for periods without mechanical outdoor air supply; NCC also specifies 0.35 ACH when mechanical OA is operating (to be applied via infiltration schedule once developed)BA Parking GarageInfil</v>
      </c>
      <c r="AO22" t="str">
        <f>'Space Types'!CD25</f>
        <v>Always On</v>
      </c>
      <c r="AP22">
        <f>'Space Types'!CG25</f>
        <v>0</v>
      </c>
      <c r="AQ22">
        <f>'Space Types'!CH25</f>
        <v>2</v>
      </c>
      <c r="AR22">
        <f>'Space Types'!CI25</f>
        <v>0</v>
      </c>
      <c r="AS22" t="str">
        <f>'Space Types'!CJ25</f>
        <v>MediumSmooth</v>
      </c>
      <c r="AT22">
        <f>'Space Types'!CK25</f>
        <v>0.15</v>
      </c>
      <c r="AU22">
        <f>'Space Types'!CL25</f>
        <v>0.12</v>
      </c>
      <c r="AV22">
        <f>'Space Types'!CM25</f>
        <v>540</v>
      </c>
      <c r="AW22">
        <f>'Space Types'!CN25</f>
        <v>1210</v>
      </c>
      <c r="AX22">
        <f>'Space Types'!CO25</f>
        <v>0.9</v>
      </c>
      <c r="AY22">
        <f>'Space Types'!CP25</f>
        <v>0.7</v>
      </c>
      <c r="AZ22">
        <f>'Space Types'!CQ25</f>
        <v>0.7</v>
      </c>
      <c r="BA22" t="str">
        <f>'Space Types'!CR25</f>
        <v>Std Wood 6inch</v>
      </c>
      <c r="BB22" t="str">
        <f>'Space Types'!CW25</f>
        <v>OpenStudio-Prototype-BuildingsStd Wood 6inchInternalMassDef</v>
      </c>
    </row>
    <row r="23" spans="1:54" x14ac:dyDescent="0.35">
      <c r="A23" t="str">
        <f>'Space Types'!A26</f>
        <v>BA Penitentiary</v>
      </c>
      <c r="B23" t="str">
        <f>'Space Types'!B26</f>
        <v>2025_AU_NCC</v>
      </c>
      <c r="C23" t="str">
        <f>'Space Types'!C26</f>
        <v>Penitentiary</v>
      </c>
      <c r="D23" t="str">
        <f>'Space Types'!D26</f>
        <v>Whole Building</v>
      </c>
      <c r="E23">
        <f>'Space Types'!I26</f>
        <v>255</v>
      </c>
      <c r="F23">
        <f>'Space Types'!J26</f>
        <v>255</v>
      </c>
      <c r="G23">
        <f>'Space Types'!K26</f>
        <v>255</v>
      </c>
      <c r="H23" t="str">
        <f>'Space Types'!L26</f>
        <v>BA Penitentiary_2025AUNCC</v>
      </c>
      <c r="I23" t="str">
        <f>'Space Types'!M26</f>
        <v>BA Penitentiary_2025AUNCCScheduleSet</v>
      </c>
      <c r="J23">
        <f>'Space Types'!P26</f>
        <v>0.26909787600000001</v>
      </c>
      <c r="K23">
        <f>'Space Types'!U26</f>
        <v>0</v>
      </c>
      <c r="L23">
        <f>'Space Types'!V26</f>
        <v>0</v>
      </c>
      <c r="M23">
        <f>'Space Types'!W26</f>
        <v>130</v>
      </c>
      <c r="N23">
        <f>'Space Types'!X26</f>
        <v>0.57692307700000001</v>
      </c>
      <c r="O23" t="str">
        <f>'Space Types'!AC26</f>
        <v>NCC S35C2nOther applications (non-dining)BA PenitentiaryPeopleDef</v>
      </c>
      <c r="P23" t="str">
        <f>'Space Types'!AD26</f>
        <v>NECB-H-Occupancy</v>
      </c>
      <c r="Q23" t="str">
        <f>'Space Types'!AE26</f>
        <v>BA PenitentiaryActivity</v>
      </c>
      <c r="R23" t="str">
        <f>'Space Types'!AG26</f>
        <v/>
      </c>
      <c r="S23">
        <f>'Space Types'!AI26</f>
        <v>1.2700000000000001E-3</v>
      </c>
      <c r="T23" t="str">
        <f>'Space Types'!AL26</f>
        <v/>
      </c>
      <c r="U23" t="str">
        <f>'Space Types'!AQ26</f>
        <v>COMNET-REV9WholeBuildingBA PenitentiaryVent</v>
      </c>
      <c r="V23">
        <f>'Space Types'!AS26</f>
        <v>16.06884651</v>
      </c>
      <c r="W23">
        <f>'Space Types'!AT26</f>
        <v>0</v>
      </c>
      <c r="X23">
        <f>'Space Types'!AU26</f>
        <v>0.5</v>
      </c>
      <c r="Y23">
        <f>'Space Types'!AV26</f>
        <v>0</v>
      </c>
      <c r="Z23" t="str">
        <f>'Space Types'!AZ26</f>
        <v>COMNET-REV9NREL 956/Eley AnalysisDOEPrototypeBA PenitentiaryElectricalEquipDef</v>
      </c>
      <c r="AA23" t="str">
        <f>'Space Types'!BA26</f>
        <v>NECB-H-Electric-Equipment</v>
      </c>
      <c r="AB23">
        <f>'Space Types'!BC26</f>
        <v>6.9965400000000004</v>
      </c>
      <c r="AC23">
        <f>'Space Types'!BD26</f>
        <v>0.37</v>
      </c>
      <c r="AD23">
        <f>'Space Types'!BE26</f>
        <v>0.2</v>
      </c>
      <c r="AE23" t="str">
        <f>'Space Types'!BI26</f>
        <v>IECC Table C405.3.2(1)Penitentiary; radiant/visible fraction split retained from original WA/COMNET-REV9 sourceLightingDef</v>
      </c>
      <c r="AF23" t="str">
        <f>'Space Types'!BJ26</f>
        <v>NECB-H-Lighting</v>
      </c>
      <c r="AG23">
        <f>'Space Types'!BM26</f>
        <v>7.4954794519999997</v>
      </c>
      <c r="AH23">
        <f>'Space Types'!BN26</f>
        <v>0</v>
      </c>
      <c r="AI23">
        <f>'Space Types'!BO26</f>
        <v>0.75</v>
      </c>
      <c r="AJ23">
        <f>'Space Types'!BP26</f>
        <v>0.25</v>
      </c>
      <c r="AK23" t="str">
        <f>'Space Types'!BT26</f>
        <v>COMNET-REV9California Commercial End-Use Survey (CEUS)93%ThermEffRadiantBA PenitentiaryGasEquipDef</v>
      </c>
      <c r="AL23" t="str">
        <f>'Space Types'!BU26</f>
        <v>NECB-D-Electric-Equipment</v>
      </c>
      <c r="AM23">
        <f>'Space Types'!BX26</f>
        <v>0</v>
      </c>
      <c r="AN23" t="str">
        <f>'Space Types'!CC26</f>
        <v>NCC S34C2(6)0.7 ACH assumed as design infiltration for periods without mechanical outdoor air supply; NCC also specifies 0.35 ACH when mechanical OA is operating (to be applied via infiltration schedule once developed)BA PenitentiaryInfil</v>
      </c>
      <c r="AO23" t="str">
        <f>'Space Types'!CD26</f>
        <v>Always On</v>
      </c>
      <c r="AP23">
        <f>'Space Types'!CG26</f>
        <v>0</v>
      </c>
      <c r="AQ23">
        <f>'Space Types'!CH26</f>
        <v>2</v>
      </c>
      <c r="AR23">
        <f>'Space Types'!CI26</f>
        <v>0</v>
      </c>
      <c r="AS23" t="str">
        <f>'Space Types'!CJ26</f>
        <v>MediumSmooth</v>
      </c>
      <c r="AT23">
        <f>'Space Types'!CK26</f>
        <v>0.15</v>
      </c>
      <c r="AU23">
        <f>'Space Types'!CL26</f>
        <v>0.12</v>
      </c>
      <c r="AV23">
        <f>'Space Types'!CM26</f>
        <v>540</v>
      </c>
      <c r="AW23">
        <f>'Space Types'!CN26</f>
        <v>1210</v>
      </c>
      <c r="AX23">
        <f>'Space Types'!CO26</f>
        <v>0.9</v>
      </c>
      <c r="AY23">
        <f>'Space Types'!CP26</f>
        <v>0.7</v>
      </c>
      <c r="AZ23">
        <f>'Space Types'!CQ26</f>
        <v>0.7</v>
      </c>
      <c r="BA23" t="str">
        <f>'Space Types'!CR26</f>
        <v>Std Wood 6inch</v>
      </c>
      <c r="BB23" t="str">
        <f>'Space Types'!CW26</f>
        <v>OpenStudio-Prototype-BuildingsStd Wood 6inchInternalMassDef</v>
      </c>
    </row>
    <row r="24" spans="1:54" x14ac:dyDescent="0.35">
      <c r="A24" t="str">
        <f>'Space Types'!A27</f>
        <v>BA Performing Arts Theater</v>
      </c>
      <c r="B24" t="str">
        <f>'Space Types'!B27</f>
        <v>2025_AU_NCC</v>
      </c>
      <c r="C24" t="str">
        <f>'Space Types'!C27</f>
        <v>Performing Arts Theater</v>
      </c>
      <c r="D24" t="str">
        <f>'Space Types'!D27</f>
        <v>Whole Building</v>
      </c>
      <c r="E24">
        <f>'Space Types'!I27</f>
        <v>255</v>
      </c>
      <c r="F24">
        <f>'Space Types'!J27</f>
        <v>255</v>
      </c>
      <c r="G24">
        <f>'Space Types'!K27</f>
        <v>255</v>
      </c>
      <c r="H24" t="str">
        <f>'Space Types'!L27</f>
        <v>BA Performing Arts Theater_2025AUNCC</v>
      </c>
      <c r="I24" t="str">
        <f>'Space Types'!M27</f>
        <v>BA Performing Arts Theater_2025AUNCCScheduleSet</v>
      </c>
      <c r="J24">
        <f>'Space Types'!P27</f>
        <v>0.76885107500000005</v>
      </c>
      <c r="K24">
        <f>'Space Types'!U27</f>
        <v>0</v>
      </c>
      <c r="L24">
        <f>'Space Types'!V27</f>
        <v>0</v>
      </c>
      <c r="M24">
        <f>'Space Types'!W27</f>
        <v>130</v>
      </c>
      <c r="N24">
        <f>'Space Types'!X27</f>
        <v>0.57692307700000001</v>
      </c>
      <c r="O24" t="str">
        <f>'Space Types'!AC27</f>
        <v>NCC S35C2nOther applications (non-dining)BA Performing Arts TheaterPeopleDef</v>
      </c>
      <c r="P24" t="str">
        <f>'Space Types'!AD27</f>
        <v>NECB-C-Occupancy</v>
      </c>
      <c r="Q24" t="str">
        <f>'Space Types'!AE27</f>
        <v>BA Performing Arts TheaterActivity</v>
      </c>
      <c r="R24" t="str">
        <f>'Space Types'!AG27</f>
        <v/>
      </c>
      <c r="S24">
        <f>'Space Types'!AI27</f>
        <v>3.8608000000000002E-3</v>
      </c>
      <c r="T24" t="str">
        <f>'Space Types'!AL27</f>
        <v/>
      </c>
      <c r="U24" t="str">
        <f>'Space Types'!AQ27</f>
        <v>COMNET-REV9WholeBuildingBA Performing Arts TheaterVent</v>
      </c>
      <c r="V24">
        <f>'Space Types'!AS27</f>
        <v>0</v>
      </c>
      <c r="W24">
        <f>'Space Types'!AT27</f>
        <v>0</v>
      </c>
      <c r="X24">
        <f>'Space Types'!AU27</f>
        <v>0.5</v>
      </c>
      <c r="Y24">
        <f>'Space Types'!AV27</f>
        <v>0</v>
      </c>
      <c r="Z24" t="str">
        <f>'Space Types'!AZ27</f>
        <v>NCC S35C2lNREL 956/Eley AnalysisClass 9b (Other applications) - no equipment load per S35C2l; radiant/latent/lost fraction split retained from original WA/COMNET-REV9 source (AIRAH Technical Handbook does not publish this split)BA Performing Arts TheaterElectricalEquipDef</v>
      </c>
      <c r="AA24" t="str">
        <f>'Space Types'!BA27</f>
        <v>NECB-C-Electric-Equipment</v>
      </c>
      <c r="AB24">
        <f>'Space Types'!BC27</f>
        <v>8</v>
      </c>
      <c r="AC24">
        <f>'Space Types'!BD27</f>
        <v>0.37</v>
      </c>
      <c r="AD24">
        <f>'Space Types'!BE27</f>
        <v>0.2</v>
      </c>
      <c r="AE24" t="str">
        <f>'Space Types'!BI27</f>
        <v>NCC J7D3aAuditorium, church and public hall (nearest; no dedicated theatre row); radiant/visible fraction split retained from original WA/COMNET-REV9 source (AIRAH Technical Handbook does not publish this split)LightingDef</v>
      </c>
      <c r="AF24" t="str">
        <f>'Space Types'!BJ27</f>
        <v>NECB-C-Lighting</v>
      </c>
      <c r="AG24">
        <f>'Space Types'!BM27</f>
        <v>0.245753425</v>
      </c>
      <c r="AH24">
        <f>'Space Types'!BN27</f>
        <v>0.01</v>
      </c>
      <c r="AI24">
        <f>'Space Types'!BO27</f>
        <v>0.4</v>
      </c>
      <c r="AJ24">
        <f>'Space Types'!BP27</f>
        <v>0.4</v>
      </c>
      <c r="AK24" t="str">
        <f>'Space Types'!BT27</f>
        <v>COMNET-REV9California Commercial End-Use Survey (CEUS)60%ThermEffProcessBA Performing Arts TheaterGasEquipDef</v>
      </c>
      <c r="AL24" t="str">
        <f>'Space Types'!BU27</f>
        <v>NECB-C-Electric-Equipment</v>
      </c>
      <c r="AM24">
        <f>'Space Types'!BX27</f>
        <v>0</v>
      </c>
      <c r="AN24" t="str">
        <f>'Space Types'!CC27</f>
        <v>NCC S34C2(6)0.7 ACH assumed as design infiltration for periods without mechanical outdoor air supply; NCC also specifies 0.35 ACH when mechanical OA is operating (to be applied via infiltration schedule once developed)BA Performing Arts TheaterInfil</v>
      </c>
      <c r="AO24" t="str">
        <f>'Space Types'!CD27</f>
        <v>Always On</v>
      </c>
      <c r="AP24">
        <f>'Space Types'!CG27</f>
        <v>0</v>
      </c>
      <c r="AQ24">
        <f>'Space Types'!CH27</f>
        <v>2</v>
      </c>
      <c r="AR24">
        <f>'Space Types'!CI27</f>
        <v>0</v>
      </c>
      <c r="AS24" t="str">
        <f>'Space Types'!CJ27</f>
        <v>MediumSmooth</v>
      </c>
      <c r="AT24">
        <f>'Space Types'!CK27</f>
        <v>0.15</v>
      </c>
      <c r="AU24">
        <f>'Space Types'!CL27</f>
        <v>0.12</v>
      </c>
      <c r="AV24">
        <f>'Space Types'!CM27</f>
        <v>540</v>
      </c>
      <c r="AW24">
        <f>'Space Types'!CN27</f>
        <v>1210</v>
      </c>
      <c r="AX24">
        <f>'Space Types'!CO27</f>
        <v>0.9</v>
      </c>
      <c r="AY24">
        <f>'Space Types'!CP27</f>
        <v>0.7</v>
      </c>
      <c r="AZ24">
        <f>'Space Types'!CQ27</f>
        <v>0.7</v>
      </c>
      <c r="BA24" t="str">
        <f>'Space Types'!CR27</f>
        <v>Std Wood 6inch</v>
      </c>
      <c r="BB24" t="str">
        <f>'Space Types'!CW27</f>
        <v>OpenStudio-Prototype-BuildingsStd Wood 6inchInternalMassDef</v>
      </c>
    </row>
    <row r="25" spans="1:54" x14ac:dyDescent="0.35">
      <c r="A25" t="str">
        <f>'Space Types'!A28</f>
        <v>BA Police Station</v>
      </c>
      <c r="B25" t="str">
        <f>'Space Types'!B28</f>
        <v>2025_AU_NCC</v>
      </c>
      <c r="C25" t="str">
        <f>'Space Types'!C28</f>
        <v>Police Station</v>
      </c>
      <c r="D25" t="str">
        <f>'Space Types'!D28</f>
        <v>Whole Building</v>
      </c>
      <c r="E25">
        <f>'Space Types'!I28</f>
        <v>255</v>
      </c>
      <c r="F25">
        <f>'Space Types'!J28</f>
        <v>255</v>
      </c>
      <c r="G25">
        <f>'Space Types'!K28</f>
        <v>255</v>
      </c>
      <c r="H25" t="str">
        <f>'Space Types'!L28</f>
        <v>BA Police Station_2025AUNCC</v>
      </c>
      <c r="I25" t="str">
        <f>'Space Types'!M28</f>
        <v>BA Police Station_2025AUNCCScheduleSet</v>
      </c>
      <c r="J25">
        <f>'Space Types'!P28</f>
        <v>0.32617924399999998</v>
      </c>
      <c r="K25">
        <f>'Space Types'!U28</f>
        <v>0</v>
      </c>
      <c r="L25">
        <f>'Space Types'!V28</f>
        <v>0</v>
      </c>
      <c r="M25">
        <f>'Space Types'!W28</f>
        <v>130</v>
      </c>
      <c r="N25">
        <f>'Space Types'!X28</f>
        <v>0.57692307700000001</v>
      </c>
      <c r="O25" t="str">
        <f>'Space Types'!AC28</f>
        <v>NCC S35C2nOther applications (non-dining)BA Police StationPeopleDef</v>
      </c>
      <c r="P25" t="str">
        <f>'Space Types'!AD28</f>
        <v>NECB-H-Occupancy</v>
      </c>
      <c r="Q25" t="str">
        <f>'Space Types'!AE28</f>
        <v>BA Police StationActivity</v>
      </c>
      <c r="R25" t="str">
        <f>'Space Types'!AG28</f>
        <v/>
      </c>
      <c r="S25">
        <f>'Space Types'!AI28</f>
        <v>1.0668000000000001E-3</v>
      </c>
      <c r="T25" t="str">
        <f>'Space Types'!AL28</f>
        <v/>
      </c>
      <c r="U25" t="str">
        <f>'Space Types'!AQ28</f>
        <v>COMNET-REV9WholeBuildingBA Police StationVent</v>
      </c>
      <c r="V25">
        <f>'Space Types'!AS28</f>
        <v>6.05</v>
      </c>
      <c r="W25">
        <f>'Space Types'!AT28</f>
        <v>0</v>
      </c>
      <c r="X25">
        <f>'Space Types'!AU28</f>
        <v>0.5</v>
      </c>
      <c r="Y25">
        <f>'Space Types'!AV28</f>
        <v>0</v>
      </c>
      <c r="Z25" t="str">
        <f>'Space Types'!AZ28</f>
        <v>NCC S35C2lNREL 956/Eley AnalysisAUTHOR-ASSUMED area-weighted composite (not a direct NCC table value) - Police Station is not a single NCC building class, decomposed as: Office / Admin / Records (Class 5) 55%; Public Reception / Waiting (Class 9b, other applications) 25%; Detention / Holding (no distinct NCC class) 20%. Equipment W/m2 per component per S35C2l, blended by area fraction. Adjust fractions to match actual floor plan; radiant/latent/lost fraction split retained from original WA/COMNET-REV9 source (AIRAH Technical Handbook does not publish this split)BA Police StationElectricalEquipDef</v>
      </c>
      <c r="AA25" t="str">
        <f>'Space Types'!BA28</f>
        <v>NECB-H-Electric-Equipment</v>
      </c>
      <c r="AB25">
        <f>'Space Types'!BC28</f>
        <v>5.33</v>
      </c>
      <c r="AC25">
        <f>'Space Types'!BD28</f>
        <v>0.37</v>
      </c>
      <c r="AD25">
        <f>'Space Types'!BE28</f>
        <v>0.2</v>
      </c>
      <c r="AE25" t="str">
        <f>'Space Types'!BI28</f>
        <v>NCC J7D3aAUTHOR-ASSUMED area-weighted composite (not a direct NCC table value) - Office / Admin / Records (Class 5) 55% -&gt; Office - artificially lit to &gt;= 200 lux (4.5 W/m2); Public Reception / Waiting (Class 9b, other applications) 25% -&gt; Entry lobby from outside the building (9.0 W/m2); Detention / Holding (no distinct NCC class) 20% -&gt; Toilet, locker room, staff room, rest room and the like (utilitarian proxy - no dedicated holding-cell row) (3.0 W/m2). Adjust fractions to match actual floor plan; radiant/latent/lost fraction split retained from original WA/COMNET-REV9 source (AIRAH Technical Handbook does not publish this split)LightingDef</v>
      </c>
      <c r="AF25" t="str">
        <f>'Space Types'!BJ28</f>
        <v>NECB-H-Lighting</v>
      </c>
      <c r="AG25">
        <f>'Space Types'!BM28</f>
        <v>8.1098630140000001</v>
      </c>
      <c r="AH25">
        <f>'Space Types'!BN28</f>
        <v>0</v>
      </c>
      <c r="AI25">
        <f>'Space Types'!BO28</f>
        <v>0.75</v>
      </c>
      <c r="AJ25">
        <f>'Space Types'!BP28</f>
        <v>0.25</v>
      </c>
      <c r="AK25" t="str">
        <f>'Space Types'!BT28</f>
        <v>COMNET-REV9California Commercial End-Use Survey (CEUS)93%ThermEffRadiantBA Police StationGasEquipDef</v>
      </c>
      <c r="AL25" t="str">
        <f>'Space Types'!BU28</f>
        <v>NECB-H-Electric-Equipment</v>
      </c>
      <c r="AM25">
        <f>'Space Types'!BX28</f>
        <v>0</v>
      </c>
      <c r="AN25" t="str">
        <f>'Space Types'!CC28</f>
        <v>NCC S34C2(6)0.7 ACH assumed as design infiltration for periods without mechanical outdoor air supply; NCC also specifies 0.35 ACH when mechanical OA is operating (to be applied via infiltration schedule once developed)BA Police StationInfil</v>
      </c>
      <c r="AO25" t="str">
        <f>'Space Types'!CD28</f>
        <v>Always On</v>
      </c>
      <c r="AP25">
        <f>'Space Types'!CG28</f>
        <v>0</v>
      </c>
      <c r="AQ25">
        <f>'Space Types'!CH28</f>
        <v>2</v>
      </c>
      <c r="AR25">
        <f>'Space Types'!CI28</f>
        <v>0</v>
      </c>
      <c r="AS25" t="str">
        <f>'Space Types'!CJ28</f>
        <v>MediumSmooth</v>
      </c>
      <c r="AT25">
        <f>'Space Types'!CK28</f>
        <v>0.15</v>
      </c>
      <c r="AU25">
        <f>'Space Types'!CL28</f>
        <v>0.12</v>
      </c>
      <c r="AV25">
        <f>'Space Types'!CM28</f>
        <v>540</v>
      </c>
      <c r="AW25">
        <f>'Space Types'!CN28</f>
        <v>1210</v>
      </c>
      <c r="AX25">
        <f>'Space Types'!CO28</f>
        <v>0.9</v>
      </c>
      <c r="AY25">
        <f>'Space Types'!CP28</f>
        <v>0.7</v>
      </c>
      <c r="AZ25">
        <f>'Space Types'!CQ28</f>
        <v>0.7</v>
      </c>
      <c r="BA25" t="str">
        <f>'Space Types'!CR28</f>
        <v>Std Wood 6inch</v>
      </c>
      <c r="BB25" t="str">
        <f>'Space Types'!CW28</f>
        <v>OpenStudio-Prototype-BuildingsStd Wood 6inchInternalMassDef</v>
      </c>
    </row>
    <row r="26" spans="1:54" x14ac:dyDescent="0.35">
      <c r="A26" t="str">
        <f>'Space Types'!A29</f>
        <v>BA Post Office</v>
      </c>
      <c r="B26" t="str">
        <f>'Space Types'!B29</f>
        <v>2025_AU_NCC</v>
      </c>
      <c r="C26" t="str">
        <f>'Space Types'!C29</f>
        <v>Post Office</v>
      </c>
      <c r="D26" t="str">
        <f>'Space Types'!D29</f>
        <v>Whole Building</v>
      </c>
      <c r="E26">
        <f>'Space Types'!I29</f>
        <v>255</v>
      </c>
      <c r="F26">
        <f>'Space Types'!J29</f>
        <v>255</v>
      </c>
      <c r="G26">
        <f>'Space Types'!K29</f>
        <v>255</v>
      </c>
      <c r="H26" t="str">
        <f>'Space Types'!L29</f>
        <v>BA Post Office_2025AUNCC</v>
      </c>
      <c r="I26" t="str">
        <f>'Space Types'!M29</f>
        <v>BA Post Office_2025AUNCCScheduleSet</v>
      </c>
      <c r="J26">
        <f>'Space Types'!P29</f>
        <v>0.32617924399999998</v>
      </c>
      <c r="K26">
        <f>'Space Types'!U29</f>
        <v>0</v>
      </c>
      <c r="L26">
        <f>'Space Types'!V29</f>
        <v>0</v>
      </c>
      <c r="M26">
        <f>'Space Types'!W29</f>
        <v>130</v>
      </c>
      <c r="N26">
        <f>'Space Types'!X29</f>
        <v>0.57692307700000001</v>
      </c>
      <c r="O26" t="str">
        <f>'Space Types'!AC29</f>
        <v>NCC S35C2nOther applications (non-dining)BA Post OfficePeopleDef</v>
      </c>
      <c r="P26" t="str">
        <f>'Space Types'!AD29</f>
        <v>NECB-A-Occupancy</v>
      </c>
      <c r="Q26" t="str">
        <f>'Space Types'!AE29</f>
        <v>BA Post OfficeActivity</v>
      </c>
      <c r="R26" t="str">
        <f>'Space Types'!AG29</f>
        <v/>
      </c>
      <c r="S26">
        <f>'Space Types'!AI29</f>
        <v>1.0668000000000001E-3</v>
      </c>
      <c r="T26" t="str">
        <f>'Space Types'!AL29</f>
        <v/>
      </c>
      <c r="U26" t="str">
        <f>'Space Types'!AQ29</f>
        <v>COMNET-REV9WholeBuildingBA Post OfficeVent</v>
      </c>
      <c r="V26">
        <f>'Space Types'!AS29</f>
        <v>9.7852511750000009</v>
      </c>
      <c r="W26">
        <f>'Space Types'!AT29</f>
        <v>0</v>
      </c>
      <c r="X26">
        <f>'Space Types'!AU29</f>
        <v>0.5</v>
      </c>
      <c r="Y26">
        <f>'Space Types'!AV29</f>
        <v>0</v>
      </c>
      <c r="Z26" t="str">
        <f>'Space Types'!AZ29</f>
        <v>COMNET-REV9NREL 956/Eley AnalysisDOEPrototypeBA Post OfficeElectricalEquipDef</v>
      </c>
      <c r="AA26" t="str">
        <f>'Space Types'!BA29</f>
        <v>NECB-A-Electric-Equipment</v>
      </c>
      <c r="AB26">
        <f>'Space Types'!BC29</f>
        <v>6.8888999999999996</v>
      </c>
      <c r="AC26">
        <f>'Space Types'!BD29</f>
        <v>0.37</v>
      </c>
      <c r="AD26">
        <f>'Space Types'!BE29</f>
        <v>0.2</v>
      </c>
      <c r="AE26" t="str">
        <f>'Space Types'!BI29</f>
        <v>IECC Table C405.3.2(1)Post office; radiant/visible fraction split retained from original WA/COMNET-REV9 sourceLightingDef</v>
      </c>
      <c r="AF26" t="str">
        <f>'Space Types'!BJ29</f>
        <v>NECB-A-Lighting</v>
      </c>
      <c r="AG26">
        <f>'Space Types'!BM29</f>
        <v>8.1098630140000001</v>
      </c>
      <c r="AH26">
        <f>'Space Types'!BN29</f>
        <v>0</v>
      </c>
      <c r="AI26">
        <f>'Space Types'!BO29</f>
        <v>0.75</v>
      </c>
      <c r="AJ26">
        <f>'Space Types'!BP29</f>
        <v>0.25</v>
      </c>
      <c r="AK26" t="str">
        <f>'Space Types'!BT29</f>
        <v>COMNET-REV9California Commercial End-Use Survey (CEUS)93%ThermEffRadiantBA Post OfficeGasEquipDef</v>
      </c>
      <c r="AL26" t="str">
        <f>'Space Types'!BU29</f>
        <v>NECB-A-Electric-Equipment</v>
      </c>
      <c r="AM26">
        <f>'Space Types'!BX29</f>
        <v>0</v>
      </c>
      <c r="AN26" t="str">
        <f>'Space Types'!CC29</f>
        <v>NCC S34C2(6)0.7 ACH assumed as design infiltration for periods without mechanical outdoor air supply; NCC also specifies 0.35 ACH when mechanical OA is operating (to be applied via infiltration schedule once developed)BA Post OfficeInfil</v>
      </c>
      <c r="AO26" t="str">
        <f>'Space Types'!CD29</f>
        <v>Always On</v>
      </c>
      <c r="AP26">
        <f>'Space Types'!CG29</f>
        <v>0</v>
      </c>
      <c r="AQ26">
        <f>'Space Types'!CH29</f>
        <v>2</v>
      </c>
      <c r="AR26">
        <f>'Space Types'!CI29</f>
        <v>0</v>
      </c>
      <c r="AS26" t="str">
        <f>'Space Types'!CJ29</f>
        <v>MediumSmooth</v>
      </c>
      <c r="AT26">
        <f>'Space Types'!CK29</f>
        <v>0.15</v>
      </c>
      <c r="AU26">
        <f>'Space Types'!CL29</f>
        <v>0.12</v>
      </c>
      <c r="AV26">
        <f>'Space Types'!CM29</f>
        <v>540</v>
      </c>
      <c r="AW26">
        <f>'Space Types'!CN29</f>
        <v>1210</v>
      </c>
      <c r="AX26">
        <f>'Space Types'!CO29</f>
        <v>0.9</v>
      </c>
      <c r="AY26">
        <f>'Space Types'!CP29</f>
        <v>0.7</v>
      </c>
      <c r="AZ26">
        <f>'Space Types'!CQ29</f>
        <v>0.7</v>
      </c>
      <c r="BA26" t="str">
        <f>'Space Types'!CR29</f>
        <v>Std Wood 6inch</v>
      </c>
      <c r="BB26" t="str">
        <f>'Space Types'!CW29</f>
        <v>OpenStudio-Prototype-BuildingsStd Wood 6inchInternalMassDef</v>
      </c>
    </row>
    <row r="27" spans="1:54" x14ac:dyDescent="0.35">
      <c r="A27" t="str">
        <f>'Space Types'!A30</f>
        <v>BA Religious Building</v>
      </c>
      <c r="B27" t="str">
        <f>'Space Types'!B30</f>
        <v>2025_AU_NCC</v>
      </c>
      <c r="C27" t="str">
        <f>'Space Types'!C30</f>
        <v>Religious Building</v>
      </c>
      <c r="D27" t="str">
        <f>'Space Types'!D30</f>
        <v>Whole Building</v>
      </c>
      <c r="E27">
        <f>'Space Types'!I30</f>
        <v>255</v>
      </c>
      <c r="F27">
        <f>'Space Types'!J30</f>
        <v>255</v>
      </c>
      <c r="G27">
        <f>'Space Types'!K30</f>
        <v>255</v>
      </c>
      <c r="H27" t="str">
        <f>'Space Types'!L30</f>
        <v>BA Religious Building_2025AUNCC</v>
      </c>
      <c r="I27" t="str">
        <f>'Space Types'!M30</f>
        <v>BA Religious Building_2025AUNCCScheduleSet</v>
      </c>
      <c r="J27">
        <f>'Space Types'!P30</f>
        <v>1.3454893809999999</v>
      </c>
      <c r="K27">
        <f>'Space Types'!U30</f>
        <v>0</v>
      </c>
      <c r="L27">
        <f>'Space Types'!V30</f>
        <v>0</v>
      </c>
      <c r="M27">
        <f>'Space Types'!W30</f>
        <v>130</v>
      </c>
      <c r="N27">
        <f>'Space Types'!X30</f>
        <v>0.57692307700000001</v>
      </c>
      <c r="O27" t="str">
        <f>'Space Types'!AC30</f>
        <v>NCC S35C2nOther applications (non-dining)BA Religious BuildingPeopleDef</v>
      </c>
      <c r="P27" t="str">
        <f>'Space Types'!AD30</f>
        <v>NECB-I-Occupancy</v>
      </c>
      <c r="Q27" t="str">
        <f>'Space Types'!AE30</f>
        <v>BA Religious BuildingActivity</v>
      </c>
      <c r="R27" t="str">
        <f>'Space Types'!AG30</f>
        <v/>
      </c>
      <c r="S27">
        <f>'Space Types'!AI30</f>
        <v>3.3528000000000004E-3</v>
      </c>
      <c r="T27" t="str">
        <f>'Space Types'!AL30</f>
        <v/>
      </c>
      <c r="U27" t="str">
        <f>'Space Types'!AQ30</f>
        <v>COMNET-REV9WholeBuildingBA Religious BuildingVent</v>
      </c>
      <c r="V27">
        <f>'Space Types'!AS30</f>
        <v>0</v>
      </c>
      <c r="W27">
        <f>'Space Types'!AT30</f>
        <v>0</v>
      </c>
      <c r="X27">
        <f>'Space Types'!AU30</f>
        <v>0.5</v>
      </c>
      <c r="Y27">
        <f>'Space Types'!AV30</f>
        <v>0</v>
      </c>
      <c r="Z27" t="str">
        <f>'Space Types'!AZ30</f>
        <v>NCC S35C2lNREL 956/Eley AnalysisClass 9b (Other applications) - no equipment load per S35C2l; radiant/latent/lost fraction split retained from original WA/COMNET-REV9 source (AIRAH Technical Handbook does not publish this split)BA Religious BuildingElectricalEquipDef</v>
      </c>
      <c r="AA27" t="str">
        <f>'Space Types'!BA30</f>
        <v>NECB-I-Electric-Equipment</v>
      </c>
      <c r="AB27">
        <f>'Space Types'!BC30</f>
        <v>8</v>
      </c>
      <c r="AC27">
        <f>'Space Types'!BD30</f>
        <v>0.37</v>
      </c>
      <c r="AD27">
        <f>'Space Types'!BE30</f>
        <v>0.2</v>
      </c>
      <c r="AE27" t="str">
        <f>'Space Types'!BI30</f>
        <v>NCC J7D3aAuditorium, church and public hall; radiant/visible fraction split retained from original WA/COMNET-REV9 source (AIRAH Technical Handbook does not publish this split)LightingDef</v>
      </c>
      <c r="AF27" t="str">
        <f>'Space Types'!BJ30</f>
        <v>NECB-I-Lighting</v>
      </c>
      <c r="AG27">
        <f>'Space Types'!BM30</f>
        <v>0.245753425</v>
      </c>
      <c r="AH27">
        <f>'Space Types'!BN30</f>
        <v>0.03</v>
      </c>
      <c r="AI27">
        <f>'Space Types'!BO30</f>
        <v>0.4</v>
      </c>
      <c r="AJ27">
        <f>'Space Types'!BP30</f>
        <v>0.4</v>
      </c>
      <c r="AK27" t="str">
        <f>'Space Types'!BT30</f>
        <v>COMNET-REV9California Commercial End-Use Survey (CEUS)60%ThermEffProcessBA Religious BuildingGasEquipDef</v>
      </c>
      <c r="AL27" t="str">
        <f>'Space Types'!BU30</f>
        <v>NECB-I-Electric-Equipment</v>
      </c>
      <c r="AM27">
        <f>'Space Types'!BX30</f>
        <v>0</v>
      </c>
      <c r="AN27" t="str">
        <f>'Space Types'!CC30</f>
        <v>NCC S34C2(6)0.7 ACH assumed as design infiltration for periods without mechanical outdoor air supply; NCC also specifies 0.35 ACH when mechanical OA is operating (to be applied via infiltration schedule once developed)BA Religious BuildingInfil</v>
      </c>
      <c r="AO27" t="str">
        <f>'Space Types'!CD30</f>
        <v>Always On</v>
      </c>
      <c r="AP27">
        <f>'Space Types'!CG30</f>
        <v>0</v>
      </c>
      <c r="AQ27">
        <f>'Space Types'!CH30</f>
        <v>2</v>
      </c>
      <c r="AR27">
        <f>'Space Types'!CI30</f>
        <v>0</v>
      </c>
      <c r="AS27" t="str">
        <f>'Space Types'!CJ30</f>
        <v>MediumSmooth</v>
      </c>
      <c r="AT27">
        <f>'Space Types'!CK30</f>
        <v>0.15</v>
      </c>
      <c r="AU27">
        <f>'Space Types'!CL30</f>
        <v>0.12</v>
      </c>
      <c r="AV27">
        <f>'Space Types'!CM30</f>
        <v>540</v>
      </c>
      <c r="AW27">
        <f>'Space Types'!CN30</f>
        <v>1210</v>
      </c>
      <c r="AX27">
        <f>'Space Types'!CO30</f>
        <v>0.9</v>
      </c>
      <c r="AY27">
        <f>'Space Types'!CP30</f>
        <v>0.7</v>
      </c>
      <c r="AZ27">
        <f>'Space Types'!CQ30</f>
        <v>0.7</v>
      </c>
      <c r="BA27" t="str">
        <f>'Space Types'!CR30</f>
        <v>Std Wood 6inch</v>
      </c>
      <c r="BB27" t="str">
        <f>'Space Types'!CW30</f>
        <v>OpenStudio-Prototype-BuildingsStd Wood 6inchInternalMassDef</v>
      </c>
    </row>
    <row r="28" spans="1:54" x14ac:dyDescent="0.35">
      <c r="A28" t="str">
        <f>'Space Types'!A31</f>
        <v>BA Retail</v>
      </c>
      <c r="B28" t="str">
        <f>'Space Types'!B31</f>
        <v>2025_AU_NCC</v>
      </c>
      <c r="C28" t="str">
        <f>'Space Types'!C31</f>
        <v>Retail</v>
      </c>
      <c r="D28" t="str">
        <f>'Space Types'!D31</f>
        <v>Whole Building</v>
      </c>
      <c r="E28">
        <f>'Space Types'!I31</f>
        <v>255</v>
      </c>
      <c r="F28">
        <f>'Space Types'!J31</f>
        <v>255</v>
      </c>
      <c r="G28">
        <f>'Space Types'!K31</f>
        <v>255</v>
      </c>
      <c r="H28" t="str">
        <f>'Space Types'!L31</f>
        <v>BA Retail_2025AUNCC</v>
      </c>
      <c r="I28" t="str">
        <f>'Space Types'!M31</f>
        <v>BA Retail_2025AUNCCScheduleSet</v>
      </c>
      <c r="J28">
        <f>'Space Types'!P31</f>
        <v>0.16065544900000001</v>
      </c>
      <c r="K28">
        <f>'Space Types'!U31</f>
        <v>0</v>
      </c>
      <c r="L28">
        <f>'Space Types'!V31</f>
        <v>0</v>
      </c>
      <c r="M28">
        <f>'Space Types'!W31</f>
        <v>130</v>
      </c>
      <c r="N28">
        <f>'Space Types'!X31</f>
        <v>0.57692307700000001</v>
      </c>
      <c r="O28" t="str">
        <f>'Space Types'!AC31</f>
        <v>NCC S35C2nOther applications (non-dining)BA RetailPeopleDef</v>
      </c>
      <c r="P28" t="str">
        <f>'Space Types'!AD31</f>
        <v>NECB-C-Occupancy</v>
      </c>
      <c r="Q28" t="str">
        <f>'Space Types'!AE31</f>
        <v>BA RetailActivity</v>
      </c>
      <c r="R28" t="str">
        <f>'Space Types'!AG31</f>
        <v/>
      </c>
      <c r="S28">
        <f>'Space Types'!AI31</f>
        <v>1.1684000000000002E-3</v>
      </c>
      <c r="T28" t="str">
        <f>'Space Types'!AL31</f>
        <v/>
      </c>
      <c r="U28" t="str">
        <f>'Space Types'!AQ31</f>
        <v>COMNET-REV9WholeBuildingBA RetailVent</v>
      </c>
      <c r="V28">
        <f>'Space Types'!AS31</f>
        <v>5</v>
      </c>
      <c r="W28">
        <f>'Space Types'!AT31</f>
        <v>0</v>
      </c>
      <c r="X28">
        <f>'Space Types'!AU31</f>
        <v>0.5</v>
      </c>
      <c r="Y28">
        <f>'Space Types'!AV31</f>
        <v>0</v>
      </c>
      <c r="Z28" t="str">
        <f>'Space Types'!AZ31</f>
        <v>NCC S35C2lNREL 956/Eley AnalysisClass 6 shop/shopping centre; radiant/latent/lost fraction split retained from original WA/COMNET-REV9 source (AIRAH Technical Handbook does not publish this split)BA RetailElectricalEquipDef</v>
      </c>
      <c r="AA28" t="str">
        <f>'Space Types'!BA31</f>
        <v>NECB-C-Electric-Equipment</v>
      </c>
      <c r="AB28">
        <f>'Space Types'!BC31</f>
        <v>14</v>
      </c>
      <c r="AC28">
        <f>'Space Types'!BD31</f>
        <v>0.37</v>
      </c>
      <c r="AD28">
        <f>'Space Types'!BE31</f>
        <v>0.2</v>
      </c>
      <c r="AE28" t="str">
        <f>'Space Types'!BI31</f>
        <v>NCC J7D3aRetail space including a museum and gallery whose purpose is the sale of objects; radiant/visible fraction split retained from original WA/COMNET-REV9 source (AIRAH Technical Handbook does not publish this split)LightingDef</v>
      </c>
      <c r="AF28" t="str">
        <f>'Space Types'!BJ31</f>
        <v>NECB-C-Lighting</v>
      </c>
      <c r="AG28">
        <f>'Space Types'!BM31</f>
        <v>0.98301369900000002</v>
      </c>
      <c r="AH28">
        <f>'Space Types'!BN31</f>
        <v>0.01</v>
      </c>
      <c r="AI28">
        <f>'Space Types'!BO31</f>
        <v>0.4</v>
      </c>
      <c r="AJ28">
        <f>'Space Types'!BP31</f>
        <v>0.4</v>
      </c>
      <c r="AK28" t="str">
        <f>'Space Types'!BT31</f>
        <v>COMNET-REV9California Commercial End-Use Survey (CEUS)60%ThermEffProcessBA RetailGasEquipDef</v>
      </c>
      <c r="AL28" t="str">
        <f>'Space Types'!BU31</f>
        <v>RetailStandalone BLDG_EQUIP_SCH</v>
      </c>
      <c r="AM28">
        <f>'Space Types'!BX31</f>
        <v>0</v>
      </c>
      <c r="AN28" t="str">
        <f>'Space Types'!CC31</f>
        <v>NCC S34C2(6)0.7 ACH assumed as design infiltration for periods without mechanical outdoor air supply; NCC also specifies 0.35 ACH when mechanical OA is operating (to be applied via infiltration schedule once developed)BA RetailInfil</v>
      </c>
      <c r="AO28" t="str">
        <f>'Space Types'!CD31</f>
        <v>Always On</v>
      </c>
      <c r="AP28">
        <f>'Space Types'!CG31</f>
        <v>0</v>
      </c>
      <c r="AQ28">
        <f>'Space Types'!CH31</f>
        <v>2</v>
      </c>
      <c r="AR28">
        <f>'Space Types'!CI31</f>
        <v>0</v>
      </c>
      <c r="AS28" t="str">
        <f>'Space Types'!CJ31</f>
        <v>MediumSmooth</v>
      </c>
      <c r="AT28">
        <f>'Space Types'!CK31</f>
        <v>0.15</v>
      </c>
      <c r="AU28">
        <f>'Space Types'!CL31</f>
        <v>0.12</v>
      </c>
      <c r="AV28">
        <f>'Space Types'!CM31</f>
        <v>540</v>
      </c>
      <c r="AW28">
        <f>'Space Types'!CN31</f>
        <v>1210</v>
      </c>
      <c r="AX28">
        <f>'Space Types'!CO31</f>
        <v>0.9</v>
      </c>
      <c r="AY28">
        <f>'Space Types'!CP31</f>
        <v>0.7</v>
      </c>
      <c r="AZ28">
        <f>'Space Types'!CQ31</f>
        <v>0.7</v>
      </c>
      <c r="BA28" t="str">
        <f>'Space Types'!CR31</f>
        <v>Std Wood 6inch</v>
      </c>
      <c r="BB28" t="str">
        <f>'Space Types'!CW31</f>
        <v>OpenStudio-Prototype-BuildingsStd Wood 6inchInternalMassDef</v>
      </c>
    </row>
    <row r="29" spans="1:54" x14ac:dyDescent="0.35">
      <c r="A29" t="str">
        <f>'Space Types'!A32</f>
        <v>BA School/University</v>
      </c>
      <c r="B29" t="str">
        <f>'Space Types'!B32</f>
        <v>2025_AU_NCC</v>
      </c>
      <c r="C29" t="str">
        <f>'Space Types'!C32</f>
        <v>School/University</v>
      </c>
      <c r="D29" t="str">
        <f>'Space Types'!D32</f>
        <v>Whole Building</v>
      </c>
      <c r="E29">
        <f>'Space Types'!I32</f>
        <v>255</v>
      </c>
      <c r="F29">
        <f>'Space Types'!J32</f>
        <v>255</v>
      </c>
      <c r="G29">
        <f>'Space Types'!K32</f>
        <v>255</v>
      </c>
      <c r="H29" t="str">
        <f>'Space Types'!L32</f>
        <v>BA School/University_2025AUNCC</v>
      </c>
      <c r="I29" t="str">
        <f>'Space Types'!M32</f>
        <v>BA School/University_2025AUNCCScheduleSet</v>
      </c>
      <c r="J29">
        <f>'Space Types'!P32</f>
        <v>0.26909787600000001</v>
      </c>
      <c r="K29">
        <f>'Space Types'!U32</f>
        <v>0</v>
      </c>
      <c r="L29">
        <f>'Space Types'!V32</f>
        <v>0</v>
      </c>
      <c r="M29">
        <f>'Space Types'!W32</f>
        <v>130</v>
      </c>
      <c r="N29">
        <f>'Space Types'!X32</f>
        <v>0.57692307700000001</v>
      </c>
      <c r="O29" t="str">
        <f>'Space Types'!AC32</f>
        <v>NCC S35C2nOther applications (non-dining)BA School/UniversityPeopleDef</v>
      </c>
      <c r="P29" t="str">
        <f>'Space Types'!AD32</f>
        <v>NECB-D-Occupancy</v>
      </c>
      <c r="Q29" t="str">
        <f>'Space Types'!AE32</f>
        <v>BA School/UniversityActivity</v>
      </c>
      <c r="R29" t="str">
        <f>'Space Types'!AG32</f>
        <v/>
      </c>
      <c r="S29">
        <f>'Space Types'!AI32</f>
        <v>2.3876000000000001E-3</v>
      </c>
      <c r="T29" t="str">
        <f>'Space Types'!AL32</f>
        <v/>
      </c>
      <c r="U29" t="str">
        <f>'Space Types'!AQ32</f>
        <v>COMNET-REV9WholeBuildingBA School/UniversityVent</v>
      </c>
      <c r="V29">
        <f>'Space Types'!AS32</f>
        <v>5</v>
      </c>
      <c r="W29">
        <f>'Space Types'!AT32</f>
        <v>0</v>
      </c>
      <c r="X29">
        <f>'Space Types'!AU32</f>
        <v>0.5</v>
      </c>
      <c r="Y29">
        <f>'Space Types'!AV32</f>
        <v>0</v>
      </c>
      <c r="Z29" t="str">
        <f>'Space Types'!AZ32</f>
        <v>NCC S35C2lNREL 956/Eley AnalysisClass 9b school; radiant/latent/lost fraction split retained from original WA/COMNET-REV9 source (AIRAH Technical Handbook does not publish this split)BA School/UniversityElectricalEquipDef</v>
      </c>
      <c r="AA29" t="str">
        <f>'Space Types'!BA32</f>
        <v>NECB-D-Electric-Equipment</v>
      </c>
      <c r="AB29">
        <f>'Space Types'!BC32</f>
        <v>4.5</v>
      </c>
      <c r="AC29">
        <f>'Space Types'!BD32</f>
        <v>0.37</v>
      </c>
      <c r="AD29">
        <f>'Space Types'!BE32</f>
        <v>0.2</v>
      </c>
      <c r="AE29" t="str">
        <f>'Space Types'!BI32</f>
        <v>NCC J7D3aSchool - general purpose learning areas and tutorial rooms; radiant/visible fraction split retained from original WA/COMNET-REV9 source (AIRAH Technical Handbook does not publish this split)LightingDef</v>
      </c>
      <c r="AF29" t="str">
        <f>'Space Types'!BJ32</f>
        <v>NECB-D-Lighting</v>
      </c>
      <c r="AG29">
        <f>'Space Types'!BM32</f>
        <v>1.4745205480000001</v>
      </c>
      <c r="AH29">
        <f>'Space Types'!BN32</f>
        <v>0.01</v>
      </c>
      <c r="AI29">
        <f>'Space Types'!BO32</f>
        <v>0.4</v>
      </c>
      <c r="AJ29">
        <f>'Space Types'!BP32</f>
        <v>0.4</v>
      </c>
      <c r="AK29" t="str">
        <f>'Space Types'!BT32</f>
        <v>COMNET-REV9California Commercial End-Use Survey (CEUS)60%ThermEffProcessBA School/UniversityGasEquipDef</v>
      </c>
      <c r="AL29" t="str">
        <f>'Space Types'!BU32</f>
        <v>SchoolSecondary BLDG_EQUIP_SCH</v>
      </c>
      <c r="AM29">
        <f>'Space Types'!BX32</f>
        <v>0</v>
      </c>
      <c r="AN29" t="str">
        <f>'Space Types'!CC32</f>
        <v>NCC S34C2(6)0.7 ACH assumed as design infiltration for periods without mechanical outdoor air supply; NCC also specifies 0.35 ACH when mechanical OA is operating (to be applied via infiltration schedule once developed)BA School/UniversityInfil</v>
      </c>
      <c r="AO29" t="str">
        <f>'Space Types'!CD32</f>
        <v>Always On</v>
      </c>
      <c r="AP29">
        <f>'Space Types'!CG32</f>
        <v>0</v>
      </c>
      <c r="AQ29">
        <f>'Space Types'!CH32</f>
        <v>2</v>
      </c>
      <c r="AR29">
        <f>'Space Types'!CI32</f>
        <v>0</v>
      </c>
      <c r="AS29" t="str">
        <f>'Space Types'!CJ32</f>
        <v>MediumSmooth</v>
      </c>
      <c r="AT29">
        <f>'Space Types'!CK32</f>
        <v>0.15</v>
      </c>
      <c r="AU29">
        <f>'Space Types'!CL32</f>
        <v>0.12</v>
      </c>
      <c r="AV29">
        <f>'Space Types'!CM32</f>
        <v>540</v>
      </c>
      <c r="AW29">
        <f>'Space Types'!CN32</f>
        <v>1210</v>
      </c>
      <c r="AX29">
        <f>'Space Types'!CO32</f>
        <v>0.9</v>
      </c>
      <c r="AY29">
        <f>'Space Types'!CP32</f>
        <v>0.7</v>
      </c>
      <c r="AZ29">
        <f>'Space Types'!CQ32</f>
        <v>0.7</v>
      </c>
      <c r="BA29" t="str">
        <f>'Space Types'!CR32</f>
        <v>Std Wood 6inch</v>
      </c>
      <c r="BB29" t="str">
        <f>'Space Types'!CW32</f>
        <v>OpenStudio-Prototype-BuildingsStd Wood 6inchInternalMassDef</v>
      </c>
    </row>
    <row r="30" spans="1:54" x14ac:dyDescent="0.35">
      <c r="A30" t="str">
        <f>'Space Types'!A33</f>
        <v>BA Sports Arena</v>
      </c>
      <c r="B30" t="str">
        <f>'Space Types'!B33</f>
        <v>2025_AU_NCC</v>
      </c>
      <c r="C30" t="str">
        <f>'Space Types'!C33</f>
        <v>Sports Arena</v>
      </c>
      <c r="D30" t="str">
        <f>'Space Types'!D33</f>
        <v>Whole Building</v>
      </c>
      <c r="E30">
        <f>'Space Types'!I33</f>
        <v>255</v>
      </c>
      <c r="F30">
        <f>'Space Types'!J33</f>
        <v>255</v>
      </c>
      <c r="G30">
        <f>'Space Types'!K33</f>
        <v>255</v>
      </c>
      <c r="H30" t="str">
        <f>'Space Types'!L33</f>
        <v>BA Sports Arena_2025AUNCC</v>
      </c>
      <c r="I30" t="str">
        <f>'Space Types'!M33</f>
        <v>BA Sports Arena_2025AUNCCScheduleSet</v>
      </c>
      <c r="J30">
        <f>'Space Types'!P33</f>
        <v>0</v>
      </c>
      <c r="K30">
        <f>'Space Types'!U33</f>
        <v>0</v>
      </c>
      <c r="L30">
        <f>'Space Types'!V33</f>
        <v>0</v>
      </c>
      <c r="M30">
        <f>'Space Types'!W33</f>
        <v>130</v>
      </c>
      <c r="N30">
        <f>'Space Types'!X33</f>
        <v>0.57692307700000001</v>
      </c>
      <c r="O30" t="str">
        <f>'Space Types'!AC33</f>
        <v/>
      </c>
      <c r="P30" t="str">
        <f>'Space Types'!AD33</f>
        <v/>
      </c>
      <c r="Q30" t="str">
        <f>'Space Types'!AE33</f>
        <v/>
      </c>
      <c r="R30" t="str">
        <f>'Space Types'!AG33</f>
        <v/>
      </c>
      <c r="S30">
        <f>'Space Types'!AI33</f>
        <v>1.524E-3</v>
      </c>
      <c r="T30" t="str">
        <f>'Space Types'!AL33</f>
        <v/>
      </c>
      <c r="U30" t="str">
        <f>'Space Types'!AQ33</f>
        <v>COMNET-REV9WholeBuildingBA Sports ArenaVent</v>
      </c>
      <c r="V30">
        <f>'Space Types'!AS33</f>
        <v>0</v>
      </c>
      <c r="W30">
        <f>'Space Types'!AT33</f>
        <v>0</v>
      </c>
      <c r="X30">
        <f>'Space Types'!AU33</f>
        <v>0.5</v>
      </c>
      <c r="Y30">
        <f>'Space Types'!AV33</f>
        <v>0</v>
      </c>
      <c r="Z30" t="str">
        <f>'Space Types'!AZ33</f>
        <v>NCC S35C2lNREL 956/Eley AnalysisClass 9b (Other applications) - no equipment load per S35C2l; radiant/latent/lost fraction split retained from original WA/COMNET-REV9 source (AIRAH Technical Handbook does not publish this split)BA Sports ArenaElectricalEquipDef</v>
      </c>
      <c r="AA30" t="str">
        <f>'Space Types'!BA33</f>
        <v>NECB-B-Electric-Equipment</v>
      </c>
      <c r="AB30">
        <f>'Space Types'!BC33</f>
        <v>7.8576499999999996</v>
      </c>
      <c r="AC30">
        <f>'Space Types'!BD33</f>
        <v>0.37</v>
      </c>
      <c r="AD30">
        <f>'Space Types'!BE33</f>
        <v>0.2</v>
      </c>
      <c r="AE30" t="str">
        <f>'Space Types'!BI33</f>
        <v>IECC Table C405.3.2(1)Sports arena; radiant/visible fraction split retained from original WA/COMNET-REV9 sourceLightingDef</v>
      </c>
      <c r="AF30" t="str">
        <f>'Space Types'!BJ33</f>
        <v>NECB-B-Lighting</v>
      </c>
      <c r="AG30">
        <f>'Space Types'!BM33</f>
        <v>0.245753425</v>
      </c>
      <c r="AH30">
        <f>'Space Types'!BN33</f>
        <v>0</v>
      </c>
      <c r="AI30">
        <f>'Space Types'!BO33</f>
        <v>0.75</v>
      </c>
      <c r="AJ30">
        <f>'Space Types'!BP33</f>
        <v>0.25</v>
      </c>
      <c r="AK30" t="str">
        <f>'Space Types'!BT33</f>
        <v>COMNET-REV9California Commercial End-Use Survey (CEUS)93%ThermEffRadiantBA Sports ArenaGasEquipDef</v>
      </c>
      <c r="AL30" t="str">
        <f>'Space Types'!BU33</f>
        <v>NECB-B-Electric-Equipment</v>
      </c>
      <c r="AM30">
        <f>'Space Types'!BX33</f>
        <v>0</v>
      </c>
      <c r="AN30" t="str">
        <f>'Space Types'!CC33</f>
        <v>NCC S34C2(6)0.7 ACH assumed as design infiltration for periods without mechanical outdoor air supply; NCC also specifies 0.35 ACH when mechanical OA is operating (to be applied via infiltration schedule once developed)BA Sports ArenaInfil</v>
      </c>
      <c r="AO30" t="str">
        <f>'Space Types'!CD33</f>
        <v>Always On</v>
      </c>
      <c r="AP30">
        <f>'Space Types'!CG33</f>
        <v>0</v>
      </c>
      <c r="AQ30">
        <f>'Space Types'!CH33</f>
        <v>2</v>
      </c>
      <c r="AR30">
        <f>'Space Types'!CI33</f>
        <v>0</v>
      </c>
      <c r="AS30" t="str">
        <f>'Space Types'!CJ33</f>
        <v>MediumSmooth</v>
      </c>
      <c r="AT30">
        <f>'Space Types'!CK33</f>
        <v>0.15</v>
      </c>
      <c r="AU30">
        <f>'Space Types'!CL33</f>
        <v>0.12</v>
      </c>
      <c r="AV30">
        <f>'Space Types'!CM33</f>
        <v>540</v>
      </c>
      <c r="AW30">
        <f>'Space Types'!CN33</f>
        <v>1210</v>
      </c>
      <c r="AX30">
        <f>'Space Types'!CO33</f>
        <v>0.9</v>
      </c>
      <c r="AY30">
        <f>'Space Types'!CP33</f>
        <v>0.7</v>
      </c>
      <c r="AZ30">
        <f>'Space Types'!CQ33</f>
        <v>0.7</v>
      </c>
      <c r="BA30" t="str">
        <f>'Space Types'!CR33</f>
        <v>Std Wood 6inch</v>
      </c>
      <c r="BB30" t="str">
        <f>'Space Types'!CW33</f>
        <v>OpenStudio-Prototype-BuildingsStd Wood 6inchInternalMassDef</v>
      </c>
    </row>
    <row r="31" spans="1:54" x14ac:dyDescent="0.35">
      <c r="A31" t="str">
        <f>'Space Types'!A34</f>
        <v>BA Town Hall</v>
      </c>
      <c r="B31" t="str">
        <f>'Space Types'!B34</f>
        <v>2025_AU_NCC</v>
      </c>
      <c r="C31" t="str">
        <f>'Space Types'!C34</f>
        <v>Town Hall</v>
      </c>
      <c r="D31" t="str">
        <f>'Space Types'!D34</f>
        <v>Whole Building</v>
      </c>
      <c r="E31">
        <f>'Space Types'!I34</f>
        <v>255</v>
      </c>
      <c r="F31">
        <f>'Space Types'!J34</f>
        <v>255</v>
      </c>
      <c r="G31">
        <f>'Space Types'!K34</f>
        <v>255</v>
      </c>
      <c r="H31" t="str">
        <f>'Space Types'!L34</f>
        <v>BA Town Hall_2025AUNCC</v>
      </c>
      <c r="I31" t="str">
        <f>'Space Types'!M34</f>
        <v>BA Town Hall_2025AUNCCScheduleSet</v>
      </c>
      <c r="J31">
        <f>'Space Types'!P34</f>
        <v>5.3819575000000001E-2</v>
      </c>
      <c r="K31">
        <f>'Space Types'!U34</f>
        <v>0</v>
      </c>
      <c r="L31">
        <f>'Space Types'!V34</f>
        <v>0</v>
      </c>
      <c r="M31">
        <f>'Space Types'!W34</f>
        <v>130</v>
      </c>
      <c r="N31">
        <f>'Space Types'!X34</f>
        <v>0.57692307700000001</v>
      </c>
      <c r="O31" t="str">
        <f>'Space Types'!AC34</f>
        <v>NCC S35C2nOther applications (non-dining)BA Town HallPeopleDef</v>
      </c>
      <c r="P31" t="str">
        <f>'Space Types'!AD34</f>
        <v>NECB-D-Occupancy</v>
      </c>
      <c r="Q31" t="str">
        <f>'Space Types'!AE34</f>
        <v>BA Town HallActivity</v>
      </c>
      <c r="R31" t="str">
        <f>'Space Types'!AG34</f>
        <v/>
      </c>
      <c r="S31">
        <f>'Space Types'!AI34</f>
        <v>4.572E-4</v>
      </c>
      <c r="T31" t="str">
        <f>'Space Types'!AL34</f>
        <v/>
      </c>
      <c r="U31" t="str">
        <f>'Space Types'!AQ34</f>
        <v>COMNET-REV9WholeBuildingBA Town HallVent</v>
      </c>
      <c r="V31">
        <f>'Space Types'!AS34</f>
        <v>0</v>
      </c>
      <c r="W31">
        <f>'Space Types'!AT34</f>
        <v>0</v>
      </c>
      <c r="X31">
        <f>'Space Types'!AU34</f>
        <v>0.5</v>
      </c>
      <c r="Y31">
        <f>'Space Types'!AV34</f>
        <v>0</v>
      </c>
      <c r="Z31" t="str">
        <f>'Space Types'!AZ34</f>
        <v>NCC S35C2lNREL 956/Eley AnalysisClass 9b (Other applications) - no equipment load per S35C2l; radiant/latent/lost fraction split retained from original WA/COMNET-REV9 source (AIRAH Technical Handbook does not publish this split)BA Town HallElectricalEquipDef</v>
      </c>
      <c r="AA31" t="str">
        <f>'Space Types'!BA34</f>
        <v>NECB-D-Electric-Equipment</v>
      </c>
      <c r="AB31">
        <f>'Space Types'!BC34</f>
        <v>8</v>
      </c>
      <c r="AC31">
        <f>'Space Types'!BD34</f>
        <v>0.37</v>
      </c>
      <c r="AD31">
        <f>'Space Types'!BE34</f>
        <v>0.2</v>
      </c>
      <c r="AE31" t="str">
        <f>'Space Types'!BI34</f>
        <v>NCC J7D3aAuditorium, church and public hall; radiant/visible fraction split retained from original WA/COMNET-REV9 source (AIRAH Technical Handbook does not publish this split)LightingDef</v>
      </c>
      <c r="AF31" t="str">
        <f>'Space Types'!BJ34</f>
        <v>NECB-D-Lighting</v>
      </c>
      <c r="AG31">
        <f>'Space Types'!BM34</f>
        <v>1.351643836</v>
      </c>
      <c r="AH31">
        <f>'Space Types'!BN34</f>
        <v>0.01</v>
      </c>
      <c r="AI31">
        <f>'Space Types'!BO34</f>
        <v>0.4</v>
      </c>
      <c r="AJ31">
        <f>'Space Types'!BP34</f>
        <v>0.4</v>
      </c>
      <c r="AK31" t="str">
        <f>'Space Types'!BT34</f>
        <v>COMNET-REV9California Commercial End-Use Survey (CEUS)60%ThermEffProcessBA Town HallGasEquipDef</v>
      </c>
      <c r="AL31" t="str">
        <f>'Space Types'!BU34</f>
        <v>NECB-D-Electric-Equipment</v>
      </c>
      <c r="AM31">
        <f>'Space Types'!BX34</f>
        <v>0</v>
      </c>
      <c r="AN31" t="str">
        <f>'Space Types'!CC34</f>
        <v>NCC S34C2(6)0.7 ACH assumed as design infiltration for periods without mechanical outdoor air supply; NCC also specifies 0.35 ACH when mechanical OA is operating (to be applied via infiltration schedule once developed)BA Town HallInfil</v>
      </c>
      <c r="AO31" t="str">
        <f>'Space Types'!CD34</f>
        <v>Always On</v>
      </c>
      <c r="AP31">
        <f>'Space Types'!CG34</f>
        <v>0</v>
      </c>
      <c r="AQ31">
        <f>'Space Types'!CH34</f>
        <v>2</v>
      </c>
      <c r="AR31">
        <f>'Space Types'!CI34</f>
        <v>0</v>
      </c>
      <c r="AS31" t="str">
        <f>'Space Types'!CJ34</f>
        <v>MediumSmooth</v>
      </c>
      <c r="AT31">
        <f>'Space Types'!CK34</f>
        <v>0.15</v>
      </c>
      <c r="AU31">
        <f>'Space Types'!CL34</f>
        <v>0.12</v>
      </c>
      <c r="AV31">
        <f>'Space Types'!CM34</f>
        <v>540</v>
      </c>
      <c r="AW31">
        <f>'Space Types'!CN34</f>
        <v>1210</v>
      </c>
      <c r="AX31">
        <f>'Space Types'!CO34</f>
        <v>0.9</v>
      </c>
      <c r="AY31">
        <f>'Space Types'!CP34</f>
        <v>0.7</v>
      </c>
      <c r="AZ31">
        <f>'Space Types'!CQ34</f>
        <v>0.7</v>
      </c>
      <c r="BA31" t="str">
        <f>'Space Types'!CR34</f>
        <v>Std Wood 6inch</v>
      </c>
      <c r="BB31" t="str">
        <f>'Space Types'!CW34</f>
        <v>OpenStudio-Prototype-BuildingsStd Wood 6inchInternalMassDef</v>
      </c>
    </row>
    <row r="32" spans="1:54" x14ac:dyDescent="0.35">
      <c r="A32" t="str">
        <f>'Space Types'!A35</f>
        <v>BA Transportation</v>
      </c>
      <c r="B32" t="str">
        <f>'Space Types'!B35</f>
        <v>2025_AU_NCC</v>
      </c>
      <c r="C32" t="str">
        <f>'Space Types'!C35</f>
        <v>Transportation</v>
      </c>
      <c r="D32" t="str">
        <f>'Space Types'!D35</f>
        <v>Whole Building</v>
      </c>
      <c r="E32">
        <f>'Space Types'!I35</f>
        <v>255</v>
      </c>
      <c r="F32">
        <f>'Space Types'!J35</f>
        <v>255</v>
      </c>
      <c r="G32">
        <f>'Space Types'!K35</f>
        <v>255</v>
      </c>
      <c r="H32" t="str">
        <f>'Space Types'!L35</f>
        <v>BA Transportation_2025AUNCC</v>
      </c>
      <c r="I32" t="str">
        <f>'Space Types'!M35</f>
        <v>BA Transportation_2025AUNCCScheduleSet</v>
      </c>
      <c r="J32">
        <f>'Space Types'!P35</f>
        <v>1.0763915049999999</v>
      </c>
      <c r="K32">
        <f>'Space Types'!U35</f>
        <v>0</v>
      </c>
      <c r="L32">
        <f>'Space Types'!V35</f>
        <v>0</v>
      </c>
      <c r="M32">
        <f>'Space Types'!W35</f>
        <v>130</v>
      </c>
      <c r="N32">
        <f>'Space Types'!X35</f>
        <v>0.57692307700000001</v>
      </c>
      <c r="O32" t="str">
        <f>'Space Types'!AC35</f>
        <v>NCC S35C2nOther applications (non-dining)BA TransportationPeopleDef</v>
      </c>
      <c r="P32" t="str">
        <f>'Space Types'!AD35</f>
        <v>NECB-H-Occupancy</v>
      </c>
      <c r="Q32" t="str">
        <f>'Space Types'!AE35</f>
        <v>BA TransportationActivity</v>
      </c>
      <c r="R32" t="str">
        <f>'Space Types'!AG35</f>
        <v/>
      </c>
      <c r="S32">
        <f>'Space Types'!AI35</f>
        <v>4.1148000000000009E-3</v>
      </c>
      <c r="T32" t="str">
        <f>'Space Types'!AL35</f>
        <v/>
      </c>
      <c r="U32" t="str">
        <f>'Space Types'!AQ35</f>
        <v>COMNET-REV9WholeBuildingBA TransportationVent</v>
      </c>
      <c r="V32">
        <f>'Space Types'!AS35</f>
        <v>0</v>
      </c>
      <c r="W32">
        <f>'Space Types'!AT35</f>
        <v>0</v>
      </c>
      <c r="X32">
        <f>'Space Types'!AU35</f>
        <v>0.5</v>
      </c>
      <c r="Y32">
        <f>'Space Types'!AV35</f>
        <v>0</v>
      </c>
      <c r="Z32" t="str">
        <f>'Space Types'!AZ35</f>
        <v>NCC S35C2lNREL 956/Eley AnalysisClass 9b (Other applications) - no equipment load per S35C2l; radiant/latent/lost fraction split retained from original WA/COMNET-REV9 source (AIRAH Technical Handbook does not publish this split)BA TransportationElectricalEquipDef</v>
      </c>
      <c r="AA32" t="str">
        <f>'Space Types'!BA35</f>
        <v>NECB-H-Electric-Equipment</v>
      </c>
      <c r="AB32">
        <f>'Space Types'!BC35</f>
        <v>6.0277900000000004</v>
      </c>
      <c r="AC32">
        <f>'Space Types'!BD35</f>
        <v>0.37</v>
      </c>
      <c r="AD32">
        <f>'Space Types'!BE35</f>
        <v>0.2</v>
      </c>
      <c r="AE32" t="str">
        <f>'Space Types'!BI35</f>
        <v>IECC Table C405.3.2(1)Transportation; radiant/visible fraction split retained from original WA/COMNET-REV9 sourceLightingDef</v>
      </c>
      <c r="AF32" t="str">
        <f>'Space Types'!BJ35</f>
        <v>NECB-H-Lighting</v>
      </c>
      <c r="AG32">
        <f>'Space Types'!BM35</f>
        <v>0.245753425</v>
      </c>
      <c r="AH32">
        <f>'Space Types'!BN35</f>
        <v>0</v>
      </c>
      <c r="AI32">
        <f>'Space Types'!BO35</f>
        <v>0.75</v>
      </c>
      <c r="AJ32">
        <f>'Space Types'!BP35</f>
        <v>0.25</v>
      </c>
      <c r="AK32" t="str">
        <f>'Space Types'!BT35</f>
        <v>COMNET-REV9California Commercial End-Use Survey (CEUS)93%ThermEffRadiantBA TransportationGasEquipDef</v>
      </c>
      <c r="AL32" t="str">
        <f>'Space Types'!BU35</f>
        <v>NECB-H-Electric-Equipment</v>
      </c>
      <c r="AM32">
        <f>'Space Types'!BX35</f>
        <v>0</v>
      </c>
      <c r="AN32" t="str">
        <f>'Space Types'!CC35</f>
        <v>NCC S34C2(6)0.7 ACH assumed as design infiltration for periods without mechanical outdoor air supply; NCC also specifies 0.35 ACH when mechanical OA is operating (to be applied via infiltration schedule once developed)BA TransportationInfil</v>
      </c>
      <c r="AO32" t="str">
        <f>'Space Types'!CD35</f>
        <v>Always On</v>
      </c>
      <c r="AP32">
        <f>'Space Types'!CG35</f>
        <v>0</v>
      </c>
      <c r="AQ32">
        <f>'Space Types'!CH35</f>
        <v>2</v>
      </c>
      <c r="AR32">
        <f>'Space Types'!CI35</f>
        <v>0</v>
      </c>
      <c r="AS32" t="str">
        <f>'Space Types'!CJ35</f>
        <v>MediumSmooth</v>
      </c>
      <c r="AT32">
        <f>'Space Types'!CK35</f>
        <v>0.15</v>
      </c>
      <c r="AU32">
        <f>'Space Types'!CL35</f>
        <v>0.12</v>
      </c>
      <c r="AV32">
        <f>'Space Types'!CM35</f>
        <v>540</v>
      </c>
      <c r="AW32">
        <f>'Space Types'!CN35</f>
        <v>1210</v>
      </c>
      <c r="AX32">
        <f>'Space Types'!CO35</f>
        <v>0.9</v>
      </c>
      <c r="AY32">
        <f>'Space Types'!CP35</f>
        <v>0.7</v>
      </c>
      <c r="AZ32">
        <f>'Space Types'!CQ35</f>
        <v>0.7</v>
      </c>
      <c r="BA32" t="str">
        <f>'Space Types'!CR35</f>
        <v>Std Wood 6inch</v>
      </c>
      <c r="BB32" t="str">
        <f>'Space Types'!CW35</f>
        <v>OpenStudio-Prototype-BuildingsStd Wood 6inchInternalMassDef</v>
      </c>
    </row>
    <row r="33" spans="1:54" x14ac:dyDescent="0.35">
      <c r="A33" t="str">
        <f>'Space Types'!A36</f>
        <v>BA Warehouse</v>
      </c>
      <c r="B33" t="str">
        <f>'Space Types'!B36</f>
        <v>2025_AU_NCC</v>
      </c>
      <c r="C33" t="str">
        <f>'Space Types'!C36</f>
        <v>Warehouse</v>
      </c>
      <c r="D33" t="str">
        <f>'Space Types'!D36</f>
        <v>Whole Building</v>
      </c>
      <c r="E33">
        <f>'Space Types'!I36</f>
        <v>255</v>
      </c>
      <c r="F33">
        <f>'Space Types'!J36</f>
        <v>255</v>
      </c>
      <c r="G33">
        <f>'Space Types'!K36</f>
        <v>255</v>
      </c>
      <c r="H33" t="str">
        <f>'Space Types'!L36</f>
        <v>BA Warehouse_2025AUNCC</v>
      </c>
      <c r="I33" t="str">
        <f>'Space Types'!M36</f>
        <v>BA Warehouse_2025AUNCCScheduleSet</v>
      </c>
      <c r="J33">
        <f>'Space Types'!P36</f>
        <v>0</v>
      </c>
      <c r="K33">
        <f>'Space Types'!U36</f>
        <v>0</v>
      </c>
      <c r="L33">
        <f>'Space Types'!V36</f>
        <v>0</v>
      </c>
      <c r="M33">
        <f>'Space Types'!W36</f>
        <v>130</v>
      </c>
      <c r="N33">
        <f>'Space Types'!X36</f>
        <v>0.57692307700000001</v>
      </c>
      <c r="O33" t="str">
        <f>'Space Types'!AC36</f>
        <v/>
      </c>
      <c r="P33" t="str">
        <f>'Space Types'!AD36</f>
        <v/>
      </c>
      <c r="Q33" t="str">
        <f>'Space Types'!AE36</f>
        <v/>
      </c>
      <c r="R33" t="str">
        <f>'Space Types'!AG36</f>
        <v/>
      </c>
      <c r="S33">
        <f>'Space Types'!AI36</f>
        <v>3.0479999999999998E-4</v>
      </c>
      <c r="T33" t="str">
        <f>'Space Types'!AL36</f>
        <v/>
      </c>
      <c r="U33" t="str">
        <f>'Space Types'!AQ36</f>
        <v>COMNET-REV9WholeBuildingBA WarehouseVent</v>
      </c>
      <c r="V33">
        <f>'Space Types'!AS36</f>
        <v>0</v>
      </c>
      <c r="W33">
        <f>'Space Types'!AT36</f>
        <v>0</v>
      </c>
      <c r="X33">
        <f>'Space Types'!AU36</f>
        <v>0.5</v>
      </c>
      <c r="Y33">
        <f>'Space Types'!AV36</f>
        <v>0</v>
      </c>
      <c r="Z33" t="str">
        <f>'Space Types'!AZ36</f>
        <v>NCC S35C2lNREL 956/Eley AnalysisClass 7b (Other applications) - no equipment load per S35C2l; radiant/latent/lost fraction split retained from original WA/COMNET-REV9 source (AIRAH Technical Handbook does not publish this split)BA WarehouseElectricalEquipDef</v>
      </c>
      <c r="AA33" t="str">
        <f>'Space Types'!BA36</f>
        <v>NECB-A-Electric-Equipment</v>
      </c>
      <c r="AB33">
        <f>'Space Types'!BC36</f>
        <v>1.5</v>
      </c>
      <c r="AC33">
        <f>'Space Types'!BD36</f>
        <v>0.37</v>
      </c>
      <c r="AD33">
        <f>'Space Types'!BE36</f>
        <v>0.2</v>
      </c>
      <c r="AE33" t="str">
        <f>'Space Types'!BI36</f>
        <v>NCC J7D3aStorage; radiant/visible fraction split retained from original WA/COMNET-REV9 source (AIRAH Technical Handbook does not publish this split)LightingDef</v>
      </c>
      <c r="AF33" t="str">
        <f>'Space Types'!BJ36</f>
        <v>NECB-A-Lighting</v>
      </c>
      <c r="AG33">
        <f>'Space Types'!BM36</f>
        <v>0</v>
      </c>
      <c r="AH33">
        <f>'Space Types'!BN36</f>
        <v>0</v>
      </c>
      <c r="AI33">
        <f>'Space Types'!BO36</f>
        <v>0.75</v>
      </c>
      <c r="AJ33">
        <f>'Space Types'!BP36</f>
        <v>0.25</v>
      </c>
      <c r="AK33" t="str">
        <f>'Space Types'!BT36</f>
        <v>COMNET-REV9California Commercial End-Use Survey (CEUS)93%ThermEffRadiantBA WarehouseGasEquipDef</v>
      </c>
      <c r="AL33" t="str">
        <f>'Space Types'!BU36</f>
        <v>NECB-A-Electric-Equipment</v>
      </c>
      <c r="AM33">
        <f>'Space Types'!BX36</f>
        <v>0</v>
      </c>
      <c r="AN33" t="str">
        <f>'Space Types'!CC36</f>
        <v>NCC S34C2(6)0.7 ACH assumed as design infiltration for periods without mechanical outdoor air supply; NCC also specifies 0.35 ACH when mechanical OA is operating (to be applied via infiltration schedule once developed)BA WarehouseInfil</v>
      </c>
      <c r="AO33" t="str">
        <f>'Space Types'!CD36</f>
        <v>Always On</v>
      </c>
      <c r="AP33">
        <f>'Space Types'!CG36</f>
        <v>0</v>
      </c>
      <c r="AQ33">
        <f>'Space Types'!CH36</f>
        <v>2</v>
      </c>
      <c r="AR33">
        <f>'Space Types'!CI36</f>
        <v>0</v>
      </c>
      <c r="AS33" t="str">
        <f>'Space Types'!CJ36</f>
        <v>MediumSmooth</v>
      </c>
      <c r="AT33">
        <f>'Space Types'!CK36</f>
        <v>0.15</v>
      </c>
      <c r="AU33">
        <f>'Space Types'!CL36</f>
        <v>0.12</v>
      </c>
      <c r="AV33">
        <f>'Space Types'!CM36</f>
        <v>540</v>
      </c>
      <c r="AW33">
        <f>'Space Types'!CN36</f>
        <v>1210</v>
      </c>
      <c r="AX33">
        <f>'Space Types'!CO36</f>
        <v>0.9</v>
      </c>
      <c r="AY33">
        <f>'Space Types'!CP36</f>
        <v>0.7</v>
      </c>
      <c r="AZ33">
        <f>'Space Types'!CQ36</f>
        <v>0.7</v>
      </c>
      <c r="BA33" t="str">
        <f>'Space Types'!CR36</f>
        <v>Std Wood 6inch</v>
      </c>
      <c r="BB33" t="str">
        <f>'Space Types'!CW36</f>
        <v>OpenStudio-Prototype-BuildingsStd Wood 6inchInternalMassDef</v>
      </c>
    </row>
    <row r="34" spans="1:54" x14ac:dyDescent="0.35">
      <c r="A34" t="str">
        <f>'Space Types'!A37</f>
        <v>BA Workshop</v>
      </c>
      <c r="B34" t="str">
        <f>'Space Types'!B37</f>
        <v>2025_AU_NCC</v>
      </c>
      <c r="C34" t="str">
        <f>'Space Types'!C37</f>
        <v>Workshop</v>
      </c>
      <c r="D34" t="str">
        <f>'Space Types'!D37</f>
        <v>Whole Building</v>
      </c>
      <c r="E34">
        <f>'Space Types'!I37</f>
        <v>255</v>
      </c>
      <c r="F34">
        <f>'Space Types'!J37</f>
        <v>255</v>
      </c>
      <c r="G34">
        <f>'Space Types'!K37</f>
        <v>255</v>
      </c>
      <c r="H34" t="str">
        <f>'Space Types'!L37</f>
        <v>BA Workshop_2025AUNCC</v>
      </c>
      <c r="I34" t="str">
        <f>'Space Types'!M37</f>
        <v>BA Workshop_2025AUNCCScheduleSet</v>
      </c>
      <c r="J34">
        <f>'Space Types'!P37</f>
        <v>7.5272133000000005E-2</v>
      </c>
      <c r="K34">
        <f>'Space Types'!U37</f>
        <v>0</v>
      </c>
      <c r="L34">
        <f>'Space Types'!V37</f>
        <v>0</v>
      </c>
      <c r="M34">
        <f>'Space Types'!W37</f>
        <v>130</v>
      </c>
      <c r="N34">
        <f>'Space Types'!X37</f>
        <v>0.57692307700000001</v>
      </c>
      <c r="O34" t="str">
        <f>'Space Types'!AC37</f>
        <v>NCC S35C2nOther applications (non-dining)BA WorkshopPeopleDef</v>
      </c>
      <c r="P34" t="str">
        <f>'Space Types'!AD37</f>
        <v>NECB-A-Occupancy</v>
      </c>
      <c r="Q34" t="str">
        <f>'Space Types'!AE37</f>
        <v>BA WorkshopActivity</v>
      </c>
      <c r="R34" t="str">
        <f>'Space Types'!AG37</f>
        <v/>
      </c>
      <c r="S34">
        <f>'Space Types'!AI37</f>
        <v>1.2700000000000001E-3</v>
      </c>
      <c r="T34" t="str">
        <f>'Space Types'!AL37</f>
        <v/>
      </c>
      <c r="U34" t="str">
        <f>'Space Types'!AQ37</f>
        <v>COMNET-REV9WholeBuildingBA WorkshopVent</v>
      </c>
      <c r="V34">
        <f>'Space Types'!AS37</f>
        <v>0</v>
      </c>
      <c r="W34">
        <f>'Space Types'!AT37</f>
        <v>0</v>
      </c>
      <c r="X34">
        <f>'Space Types'!AU37</f>
        <v>0.5</v>
      </c>
      <c r="Y34">
        <f>'Space Types'!AV37</f>
        <v>0</v>
      </c>
      <c r="Z34" t="str">
        <f>'Space Types'!AZ37</f>
        <v>NCC S35C2lNREL 956/Eley AnalysisClass 8 (Other applications) - no equipment load per S35C2l; radiant/latent/lost fraction split retained from original WA/COMNET-REV9 source (AIRAH Technical Handbook does not publish this split)BA WorkshopElectricalEquipDef</v>
      </c>
      <c r="AA34" t="str">
        <f>'Space Types'!BA37</f>
        <v>NECB-A-Electric-Equipment</v>
      </c>
      <c r="AB34">
        <f>'Space Types'!BC37</f>
        <v>9.2569599999999994</v>
      </c>
      <c r="AC34">
        <f>'Space Types'!BD37</f>
        <v>0.37</v>
      </c>
      <c r="AD34">
        <f>'Space Types'!BE37</f>
        <v>0.2</v>
      </c>
      <c r="AE34" t="str">
        <f>'Space Types'!BI37</f>
        <v>IECC Table C405.3.2(1)Workshop; radiant/visible fraction split retained from original WA/COMNET-REV9 sourceLightingDef</v>
      </c>
      <c r="AF34" t="str">
        <f>'Space Types'!BJ37</f>
        <v>NECB-A-Lighting</v>
      </c>
      <c r="AG34">
        <f>'Space Types'!BM37</f>
        <v>8.1098630140000001</v>
      </c>
      <c r="AH34">
        <f>'Space Types'!BN37</f>
        <v>0</v>
      </c>
      <c r="AI34">
        <f>'Space Types'!BO37</f>
        <v>0.75</v>
      </c>
      <c r="AJ34">
        <f>'Space Types'!BP37</f>
        <v>0.25</v>
      </c>
      <c r="AK34" t="str">
        <f>'Space Types'!BT37</f>
        <v>COMNET-REV9California Commercial End-Use Survey (CEUS)93%ThermEffRadiantBA WorkshopGasEquipDef</v>
      </c>
      <c r="AL34" t="str">
        <f>'Space Types'!BU37</f>
        <v>NECB-A-Electric-Equipment</v>
      </c>
      <c r="AM34">
        <f>'Space Types'!BX37</f>
        <v>0</v>
      </c>
      <c r="AN34" t="str">
        <f>'Space Types'!CC37</f>
        <v>NCC S34C2(6)0.7 ACH assumed as design infiltration for periods without mechanical outdoor air supply; NCC also specifies 0.35 ACH when mechanical OA is operating (to be applied via infiltration schedule once developed)BA WorkshopInfil</v>
      </c>
      <c r="AO34" t="str">
        <f>'Space Types'!CD37</f>
        <v>Always On</v>
      </c>
      <c r="AP34">
        <f>'Space Types'!CG37</f>
        <v>0</v>
      </c>
      <c r="AQ34">
        <f>'Space Types'!CH37</f>
        <v>2</v>
      </c>
      <c r="AR34">
        <f>'Space Types'!CI37</f>
        <v>0</v>
      </c>
      <c r="AS34" t="str">
        <f>'Space Types'!CJ37</f>
        <v>MediumSmooth</v>
      </c>
      <c r="AT34">
        <f>'Space Types'!CK37</f>
        <v>0.15</v>
      </c>
      <c r="AU34">
        <f>'Space Types'!CL37</f>
        <v>0.12</v>
      </c>
      <c r="AV34">
        <f>'Space Types'!CM37</f>
        <v>540</v>
      </c>
      <c r="AW34">
        <f>'Space Types'!CN37</f>
        <v>1210</v>
      </c>
      <c r="AX34">
        <f>'Space Types'!CO37</f>
        <v>0.9</v>
      </c>
      <c r="AY34">
        <f>'Space Types'!CP37</f>
        <v>0.7</v>
      </c>
      <c r="AZ34">
        <f>'Space Types'!CQ37</f>
        <v>0.7</v>
      </c>
      <c r="BA34" t="str">
        <f>'Space Types'!CR37</f>
        <v>Std Wood 6inch</v>
      </c>
      <c r="BB34" t="str">
        <f>'Space Types'!CW37</f>
        <v>OpenStudio-Prototype-BuildingsStd Wood 6inchInternalMassDef</v>
      </c>
    </row>
    <row r="35" spans="1:54" x14ac:dyDescent="0.35">
      <c r="A35" t="str">
        <f>'Space Types'!A38</f>
        <v>CS Audience Seating Area - Auditorium</v>
      </c>
      <c r="B35" t="str">
        <f>'Space Types'!B38</f>
        <v>2025_AU_NCC</v>
      </c>
      <c r="C35" t="str">
        <f>'Space Types'!C38</f>
        <v>Auditorium</v>
      </c>
      <c r="D35" t="str">
        <f>'Space Types'!D38</f>
        <v>Audience Seating Area</v>
      </c>
      <c r="E35">
        <f>'Space Types'!I38</f>
        <v>230</v>
      </c>
      <c r="F35">
        <f>'Space Types'!J38</f>
        <v>196</v>
      </c>
      <c r="G35">
        <f>'Space Types'!K38</f>
        <v>120</v>
      </c>
      <c r="H35" t="str">
        <f>'Space Types'!L38</f>
        <v>CS Audience Seating Area - Auditorium_2025AUNCC</v>
      </c>
      <c r="I35" t="str">
        <f>'Space Types'!M38</f>
        <v>CS Audience Seating Area - Auditorium_2025AUNCCScheduleSet</v>
      </c>
      <c r="J35">
        <f>'Space Types'!P38</f>
        <v>1.614587258</v>
      </c>
      <c r="K35">
        <f>'Space Types'!U38</f>
        <v>0</v>
      </c>
      <c r="L35">
        <f>'Space Types'!V38</f>
        <v>0</v>
      </c>
      <c r="M35">
        <f>'Space Types'!W38</f>
        <v>130</v>
      </c>
      <c r="N35">
        <f>'Space Types'!X38</f>
        <v>0.57692307700000001</v>
      </c>
      <c r="O35" t="str">
        <f>'Space Types'!AC38</f>
        <v>NCC S35C2nOther applications (non-dining)PeopleDef</v>
      </c>
      <c r="P35" t="str">
        <f>'Space Types'!AD38</f>
        <v>SchoolSecondary BLDG_OCC_SCH_Auditorium</v>
      </c>
      <c r="Q35" t="str">
        <f>'Space Types'!AE38</f>
        <v>CS Audience Seating Area - AuditoriumActivity</v>
      </c>
      <c r="R35">
        <f>'Space Types'!AG38</f>
        <v>2.3596035865974517E-3</v>
      </c>
      <c r="S35">
        <f>'Space Types'!AI38</f>
        <v>3.0479999999999998E-4</v>
      </c>
      <c r="T35" t="str">
        <f>'Space Types'!AL38</f>
        <v/>
      </c>
      <c r="U35" t="str">
        <f>'Space Types'!AQ38</f>
        <v>Washington State Mechanical Code TABLE 403.3.1.1Education_AuditoriumsVent</v>
      </c>
      <c r="V35">
        <f>'Space Types'!AS38</f>
        <v>0</v>
      </c>
      <c r="W35">
        <f>'Space Types'!AT38</f>
        <v>0</v>
      </c>
      <c r="X35">
        <f>'Space Types'!AU38</f>
        <v>0.5</v>
      </c>
      <c r="Y35">
        <f>'Space Types'!AV38</f>
        <v>0</v>
      </c>
      <c r="Z35" t="str">
        <f>'Space Types'!AZ38</f>
        <v>NCC S35C2lNREL 956/Eley AnalysisClass 9b (Other applications) - no equipment load per S35C2l; radiant/latent/lost fraction split retained from original WA/COMNET-REV9 source (AIRAH Technical Handbook does not publish this split)CS Audience Seating Area - AuditoriumElectricalEquipDef</v>
      </c>
      <c r="AA35" t="str">
        <f>'Space Types'!BA38</f>
        <v>SchoolSecondary BLDG_EQUIP_SCH</v>
      </c>
      <c r="AB35">
        <f>'Space Types'!BC38</f>
        <v>8</v>
      </c>
      <c r="AC35">
        <f>'Space Types'!BD38</f>
        <v>0.37</v>
      </c>
      <c r="AD35">
        <f>'Space Types'!BE38</f>
        <v>0.2</v>
      </c>
      <c r="AE35" t="str">
        <f>'Space Types'!BI38</f>
        <v>NCC J7D3aAuditorium, church and public hall; radiant/visible fraction split retained from original WA/COMNET-REV9 source (AIRAH Technical Handbook does not publish this split)LightingDef</v>
      </c>
      <c r="AF35" t="str">
        <f>'Space Types'!BJ38</f>
        <v>SchoolSecondary BLDG_LIGHT_SCH</v>
      </c>
      <c r="AG35">
        <f>'Space Types'!BM38</f>
        <v>0</v>
      </c>
      <c r="AH35">
        <f>'Space Types'!BN38</f>
        <v>0</v>
      </c>
      <c r="AI35">
        <f>'Space Types'!BO38</f>
        <v>0</v>
      </c>
      <c r="AJ35">
        <f>'Space Types'!BP38</f>
        <v>0</v>
      </c>
      <c r="AK35" t="str">
        <f>'Space Types'!BT38</f>
        <v/>
      </c>
      <c r="AL35" t="str">
        <f>'Space Types'!BU38</f>
        <v/>
      </c>
      <c r="AM35">
        <f>'Space Types'!BX38</f>
        <v>0</v>
      </c>
      <c r="AN35" t="str">
        <f>'Space Types'!CC38</f>
        <v>NCC S34C2(6)0.7 ACH assumed as design infiltration for periods without mechanical outdoor air supply; NCC also specifies 0.35 ACH when mechanical OA is operating (to be applied via infiltration schedule once developed)SecondarySchool_AuditoriumInfil</v>
      </c>
      <c r="AO35" t="str">
        <f>'Space Types'!CD38</f>
        <v>SchoolSecondary INFIL_SCH_PNNL</v>
      </c>
      <c r="AP35">
        <f>'Space Types'!CG38</f>
        <v>0</v>
      </c>
      <c r="AQ35">
        <f>'Space Types'!CH38</f>
        <v>2.11</v>
      </c>
      <c r="AR35">
        <f>'Space Types'!CI38</f>
        <v>0</v>
      </c>
      <c r="AS35" t="str">
        <f>'Space Types'!CJ38</f>
        <v>MediumRough</v>
      </c>
      <c r="AT35">
        <f>'Space Types'!CK38</f>
        <v>3.32E-2</v>
      </c>
      <c r="AU35">
        <f>'Space Types'!CL38</f>
        <v>0.96599999999999997</v>
      </c>
      <c r="AV35">
        <f>'Space Types'!CM38</f>
        <v>219</v>
      </c>
      <c r="AW35">
        <f>'Space Types'!CN38</f>
        <v>859</v>
      </c>
      <c r="AX35">
        <f>'Space Types'!CO38</f>
        <v>0.9</v>
      </c>
      <c r="AY35">
        <f>'Space Types'!CP38</f>
        <v>0.65</v>
      </c>
      <c r="AZ35">
        <f>'Space Types'!CQ38</f>
        <v>0.65</v>
      </c>
      <c r="BA35" t="str">
        <f>'Space Types'!CR38</f>
        <v>Mixed_AudienceSeating_Auditorium_33mm</v>
      </c>
      <c r="BB35" t="str">
        <f>'Space Types'!CW38</f>
        <v>CalculatedEstimateFoldingUpholsteredSeatsWithSteelPedestalsMixed_AudienceSeating_Auditorium_33mmInternalMassDef</v>
      </c>
    </row>
    <row r="36" spans="1:54" x14ac:dyDescent="0.35">
      <c r="A36" t="str">
        <f>'Space Types'!A39</f>
        <v>CS Audience Seating Area - Convention Center</v>
      </c>
      <c r="B36" t="str">
        <f>'Space Types'!B39</f>
        <v>2025_AU_NCC</v>
      </c>
      <c r="C36" t="str">
        <f>'Space Types'!C39</f>
        <v>Convention Center</v>
      </c>
      <c r="D36" t="str">
        <f>'Space Types'!D39</f>
        <v>Audience Seating Area</v>
      </c>
      <c r="E36">
        <f>'Space Types'!I39</f>
        <v>230</v>
      </c>
      <c r="F36">
        <f>'Space Types'!J39</f>
        <v>196</v>
      </c>
      <c r="G36">
        <f>'Space Types'!K39</f>
        <v>120</v>
      </c>
      <c r="H36" t="str">
        <f>'Space Types'!L39</f>
        <v>CS Audience Seating Area - Convention Center_2025AUNCC</v>
      </c>
      <c r="I36" t="str">
        <f>'Space Types'!M39</f>
        <v>CS Audience Seating Area - Convention Center_2025AUNCCScheduleSet</v>
      </c>
      <c r="J36">
        <f>'Space Types'!P39</f>
        <v>1.614587258</v>
      </c>
      <c r="K36">
        <f>'Space Types'!U39</f>
        <v>0</v>
      </c>
      <c r="L36">
        <f>'Space Types'!V39</f>
        <v>0</v>
      </c>
      <c r="M36">
        <f>'Space Types'!W39</f>
        <v>130</v>
      </c>
      <c r="N36">
        <f>'Space Types'!X39</f>
        <v>0.57692307700000001</v>
      </c>
      <c r="O36" t="str">
        <f>'Space Types'!AC39</f>
        <v>NCC S35C2nOther applications (non-dining)PeopleDef</v>
      </c>
      <c r="P36" t="str">
        <f>'Space Types'!AD39</f>
        <v>NECB-C-Occupancy</v>
      </c>
      <c r="Q36" t="str">
        <f>'Space Types'!AE39</f>
        <v>CS Audience Seating Area - Convention CenterActivity</v>
      </c>
      <c r="R36">
        <f>'Space Types'!AG39</f>
        <v>2.3596035865974517E-3</v>
      </c>
      <c r="S36">
        <f>'Space Types'!AI39</f>
        <v>3.0479999999999998E-4</v>
      </c>
      <c r="T36" t="str">
        <f>'Space Types'!AL39</f>
        <v/>
      </c>
      <c r="U36" t="str">
        <f>'Space Types'!AQ39</f>
        <v>Washington State Mechanical Code TABLE 403.3.1.1Education_AuditoriumsVent</v>
      </c>
      <c r="V36">
        <f>'Space Types'!AS39</f>
        <v>0</v>
      </c>
      <c r="W36">
        <f>'Space Types'!AT39</f>
        <v>0</v>
      </c>
      <c r="X36">
        <f>'Space Types'!AU39</f>
        <v>0.5</v>
      </c>
      <c r="Y36">
        <f>'Space Types'!AV39</f>
        <v>0</v>
      </c>
      <c r="Z36" t="str">
        <f>'Space Types'!AZ39</f>
        <v>NCC S35C2lNREL 956/Eley AnalysisClass 9b (Other applications) - no equipment load per S35C2l; radiant/latent/lost fraction split retained from original WA/COMNET-REV9 source (AIRAH Technical Handbook does not publish this split)CS Audience Seating Area - Convention CenterElectricalEquipDef</v>
      </c>
      <c r="AA36" t="str">
        <f>'Space Types'!BA39</f>
        <v>NECB-C-Electric-Equipment</v>
      </c>
      <c r="AB36">
        <f>'Space Types'!BC39</f>
        <v>8</v>
      </c>
      <c r="AC36">
        <f>'Space Types'!BD39</f>
        <v>0.37</v>
      </c>
      <c r="AD36">
        <f>'Space Types'!BE39</f>
        <v>0.2</v>
      </c>
      <c r="AE36" t="str">
        <f>'Space Types'!BI39</f>
        <v>NCC J7D3aAuditorium, church and public hall (nearest); radiant/visible fraction split retained from original WA/COMNET-REV9 source (AIRAH Technical Handbook does not publish this split)LightingDef</v>
      </c>
      <c r="AF36" t="str">
        <f>'Space Types'!BJ39</f>
        <v>NECB-C-Lighting</v>
      </c>
      <c r="AG36">
        <f>'Space Types'!BM39</f>
        <v>0</v>
      </c>
      <c r="AH36">
        <f>'Space Types'!BN39</f>
        <v>0</v>
      </c>
      <c r="AI36">
        <f>'Space Types'!BO39</f>
        <v>0</v>
      </c>
      <c r="AJ36">
        <f>'Space Types'!BP39</f>
        <v>0</v>
      </c>
      <c r="AK36" t="str">
        <f>'Space Types'!BT39</f>
        <v/>
      </c>
      <c r="AL36" t="str">
        <f>'Space Types'!BU39</f>
        <v/>
      </c>
      <c r="AM36">
        <f>'Space Types'!BX39</f>
        <v>0</v>
      </c>
      <c r="AN36" t="str">
        <f>'Space Types'!CC39</f>
        <v>NCC S34C2(6)0.7 ACH assumed as design infiltration for periods without mechanical outdoor air supply; NCC also specifies 0.35 ACH when mechanical OA is operating (to be applied via infiltration schedule once developed)Space Function_Convention centre - audienceInfil</v>
      </c>
      <c r="AO36" t="str">
        <f>'Space Types'!CD39</f>
        <v>Always On</v>
      </c>
      <c r="AP36">
        <f>'Space Types'!CG39</f>
        <v>0</v>
      </c>
      <c r="AQ36">
        <f>'Space Types'!CH39</f>
        <v>1.05</v>
      </c>
      <c r="AR36">
        <f>'Space Types'!CI39</f>
        <v>0</v>
      </c>
      <c r="AS36" t="str">
        <f>'Space Types'!CJ39</f>
        <v>MediumRough</v>
      </c>
      <c r="AT36">
        <f>'Space Types'!CK39</f>
        <v>8.3999999999999995E-3</v>
      </c>
      <c r="AU36">
        <f>'Space Types'!CL39</f>
        <v>3.73</v>
      </c>
      <c r="AV36">
        <f>'Space Types'!CM39</f>
        <v>636</v>
      </c>
      <c r="AW36">
        <f>'Space Types'!CN39</f>
        <v>562</v>
      </c>
      <c r="AX36">
        <f>'Space Types'!CO39</f>
        <v>0.9</v>
      </c>
      <c r="AY36">
        <f>'Space Types'!CP39</f>
        <v>0.7</v>
      </c>
      <c r="AZ36">
        <f>'Space Types'!CQ39</f>
        <v>0.7</v>
      </c>
      <c r="BA36" t="str">
        <f>'Space Types'!CR39</f>
        <v>Mixed_AudienceSeating_ConventionCenter_8mm</v>
      </c>
      <c r="BB36" t="str">
        <f>'Space Types'!CW39</f>
        <v>CalculatedEstimatePortableStackingConferenceChairsMixed_AudienceSeating_ConventionCenter_8mmInternalMassDef</v>
      </c>
    </row>
    <row r="37" spans="1:54" x14ac:dyDescent="0.35">
      <c r="A37" t="str">
        <f>'Space Types'!A40</f>
        <v>CS Audience Seating Area - Exercise Center</v>
      </c>
      <c r="B37" t="str">
        <f>'Space Types'!B40</f>
        <v>2025_AU_NCC</v>
      </c>
      <c r="C37" t="str">
        <f>'Space Types'!C40</f>
        <v>Exercise Center</v>
      </c>
      <c r="D37" t="str">
        <f>'Space Types'!D40</f>
        <v>Audience Seating Area</v>
      </c>
      <c r="E37">
        <f>'Space Types'!I40</f>
        <v>230</v>
      </c>
      <c r="F37">
        <f>'Space Types'!J40</f>
        <v>196</v>
      </c>
      <c r="G37">
        <f>'Space Types'!K40</f>
        <v>120</v>
      </c>
      <c r="H37" t="str">
        <f>'Space Types'!L40</f>
        <v>CS Audience Seating Area - Exercise Center_2025AUNCC</v>
      </c>
      <c r="I37" t="str">
        <f>'Space Types'!M40</f>
        <v>CS Audience Seating Area - Exercise Center_2025AUNCCScheduleSet</v>
      </c>
      <c r="J37">
        <f>'Space Types'!P40</f>
        <v>1.614587258</v>
      </c>
      <c r="K37">
        <f>'Space Types'!U40</f>
        <v>0</v>
      </c>
      <c r="L37">
        <f>'Space Types'!V40</f>
        <v>0</v>
      </c>
      <c r="M37">
        <f>'Space Types'!W40</f>
        <v>130</v>
      </c>
      <c r="N37">
        <f>'Space Types'!X40</f>
        <v>0.57692307700000001</v>
      </c>
      <c r="O37" t="str">
        <f>'Space Types'!AC40</f>
        <v>NCC S35C2nOther applications (non-dining)PeopleDef</v>
      </c>
      <c r="P37" t="str">
        <f>'Space Types'!AD40</f>
        <v>NECB-B-Occupancy</v>
      </c>
      <c r="Q37" t="str">
        <f>'Space Types'!AE40</f>
        <v>CS Audience Seating Area - Exercise CenterActivity</v>
      </c>
      <c r="R37">
        <f>'Space Types'!AG40</f>
        <v>3.5394053798961773E-3</v>
      </c>
      <c r="S37">
        <f>'Space Types'!AI40</f>
        <v>3.0479999999999998E-4</v>
      </c>
      <c r="T37" t="str">
        <f>'Space Types'!AL40</f>
        <v/>
      </c>
      <c r="U37" t="str">
        <f>'Space Types'!AQ40</f>
        <v>Washington State Mechanical Code TABLE 403.3.1.1Sports and amusement_Spectator areasVent</v>
      </c>
      <c r="V37">
        <f>'Space Types'!AS40</f>
        <v>0</v>
      </c>
      <c r="W37">
        <f>'Space Types'!AT40</f>
        <v>0</v>
      </c>
      <c r="X37">
        <f>'Space Types'!AU40</f>
        <v>0.5</v>
      </c>
      <c r="Y37">
        <f>'Space Types'!AV40</f>
        <v>0</v>
      </c>
      <c r="Z37" t="str">
        <f>'Space Types'!AZ40</f>
        <v>NCC S35C2lNREL 956/Eley AnalysisClass 9b (Other applications) - no equipment load per S35C2l; radiant/latent/lost fraction split retained from original WA/COMNET-REV9 source (AIRAH Technical Handbook does not publish this split)CS Audience Seating Area - Exercise CenterElectricalEquipDef</v>
      </c>
      <c r="AA37" t="str">
        <f>'Space Types'!BA40</f>
        <v>NECB-B-Electric-Equipment</v>
      </c>
      <c r="AB37">
        <f>'Space Types'!BC40</f>
        <v>2.4756999999999998</v>
      </c>
      <c r="AC37">
        <f>'Space Types'!BD40</f>
        <v>0.37</v>
      </c>
      <c r="AD37">
        <f>'Space Types'!BE40</f>
        <v>0.2</v>
      </c>
      <c r="AE37" t="str">
        <f>'Space Types'!BI40</f>
        <v>IECC Table C405.3.2(2)Audience seating area - in a gymnasium (nearest; no dedicated 'exercise center' row); radiant/visible fraction split retained from original WA/COMNET-REV9 sourceLightingDef</v>
      </c>
      <c r="AF37" t="str">
        <f>'Space Types'!BJ40</f>
        <v>NECB-B-Lighting</v>
      </c>
      <c r="AG37">
        <f>'Space Types'!BM40</f>
        <v>0</v>
      </c>
      <c r="AH37">
        <f>'Space Types'!BN40</f>
        <v>0</v>
      </c>
      <c r="AI37">
        <f>'Space Types'!BO40</f>
        <v>0</v>
      </c>
      <c r="AJ37">
        <f>'Space Types'!BP40</f>
        <v>0</v>
      </c>
      <c r="AK37" t="str">
        <f>'Space Types'!BT40</f>
        <v/>
      </c>
      <c r="AL37" t="str">
        <f>'Space Types'!BU40</f>
        <v/>
      </c>
      <c r="AM37">
        <f>'Space Types'!BX40</f>
        <v>0</v>
      </c>
      <c r="AN37" t="str">
        <f>'Space Types'!CC40</f>
        <v>NCC S34C2(6)0.7 ACH assumed as design infiltration for periods without mechanical outdoor air supply; NCC also specifies 0.35 ACH when mechanical OA is operating (to be applied via infiltration schedule once developed)Space Function_Gym - audienceInfil</v>
      </c>
      <c r="AO37" t="str">
        <f>'Space Types'!CD40</f>
        <v>Always On</v>
      </c>
      <c r="AP37">
        <f>'Space Types'!CG40</f>
        <v>0</v>
      </c>
      <c r="AQ37">
        <f>'Space Types'!CH40</f>
        <v>1.03</v>
      </c>
      <c r="AR37">
        <f>'Space Types'!CI40</f>
        <v>0</v>
      </c>
      <c r="AS37" t="str">
        <f>'Space Types'!CJ40</f>
        <v>Smooth</v>
      </c>
      <c r="AT37">
        <f>'Space Types'!CK40</f>
        <v>0.01</v>
      </c>
      <c r="AU37">
        <f>'Space Types'!CL40</f>
        <v>50</v>
      </c>
      <c r="AV37">
        <f>'Space Types'!CM40</f>
        <v>332</v>
      </c>
      <c r="AW37">
        <f>'Space Types'!CN40</f>
        <v>863</v>
      </c>
      <c r="AX37">
        <f>'Space Types'!CO40</f>
        <v>0.9</v>
      </c>
      <c r="AY37">
        <f>'Space Types'!CP40</f>
        <v>0.65</v>
      </c>
      <c r="AZ37">
        <f>'Space Types'!CQ40</f>
        <v>0.65</v>
      </c>
      <c r="BA37" t="str">
        <f>'Space Types'!CR40</f>
        <v>Mixed_AudienceSeating_ExCtr_10mm</v>
      </c>
      <c r="BB37" t="str">
        <f>'Space Types'!CW40</f>
        <v>CalculatedEstimateRetractableAluminumBleacherSystemMixed_AudienceSeating_ExCtr_10mmInternalMassDef</v>
      </c>
    </row>
    <row r="38" spans="1:54" x14ac:dyDescent="0.35">
      <c r="A38" t="str">
        <f>'Space Types'!A41</f>
        <v>CS Audience Seating Area - Gymnasium</v>
      </c>
      <c r="B38" t="str">
        <f>'Space Types'!B41</f>
        <v>2025_AU_NCC</v>
      </c>
      <c r="C38" t="str">
        <f>'Space Types'!C41</f>
        <v>Gymnasium</v>
      </c>
      <c r="D38" t="str">
        <f>'Space Types'!D41</f>
        <v>Audience Seating Area</v>
      </c>
      <c r="E38">
        <f>'Space Types'!I41</f>
        <v>230</v>
      </c>
      <c r="F38">
        <f>'Space Types'!J41</f>
        <v>196</v>
      </c>
      <c r="G38">
        <f>'Space Types'!K41</f>
        <v>120</v>
      </c>
      <c r="H38" t="str">
        <f>'Space Types'!L41</f>
        <v>CS Audience Seating Area - Gymnasium_2025AUNCC</v>
      </c>
      <c r="I38" t="str">
        <f>'Space Types'!M41</f>
        <v>CS Audience Seating Area - Gymnasium_2025AUNCCScheduleSet</v>
      </c>
      <c r="J38">
        <f>'Space Types'!P41</f>
        <v>1.614587258</v>
      </c>
      <c r="K38">
        <f>'Space Types'!U41</f>
        <v>0</v>
      </c>
      <c r="L38">
        <f>'Space Types'!V41</f>
        <v>0</v>
      </c>
      <c r="M38">
        <f>'Space Types'!W41</f>
        <v>130</v>
      </c>
      <c r="N38">
        <f>'Space Types'!X41</f>
        <v>0.57692307700000001</v>
      </c>
      <c r="O38" t="str">
        <f>'Space Types'!AC41</f>
        <v>NCC S35C2nOther applications (non-dining)PeopleDef</v>
      </c>
      <c r="P38" t="str">
        <f>'Space Types'!AD41</f>
        <v>NECB-B-Occupancy</v>
      </c>
      <c r="Q38" t="str">
        <f>'Space Types'!AE41</f>
        <v>CS Audience Seating Area - GymnasiumActivity</v>
      </c>
      <c r="R38">
        <f>'Space Types'!AG41</f>
        <v>3.5394053798961773E-3</v>
      </c>
      <c r="S38">
        <f>'Space Types'!AI41</f>
        <v>3.0479999999999998E-4</v>
      </c>
      <c r="T38" t="str">
        <f>'Space Types'!AL41</f>
        <v/>
      </c>
      <c r="U38" t="str">
        <f>'Space Types'!AQ41</f>
        <v>Washington State Mechanical Code TABLE 403.3.1.1Sports and amusement_Spectator areasVent</v>
      </c>
      <c r="V38">
        <f>'Space Types'!AS41</f>
        <v>0</v>
      </c>
      <c r="W38">
        <f>'Space Types'!AT41</f>
        <v>0</v>
      </c>
      <c r="X38">
        <f>'Space Types'!AU41</f>
        <v>0.5</v>
      </c>
      <c r="Y38">
        <f>'Space Types'!AV41</f>
        <v>0</v>
      </c>
      <c r="Z38" t="str">
        <f>'Space Types'!AZ41</f>
        <v>NCC S35C2lNREL 956/Eley AnalysisClass 9b (Other applications) - no equipment load per S35C2l; radiant/latent/lost fraction split retained from original WA/COMNET-REV9 source (AIRAH Technical Handbook does not publish this split)CS Audience Seating Area - GymnasiumElectricalEquipDef</v>
      </c>
      <c r="AA38" t="str">
        <f>'Space Types'!BA41</f>
        <v>NECB-B-Electric-Equipment</v>
      </c>
      <c r="AB38">
        <f>'Space Types'!BC41</f>
        <v>2.4756999999999998</v>
      </c>
      <c r="AC38">
        <f>'Space Types'!BD41</f>
        <v>0.37</v>
      </c>
      <c r="AD38">
        <f>'Space Types'!BE41</f>
        <v>0.2</v>
      </c>
      <c r="AE38" t="str">
        <f>'Space Types'!BI41</f>
        <v>IECC Table C405.3.2(2)Audience seating area - in a gymnasium; radiant/visible fraction split retained from original WA/COMNET-REV9 sourceLightingDef</v>
      </c>
      <c r="AF38" t="str">
        <f>'Space Types'!BJ41</f>
        <v>NECB-B-Lighting</v>
      </c>
      <c r="AG38">
        <f>'Space Types'!BM41</f>
        <v>0</v>
      </c>
      <c r="AH38">
        <f>'Space Types'!BN41</f>
        <v>0</v>
      </c>
      <c r="AI38">
        <f>'Space Types'!BO41</f>
        <v>0</v>
      </c>
      <c r="AJ38">
        <f>'Space Types'!BP41</f>
        <v>0</v>
      </c>
      <c r="AK38" t="str">
        <f>'Space Types'!BT41</f>
        <v/>
      </c>
      <c r="AL38" t="str">
        <f>'Space Types'!BU41</f>
        <v/>
      </c>
      <c r="AM38">
        <f>'Space Types'!BX41</f>
        <v>0</v>
      </c>
      <c r="AN38" t="str">
        <f>'Space Types'!CC41</f>
        <v>NCC S34C2(6)0.7 ACH assumed as design infiltration for periods without mechanical outdoor air supply; NCC also specifies 0.35 ACH when mechanical OA is operating (to be applied via infiltration schedule once developed)SecondarySchool_GymInfil</v>
      </c>
      <c r="AO38" t="str">
        <f>'Space Types'!CD41</f>
        <v>SchoolSecondary INFIL_SCH_PNNL</v>
      </c>
      <c r="AP38">
        <f>'Space Types'!CG41</f>
        <v>0</v>
      </c>
      <c r="AQ38">
        <f>'Space Types'!CH41</f>
        <v>0.71</v>
      </c>
      <c r="AR38">
        <f>'Space Types'!CI41</f>
        <v>0</v>
      </c>
      <c r="AS38" t="str">
        <f>'Space Types'!CJ41</f>
        <v>Smooth</v>
      </c>
      <c r="AT38">
        <f>'Space Types'!CK41</f>
        <v>0.01</v>
      </c>
      <c r="AU38">
        <f>'Space Types'!CL41</f>
        <v>50</v>
      </c>
      <c r="AV38">
        <f>'Space Types'!CM41</f>
        <v>382</v>
      </c>
      <c r="AW38">
        <f>'Space Types'!CN41</f>
        <v>851</v>
      </c>
      <c r="AX38">
        <f>'Space Types'!CO41</f>
        <v>0.9</v>
      </c>
      <c r="AY38">
        <f>'Space Types'!CP41</f>
        <v>0.65</v>
      </c>
      <c r="AZ38">
        <f>'Space Types'!CQ41</f>
        <v>0.65</v>
      </c>
      <c r="BA38" t="str">
        <f>'Space Types'!CR41</f>
        <v>Mixed_AudienceSeating_Gymnasium_10mm</v>
      </c>
      <c r="BB38" t="str">
        <f>'Space Types'!CW41</f>
        <v>CalculatedEstimateTelescopingAluminumBleacherSystemMixed_AudienceSeating_Gymnasium_10mmInternalMassDef</v>
      </c>
    </row>
    <row r="39" spans="1:54" x14ac:dyDescent="0.35">
      <c r="A39" t="str">
        <f>'Space Types'!A42</f>
        <v>CS Audience Seating Area - Motion Picture Theater</v>
      </c>
      <c r="B39" t="str">
        <f>'Space Types'!B42</f>
        <v>2025_AU_NCC</v>
      </c>
      <c r="C39" t="str">
        <f>'Space Types'!C42</f>
        <v>Theater</v>
      </c>
      <c r="D39" t="str">
        <f>'Space Types'!D42</f>
        <v>Audience Seating Area</v>
      </c>
      <c r="E39">
        <f>'Space Types'!I42</f>
        <v>230</v>
      </c>
      <c r="F39">
        <f>'Space Types'!J42</f>
        <v>196</v>
      </c>
      <c r="G39">
        <f>'Space Types'!K42</f>
        <v>120</v>
      </c>
      <c r="H39" t="str">
        <f>'Space Types'!L42</f>
        <v>CS Audience Seating Area - Motion Picture Theater_2025AUNCC</v>
      </c>
      <c r="I39" t="str">
        <f>'Space Types'!M42</f>
        <v>CS Audience Seating Area - Motion Picture Theater_2025AUNCCScheduleSet</v>
      </c>
      <c r="J39">
        <f>'Space Types'!P42</f>
        <v>1.614587258</v>
      </c>
      <c r="K39">
        <f>'Space Types'!U42</f>
        <v>0</v>
      </c>
      <c r="L39">
        <f>'Space Types'!V42</f>
        <v>0</v>
      </c>
      <c r="M39">
        <f>'Space Types'!W42</f>
        <v>130</v>
      </c>
      <c r="N39">
        <f>'Space Types'!X42</f>
        <v>0.57692307700000001</v>
      </c>
      <c r="O39" t="str">
        <f>'Space Types'!AC42</f>
        <v>NCC S35C2nOther applications (non-dining)PeopleDef</v>
      </c>
      <c r="P39" t="str">
        <f>'Space Types'!AD42</f>
        <v>NECB-C-Occupancy</v>
      </c>
      <c r="Q39" t="str">
        <f>'Space Types'!AE42</f>
        <v>CS Audience Seating Area - Motion Picture TheaterActivity</v>
      </c>
      <c r="R39">
        <f>'Space Types'!AG42</f>
        <v>2.3596035865974517E-3</v>
      </c>
      <c r="S39">
        <f>'Space Types'!AI42</f>
        <v>3.0479999999999998E-4</v>
      </c>
      <c r="T39" t="str">
        <f>'Space Types'!AL42</f>
        <v/>
      </c>
      <c r="U39" t="str">
        <f>'Space Types'!AQ42</f>
        <v>Washington State Mechanical Code TABLE 403.3.1.1Education_AuditoriumsVent</v>
      </c>
      <c r="V39">
        <f>'Space Types'!AS42</f>
        <v>0</v>
      </c>
      <c r="W39">
        <f>'Space Types'!AT42</f>
        <v>0</v>
      </c>
      <c r="X39">
        <f>'Space Types'!AU42</f>
        <v>0.5</v>
      </c>
      <c r="Y39">
        <f>'Space Types'!AV42</f>
        <v>0</v>
      </c>
      <c r="Z39" t="str">
        <f>'Space Types'!AZ42</f>
        <v>NCC S35C2lNREL 956/Eley AnalysisClass 9b (Other applications) - no equipment load per S35C2l; radiant/latent/lost fraction split retained from original WA/COMNET-REV9 source (AIRAH Technical Handbook does not publish this split)CS Audience Seating Area - Motion Picture TheaterElectricalEquipDef</v>
      </c>
      <c r="AA39" t="str">
        <f>'Space Types'!BA42</f>
        <v>NECB-C-Electric-Equipment</v>
      </c>
      <c r="AB39">
        <f>'Space Types'!BC42</f>
        <v>8</v>
      </c>
      <c r="AC39">
        <f>'Space Types'!BD42</f>
        <v>0.37</v>
      </c>
      <c r="AD39">
        <f>'Space Types'!BE42</f>
        <v>0.2</v>
      </c>
      <c r="AE39" t="str">
        <f>'Space Types'!BI42</f>
        <v>NCC J7D3aAuditorium, church and public hall (nearest); radiant/visible fraction split retained from original WA/COMNET-REV9 source (AIRAH Technical Handbook does not publish this split)LightingDef</v>
      </c>
      <c r="AF39" t="str">
        <f>'Space Types'!BJ42</f>
        <v>NECB-C-Lighting</v>
      </c>
      <c r="AG39">
        <f>'Space Types'!BM42</f>
        <v>0</v>
      </c>
      <c r="AH39">
        <f>'Space Types'!BN42</f>
        <v>0</v>
      </c>
      <c r="AI39">
        <f>'Space Types'!BO42</f>
        <v>0</v>
      </c>
      <c r="AJ39">
        <f>'Space Types'!BP42</f>
        <v>0</v>
      </c>
      <c r="AK39" t="str">
        <f>'Space Types'!BT42</f>
        <v/>
      </c>
      <c r="AL39" t="str">
        <f>'Space Types'!BU42</f>
        <v/>
      </c>
      <c r="AM39">
        <f>'Space Types'!BX42</f>
        <v>0</v>
      </c>
      <c r="AN39" t="str">
        <f>'Space Types'!CC42</f>
        <v>NCC S34C2(6)0.7 ACH assumed as design infiltration for periods without mechanical outdoor air supply; NCC also specifies 0.35 ACH when mechanical OA is operating (to be applied via infiltration schedule once developed)Space Function_Audience - motion pictureInfil</v>
      </c>
      <c r="AO39" t="str">
        <f>'Space Types'!CD42</f>
        <v>Always On</v>
      </c>
      <c r="AP39">
        <f>'Space Types'!CG42</f>
        <v>0</v>
      </c>
      <c r="AQ39">
        <f>'Space Types'!CH42</f>
        <v>1.81</v>
      </c>
      <c r="AR39">
        <f>'Space Types'!CI42</f>
        <v>0</v>
      </c>
      <c r="AS39" t="str">
        <f>'Space Types'!CJ42</f>
        <v>MediumRough</v>
      </c>
      <c r="AT39">
        <f>'Space Types'!CK42</f>
        <v>3.4099999999999998E-2</v>
      </c>
      <c r="AU39">
        <f>'Space Types'!CL42</f>
        <v>0.89100000000000001</v>
      </c>
      <c r="AV39">
        <f>'Space Types'!CM42</f>
        <v>210</v>
      </c>
      <c r="AW39">
        <f>'Space Types'!CN42</f>
        <v>876</v>
      </c>
      <c r="AX39">
        <f>'Space Types'!CO42</f>
        <v>0.9</v>
      </c>
      <c r="AY39">
        <f>'Space Types'!CP42</f>
        <v>0.65</v>
      </c>
      <c r="AZ39">
        <f>'Space Types'!CQ42</f>
        <v>0.65</v>
      </c>
      <c r="BA39" t="str">
        <f>'Space Types'!CR42</f>
        <v>Mixed_AudienceSeating_MotionPictureTheater_34mm</v>
      </c>
      <c r="BB39" t="str">
        <f>'Space Types'!CW42</f>
        <v>CalculatedEstimateFixedCinemaSeatsWithCupHoldersMixed_AudienceSeating_MotionPictureTheater_34mmInternalMassDef</v>
      </c>
    </row>
    <row r="40" spans="1:54" x14ac:dyDescent="0.35">
      <c r="A40" t="str">
        <f>'Space Types'!A43</f>
        <v>CS Audience Seating Area - Penitentiary</v>
      </c>
      <c r="B40" t="str">
        <f>'Space Types'!B43</f>
        <v>2025_AU_NCC</v>
      </c>
      <c r="C40" t="str">
        <f>'Space Types'!C43</f>
        <v>Penitentiary</v>
      </c>
      <c r="D40" t="str">
        <f>'Space Types'!D43</f>
        <v>Audience Seating Area</v>
      </c>
      <c r="E40">
        <f>'Space Types'!I43</f>
        <v>230</v>
      </c>
      <c r="F40">
        <f>'Space Types'!J43</f>
        <v>196</v>
      </c>
      <c r="G40">
        <f>'Space Types'!K43</f>
        <v>120</v>
      </c>
      <c r="H40" t="str">
        <f>'Space Types'!L43</f>
        <v>CS Audience Seating Area - Penitentiary_2025AUNCC</v>
      </c>
      <c r="I40" t="str">
        <f>'Space Types'!M43</f>
        <v>CS Audience Seating Area - Penitentiary_2025AUNCCScheduleSet</v>
      </c>
      <c r="J40">
        <f>'Space Types'!P43</f>
        <v>0.538195753</v>
      </c>
      <c r="K40">
        <f>'Space Types'!U43</f>
        <v>0</v>
      </c>
      <c r="L40">
        <f>'Space Types'!V43</f>
        <v>0</v>
      </c>
      <c r="M40">
        <f>'Space Types'!W43</f>
        <v>130</v>
      </c>
      <c r="N40">
        <f>'Space Types'!X43</f>
        <v>0.57692307700000001</v>
      </c>
      <c r="O40" t="str">
        <f>'Space Types'!AC43</f>
        <v>NCC S35C2nOther applications (non-dining)PeopleDef</v>
      </c>
      <c r="P40" t="str">
        <f>'Space Types'!AD43</f>
        <v>NECB-C-Occupancy</v>
      </c>
      <c r="Q40" t="str">
        <f>'Space Types'!AE43</f>
        <v>CS Audience Seating Area - PenitentiaryActivity</v>
      </c>
      <c r="R40">
        <f>'Space Types'!AG43</f>
        <v>3.5394053798961773E-3</v>
      </c>
      <c r="S40">
        <f>'Space Types'!AI43</f>
        <v>3.0479999999999998E-4</v>
      </c>
      <c r="T40" t="str">
        <f>'Space Types'!AL43</f>
        <v/>
      </c>
      <c r="U40" t="str">
        <f>'Space Types'!AQ43</f>
        <v>Washington State Mechanical Code TABLE 403.3.1.1Correctional facilities_Booking_waitingVent</v>
      </c>
      <c r="V40">
        <f>'Space Types'!AS43</f>
        <v>8.0472524320000005</v>
      </c>
      <c r="W40">
        <f>'Space Types'!AT43</f>
        <v>0</v>
      </c>
      <c r="X40">
        <f>'Space Types'!AU43</f>
        <v>0.5</v>
      </c>
      <c r="Y40">
        <f>'Space Types'!AV43</f>
        <v>0</v>
      </c>
      <c r="Z40" t="str">
        <f>'Space Types'!AZ43</f>
        <v>COMNET-REV9NREL 956/Eley AnalysisDOEPrototypeCS Audience Seating Area - PenitentiaryElectricalEquipDef</v>
      </c>
      <c r="AA40" t="str">
        <f>'Space Types'!BA43</f>
        <v>NECB-C-Electric-Equipment</v>
      </c>
      <c r="AB40">
        <f>'Space Types'!BC43</f>
        <v>6.0277900000000004</v>
      </c>
      <c r="AC40">
        <f>'Space Types'!BD43</f>
        <v>0.37</v>
      </c>
      <c r="AD40">
        <f>'Space Types'!BE43</f>
        <v>0.2</v>
      </c>
      <c r="AE40" t="str">
        <f>'Space Types'!BI43</f>
        <v>IECC Table C405.3.2(2)Audience seating area - in a penitentiary; radiant/visible fraction split retained from original WA/COMNET-REV9 sourceLightingDef</v>
      </c>
      <c r="AF40" t="str">
        <f>'Space Types'!BJ43</f>
        <v>NECB-C-Lighting</v>
      </c>
      <c r="AG40">
        <f>'Space Types'!BM43</f>
        <v>0</v>
      </c>
      <c r="AH40">
        <f>'Space Types'!BN43</f>
        <v>0</v>
      </c>
      <c r="AI40">
        <f>'Space Types'!BO43</f>
        <v>0</v>
      </c>
      <c r="AJ40">
        <f>'Space Types'!BP43</f>
        <v>0</v>
      </c>
      <c r="AK40" t="str">
        <f>'Space Types'!BT43</f>
        <v/>
      </c>
      <c r="AL40" t="str">
        <f>'Space Types'!BU43</f>
        <v/>
      </c>
      <c r="AM40">
        <f>'Space Types'!BX43</f>
        <v>0</v>
      </c>
      <c r="AN40" t="str">
        <f>'Space Types'!CC43</f>
        <v>NCC S34C2(6)0.7 ACH assumed as design infiltration for periods without mechanical outdoor air supply; NCC also specifies 0.35 ACH when mechanical OA is operating (to be applied via infiltration schedule once developed)Space Function_Penitentiary - audienceInfil</v>
      </c>
      <c r="AO40" t="str">
        <f>'Space Types'!CD43</f>
        <v>Always On</v>
      </c>
      <c r="AP40">
        <f>'Space Types'!CG43</f>
        <v>0</v>
      </c>
      <c r="AQ40">
        <f>'Space Types'!CH43</f>
        <v>1.17</v>
      </c>
      <c r="AR40">
        <f>'Space Types'!CI43</f>
        <v>0</v>
      </c>
      <c r="AS40" t="str">
        <f>'Space Types'!CJ43</f>
        <v>MediumSmooth</v>
      </c>
      <c r="AT40">
        <f>'Space Types'!CK43</f>
        <v>1.2999999999999999E-3</v>
      </c>
      <c r="AU40">
        <f>'Space Types'!CL43</f>
        <v>50</v>
      </c>
      <c r="AV40">
        <f>'Space Types'!CM43</f>
        <v>7800</v>
      </c>
      <c r="AW40">
        <f>'Space Types'!CN43</f>
        <v>460</v>
      </c>
      <c r="AX40">
        <f>'Space Types'!CO43</f>
        <v>0.9</v>
      </c>
      <c r="AY40">
        <f>'Space Types'!CP43</f>
        <v>0.7</v>
      </c>
      <c r="AZ40">
        <f>'Space Types'!CQ43</f>
        <v>0.7</v>
      </c>
      <c r="BA40" t="str">
        <f>'Space Types'!CR43</f>
        <v>Steel_AudienceSeating_Penitentiary_1mm</v>
      </c>
      <c r="BB40" t="str">
        <f>'Space Types'!CW43</f>
        <v>CalculatedEstimateFixedAllMetalSecuritySeatingSteel_AudienceSeating_Penitentiary_1mmInternalMassDef</v>
      </c>
    </row>
    <row r="41" spans="1:54" x14ac:dyDescent="0.35">
      <c r="A41" t="str">
        <f>'Space Types'!A44</f>
        <v>CS Audience Seating Area - Performing Arts Theater</v>
      </c>
      <c r="B41" t="str">
        <f>'Space Types'!B44</f>
        <v>2025_AU_NCC</v>
      </c>
      <c r="C41" t="str">
        <f>'Space Types'!C44</f>
        <v>Theater</v>
      </c>
      <c r="D41" t="str">
        <f>'Space Types'!D44</f>
        <v>Audience Seating Area</v>
      </c>
      <c r="E41">
        <f>'Space Types'!I44</f>
        <v>230</v>
      </c>
      <c r="F41">
        <f>'Space Types'!J44</f>
        <v>196</v>
      </c>
      <c r="G41">
        <f>'Space Types'!K44</f>
        <v>120</v>
      </c>
      <c r="H41" t="str">
        <f>'Space Types'!L44</f>
        <v>CS Audience Seating Area - Performing Arts Theater_2025AUNCC</v>
      </c>
      <c r="I41" t="str">
        <f>'Space Types'!M44</f>
        <v>CS Audience Seating Area - Performing Arts Theater_2025AUNCCScheduleSet</v>
      </c>
      <c r="J41">
        <f>'Space Types'!P44</f>
        <v>1.614587258</v>
      </c>
      <c r="K41">
        <f>'Space Types'!U44</f>
        <v>0</v>
      </c>
      <c r="L41">
        <f>'Space Types'!V44</f>
        <v>0</v>
      </c>
      <c r="M41">
        <f>'Space Types'!W44</f>
        <v>130</v>
      </c>
      <c r="N41">
        <f>'Space Types'!X44</f>
        <v>0.57692307700000001</v>
      </c>
      <c r="O41" t="str">
        <f>'Space Types'!AC44</f>
        <v>NCC S35C2nOther applications (non-dining)PeopleDef</v>
      </c>
      <c r="P41" t="str">
        <f>'Space Types'!AD44</f>
        <v>NECB-C-Occupancy</v>
      </c>
      <c r="Q41" t="str">
        <f>'Space Types'!AE44</f>
        <v>CS Audience Seating Area - Performing Arts TheaterActivity</v>
      </c>
      <c r="R41">
        <f>'Space Types'!AG44</f>
        <v>2.3596035865974517E-3</v>
      </c>
      <c r="S41">
        <f>'Space Types'!AI44</f>
        <v>3.0479999999999998E-4</v>
      </c>
      <c r="T41" t="str">
        <f>'Space Types'!AL44</f>
        <v/>
      </c>
      <c r="U41" t="str">
        <f>'Space Types'!AQ44</f>
        <v>Washington State Mechanical Code TABLE 403.3.1.1Education_AuditoriumsVent</v>
      </c>
      <c r="V41">
        <f>'Space Types'!AS44</f>
        <v>0</v>
      </c>
      <c r="W41">
        <f>'Space Types'!AT44</f>
        <v>0</v>
      </c>
      <c r="X41">
        <f>'Space Types'!AU44</f>
        <v>0.5</v>
      </c>
      <c r="Y41">
        <f>'Space Types'!AV44</f>
        <v>0</v>
      </c>
      <c r="Z41" t="str">
        <f>'Space Types'!AZ44</f>
        <v>NCC S35C2lNREL 956/Eley AnalysisClass 9b (Other applications) - no equipment load per S35C2l; radiant/latent/lost fraction split retained from original WA/COMNET-REV9 source (AIRAH Technical Handbook does not publish this split)CS Audience Seating Area - Performing Arts TheaterElectricalEquipDef</v>
      </c>
      <c r="AA41" t="str">
        <f>'Space Types'!BA44</f>
        <v>NECB-C-Electric-Equipment</v>
      </c>
      <c r="AB41">
        <f>'Space Types'!BC44</f>
        <v>8</v>
      </c>
      <c r="AC41">
        <f>'Space Types'!BD44</f>
        <v>0.37</v>
      </c>
      <c r="AD41">
        <f>'Space Types'!BE44</f>
        <v>0.2</v>
      </c>
      <c r="AE41" t="str">
        <f>'Space Types'!BI44</f>
        <v>NCC J7D3aAuditorium, church and public hall (nearest); radiant/visible fraction split retained from original WA/COMNET-REV9 source (AIRAH Technical Handbook does not publish this split)LightingDef</v>
      </c>
      <c r="AF41" t="str">
        <f>'Space Types'!BJ44</f>
        <v>NECB-C-Lighting</v>
      </c>
      <c r="AG41">
        <f>'Space Types'!BM44</f>
        <v>0</v>
      </c>
      <c r="AH41">
        <f>'Space Types'!BN44</f>
        <v>0</v>
      </c>
      <c r="AI41">
        <f>'Space Types'!BO44</f>
        <v>0</v>
      </c>
      <c r="AJ41">
        <f>'Space Types'!BP44</f>
        <v>0</v>
      </c>
      <c r="AK41" t="str">
        <f>'Space Types'!BT44</f>
        <v/>
      </c>
      <c r="AL41" t="str">
        <f>'Space Types'!BU44</f>
        <v/>
      </c>
      <c r="AM41">
        <f>'Space Types'!BX44</f>
        <v>0</v>
      </c>
      <c r="AN41" t="str">
        <f>'Space Types'!CC44</f>
        <v>NCC S34C2(6)0.7 ACH assumed as design infiltration for periods without mechanical outdoor air supply; NCC also specifies 0.35 ACH when mechanical OA is operating (to be applied via infiltration schedule once developed)SecondarySchool_AuditoriumInfil</v>
      </c>
      <c r="AO41" t="str">
        <f>'Space Types'!CD44</f>
        <v>SchoolSecondary INFIL_SCH_PNNL</v>
      </c>
      <c r="AP41">
        <f>'Space Types'!CG44</f>
        <v>0</v>
      </c>
      <c r="AQ41">
        <f>'Space Types'!CH44</f>
        <v>2.06</v>
      </c>
      <c r="AR41">
        <f>'Space Types'!CI44</f>
        <v>0</v>
      </c>
      <c r="AS41" t="str">
        <f>'Space Types'!CJ44</f>
        <v>MediumRough</v>
      </c>
      <c r="AT41">
        <f>'Space Types'!CK44</f>
        <v>3.7900000000000003E-2</v>
      </c>
      <c r="AU41">
        <f>'Space Types'!CL44</f>
        <v>0.86299999999999999</v>
      </c>
      <c r="AV41">
        <f>'Space Types'!CM44</f>
        <v>200</v>
      </c>
      <c r="AW41">
        <f>'Space Types'!CN44</f>
        <v>879</v>
      </c>
      <c r="AX41">
        <f>'Space Types'!CO44</f>
        <v>0.9</v>
      </c>
      <c r="AY41">
        <f>'Space Types'!CP44</f>
        <v>0.65</v>
      </c>
      <c r="AZ41">
        <f>'Space Types'!CQ44</f>
        <v>0.65</v>
      </c>
      <c r="BA41" t="str">
        <f>'Space Types'!CR44</f>
        <v>Mixed_AudienceSeating_PerformingArtsTheater_38mm</v>
      </c>
      <c r="BB41" t="str">
        <f>'Space Types'!CW44</f>
        <v>CalculatedEstimateFixedUpholsteredSeatsWithAisleRailsMixed_AudienceSeating_PerformingArtsTheater_38mmInternalMassDef</v>
      </c>
    </row>
    <row r="42" spans="1:54" x14ac:dyDescent="0.35">
      <c r="A42" t="str">
        <f>'Space Types'!A45</f>
        <v>CS Audience Seating Area - Religious Building</v>
      </c>
      <c r="B42" t="str">
        <f>'Space Types'!B45</f>
        <v>2025_AU_NCC</v>
      </c>
      <c r="C42" t="str">
        <f>'Space Types'!C45</f>
        <v>Religious</v>
      </c>
      <c r="D42" t="str">
        <f>'Space Types'!D45</f>
        <v>Audience Seating Area</v>
      </c>
      <c r="E42">
        <f>'Space Types'!I45</f>
        <v>230</v>
      </c>
      <c r="F42">
        <f>'Space Types'!J45</f>
        <v>196</v>
      </c>
      <c r="G42">
        <f>'Space Types'!K45</f>
        <v>120</v>
      </c>
      <c r="H42" t="str">
        <f>'Space Types'!L45</f>
        <v>CS Audience Seating Area - Religious Building_2025AUNCC</v>
      </c>
      <c r="I42" t="str">
        <f>'Space Types'!M45</f>
        <v>CS Audience Seating Area - Religious Building_2025AUNCCScheduleSet</v>
      </c>
      <c r="J42">
        <f>'Space Types'!P45</f>
        <v>1.614587258</v>
      </c>
      <c r="K42">
        <f>'Space Types'!U45</f>
        <v>0</v>
      </c>
      <c r="L42">
        <f>'Space Types'!V45</f>
        <v>0</v>
      </c>
      <c r="M42">
        <f>'Space Types'!W45</f>
        <v>130</v>
      </c>
      <c r="N42">
        <f>'Space Types'!X45</f>
        <v>0.57692307700000001</v>
      </c>
      <c r="O42" t="str">
        <f>'Space Types'!AC45</f>
        <v>NCC S35C2nOther applications (non-dining)PeopleDef</v>
      </c>
      <c r="P42" t="str">
        <f>'Space Types'!AD45</f>
        <v>NECB-I-Occupancy</v>
      </c>
      <c r="Q42" t="str">
        <f>'Space Types'!AE45</f>
        <v>CS Audience Seating Area - Religious BuildingActivity</v>
      </c>
      <c r="R42">
        <f>'Space Types'!AG45</f>
        <v>2.3596035865974517E-3</v>
      </c>
      <c r="S42">
        <f>'Space Types'!AI45</f>
        <v>3.0479999999999998E-4</v>
      </c>
      <c r="T42" t="str">
        <f>'Space Types'!AL45</f>
        <v/>
      </c>
      <c r="U42" t="str">
        <f>'Space Types'!AQ45</f>
        <v>Washington State Mechanical Code TABLE 403.3.1.1Education_AuditoriumsVent</v>
      </c>
      <c r="V42">
        <f>'Space Types'!AS45</f>
        <v>0</v>
      </c>
      <c r="W42">
        <f>'Space Types'!AT45</f>
        <v>0</v>
      </c>
      <c r="X42">
        <f>'Space Types'!AU45</f>
        <v>0.5</v>
      </c>
      <c r="Y42">
        <f>'Space Types'!AV45</f>
        <v>0</v>
      </c>
      <c r="Z42" t="str">
        <f>'Space Types'!AZ45</f>
        <v>NCC S35C2lNREL 956/Eley AnalysisClass 9b (Other applications) - no equipment load per S35C2l; radiant/latent/lost fraction split retained from original WA/COMNET-REV9 source (AIRAH Technical Handbook does not publish this split)CS Audience Seating Area - Religious BuildingElectricalEquipDef</v>
      </c>
      <c r="AA42" t="str">
        <f>'Space Types'!BA45</f>
        <v>NECB-I-Electric-Equipment</v>
      </c>
      <c r="AB42">
        <f>'Space Types'!BC45</f>
        <v>8</v>
      </c>
      <c r="AC42">
        <f>'Space Types'!BD45</f>
        <v>0.37</v>
      </c>
      <c r="AD42">
        <f>'Space Types'!BE45</f>
        <v>0.2</v>
      </c>
      <c r="AE42" t="str">
        <f>'Space Types'!BI45</f>
        <v>NCC J7D3aAuditorium, church and public hall; radiant/visible fraction split retained from original WA/COMNET-REV9 source (AIRAH Technical Handbook does not publish this split)LightingDef</v>
      </c>
      <c r="AF42" t="str">
        <f>'Space Types'!BJ45</f>
        <v>NECB-I-Lighting</v>
      </c>
      <c r="AG42">
        <f>'Space Types'!BM45</f>
        <v>0</v>
      </c>
      <c r="AH42">
        <f>'Space Types'!BN45</f>
        <v>0</v>
      </c>
      <c r="AI42">
        <f>'Space Types'!BO45</f>
        <v>0</v>
      </c>
      <c r="AJ42">
        <f>'Space Types'!BP45</f>
        <v>0</v>
      </c>
      <c r="AK42" t="str">
        <f>'Space Types'!BT45</f>
        <v/>
      </c>
      <c r="AL42" t="str">
        <f>'Space Types'!BU45</f>
        <v/>
      </c>
      <c r="AM42">
        <f>'Space Types'!BX45</f>
        <v>0</v>
      </c>
      <c r="AN42" t="str">
        <f>'Space Types'!CC45</f>
        <v>NCC S34C2(6)0.7 ACH assumed as design infiltration for periods without mechanical outdoor air supply; NCC also specifies 0.35 ACH when mechanical OA is operating (to be applied via infiltration schedule once developed)Space Function_Religious - audienceInfil</v>
      </c>
      <c r="AO42" t="str">
        <f>'Space Types'!CD45</f>
        <v>Always On</v>
      </c>
      <c r="AP42">
        <f>'Space Types'!CG45</f>
        <v>0</v>
      </c>
      <c r="AQ42">
        <f>'Space Types'!CH45</f>
        <v>1.17</v>
      </c>
      <c r="AR42">
        <f>'Space Types'!CI45</f>
        <v>0</v>
      </c>
      <c r="AS42" t="str">
        <f>'Space Types'!CJ45</f>
        <v>MediumRough</v>
      </c>
      <c r="AT42">
        <f>'Space Types'!CK45</f>
        <v>1.8200000000000001E-2</v>
      </c>
      <c r="AU42">
        <f>'Space Types'!CL45</f>
        <v>1.1850000000000001</v>
      </c>
      <c r="AV42">
        <f>'Space Types'!CM45</f>
        <v>255</v>
      </c>
      <c r="AW42">
        <f>'Space Types'!CN45</f>
        <v>785</v>
      </c>
      <c r="AX42">
        <f>'Space Types'!CO45</f>
        <v>0.9</v>
      </c>
      <c r="AY42">
        <f>'Space Types'!CP45</f>
        <v>0.7</v>
      </c>
      <c r="AZ42">
        <f>'Space Types'!CQ45</f>
        <v>0.7</v>
      </c>
      <c r="BA42" t="str">
        <f>'Space Types'!CR45</f>
        <v>Mixed_AudienceSeating_ReligiousBuilding_18mm</v>
      </c>
      <c r="BB42" t="str">
        <f>'Space Types'!CW45</f>
        <v>CalculatedEstimatePaddedStackableGangedChairsMixed_AudienceSeating_ReligiousBuilding_18mmInternalMassDef</v>
      </c>
    </row>
    <row r="43" spans="1:54" x14ac:dyDescent="0.35">
      <c r="A43" t="str">
        <f>'Space Types'!A46</f>
        <v>CS Audience Seating Area - Sports Arena</v>
      </c>
      <c r="B43" t="str">
        <f>'Space Types'!B46</f>
        <v>2025_AU_NCC</v>
      </c>
      <c r="C43" t="str">
        <f>'Space Types'!C46</f>
        <v>Sports arena</v>
      </c>
      <c r="D43" t="str">
        <f>'Space Types'!D46</f>
        <v>Audience Seating Area</v>
      </c>
      <c r="E43">
        <f>'Space Types'!I46</f>
        <v>230</v>
      </c>
      <c r="F43">
        <f>'Space Types'!J46</f>
        <v>196</v>
      </c>
      <c r="G43">
        <f>'Space Types'!K46</f>
        <v>120</v>
      </c>
      <c r="H43" t="str">
        <f>'Space Types'!L46</f>
        <v>CS Audience Seating Area - Sports Arena_2025AUNCC</v>
      </c>
      <c r="I43" t="str">
        <f>'Space Types'!M46</f>
        <v>CS Audience Seating Area - Sports Arena_2025AUNCCScheduleSet</v>
      </c>
      <c r="J43">
        <f>'Space Types'!P46</f>
        <v>1.614587258</v>
      </c>
      <c r="K43">
        <f>'Space Types'!U46</f>
        <v>0</v>
      </c>
      <c r="L43">
        <f>'Space Types'!V46</f>
        <v>0</v>
      </c>
      <c r="M43">
        <f>'Space Types'!W46</f>
        <v>130</v>
      </c>
      <c r="N43">
        <f>'Space Types'!X46</f>
        <v>0.57692307700000001</v>
      </c>
      <c r="O43" t="str">
        <f>'Space Types'!AC46</f>
        <v>NCC S35C2nOther applications (non-dining)PeopleDef</v>
      </c>
      <c r="P43" t="str">
        <f>'Space Types'!AD46</f>
        <v>NECB-B-Occupancy</v>
      </c>
      <c r="Q43" t="str">
        <f>'Space Types'!AE46</f>
        <v>CS Audience Seating Area - Sports ArenaActivity</v>
      </c>
      <c r="R43">
        <f>'Space Types'!AG46</f>
        <v>3.5394053798961773E-3</v>
      </c>
      <c r="S43">
        <f>'Space Types'!AI46</f>
        <v>3.0479999999999998E-4</v>
      </c>
      <c r="T43" t="str">
        <f>'Space Types'!AL46</f>
        <v/>
      </c>
      <c r="U43" t="str">
        <f>'Space Types'!AQ46</f>
        <v>Washington State Mechanical Code TABLE 403.3.1.1Sports and amusement_Spectator areasVent</v>
      </c>
      <c r="V43">
        <f>'Space Types'!AS46</f>
        <v>0</v>
      </c>
      <c r="W43">
        <f>'Space Types'!AT46</f>
        <v>0</v>
      </c>
      <c r="X43">
        <f>'Space Types'!AU46</f>
        <v>0.5</v>
      </c>
      <c r="Y43">
        <f>'Space Types'!AV46</f>
        <v>0</v>
      </c>
      <c r="Z43" t="str">
        <f>'Space Types'!AZ46</f>
        <v>NCC S35C2lNREL 956/Eley AnalysisClass 9b (Other applications) - no equipment load per S35C2l; radiant/latent/lost fraction split retained from original WA/COMNET-REV9 source (AIRAH Technical Handbook does not publish this split)CS Audience Seating Area - Sports ArenaElectricalEquipDef</v>
      </c>
      <c r="AA43" t="str">
        <f>'Space Types'!BA46</f>
        <v>NECB-B-Electric-Equipment</v>
      </c>
      <c r="AB43">
        <f>'Space Types'!BC46</f>
        <v>2.9062600000000001</v>
      </c>
      <c r="AC43">
        <f>'Space Types'!BD46</f>
        <v>0.37</v>
      </c>
      <c r="AD43">
        <f>'Space Types'!BE46</f>
        <v>0.2</v>
      </c>
      <c r="AE43" t="str">
        <f>'Space Types'!BI46</f>
        <v>IECC Table C405.3.2(2)Audience seating area - in a sports arena; radiant/visible fraction split retained from original WA/COMNET-REV9 sourceLightingDef</v>
      </c>
      <c r="AF43" t="str">
        <f>'Space Types'!BJ46</f>
        <v>NECB-B-Lighting</v>
      </c>
      <c r="AG43">
        <f>'Space Types'!BM46</f>
        <v>0</v>
      </c>
      <c r="AH43">
        <f>'Space Types'!BN46</f>
        <v>0</v>
      </c>
      <c r="AI43">
        <f>'Space Types'!BO46</f>
        <v>0</v>
      </c>
      <c r="AJ43">
        <f>'Space Types'!BP46</f>
        <v>0</v>
      </c>
      <c r="AK43" t="str">
        <f>'Space Types'!BT46</f>
        <v/>
      </c>
      <c r="AL43" t="str">
        <f>'Space Types'!BU46</f>
        <v/>
      </c>
      <c r="AM43">
        <f>'Space Types'!BX46</f>
        <v>0</v>
      </c>
      <c r="AN43" t="str">
        <f>'Space Types'!CC46</f>
        <v>NCC S34C2(6)0.7 ACH assumed as design infiltration for periods without mechanical outdoor air supply; NCC also specifies 0.35 ACH when mechanical OA is operating (to be applied via infiltration schedule once developed)Space Function_Sports arena - audienceInfil</v>
      </c>
      <c r="AO43" t="str">
        <f>'Space Types'!CD46</f>
        <v>Always On</v>
      </c>
      <c r="AP43">
        <f>'Space Types'!CG46</f>
        <v>0</v>
      </c>
      <c r="AQ43">
        <f>'Space Types'!CH46</f>
        <v>1.75</v>
      </c>
      <c r="AR43">
        <f>'Space Types'!CI46</f>
        <v>0</v>
      </c>
      <c r="AS43" t="str">
        <f>'Space Types'!CJ46</f>
        <v>MediumSmooth</v>
      </c>
      <c r="AT43">
        <f>'Space Types'!CK46</f>
        <v>0.01</v>
      </c>
      <c r="AU43">
        <f>'Space Types'!CL46</f>
        <v>2.66</v>
      </c>
      <c r="AV43">
        <f>'Space Types'!CM46</f>
        <v>440</v>
      </c>
      <c r="AW43">
        <f>'Space Types'!CN46</f>
        <v>1401</v>
      </c>
      <c r="AX43">
        <f>'Space Types'!CO46</f>
        <v>0.9</v>
      </c>
      <c r="AY43">
        <f>'Space Types'!CP46</f>
        <v>0.65</v>
      </c>
      <c r="AZ43">
        <f>'Space Types'!CQ46</f>
        <v>0.65</v>
      </c>
      <c r="BA43" t="str">
        <f>'Space Types'!CR46</f>
        <v>Mixed_AudienceSeating_SportsArena_10mm</v>
      </c>
      <c r="BB43" t="str">
        <f>'Space Types'!CW46</f>
        <v>CalculatedEstimateFoldDownPolypropyleneStadiumSeatsMixed_AudienceSeating_SportsArena_10mmInternalMassDef</v>
      </c>
    </row>
    <row r="44" spans="1:54" x14ac:dyDescent="0.35">
      <c r="A44" t="str">
        <f>'Space Types'!A47</f>
        <v>CS Audience Seating Area - Transportation Facility</v>
      </c>
      <c r="B44" t="str">
        <f>'Space Types'!B47</f>
        <v>2025_AU_NCC</v>
      </c>
      <c r="C44" t="str">
        <f>'Space Types'!C47</f>
        <v>Transportation Facility</v>
      </c>
      <c r="D44" t="str">
        <f>'Space Types'!D47</f>
        <v>Audience Seating Area</v>
      </c>
      <c r="E44">
        <f>'Space Types'!I47</f>
        <v>230</v>
      </c>
      <c r="F44">
        <f>'Space Types'!J47</f>
        <v>196</v>
      </c>
      <c r="G44">
        <f>'Space Types'!K47</f>
        <v>120</v>
      </c>
      <c r="H44" t="str">
        <f>'Space Types'!L47</f>
        <v>CS Audience Seating Area - Transportation Facility_2025AUNCC</v>
      </c>
      <c r="I44" t="str">
        <f>'Space Types'!M47</f>
        <v>CS Audience Seating Area - Transportation Facility_2025AUNCCScheduleSet</v>
      </c>
      <c r="J44">
        <f>'Space Types'!P47</f>
        <v>1.0763915049999999</v>
      </c>
      <c r="K44">
        <f>'Space Types'!U47</f>
        <v>0</v>
      </c>
      <c r="L44">
        <f>'Space Types'!V47</f>
        <v>0</v>
      </c>
      <c r="M44">
        <f>'Space Types'!W47</f>
        <v>130</v>
      </c>
      <c r="N44">
        <f>'Space Types'!X47</f>
        <v>0.57692307700000001</v>
      </c>
      <c r="O44" t="str">
        <f>'Space Types'!AC47</f>
        <v>NCC S35C2nOther applications (non-dining)PeopleDef</v>
      </c>
      <c r="P44" t="str">
        <f>'Space Types'!AD47</f>
        <v>NECB-H-Occupancy</v>
      </c>
      <c r="Q44" t="str">
        <f>'Space Types'!AE47</f>
        <v>CS Audience Seating Area - Transportation FacilityActivity</v>
      </c>
      <c r="R44">
        <f>'Space Types'!AG47</f>
        <v>3.5394053798961773E-3</v>
      </c>
      <c r="S44">
        <f>'Space Types'!AI47</f>
        <v>3.0479999999999998E-4</v>
      </c>
      <c r="T44" t="str">
        <f>'Space Types'!AL47</f>
        <v/>
      </c>
      <c r="U44" t="str">
        <f>'Space Types'!AQ47</f>
        <v>Washington State Mechanical Code TABLE 403.3.1.1Transportation_Transportation waitingVent</v>
      </c>
      <c r="V44">
        <f>'Space Types'!AS47</f>
        <v>0</v>
      </c>
      <c r="W44">
        <f>'Space Types'!AT47</f>
        <v>0</v>
      </c>
      <c r="X44">
        <f>'Space Types'!AU47</f>
        <v>0.5</v>
      </c>
      <c r="Y44">
        <f>'Space Types'!AV47</f>
        <v>0</v>
      </c>
      <c r="Z44" t="str">
        <f>'Space Types'!AZ47</f>
        <v>NCC S35C2lNREL 956/Eley AnalysisClass 9b (Other applications) - no equipment load per S35C2l; radiant/latent/lost fraction split retained from original WA/COMNET-REV9 source (AIRAH Technical Handbook does not publish this split)CS Audience Seating Area - Transportation FacilityElectricalEquipDef</v>
      </c>
      <c r="AA44" t="str">
        <f>'Space Types'!BA47</f>
        <v>NECB-H-Electric-Equipment</v>
      </c>
      <c r="AB44">
        <f>'Space Types'!BC47</f>
        <v>3.5520900000000002</v>
      </c>
      <c r="AC44">
        <f>'Space Types'!BD47</f>
        <v>0.37</v>
      </c>
      <c r="AD44">
        <f>'Space Types'!BE47</f>
        <v>0.2</v>
      </c>
      <c r="AE44" t="str">
        <f>'Space Types'!BI47</f>
        <v>IECC Table C405.3.2(2)Audience seating area - otherwise (no dedicated transportation-facility row); radiant/visible fraction split retained from original WA/COMNET-REV9 sourceLightingDef</v>
      </c>
      <c r="AF44" t="str">
        <f>'Space Types'!BJ47</f>
        <v>NECB-H-Lighting</v>
      </c>
      <c r="AG44">
        <f>'Space Types'!BM47</f>
        <v>0</v>
      </c>
      <c r="AH44">
        <f>'Space Types'!BN47</f>
        <v>0</v>
      </c>
      <c r="AI44">
        <f>'Space Types'!BO47</f>
        <v>0</v>
      </c>
      <c r="AJ44">
        <f>'Space Types'!BP47</f>
        <v>0</v>
      </c>
      <c r="AK44" t="str">
        <f>'Space Types'!BT47</f>
        <v/>
      </c>
      <c r="AL44" t="str">
        <f>'Space Types'!BU47</f>
        <v/>
      </c>
      <c r="AM44">
        <f>'Space Types'!BX47</f>
        <v>0</v>
      </c>
      <c r="AN44" t="str">
        <f>'Space Types'!CC47</f>
        <v>NCC S34C2(6)0.7 ACH assumed as design infiltration for periods without mechanical outdoor air supply; NCC also specifies 0.35 ACH when mechanical OA is operating (to be applied via infiltration schedule once developed)Space Function_Transp. seatingInfil</v>
      </c>
      <c r="AO44" t="str">
        <f>'Space Types'!CD47</f>
        <v>Always On</v>
      </c>
      <c r="AP44">
        <f>'Space Types'!CG47</f>
        <v>0</v>
      </c>
      <c r="AQ44">
        <f>'Space Types'!CH47</f>
        <v>0.66</v>
      </c>
      <c r="AR44">
        <f>'Space Types'!CI47</f>
        <v>0</v>
      </c>
      <c r="AS44" t="str">
        <f>'Space Types'!CJ47</f>
        <v>MediumRough</v>
      </c>
      <c r="AT44">
        <f>'Space Types'!CK47</f>
        <v>0.01</v>
      </c>
      <c r="AU44">
        <f>'Space Types'!CL47</f>
        <v>3.06</v>
      </c>
      <c r="AV44">
        <f>'Space Types'!CM47</f>
        <v>638</v>
      </c>
      <c r="AW44">
        <f>'Space Types'!CN47</f>
        <v>658</v>
      </c>
      <c r="AX44">
        <f>'Space Types'!CO47</f>
        <v>0.9</v>
      </c>
      <c r="AY44">
        <f>'Space Types'!CP47</f>
        <v>0.6</v>
      </c>
      <c r="AZ44">
        <f>'Space Types'!CQ47</f>
        <v>0.6</v>
      </c>
      <c r="BA44" t="str">
        <f>'Space Types'!CR47</f>
        <v>Mixed_AudienceSeating_Transportation_10mm</v>
      </c>
      <c r="BB44" t="str">
        <f>'Space Types'!CW47</f>
        <v>CalculatedEstimateGangedModularWaitingSeatsMixed_AudienceSeating_Transportation_10mmInternalMassDef</v>
      </c>
    </row>
    <row r="45" spans="1:54" x14ac:dyDescent="0.35">
      <c r="A45" t="str">
        <f>'Space Types'!A48</f>
        <v>CS Audience Seating Area - Other</v>
      </c>
      <c r="B45" t="str">
        <f>'Space Types'!B48</f>
        <v>2025_AU_NCC</v>
      </c>
      <c r="C45" t="str">
        <f>'Space Types'!C48</f>
        <v>Miscellaneous</v>
      </c>
      <c r="D45" t="str">
        <f>'Space Types'!D48</f>
        <v>Audience Seating Area</v>
      </c>
      <c r="E45">
        <f>'Space Types'!I48</f>
        <v>230</v>
      </c>
      <c r="F45">
        <f>'Space Types'!J48</f>
        <v>196</v>
      </c>
      <c r="G45">
        <f>'Space Types'!K48</f>
        <v>120</v>
      </c>
      <c r="H45" t="str">
        <f>'Space Types'!L48</f>
        <v>CS Audience Seating Area - Other_2025AUNCC</v>
      </c>
      <c r="I45" t="str">
        <f>'Space Types'!M48</f>
        <v>CS Audience Seating Area - Other_2025AUNCCScheduleSet</v>
      </c>
      <c r="J45">
        <f>'Space Types'!P48</f>
        <v>1.0763915049999999</v>
      </c>
      <c r="K45">
        <f>'Space Types'!U48</f>
        <v>0</v>
      </c>
      <c r="L45">
        <f>'Space Types'!V48</f>
        <v>0</v>
      </c>
      <c r="M45">
        <f>'Space Types'!W48</f>
        <v>130</v>
      </c>
      <c r="N45">
        <f>'Space Types'!X48</f>
        <v>0.57692307700000001</v>
      </c>
      <c r="O45" t="str">
        <f>'Space Types'!AC48</f>
        <v>NCC S35C2nOther applications (non-dining)PeopleDef</v>
      </c>
      <c r="P45" t="str">
        <f>'Space Types'!AD48</f>
        <v>NECB-C-Occupancy</v>
      </c>
      <c r="Q45" t="str">
        <f>'Space Types'!AE48</f>
        <v>CS Audience Seating Area - OtherActivity</v>
      </c>
      <c r="R45">
        <f>'Space Types'!AG48</f>
        <v>3.5394053798961773E-3</v>
      </c>
      <c r="S45">
        <f>'Space Types'!AI48</f>
        <v>3.0479999999999998E-4</v>
      </c>
      <c r="T45" t="str">
        <f>'Space Types'!AL48</f>
        <v/>
      </c>
      <c r="U45" t="str">
        <f>'Space Types'!AQ48</f>
        <v>Washington State Mechanical Code TABLE 403.3.1.1Education_Multiuse assemblyVent</v>
      </c>
      <c r="V45">
        <f>'Space Types'!AS48</f>
        <v>0</v>
      </c>
      <c r="W45">
        <f>'Space Types'!AT48</f>
        <v>0</v>
      </c>
      <c r="X45">
        <f>'Space Types'!AU48</f>
        <v>0.5</v>
      </c>
      <c r="Y45">
        <f>'Space Types'!AV48</f>
        <v>0</v>
      </c>
      <c r="Z45" t="str">
        <f>'Space Types'!AZ48</f>
        <v>NCC S35C2lNREL 956/Eley AnalysisClass 9b (Other applications) - no equipment load per S35C2l; radiant/latent/lost fraction split retained from original WA/COMNET-REV9 source (AIRAH Technical Handbook does not publish this split)CS Audience Seating Area - OtherElectricalEquipDef</v>
      </c>
      <c r="AA45" t="str">
        <f>'Space Types'!BA48</f>
        <v>NECB-C-Electric-Equipment</v>
      </c>
      <c r="AB45">
        <f>'Space Types'!BC48</f>
        <v>8</v>
      </c>
      <c r="AC45">
        <f>'Space Types'!BD48</f>
        <v>0.37</v>
      </c>
      <c r="AD45">
        <f>'Space Types'!BE48</f>
        <v>0.2</v>
      </c>
      <c r="AE45" t="str">
        <f>'Space Types'!BI48</f>
        <v>NCC J7D3aAuditorium, church and public hall (generic assembly fallback); radiant/visible fraction split retained from original WA/COMNET-REV9 source (AIRAH Technical Handbook does not publish this split)LightingDef</v>
      </c>
      <c r="AF45" t="str">
        <f>'Space Types'!BJ48</f>
        <v>NECB-C-Lighting</v>
      </c>
      <c r="AG45">
        <f>'Space Types'!BM48</f>
        <v>0</v>
      </c>
      <c r="AH45">
        <f>'Space Types'!BN48</f>
        <v>0</v>
      </c>
      <c r="AI45">
        <f>'Space Types'!BO48</f>
        <v>0</v>
      </c>
      <c r="AJ45">
        <f>'Space Types'!BP48</f>
        <v>0</v>
      </c>
      <c r="AK45" t="str">
        <f>'Space Types'!BT48</f>
        <v/>
      </c>
      <c r="AL45" t="str">
        <f>'Space Types'!BU48</f>
        <v/>
      </c>
      <c r="AM45">
        <f>'Space Types'!BX48</f>
        <v>0</v>
      </c>
      <c r="AN45" t="str">
        <f>'Space Types'!CC48</f>
        <v>NCC S34C2(6)0.7 ACH assumed as design infiltration for periods without mechanical outdoor air supply; NCC also specifies 0.35 ACH when mechanical OA is operating (to be applied via infiltration schedule once developed)Space Function_Audience - auditoriumInfil</v>
      </c>
      <c r="AO45" t="str">
        <f>'Space Types'!CD48</f>
        <v>Always On</v>
      </c>
      <c r="AP45">
        <f>'Space Types'!CG48</f>
        <v>0</v>
      </c>
      <c r="AQ45">
        <f>'Space Types'!CH48</f>
        <v>1.1299999999999999</v>
      </c>
      <c r="AR45">
        <f>'Space Types'!CI48</f>
        <v>0</v>
      </c>
      <c r="AS45" t="str">
        <f>'Space Types'!CJ48</f>
        <v>MediumRough</v>
      </c>
      <c r="AT45">
        <f>'Space Types'!CK48</f>
        <v>7.9000000000000008E-3</v>
      </c>
      <c r="AU45">
        <f>'Space Types'!CL48</f>
        <v>1.86</v>
      </c>
      <c r="AV45">
        <f>'Space Types'!CM48</f>
        <v>364</v>
      </c>
      <c r="AW45">
        <f>'Space Types'!CN48</f>
        <v>691</v>
      </c>
      <c r="AX45">
        <f>'Space Types'!CO48</f>
        <v>0.9</v>
      </c>
      <c r="AY45">
        <f>'Space Types'!CP48</f>
        <v>0.65</v>
      </c>
      <c r="AZ45">
        <f>'Space Types'!CQ48</f>
        <v>0.65</v>
      </c>
      <c r="BA45" t="str">
        <f>'Space Types'!CR48</f>
        <v>Mixed_AudienceSeating_Other_8mm</v>
      </c>
      <c r="BB45" t="str">
        <f>'Space Types'!CW48</f>
        <v>CalculatedEstimatePortablePaddedFoldingChairsMixed_AudienceSeating_Other_8mmInternalMassDef</v>
      </c>
    </row>
    <row r="46" spans="1:54" x14ac:dyDescent="0.35">
      <c r="A46" t="str">
        <f>'Space Types'!A49</f>
        <v>CS Atrium - Less than or equal to 40 ft</v>
      </c>
      <c r="B46" t="str">
        <f>'Space Types'!B49</f>
        <v>2025_AU_NCC</v>
      </c>
      <c r="C46" t="str">
        <f>'Space Types'!C49</f>
        <v>Atrium</v>
      </c>
      <c r="D46" t="str">
        <f>'Space Types'!D49</f>
        <v>Atrium - Less than or equal to 40 ft</v>
      </c>
      <c r="E46">
        <f>'Space Types'!I49</f>
        <v>255</v>
      </c>
      <c r="F46">
        <f>'Space Types'!J49</f>
        <v>255</v>
      </c>
      <c r="G46">
        <f>'Space Types'!K49</f>
        <v>0</v>
      </c>
      <c r="H46" t="str">
        <f>'Space Types'!L49</f>
        <v>CS Atrium - Less than or equal to 40 ft_2025AUNCC</v>
      </c>
      <c r="I46" t="str">
        <f>'Space Types'!M49</f>
        <v>CS Atrium - Less than or equal to 40 ft_2025AUNCCScheduleSet</v>
      </c>
      <c r="J46">
        <f>'Space Types'!P49</f>
        <v>0</v>
      </c>
      <c r="K46">
        <f>'Space Types'!U49</f>
        <v>0</v>
      </c>
      <c r="L46">
        <f>'Space Types'!V49</f>
        <v>0</v>
      </c>
      <c r="M46">
        <f>'Space Types'!W49</f>
        <v>130</v>
      </c>
      <c r="N46">
        <f>'Space Types'!X49</f>
        <v>0.57692307700000001</v>
      </c>
      <c r="O46" t="str">
        <f>'Space Types'!AC49</f>
        <v/>
      </c>
      <c r="P46" t="str">
        <f>'Space Types'!AD49</f>
        <v/>
      </c>
      <c r="Q46" t="str">
        <f>'Space Types'!AE49</f>
        <v/>
      </c>
      <c r="R46" t="str">
        <f>'Space Types'!AG49</f>
        <v/>
      </c>
      <c r="S46">
        <f>'Space Types'!AI49</f>
        <v>3.0479999999999998E-4</v>
      </c>
      <c r="T46" t="str">
        <f>'Space Types'!AL49</f>
        <v/>
      </c>
      <c r="U46" t="str">
        <f>'Space Types'!AQ49</f>
        <v>Washington State Mechanical Code TABLE 403.3.1.1Public spaces_Corridors other than Group RVent</v>
      </c>
      <c r="V46">
        <f>'Space Types'!AS49</f>
        <v>0</v>
      </c>
      <c r="W46">
        <f>'Space Types'!AT49</f>
        <v>0</v>
      </c>
      <c r="X46">
        <f>'Space Types'!AU49</f>
        <v>0</v>
      </c>
      <c r="Y46">
        <f>'Space Types'!AV49</f>
        <v>0</v>
      </c>
      <c r="Z46" t="str">
        <f>'Space Types'!AZ49</f>
        <v/>
      </c>
      <c r="AA46" t="str">
        <f>'Space Types'!BA49</f>
        <v/>
      </c>
      <c r="AB46">
        <f>'Space Types'!BC49</f>
        <v>4.4131999999999998</v>
      </c>
      <c r="AC46">
        <f>'Space Types'!BD49</f>
        <v>0.37</v>
      </c>
      <c r="AD46">
        <f>'Space Types'!BE49</f>
        <v>0.2</v>
      </c>
      <c r="AE46" t="str">
        <f>'Space Types'!BI49</f>
        <v>IECC Table C405.3.2(2)Atrium - less than or equal to 40 feet in height; radiant/visible fraction split retained from original WA/COMNET-REV9 sourceLightingDef</v>
      </c>
      <c r="AF46" t="str">
        <f>'Space Types'!BJ49</f>
        <v>NECB-C-Lighting</v>
      </c>
      <c r="AG46">
        <f>'Space Types'!BM49</f>
        <v>0</v>
      </c>
      <c r="AH46">
        <f>'Space Types'!BN49</f>
        <v>0</v>
      </c>
      <c r="AI46">
        <f>'Space Types'!BO49</f>
        <v>0</v>
      </c>
      <c r="AJ46">
        <f>'Space Types'!BP49</f>
        <v>0</v>
      </c>
      <c r="AK46" t="str">
        <f>'Space Types'!BT49</f>
        <v/>
      </c>
      <c r="AL46" t="str">
        <f>'Space Types'!BU49</f>
        <v/>
      </c>
      <c r="AM46">
        <f>'Space Types'!BX49</f>
        <v>0</v>
      </c>
      <c r="AN46" t="str">
        <f>'Space Types'!CC49</f>
        <v>NCC S34C2(6)0.7 ACH assumed as design infiltration for periods without mechanical outdoor air supply; NCC also specifies 0.35 ACH when mechanical OA is operating (to be applied via infiltration schedule once developed)Space Function_Atrium - H &lt; 13mInfil</v>
      </c>
      <c r="AO46" t="str">
        <f>'Space Types'!CD49</f>
        <v>Always On</v>
      </c>
      <c r="AP46">
        <f>'Space Types'!CG49</f>
        <v>0</v>
      </c>
      <c r="AQ46">
        <f>'Space Types'!CH49</f>
        <v>0.31</v>
      </c>
      <c r="AR46">
        <f>'Space Types'!CI49</f>
        <v>0</v>
      </c>
      <c r="AS46" t="str">
        <f>'Space Types'!CJ49</f>
        <v>MediumRough</v>
      </c>
      <c r="AT46">
        <f>'Space Types'!CK49</f>
        <v>8.5000000000000006E-2</v>
      </c>
      <c r="AU46">
        <f>'Space Types'!CL49</f>
        <v>2.56</v>
      </c>
      <c r="AV46">
        <f>'Space Types'!CM49</f>
        <v>904</v>
      </c>
      <c r="AW46">
        <f>'Space Types'!CN49</f>
        <v>1122</v>
      </c>
      <c r="AX46">
        <f>'Space Types'!CO49</f>
        <v>0.9</v>
      </c>
      <c r="AY46">
        <f>'Space Types'!CP49</f>
        <v>0.7</v>
      </c>
      <c r="AZ46">
        <f>'Space Types'!CQ49</f>
        <v>0.7</v>
      </c>
      <c r="BA46" t="str">
        <f>'Space Types'!CR49</f>
        <v>Mixed_Atrium_LTE40ft_85mm</v>
      </c>
      <c r="BB46" t="str">
        <f>'Space Types'!CW49</f>
        <v>CalculatedEstimateLightWoodTrussesOrSmallSteelBeamsMixed_Atrium_LTE40ft_85mmInternalMassDef</v>
      </c>
    </row>
    <row r="47" spans="1:54" x14ac:dyDescent="0.35">
      <c r="A47" t="str">
        <f>'Space Types'!A50</f>
        <v>CS Atrium - More than 40 ft</v>
      </c>
      <c r="B47" t="str">
        <f>'Space Types'!B50</f>
        <v>2025_AU_NCC</v>
      </c>
      <c r="C47" t="str">
        <f>'Space Types'!C50</f>
        <v>Atrium</v>
      </c>
      <c r="D47" t="str">
        <f>'Space Types'!D50</f>
        <v>Atrium - More than 40 ft</v>
      </c>
      <c r="E47">
        <f>'Space Types'!I50</f>
        <v>255</v>
      </c>
      <c r="F47">
        <f>'Space Types'!J50</f>
        <v>255</v>
      </c>
      <c r="G47">
        <f>'Space Types'!K50</f>
        <v>0</v>
      </c>
      <c r="H47" t="str">
        <f>'Space Types'!L50</f>
        <v>CS Atrium - More than 40 ft_2025AUNCC</v>
      </c>
      <c r="I47" t="str">
        <f>'Space Types'!M50</f>
        <v>CS Atrium - More than 40 ft_2025AUNCCScheduleSet</v>
      </c>
      <c r="J47">
        <f>'Space Types'!P50</f>
        <v>0</v>
      </c>
      <c r="K47">
        <f>'Space Types'!U50</f>
        <v>0</v>
      </c>
      <c r="L47">
        <f>'Space Types'!V50</f>
        <v>0</v>
      </c>
      <c r="M47">
        <f>'Space Types'!W50</f>
        <v>130</v>
      </c>
      <c r="N47">
        <f>'Space Types'!X50</f>
        <v>0.57692307700000001</v>
      </c>
      <c r="O47" t="str">
        <f>'Space Types'!AC50</f>
        <v/>
      </c>
      <c r="P47" t="str">
        <f>'Space Types'!AD50</f>
        <v/>
      </c>
      <c r="Q47" t="str">
        <f>'Space Types'!AE50</f>
        <v/>
      </c>
      <c r="R47" t="str">
        <f>'Space Types'!AG50</f>
        <v/>
      </c>
      <c r="S47">
        <f>'Space Types'!AI50</f>
        <v>3.0479999999999998E-4</v>
      </c>
      <c r="T47" t="str">
        <f>'Space Types'!AL50</f>
        <v/>
      </c>
      <c r="U47" t="str">
        <f>'Space Types'!AQ50</f>
        <v>Washington State Mechanical Code TABLE 403.3.1.1Public spaces_Corridors other than Group RVent</v>
      </c>
      <c r="V47">
        <f>'Space Types'!AS50</f>
        <v>0</v>
      </c>
      <c r="W47">
        <f>'Space Types'!AT50</f>
        <v>0</v>
      </c>
      <c r="X47">
        <f>'Space Types'!AU50</f>
        <v>0</v>
      </c>
      <c r="Y47">
        <f>'Space Types'!AV50</f>
        <v>0</v>
      </c>
      <c r="Z47" t="str">
        <f>'Space Types'!AZ50</f>
        <v/>
      </c>
      <c r="AA47" t="str">
        <f>'Space Types'!BA50</f>
        <v/>
      </c>
      <c r="AB47">
        <f>'Space Types'!BC50</f>
        <v>5.4895899999999997</v>
      </c>
      <c r="AC47">
        <f>'Space Types'!BD50</f>
        <v>0.37</v>
      </c>
      <c r="AD47">
        <f>'Space Types'!BE50</f>
        <v>0.2</v>
      </c>
      <c r="AE47" t="str">
        <f>'Space Types'!BI50</f>
        <v>IECC Table C405.3.2(2)Atrium - greater than 40 feet in height; radiant/visible fraction split retained from original WA/COMNET-REV9 sourceLightingDef</v>
      </c>
      <c r="AF47" t="str">
        <f>'Space Types'!BJ50</f>
        <v>NECB-C-Lighting</v>
      </c>
      <c r="AG47">
        <f>'Space Types'!BM50</f>
        <v>0</v>
      </c>
      <c r="AH47">
        <f>'Space Types'!BN50</f>
        <v>0</v>
      </c>
      <c r="AI47">
        <f>'Space Types'!BO50</f>
        <v>0</v>
      </c>
      <c r="AJ47">
        <f>'Space Types'!BP50</f>
        <v>0</v>
      </c>
      <c r="AK47" t="str">
        <f>'Space Types'!BT50</f>
        <v/>
      </c>
      <c r="AL47" t="str">
        <f>'Space Types'!BU50</f>
        <v/>
      </c>
      <c r="AM47">
        <f>'Space Types'!BX50</f>
        <v>0</v>
      </c>
      <c r="AN47" t="str">
        <f>'Space Types'!CC50</f>
        <v>NCC S34C2(6)0.7 ACH assumed as design infiltration for periods without mechanical outdoor air supply; NCC also specifies 0.35 ACH when mechanical OA is operating (to be applied via infiltration schedule once developed)Space Function_Atrium - H &gt; 13mInfil</v>
      </c>
      <c r="AO47" t="str">
        <f>'Space Types'!CD50</f>
        <v>Always On</v>
      </c>
      <c r="AP47">
        <f>'Space Types'!CG50</f>
        <v>0</v>
      </c>
      <c r="AQ47">
        <f>'Space Types'!CH50</f>
        <v>0.36</v>
      </c>
      <c r="AR47">
        <f>'Space Types'!CI50</f>
        <v>0</v>
      </c>
      <c r="AS47" t="str">
        <f>'Space Types'!CJ50</f>
        <v>MediumRough</v>
      </c>
      <c r="AT47">
        <f>'Space Types'!CK50</f>
        <v>0.12939999999999999</v>
      </c>
      <c r="AU47">
        <f>'Space Types'!CL50</f>
        <v>3.01</v>
      </c>
      <c r="AV47">
        <f>'Space Types'!CM50</f>
        <v>886</v>
      </c>
      <c r="AW47">
        <f>'Space Types'!CN50</f>
        <v>1270</v>
      </c>
      <c r="AX47">
        <f>'Space Types'!CO50</f>
        <v>0.9</v>
      </c>
      <c r="AY47">
        <f>'Space Types'!CP50</f>
        <v>0.7</v>
      </c>
      <c r="AZ47">
        <f>'Space Types'!CQ50</f>
        <v>0.7</v>
      </c>
      <c r="BA47" t="str">
        <f>'Space Types'!CR50</f>
        <v>Mixed_Atrium_GT40ft_129mm</v>
      </c>
      <c r="BB47" t="str">
        <f>'Space Types'!CW50</f>
        <v>CalculatedEstimateHeavyGlulamBeamsOrSteelMembersMixed_Atrium_GT40ft_129mmInternalMassDef</v>
      </c>
    </row>
    <row r="48" spans="1:54" x14ac:dyDescent="0.35">
      <c r="A48" t="str">
        <f>'Space Types'!A51</f>
        <v>CS Banking Activity Area</v>
      </c>
      <c r="B48" t="str">
        <f>'Space Types'!B51</f>
        <v>2025_AU_NCC</v>
      </c>
      <c r="C48" t="str">
        <f>'Space Types'!C51</f>
        <v>Bank</v>
      </c>
      <c r="D48" t="str">
        <f>'Space Types'!D51</f>
        <v>Banking Activity Area</v>
      </c>
      <c r="E48">
        <f>'Space Types'!I51</f>
        <v>204</v>
      </c>
      <c r="F48">
        <f>'Space Types'!J51</f>
        <v>255</v>
      </c>
      <c r="G48">
        <f>'Space Types'!K51</f>
        <v>229</v>
      </c>
      <c r="H48" t="str">
        <f>'Space Types'!L51</f>
        <v>CS Banking Activity Area_2025AUNCC</v>
      </c>
      <c r="I48" t="str">
        <f>'Space Types'!M51</f>
        <v>CS Banking Activity Area_2025AUNCCScheduleSet</v>
      </c>
      <c r="J48">
        <f>'Space Types'!P51</f>
        <v>0.43055660200000001</v>
      </c>
      <c r="K48">
        <f>'Space Types'!U51</f>
        <v>0</v>
      </c>
      <c r="L48">
        <f>'Space Types'!V51</f>
        <v>0</v>
      </c>
      <c r="M48">
        <f>'Space Types'!W51</f>
        <v>130</v>
      </c>
      <c r="N48">
        <f>'Space Types'!X51</f>
        <v>0.57692307700000001</v>
      </c>
      <c r="O48" t="str">
        <f>'Space Types'!AC51</f>
        <v>NCC S35C2nOther applications (non-dining)PeopleDef</v>
      </c>
      <c r="P48" t="str">
        <f>'Space Types'!AD51</f>
        <v>NECB-A-Occupancy</v>
      </c>
      <c r="Q48" t="str">
        <f>'Space Types'!AE51</f>
        <v>CS Banking Activity AreaActivity</v>
      </c>
      <c r="R48">
        <f>'Space Types'!AG51</f>
        <v>3.5394053798961773E-3</v>
      </c>
      <c r="S48">
        <f>'Space Types'!AI51</f>
        <v>3.0479999999999998E-4</v>
      </c>
      <c r="T48" t="str">
        <f>'Space Types'!AL51</f>
        <v/>
      </c>
      <c r="U48" t="str">
        <f>'Space Types'!AQ51</f>
        <v>Washington State Mechanical Code TABLE 403.3.1.1Public spaces_Museums/galleries Vent</v>
      </c>
      <c r="V48">
        <f>'Space Types'!AS51</f>
        <v>5</v>
      </c>
      <c r="W48">
        <f>'Space Types'!AT51</f>
        <v>0</v>
      </c>
      <c r="X48">
        <f>'Space Types'!AU51</f>
        <v>0.5</v>
      </c>
      <c r="Y48">
        <f>'Space Types'!AV51</f>
        <v>0</v>
      </c>
      <c r="Z48" t="str">
        <f>'Space Types'!AZ51</f>
        <v>NCC S35C2lNREL 956/Eley AnalysisClass 6 shop/shopping centre (bank treated as retail/counter service - judgment call, no distinct NCC bank category); radiant/latent/lost fraction split retained from original WA/COMNET-REV9 source (AIRAH Technical Handbook does not publish this split)CS Banking Activity AreaElectricalEquipDef</v>
      </c>
      <c r="AA48" t="str">
        <f>'Space Types'!BA51</f>
        <v>NECB-A-Electric-Equipment</v>
      </c>
      <c r="AB48">
        <f>'Space Types'!BC51</f>
        <v>4.5</v>
      </c>
      <c r="AC48">
        <f>'Space Types'!BD51</f>
        <v>0.37</v>
      </c>
      <c r="AD48">
        <f>'Space Types'!BE51</f>
        <v>0.2</v>
      </c>
      <c r="AE48" t="str">
        <f>'Space Types'!BI51</f>
        <v>NCC J7D3aOffice - artificially lit to &gt;= 200 lux (teller/counter areas judged closer to office than retail merchandising); radiant/visible fraction split retained from original WA/COMNET-REV9 source (AIRAH Technical Handbook does not publish this split)LightingDef</v>
      </c>
      <c r="AF48" t="str">
        <f>'Space Types'!BJ51</f>
        <v>NECB-A-Lighting</v>
      </c>
      <c r="AG48">
        <f>'Space Types'!BM51</f>
        <v>0</v>
      </c>
      <c r="AH48">
        <f>'Space Types'!BN51</f>
        <v>0</v>
      </c>
      <c r="AI48">
        <f>'Space Types'!BO51</f>
        <v>0</v>
      </c>
      <c r="AJ48">
        <f>'Space Types'!BP51</f>
        <v>0</v>
      </c>
      <c r="AK48" t="str">
        <f>'Space Types'!BT51</f>
        <v/>
      </c>
      <c r="AL48" t="str">
        <f>'Space Types'!BU51</f>
        <v/>
      </c>
      <c r="AM48">
        <f>'Space Types'!BX51</f>
        <v>0</v>
      </c>
      <c r="AN48" t="str">
        <f>'Space Types'!CC51</f>
        <v>NCC S34C2(6)0.7 ACH assumed as design infiltration for periods without mechanical outdoor air supply; NCC also specifies 0.35 ACH when mechanical OA is operating (to be applied via infiltration schedule once developed)Space Function_Bank - banking and officesInfil</v>
      </c>
      <c r="AO48" t="str">
        <f>'Space Types'!CD51</f>
        <v>Always On</v>
      </c>
      <c r="AP48">
        <f>'Space Types'!CG51</f>
        <v>0</v>
      </c>
      <c r="AQ48">
        <f>'Space Types'!CH51</f>
        <v>0.69</v>
      </c>
      <c r="AR48">
        <f>'Space Types'!CI51</f>
        <v>0</v>
      </c>
      <c r="AS48" t="str">
        <f>'Space Types'!CJ51</f>
        <v>MediumRough</v>
      </c>
      <c r="AT48">
        <f>'Space Types'!CK51</f>
        <v>1.5100000000000001E-2</v>
      </c>
      <c r="AU48">
        <f>'Space Types'!CL51</f>
        <v>5.2430000000000003</v>
      </c>
      <c r="AV48">
        <f>'Space Types'!CM51</f>
        <v>1547</v>
      </c>
      <c r="AW48">
        <f>'Space Types'!CN51</f>
        <v>811</v>
      </c>
      <c r="AX48">
        <f>'Space Types'!CO51</f>
        <v>0.9</v>
      </c>
      <c r="AY48">
        <f>'Space Types'!CP51</f>
        <v>0.7</v>
      </c>
      <c r="AZ48">
        <f>'Space Types'!CQ51</f>
        <v>0.7</v>
      </c>
      <c r="BA48" t="str">
        <f>'Space Types'!CR51</f>
        <v>Mixed_Banking_ActivityArea_15mm</v>
      </c>
      <c r="BB48" t="str">
        <f>'Space Types'!CW51</f>
        <v>CalculatedEstimateTellerCountersAndSecurityTransactionWindowsMixed_Banking_ActivityArea_15mmInternalMassDef</v>
      </c>
    </row>
    <row r="49" spans="1:54" x14ac:dyDescent="0.35">
      <c r="A49" t="str">
        <f>'Space Types'!A52</f>
        <v>CS Classroom/Lecture/Training - Penitentiary</v>
      </c>
      <c r="B49" t="str">
        <f>'Space Types'!B52</f>
        <v>2025_AU_NCC</v>
      </c>
      <c r="C49" t="str">
        <f>'Space Types'!C52</f>
        <v>Penitentiary</v>
      </c>
      <c r="D49" t="str">
        <f>'Space Types'!D52</f>
        <v>Classroom/Lecture/Training</v>
      </c>
      <c r="E49">
        <f>'Space Types'!I52</f>
        <v>204</v>
      </c>
      <c r="F49">
        <f>'Space Types'!J52</f>
        <v>120</v>
      </c>
      <c r="G49">
        <f>'Space Types'!K52</f>
        <v>230</v>
      </c>
      <c r="H49" t="str">
        <f>'Space Types'!L52</f>
        <v>CS Classroom/Lecture/Training - Penitentiary_2025AUNCC</v>
      </c>
      <c r="I49" t="str">
        <f>'Space Types'!M52</f>
        <v>CS Classroom/Lecture/Training - Penitentiary_2025AUNCCScheduleSet</v>
      </c>
      <c r="J49">
        <f>'Space Types'!P52</f>
        <v>0.69965447800000002</v>
      </c>
      <c r="K49">
        <f>'Space Types'!U52</f>
        <v>0</v>
      </c>
      <c r="L49">
        <f>'Space Types'!V52</f>
        <v>0</v>
      </c>
      <c r="M49">
        <f>'Space Types'!W52</f>
        <v>130</v>
      </c>
      <c r="N49">
        <f>'Space Types'!X52</f>
        <v>0.57692307700000001</v>
      </c>
      <c r="O49" t="str">
        <f>'Space Types'!AC52</f>
        <v>NCC S35C2nOther applications (non-dining)PeopleDef</v>
      </c>
      <c r="P49" t="str">
        <f>'Space Types'!AD52</f>
        <v>NECB-D-Occupancy</v>
      </c>
      <c r="Q49" t="str">
        <f>'Space Types'!AE52</f>
        <v>CS Classroom/Lecture/Training - PenitentiaryActivity</v>
      </c>
      <c r="R49">
        <f>'Space Types'!AG52</f>
        <v>3.5394053798961773E-3</v>
      </c>
      <c r="S49">
        <f>'Space Types'!AI52</f>
        <v>3.0479999999999998E-4</v>
      </c>
      <c r="T49" t="str">
        <f>'Space Types'!AL52</f>
        <v/>
      </c>
      <c r="U49" t="str">
        <f>'Space Types'!AQ52</f>
        <v>Washington State Mechanical Code TABLE 403.3.1.1Education_Lecture classroom Vent</v>
      </c>
      <c r="V49">
        <f>'Space Types'!AS52</f>
        <v>6.3413828399999996</v>
      </c>
      <c r="W49">
        <f>'Space Types'!AT52</f>
        <v>0</v>
      </c>
      <c r="X49">
        <f>'Space Types'!AU52</f>
        <v>0.5</v>
      </c>
      <c r="Y49">
        <f>'Space Types'!AV52</f>
        <v>0</v>
      </c>
      <c r="Z49" t="str">
        <f>'Space Types'!AZ52</f>
        <v>COMNET-REV9NREL 956/Eley AnalysisDOEPrototypeCS Classroom/Lecture/Training - PenitentiaryElectricalEquipDef</v>
      </c>
      <c r="AA49" t="str">
        <f>'Space Types'!BA52</f>
        <v>NECB-D-Electric-Equipment</v>
      </c>
      <c r="AB49">
        <f>'Space Types'!BC52</f>
        <v>7.9652900000000004</v>
      </c>
      <c r="AC49">
        <f>'Space Types'!BD52</f>
        <v>0.37</v>
      </c>
      <c r="AD49">
        <f>'Space Types'!BE52</f>
        <v>0.2</v>
      </c>
      <c r="AE49" t="str">
        <f>'Space Types'!BI52</f>
        <v>IECC Table C405.3.2(2)Classroom/lecture hall/training room - in a penitentiary; radiant/visible fraction split retained from original WA/COMNET-REV9 sourceLightingDef</v>
      </c>
      <c r="AF49" t="str">
        <f>'Space Types'!BJ52</f>
        <v>NECB-D-Lighting</v>
      </c>
      <c r="AG49">
        <f>'Space Types'!BM52</f>
        <v>0</v>
      </c>
      <c r="AH49">
        <f>'Space Types'!BN52</f>
        <v>0</v>
      </c>
      <c r="AI49">
        <f>'Space Types'!BO52</f>
        <v>0</v>
      </c>
      <c r="AJ49">
        <f>'Space Types'!BP52</f>
        <v>0</v>
      </c>
      <c r="AK49" t="str">
        <f>'Space Types'!BT52</f>
        <v/>
      </c>
      <c r="AL49" t="str">
        <f>'Space Types'!BU52</f>
        <v/>
      </c>
      <c r="AM49">
        <f>'Space Types'!BX52</f>
        <v>0</v>
      </c>
      <c r="AN49" t="str">
        <f>'Space Types'!CC52</f>
        <v>NCC S34C2(6)0.7 ACH assumed as design infiltration for periods without mechanical outdoor air supply; NCC also specifies 0.35 ACH when mechanical OA is operating (to be applied via infiltration schedule once developed)Space Function_Classroom/lecture/trainingInfil</v>
      </c>
      <c r="AO49" t="str">
        <f>'Space Types'!CD52</f>
        <v>Always On</v>
      </c>
      <c r="AP49">
        <f>'Space Types'!CG52</f>
        <v>0</v>
      </c>
      <c r="AQ49">
        <f>'Space Types'!CH52</f>
        <v>0.85</v>
      </c>
      <c r="AR49">
        <f>'Space Types'!CI52</f>
        <v>0</v>
      </c>
      <c r="AS49" t="str">
        <f>'Space Types'!CJ52</f>
        <v>MediumSmooth</v>
      </c>
      <c r="AT49">
        <f>'Space Types'!CK52</f>
        <v>4.3E-3</v>
      </c>
      <c r="AU49">
        <f>'Space Types'!CL52</f>
        <v>9.44</v>
      </c>
      <c r="AV49">
        <f>'Space Types'!CM52</f>
        <v>1923</v>
      </c>
      <c r="AW49">
        <f>'Space Types'!CN52</f>
        <v>895</v>
      </c>
      <c r="AX49">
        <f>'Space Types'!CO52</f>
        <v>0.9</v>
      </c>
      <c r="AY49">
        <f>'Space Types'!CP52</f>
        <v>0.55000000000000004</v>
      </c>
      <c r="AZ49">
        <f>'Space Types'!CQ52</f>
        <v>0.5</v>
      </c>
      <c r="BA49" t="str">
        <f>'Space Types'!CR52</f>
        <v>Mixed_Classroom_Penitentiary_4mm</v>
      </c>
      <c r="BB49" t="str">
        <f>'Space Types'!CW52</f>
        <v>CalculatedEstimateLaminateDeskSteelChairInstitutionalMixed_Classroom_Penitentiary_4mmInternalMassDef</v>
      </c>
    </row>
    <row r="50" spans="1:54" x14ac:dyDescent="0.35">
      <c r="A50" t="str">
        <f>'Space Types'!A53</f>
        <v>CS Classroom/Lecture/Training - K-12 - laboratory and shops</v>
      </c>
      <c r="B50" t="str">
        <f>'Space Types'!B53</f>
        <v>2025_AU_NCC</v>
      </c>
      <c r="C50" t="str">
        <f>'Space Types'!C53</f>
        <v>Secondary School</v>
      </c>
      <c r="D50" t="str">
        <f>'Space Types'!D53</f>
        <v>Classroom/Lecture/Training - K-12 - laboratory and shops</v>
      </c>
      <c r="E50">
        <f>'Space Types'!I53</f>
        <v>204</v>
      </c>
      <c r="F50">
        <f>'Space Types'!J53</f>
        <v>120</v>
      </c>
      <c r="G50">
        <f>'Space Types'!K53</f>
        <v>230</v>
      </c>
      <c r="H50" t="str">
        <f>'Space Types'!L53</f>
        <v>CS Classroom/Lecture/Training - K-12 - laboratory and shops_2025AUNCC</v>
      </c>
      <c r="I50" t="str">
        <f>'Space Types'!M53</f>
        <v>CS Classroom/Lecture/Training - K-12 - laboratory and shops_2025AUNCCScheduleSet</v>
      </c>
      <c r="J50">
        <f>'Space Types'!P53</f>
        <v>0.69965447800000002</v>
      </c>
      <c r="K50">
        <f>'Space Types'!U53</f>
        <v>0</v>
      </c>
      <c r="L50">
        <f>'Space Types'!V53</f>
        <v>0</v>
      </c>
      <c r="M50">
        <f>'Space Types'!W53</f>
        <v>130</v>
      </c>
      <c r="N50">
        <f>'Space Types'!X53</f>
        <v>0.57692307700000001</v>
      </c>
      <c r="O50" t="str">
        <f>'Space Types'!AC53</f>
        <v>NCC S35C2nOther applications (non-dining)PeopleDef</v>
      </c>
      <c r="P50" t="str">
        <f>'Space Types'!AD53</f>
        <v>SchoolSecondary BLDG_OCC_SCH_Gym</v>
      </c>
      <c r="Q50" t="str">
        <f>'Space Types'!AE53</f>
        <v>CS Classroom/Lecture/Training - K-12 - laboratory and shopsActivity</v>
      </c>
      <c r="R50">
        <f>'Space Types'!AG53</f>
        <v>3.5394053798961773E-3</v>
      </c>
      <c r="S50">
        <f>'Space Types'!AI53</f>
        <v>3.0479999999999998E-4</v>
      </c>
      <c r="T50" t="str">
        <f>'Space Types'!AL53</f>
        <v/>
      </c>
      <c r="U50" t="str">
        <f>'Space Types'!AQ53</f>
        <v>Washington State Mechanical Code TABLE 403.3.1.1Education_Lecture classroom Vent</v>
      </c>
      <c r="V50">
        <f>'Space Types'!AS53</f>
        <v>5</v>
      </c>
      <c r="W50">
        <f>'Space Types'!AT53</f>
        <v>0</v>
      </c>
      <c r="X50">
        <f>'Space Types'!AU53</f>
        <v>0.5</v>
      </c>
      <c r="Y50">
        <f>'Space Types'!AV53</f>
        <v>0</v>
      </c>
      <c r="Z50" t="str">
        <f>'Space Types'!AZ53</f>
        <v>NCC S35C2lNREL 956/Eley AnalysisClass 9b school; radiant/latent/lost fraction split retained from original WA/COMNET-REV9 source (AIRAH Technical Handbook does not publish this split)CS Classroom/Lecture/Training - K-12 - laboratory and shopsElectricalEquipDef</v>
      </c>
      <c r="AA50" t="str">
        <f>'Space Types'!BA53</f>
        <v>SchoolSecondary BLDG_EQUIP_SCH</v>
      </c>
      <c r="AB50">
        <f>'Space Types'!BC53</f>
        <v>6</v>
      </c>
      <c r="AC50">
        <f>'Space Types'!BD53</f>
        <v>0.37</v>
      </c>
      <c r="AD50">
        <f>'Space Types'!BE53</f>
        <v>0.2</v>
      </c>
      <c r="AE50" t="str">
        <f>'Space Types'!BI53</f>
        <v>NCC J7D3aLaboratory - artificially lit to an ambient level of 400 lx or more (K-12 lab/shops variant); radiant/visible fraction split retained from original WA/COMNET-REV9 source (AIRAH Technical Handbook does not publish this split)LightingDef</v>
      </c>
      <c r="AF50" t="str">
        <f>'Space Types'!BJ53</f>
        <v>SchoolSecondary BLDG_LIGHT_GYM_SCH</v>
      </c>
      <c r="AG50">
        <f>'Space Types'!BM53</f>
        <v>0</v>
      </c>
      <c r="AH50">
        <f>'Space Types'!BN53</f>
        <v>0</v>
      </c>
      <c r="AI50">
        <f>'Space Types'!BO53</f>
        <v>0</v>
      </c>
      <c r="AJ50">
        <f>'Space Types'!BP53</f>
        <v>0</v>
      </c>
      <c r="AK50" t="str">
        <f>'Space Types'!BT53</f>
        <v/>
      </c>
      <c r="AL50" t="str">
        <f>'Space Types'!BU53</f>
        <v/>
      </c>
      <c r="AM50">
        <f>'Space Types'!BX53</f>
        <v>0</v>
      </c>
      <c r="AN50" t="str">
        <f>'Space Types'!CC53</f>
        <v>NCC S34C2(6)0.7 ACH assumed as design infiltration for periods without mechanical outdoor air supply; NCC also specifies 0.35 ACH when mechanical OA is operating (to be applied via infiltration schedule once developed)SecondarySchool_ClassroomInfil</v>
      </c>
      <c r="AO50" t="str">
        <f>'Space Types'!CD53</f>
        <v>Always On</v>
      </c>
      <c r="AP50">
        <f>'Space Types'!CG53</f>
        <v>0</v>
      </c>
      <c r="AQ50">
        <f>'Space Types'!CH53</f>
        <v>2.35</v>
      </c>
      <c r="AR50">
        <f>'Space Types'!CI53</f>
        <v>0</v>
      </c>
      <c r="AS50" t="str">
        <f>'Space Types'!CJ53</f>
        <v>MediumRough</v>
      </c>
      <c r="AT50">
        <f>'Space Types'!CK53</f>
        <v>4.28E-3</v>
      </c>
      <c r="AU50">
        <f>'Space Types'!CL53</f>
        <v>14</v>
      </c>
      <c r="AV50">
        <f>'Space Types'!CM53</f>
        <v>2572</v>
      </c>
      <c r="AW50">
        <f>'Space Types'!CN53</f>
        <v>659</v>
      </c>
      <c r="AX50">
        <f>'Space Types'!CO53</f>
        <v>0.9</v>
      </c>
      <c r="AY50">
        <f>'Space Types'!CP53</f>
        <v>0.7</v>
      </c>
      <c r="AZ50">
        <f>'Space Types'!CQ53</f>
        <v>0.7</v>
      </c>
      <c r="BA50" t="str">
        <f>'Space Types'!CR53</f>
        <v>Mixed_ClassroomK12_LabShop_4mm</v>
      </c>
      <c r="BB50" t="str">
        <f>'Space Types'!CW53</f>
        <v>CalculatedEstimateSteelBenchesCaseworkAndShopMachinesMixed_ClassroomK12_LabShop_4mmInternalMassDef</v>
      </c>
    </row>
    <row r="51" spans="1:54" x14ac:dyDescent="0.35">
      <c r="A51" t="str">
        <f>'Space Types'!A54</f>
        <v>CS Classroom/Lecture/Training - Other</v>
      </c>
      <c r="B51" t="str">
        <f>'Space Types'!B54</f>
        <v>2025_AU_NCC</v>
      </c>
      <c r="C51" t="str">
        <f>'Space Types'!C54</f>
        <v>School/University</v>
      </c>
      <c r="D51" t="str">
        <f>'Space Types'!D54</f>
        <v>Classroom/Lecture/Training</v>
      </c>
      <c r="E51">
        <f>'Space Types'!I54</f>
        <v>204</v>
      </c>
      <c r="F51">
        <f>'Space Types'!J54</f>
        <v>120</v>
      </c>
      <c r="G51">
        <f>'Space Types'!K54</f>
        <v>230</v>
      </c>
      <c r="H51" t="str">
        <f>'Space Types'!L54</f>
        <v>CS Classroom/Lecture/Training - Other_2025AUNCC</v>
      </c>
      <c r="I51" t="str">
        <f>'Space Types'!M54</f>
        <v>CS Classroom/Lecture/Training - Other_2025AUNCCScheduleSet</v>
      </c>
      <c r="J51">
        <f>'Space Types'!P54</f>
        <v>0.69965447800000002</v>
      </c>
      <c r="K51">
        <f>'Space Types'!U54</f>
        <v>0</v>
      </c>
      <c r="L51">
        <f>'Space Types'!V54</f>
        <v>0</v>
      </c>
      <c r="M51">
        <f>'Space Types'!W54</f>
        <v>130</v>
      </c>
      <c r="N51">
        <f>'Space Types'!X54</f>
        <v>0.57692307700000001</v>
      </c>
      <c r="O51" t="str">
        <f>'Space Types'!AC54</f>
        <v>NCC S35C2nOther applications (non-dining)PeopleDef</v>
      </c>
      <c r="P51" t="str">
        <f>'Space Types'!AD54</f>
        <v>NECB-D-Occupancy</v>
      </c>
      <c r="Q51" t="str">
        <f>'Space Types'!AE54</f>
        <v>CS Classroom/Lecture/Training - OtherActivity</v>
      </c>
      <c r="R51">
        <f>'Space Types'!AG54</f>
        <v>3.5394053798961773E-3</v>
      </c>
      <c r="S51">
        <f>'Space Types'!AI54</f>
        <v>3.0479999999999998E-4</v>
      </c>
      <c r="T51" t="str">
        <f>'Space Types'!AL54</f>
        <v/>
      </c>
      <c r="U51" t="str">
        <f>'Space Types'!AQ54</f>
        <v>Washington State Mechanical Code TABLE 403.3.1.1Education_Lecture classroom Vent</v>
      </c>
      <c r="V51">
        <f>'Space Types'!AS54</f>
        <v>5</v>
      </c>
      <c r="W51">
        <f>'Space Types'!AT54</f>
        <v>0</v>
      </c>
      <c r="X51">
        <f>'Space Types'!AU54</f>
        <v>0.5</v>
      </c>
      <c r="Y51">
        <f>'Space Types'!AV54</f>
        <v>0</v>
      </c>
      <c r="Z51" t="str">
        <f>'Space Types'!AZ54</f>
        <v>NCC S35C2lNREL 956/Eley AnalysisClass 9b school; radiant/latent/lost fraction split retained from original WA/COMNET-REV9 source (AIRAH Technical Handbook does not publish this split)CS Classroom/Lecture/Training - OtherElectricalEquipDef</v>
      </c>
      <c r="AA51" t="str">
        <f>'Space Types'!BA54</f>
        <v>NECB-D-Electric-Equipment</v>
      </c>
      <c r="AB51">
        <f>'Space Types'!BC54</f>
        <v>4.5</v>
      </c>
      <c r="AC51">
        <f>'Space Types'!BD54</f>
        <v>0.37</v>
      </c>
      <c r="AD51">
        <f>'Space Types'!BE54</f>
        <v>0.2</v>
      </c>
      <c r="AE51" t="str">
        <f>'Space Types'!BI54</f>
        <v>NCC J7D3aSchool - general purpose learning areas and tutorial rooms; radiant/visible fraction split retained from original WA/COMNET-REV9 source (AIRAH Technical Handbook does not publish this split)LightingDef</v>
      </c>
      <c r="AF51" t="str">
        <f>'Space Types'!BJ54</f>
        <v>NECB-D-Lighting</v>
      </c>
      <c r="AG51">
        <f>'Space Types'!BM54</f>
        <v>0</v>
      </c>
      <c r="AH51">
        <f>'Space Types'!BN54</f>
        <v>0</v>
      </c>
      <c r="AI51">
        <f>'Space Types'!BO54</f>
        <v>0</v>
      </c>
      <c r="AJ51">
        <f>'Space Types'!BP54</f>
        <v>0</v>
      </c>
      <c r="AK51" t="str">
        <f>'Space Types'!BT54</f>
        <v/>
      </c>
      <c r="AL51" t="str">
        <f>'Space Types'!BU54</f>
        <v/>
      </c>
      <c r="AM51">
        <f>'Space Types'!BX54</f>
        <v>0</v>
      </c>
      <c r="AN51" t="str">
        <f>'Space Types'!CC54</f>
        <v>NCC S34C2(6)0.7 ACH assumed as design infiltration for periods without mechanical outdoor air supply; NCC also specifies 0.35 ACH when mechanical OA is operating (to be applied via infiltration schedule once developed)Space Function_Classroom/lecture/trainingInfil</v>
      </c>
      <c r="AO51" t="str">
        <f>'Space Types'!CD54</f>
        <v>Always On</v>
      </c>
      <c r="AP51">
        <f>'Space Types'!CG54</f>
        <v>0</v>
      </c>
      <c r="AQ51">
        <f>'Space Types'!CH54</f>
        <v>1.3</v>
      </c>
      <c r="AR51">
        <f>'Space Types'!CI54</f>
        <v>0</v>
      </c>
      <c r="AS51" t="str">
        <f>'Space Types'!CJ54</f>
        <v>MediumRough</v>
      </c>
      <c r="AT51">
        <f>'Space Types'!CK54</f>
        <v>7.7999999999999996E-3</v>
      </c>
      <c r="AU51">
        <f>'Space Types'!CL54</f>
        <v>2.85</v>
      </c>
      <c r="AV51">
        <f>'Space Types'!CM54</f>
        <v>894</v>
      </c>
      <c r="AW51">
        <f>'Space Types'!CN54</f>
        <v>936</v>
      </c>
      <c r="AX51">
        <f>'Space Types'!CO54</f>
        <v>0.9</v>
      </c>
      <c r="AY51">
        <f>'Space Types'!CP54</f>
        <v>0.6</v>
      </c>
      <c r="AZ51">
        <f>'Space Types'!CQ54</f>
        <v>0.6</v>
      </c>
      <c r="BA51" t="str">
        <f>'Space Types'!CR54</f>
        <v>Mixed_ClassroomTraining_Other_8mm</v>
      </c>
      <c r="BB51" t="str">
        <f>'Space Types'!CW54</f>
        <v>CalculatedEstimateMovableLaminateTablesAndStackingChairsMixed_ClassroomTraining_Other_8mmInternalMassDef</v>
      </c>
    </row>
    <row r="52" spans="1:54" x14ac:dyDescent="0.35">
      <c r="A52" t="str">
        <f>'Space Types'!A55</f>
        <v>CS Conference/Meeting/Multipurpose</v>
      </c>
      <c r="B52" t="str">
        <f>'Space Types'!B55</f>
        <v>2025_AU_NCC</v>
      </c>
      <c r="C52" t="str">
        <f>'Space Types'!C55</f>
        <v>Office</v>
      </c>
      <c r="D52" t="str">
        <f>'Space Types'!D55</f>
        <v>Conference/Meeting/Multipurpose</v>
      </c>
      <c r="E52">
        <f>'Space Types'!I55</f>
        <v>230</v>
      </c>
      <c r="F52">
        <f>'Space Types'!J55</f>
        <v>196</v>
      </c>
      <c r="G52">
        <f>'Space Types'!K55</f>
        <v>120</v>
      </c>
      <c r="H52" t="str">
        <f>'Space Types'!L55</f>
        <v>CS Conference/Meeting/Multipurpose_2025AUNCC</v>
      </c>
      <c r="I52" t="str">
        <f>'Space Types'!M55</f>
        <v>CS Conference/Meeting/Multipurpose_2025AUNCCScheduleSet</v>
      </c>
      <c r="J52">
        <f>'Space Types'!P55</f>
        <v>0.538195753</v>
      </c>
      <c r="K52">
        <f>'Space Types'!U55</f>
        <v>0</v>
      </c>
      <c r="L52">
        <f>'Space Types'!V55</f>
        <v>0</v>
      </c>
      <c r="M52">
        <f>'Space Types'!W55</f>
        <v>130</v>
      </c>
      <c r="N52">
        <f>'Space Types'!X55</f>
        <v>0.57692307700000001</v>
      </c>
      <c r="O52" t="str">
        <f>'Space Types'!AC55</f>
        <v>NCC S35C2nOther applications (non-dining)PeopleDef</v>
      </c>
      <c r="P52" t="str">
        <f>'Space Types'!AD55</f>
        <v>OfficeMedium BLDG_OCC_SCH</v>
      </c>
      <c r="Q52" t="str">
        <f>'Space Types'!AE55</f>
        <v>CS Conference/Meeting/MultipurposeActivity</v>
      </c>
      <c r="R52">
        <f>'Space Types'!AG55</f>
        <v>2.3596035865974517E-3</v>
      </c>
      <c r="S52">
        <f>'Space Types'!AI55</f>
        <v>3.0479999999999998E-4</v>
      </c>
      <c r="T52" t="str">
        <f>'Space Types'!AL55</f>
        <v/>
      </c>
      <c r="U52" t="str">
        <f>'Space Types'!AQ55</f>
        <v>Washington State Mechanical Code TABLE 403.3.1.1Office_Conference roomsVent</v>
      </c>
      <c r="V52">
        <f>'Space Types'!AS55</f>
        <v>11</v>
      </c>
      <c r="W52">
        <f>'Space Types'!AT55</f>
        <v>0</v>
      </c>
      <c r="X52">
        <f>'Space Types'!AU55</f>
        <v>0.5</v>
      </c>
      <c r="Y52">
        <f>'Space Types'!AV55</f>
        <v>0</v>
      </c>
      <c r="Z52" t="str">
        <f>'Space Types'!AZ55</f>
        <v>NCC S35C2lNREL 956/Eley AnalysisClass 5 building; radiant/latent/lost fraction split retained from original WA/COMNET-REV9 source (AIRAH Technical Handbook does not publish this split)CS Conference/Meeting/MultipurposeElectricalEquipDef</v>
      </c>
      <c r="AA52" t="str">
        <f>'Space Types'!BA55</f>
        <v>OfficeMedium BLDG_EQUIP_SCH</v>
      </c>
      <c r="AB52">
        <f>'Space Types'!BC55</f>
        <v>5</v>
      </c>
      <c r="AC52">
        <f>'Space Types'!BD55</f>
        <v>0.37</v>
      </c>
      <c r="AD52">
        <f>'Space Types'!BE55</f>
        <v>0.2</v>
      </c>
      <c r="AE52" t="str">
        <f>'Space Types'!BI55</f>
        <v>NCC J7D3aBoard room and conference room; radiant/visible fraction split retained from original WA/COMNET-REV9 source (AIRAH Technical Handbook does not publish this split)LightingDef</v>
      </c>
      <c r="AF52" t="str">
        <f>'Space Types'!BJ55</f>
        <v>OfficeMedium BLDG_LIGHT_SCH_2013</v>
      </c>
      <c r="AG52">
        <f>'Space Types'!BM55</f>
        <v>0</v>
      </c>
      <c r="AH52">
        <f>'Space Types'!BN55</f>
        <v>0</v>
      </c>
      <c r="AI52">
        <f>'Space Types'!BO55</f>
        <v>0</v>
      </c>
      <c r="AJ52">
        <f>'Space Types'!BP55</f>
        <v>0</v>
      </c>
      <c r="AK52" t="str">
        <f>'Space Types'!BT55</f>
        <v/>
      </c>
      <c r="AL52" t="str">
        <f>'Space Types'!BU55</f>
        <v/>
      </c>
      <c r="AM52">
        <f>'Space Types'!BX55</f>
        <v>0</v>
      </c>
      <c r="AN52" t="str">
        <f>'Space Types'!CC55</f>
        <v>NCC S34C2(6)0.7 ACH assumed as design infiltration for periods without mechanical outdoor air supply; NCC also specifies 0.35 ACH when mechanical OA is operating (to be applied via infiltration schedule once developed)Space Function_Conf./meet./multi-purposeInfil</v>
      </c>
      <c r="AO52" t="str">
        <f>'Space Types'!CD55</f>
        <v>Always On</v>
      </c>
      <c r="AP52">
        <f>'Space Types'!CG55</f>
        <v>0</v>
      </c>
      <c r="AQ52">
        <f>'Space Types'!CH55</f>
        <v>0.61</v>
      </c>
      <c r="AR52">
        <f>'Space Types'!CI55</f>
        <v>0</v>
      </c>
      <c r="AS52" t="str">
        <f>'Space Types'!CJ55</f>
        <v>MediumRough</v>
      </c>
      <c r="AT52">
        <f>'Space Types'!CK55</f>
        <v>5.8999999999999999E-3</v>
      </c>
      <c r="AU52">
        <f>'Space Types'!CL55</f>
        <v>42.8</v>
      </c>
      <c r="AV52">
        <f>'Space Types'!CM55</f>
        <v>1804</v>
      </c>
      <c r="AW52">
        <f>'Space Types'!CN55</f>
        <v>1243</v>
      </c>
      <c r="AX52">
        <f>'Space Types'!CO55</f>
        <v>0.9</v>
      </c>
      <c r="AY52">
        <f>'Space Types'!CP55</f>
        <v>0.7</v>
      </c>
      <c r="AZ52">
        <f>'Space Types'!CQ55</f>
        <v>0.65</v>
      </c>
      <c r="BA52" t="str">
        <f>'Space Types'!CR55</f>
        <v>Conference_Meeting_Multipurpose_Material</v>
      </c>
      <c r="BB52" t="str">
        <f>'Space Types'!CW55</f>
        <v>CalculatedEstimateConferenceTablesChairsAndCredenzaConference_Meeting_Multipurpose_MaterialInternalMassDef</v>
      </c>
    </row>
    <row r="53" spans="1:54" x14ac:dyDescent="0.35">
      <c r="A53" t="str">
        <f>'Space Types'!A56</f>
        <v>CS Confinment Cells</v>
      </c>
      <c r="B53" t="str">
        <f>'Space Types'!B56</f>
        <v>2025_AU_NCC</v>
      </c>
      <c r="C53" t="str">
        <f>'Space Types'!C56</f>
        <v>Courthouse</v>
      </c>
      <c r="D53" t="str">
        <f>'Space Types'!D56</f>
        <v>Confinment Cells</v>
      </c>
      <c r="E53">
        <f>'Space Types'!I56</f>
        <v>192</v>
      </c>
      <c r="F53">
        <f>'Space Types'!J56</f>
        <v>192</v>
      </c>
      <c r="G53">
        <f>'Space Types'!K56</f>
        <v>192</v>
      </c>
      <c r="H53" t="str">
        <f>'Space Types'!L56</f>
        <v>CS Confinment Cells_2025AUNCC</v>
      </c>
      <c r="I53" t="str">
        <f>'Space Types'!M56</f>
        <v>CS Confinment Cells_2025AUNCCScheduleSet</v>
      </c>
      <c r="J53">
        <f>'Space Types'!P56</f>
        <v>0.26909787600000001</v>
      </c>
      <c r="K53">
        <f>'Space Types'!U56</f>
        <v>0</v>
      </c>
      <c r="L53">
        <f>'Space Types'!V56</f>
        <v>0</v>
      </c>
      <c r="M53">
        <f>'Space Types'!W56</f>
        <v>130</v>
      </c>
      <c r="N53">
        <f>'Space Types'!X56</f>
        <v>0.57692307700000001</v>
      </c>
      <c r="O53" t="str">
        <f>'Space Types'!AC56</f>
        <v>NCC S35C2nOther applications (non-dining)PeopleDef</v>
      </c>
      <c r="P53" t="str">
        <f>'Space Types'!AD56</f>
        <v>NECB-H-Occupancy</v>
      </c>
      <c r="Q53" t="str">
        <f>'Space Types'!AE56</f>
        <v>CS Confinment CellsActivity</v>
      </c>
      <c r="R53">
        <f>'Space Types'!AG56</f>
        <v>2.3596035865974517E-3</v>
      </c>
      <c r="S53">
        <f>'Space Types'!AI56</f>
        <v>6.0959999999999996E-4</v>
      </c>
      <c r="T53" t="str">
        <f>'Space Types'!AL56</f>
        <v/>
      </c>
      <c r="U53" t="str">
        <f>'Space Types'!AQ56</f>
        <v>Washington State Mechanical Code TABLE 403.3.1.1Correctional facilities_Cells With plumbing fixturesVent</v>
      </c>
      <c r="V53">
        <f>'Space Types'!AS56</f>
        <v>16.06884651</v>
      </c>
      <c r="W53">
        <f>'Space Types'!AT56</f>
        <v>0</v>
      </c>
      <c r="X53">
        <f>'Space Types'!AU56</f>
        <v>0.5</v>
      </c>
      <c r="Y53">
        <f>'Space Types'!AV56</f>
        <v>0</v>
      </c>
      <c r="Z53" t="str">
        <f>'Space Types'!AZ56</f>
        <v>COMNET-REV9NREL 956/Eley AnalysisDOEPrototypeCS Confinment CellsElectricalEquipDef</v>
      </c>
      <c r="AA53" t="str">
        <f>'Space Types'!BA56</f>
        <v>NECB-H-Electric-Equipment</v>
      </c>
      <c r="AB53">
        <f>'Space Types'!BC56</f>
        <v>5.1666800000000004</v>
      </c>
      <c r="AC53">
        <f>'Space Types'!BD56</f>
        <v>0.37</v>
      </c>
      <c r="AD53">
        <f>'Space Types'!BE56</f>
        <v>0.2</v>
      </c>
      <c r="AE53" t="str">
        <f>'Space Types'!BI56</f>
        <v>IECC Table C405.3.2(2)Dormitory - living quarters (nearest match for a private sleeping/holding room); radiant/visible fraction split retained from original WA/COMNET-REV9 sourceLightingDef</v>
      </c>
      <c r="AF53" t="str">
        <f>'Space Types'!BJ56</f>
        <v>NECB-H-Lighting</v>
      </c>
      <c r="AG53">
        <f>'Space Types'!BM56</f>
        <v>0</v>
      </c>
      <c r="AH53">
        <f>'Space Types'!BN56</f>
        <v>0</v>
      </c>
      <c r="AI53">
        <f>'Space Types'!BO56</f>
        <v>0</v>
      </c>
      <c r="AJ53">
        <f>'Space Types'!BP56</f>
        <v>0</v>
      </c>
      <c r="AK53" t="str">
        <f>'Space Types'!BT56</f>
        <v/>
      </c>
      <c r="AL53" t="str">
        <f>'Space Types'!BU56</f>
        <v/>
      </c>
      <c r="AM53">
        <f>'Space Types'!BX56</f>
        <v>0</v>
      </c>
      <c r="AN53" t="str">
        <f>'Space Types'!CC56</f>
        <v>NCC S34C2(6)0.7 ACH assumed as design infiltration for periods without mechanical outdoor air supply; NCC also specifies 0.35 ACH when mechanical OA is operating (to be applied via infiltration schedule once developed)Office_ConferenceInfil</v>
      </c>
      <c r="AO53" t="str">
        <f>'Space Types'!CD56</f>
        <v>OfficeMedium INFIL_SCH_PNNL</v>
      </c>
      <c r="AP53">
        <f>'Space Types'!CG56</f>
        <v>0</v>
      </c>
      <c r="AQ53">
        <f>'Space Types'!CH56</f>
        <v>0.73</v>
      </c>
      <c r="AR53">
        <f>'Space Types'!CI56</f>
        <v>0</v>
      </c>
      <c r="AS53" t="str">
        <f>'Space Types'!CJ56</f>
        <v>Smooth</v>
      </c>
      <c r="AT53">
        <f>'Space Types'!CK56</f>
        <v>4.3E-3</v>
      </c>
      <c r="AU53">
        <f>'Space Types'!CL56</f>
        <v>33.799999999999997</v>
      </c>
      <c r="AV53">
        <f>'Space Types'!CM56</f>
        <v>7746</v>
      </c>
      <c r="AW53">
        <f>'Space Types'!CN56</f>
        <v>492</v>
      </c>
      <c r="AX53">
        <f>'Space Types'!CO56</f>
        <v>0.9</v>
      </c>
      <c r="AY53">
        <f>'Space Types'!CP56</f>
        <v>0.7</v>
      </c>
      <c r="AZ53">
        <f>'Space Types'!CQ56</f>
        <v>0.7</v>
      </c>
      <c r="BA53" t="str">
        <f>'Space Types'!CR56</f>
        <v>Steel_Security_Fixtures_4mm</v>
      </c>
      <c r="BB53" t="str">
        <f>'Space Types'!CW56</f>
        <v>CalculatedEstimateFixedSteelBedDeskAndToiletFixturesSteel_Security_Fixtures_4mmInternalMassDef</v>
      </c>
    </row>
    <row r="54" spans="1:54" x14ac:dyDescent="0.35">
      <c r="A54" t="str">
        <f>'Space Types'!A57</f>
        <v>CS Copy/Print Room</v>
      </c>
      <c r="B54" t="str">
        <f>'Space Types'!B57</f>
        <v>2025_AU_NCC</v>
      </c>
      <c r="C54" t="str">
        <f>'Space Types'!C57</f>
        <v>Office</v>
      </c>
      <c r="D54" t="str">
        <f>'Space Types'!D57</f>
        <v>Copy/Print Room</v>
      </c>
      <c r="E54">
        <f>'Space Types'!I57</f>
        <v>41</v>
      </c>
      <c r="F54">
        <f>'Space Types'!J57</f>
        <v>31</v>
      </c>
      <c r="G54">
        <f>'Space Types'!K57</f>
        <v>169</v>
      </c>
      <c r="H54" t="str">
        <f>'Space Types'!L57</f>
        <v>CS Copy/Print Room_2025AUNCC</v>
      </c>
      <c r="I54" t="str">
        <f>'Space Types'!M57</f>
        <v>CS Copy/Print Room_2025AUNCCScheduleSet</v>
      </c>
      <c r="J54">
        <f>'Space Types'!P57</f>
        <v>4.3055660000000003E-2</v>
      </c>
      <c r="K54">
        <f>'Space Types'!U57</f>
        <v>0</v>
      </c>
      <c r="L54">
        <f>'Space Types'!V57</f>
        <v>0</v>
      </c>
      <c r="M54">
        <f>'Space Types'!W57</f>
        <v>130</v>
      </c>
      <c r="N54">
        <f>'Space Types'!X57</f>
        <v>0.57692307700000001</v>
      </c>
      <c r="O54" t="str">
        <f>'Space Types'!AC57</f>
        <v>NCC S35C2nOther applications (non-dining)PeopleDef</v>
      </c>
      <c r="P54" t="str">
        <f>'Space Types'!AD57</f>
        <v>OfficeMedium BLDG_OCC_SCH</v>
      </c>
      <c r="Q54" t="str">
        <f>'Space Types'!AE57</f>
        <v>CS Copy/Print RoomActivity</v>
      </c>
      <c r="R54">
        <f>'Space Types'!AG57</f>
        <v>2.3596035865974517E-3</v>
      </c>
      <c r="S54">
        <f>'Space Types'!AI57</f>
        <v>3.0479999999999998E-4</v>
      </c>
      <c r="T54" t="str">
        <f>'Space Types'!AL57</f>
        <v/>
      </c>
      <c r="U54" t="str">
        <f>'Space Types'!AQ57</f>
        <v>Washington State Mechanical Code TABLE 403.3.1.1Workrooms_Copy_printing rooms Vent</v>
      </c>
      <c r="V54">
        <f>'Space Types'!AS57</f>
        <v>11</v>
      </c>
      <c r="W54">
        <f>'Space Types'!AT57</f>
        <v>0</v>
      </c>
      <c r="X54">
        <f>'Space Types'!AU57</f>
        <v>0.5</v>
      </c>
      <c r="Y54">
        <f>'Space Types'!AV57</f>
        <v>0</v>
      </c>
      <c r="Z54" t="str">
        <f>'Space Types'!AZ57</f>
        <v>NCC S35C2lBA OfficeClass 5 building; radiant/latent/lost fraction split retained from original WA/COMNET-REV9 source (AIRAH Technical Handbook does not publish this split)CS Copy/Print RoomElectricalEquipDef</v>
      </c>
      <c r="AA54" t="str">
        <f>'Space Types'!BA57</f>
        <v>OfficeMedium BLDG_EQUIP_SCH</v>
      </c>
      <c r="AB54">
        <f>'Space Types'!BC57</f>
        <v>4.5</v>
      </c>
      <c r="AC54">
        <f>'Space Types'!BD57</f>
        <v>0.37</v>
      </c>
      <c r="AD54">
        <f>'Space Types'!BE57</f>
        <v>0.2</v>
      </c>
      <c r="AE54" t="str">
        <f>'Space Types'!BI57</f>
        <v>NCC J7D3aOffice - artificially lit to &gt;= 200 lux (fallback; no dedicated print/copy room row); radiant/visible fraction split retained from original WA/COMNET-REV9 source (AIRAH Technical Handbook does not publish this split)LightingDef</v>
      </c>
      <c r="AF54" t="str">
        <f>'Space Types'!BJ57</f>
        <v>OfficeMedium BLDG_LIGHT_SCH_2013</v>
      </c>
      <c r="AG54">
        <f>'Space Types'!BM57</f>
        <v>0</v>
      </c>
      <c r="AH54">
        <f>'Space Types'!BN57</f>
        <v>0</v>
      </c>
      <c r="AI54">
        <f>'Space Types'!BO57</f>
        <v>0</v>
      </c>
      <c r="AJ54">
        <f>'Space Types'!BP57</f>
        <v>0</v>
      </c>
      <c r="AK54" t="str">
        <f>'Space Types'!BT57</f>
        <v/>
      </c>
      <c r="AL54" t="str">
        <f>'Space Types'!BU57</f>
        <v/>
      </c>
      <c r="AM54">
        <f>'Space Types'!BX57</f>
        <v>0</v>
      </c>
      <c r="AN54" t="str">
        <f>'Space Types'!CC57</f>
        <v>NCC S34C2(6)0.7 ACH assumed as design infiltration for periods without mechanical outdoor air supply; NCC also specifies 0.35 ACH when mechanical OA is operating (to be applied via infiltration schedule once developed)Office_PrintRoomInfil</v>
      </c>
      <c r="AO54" t="str">
        <f>'Space Types'!CD57</f>
        <v>OfficeMedium INFIL_SCH_PNNL</v>
      </c>
      <c r="AP54">
        <f>'Space Types'!CG57</f>
        <v>0</v>
      </c>
      <c r="AQ54">
        <f>'Space Types'!CH57</f>
        <v>1.52</v>
      </c>
      <c r="AR54">
        <f>'Space Types'!CI57</f>
        <v>0</v>
      </c>
      <c r="AS54" t="str">
        <f>'Space Types'!CJ57</f>
        <v>MediumRough</v>
      </c>
      <c r="AT54">
        <f>'Space Types'!CK57</f>
        <v>1.5E-3</v>
      </c>
      <c r="AU54">
        <f>'Space Types'!CL57</f>
        <v>39.6</v>
      </c>
      <c r="AV54">
        <f>'Space Types'!CM57</f>
        <v>6545</v>
      </c>
      <c r="AW54">
        <f>'Space Types'!CN57</f>
        <v>629</v>
      </c>
      <c r="AX54">
        <f>'Space Types'!CO57</f>
        <v>0.9</v>
      </c>
      <c r="AY54">
        <f>'Space Types'!CP57</f>
        <v>0.7</v>
      </c>
      <c r="AZ54">
        <f>'Space Types'!CQ57</f>
        <v>0.65</v>
      </c>
      <c r="BA54" t="str">
        <f>'Space Types'!CR57</f>
        <v>Steel_Office_Equipment_2mm</v>
      </c>
      <c r="BB54" t="str">
        <f>'Space Types'!CW57</f>
        <v>CalculatedEstimateCommercialCopierAndSteelStorageCabinetsSteel_Office_Equipment_2mmInternalMassDef</v>
      </c>
    </row>
    <row r="55" spans="1:54" x14ac:dyDescent="0.35">
      <c r="A55" t="str">
        <f>'Space Types'!A58</f>
        <v>CS Corridor - Assisted Living</v>
      </c>
      <c r="B55" t="str">
        <f>'Space Types'!B58</f>
        <v>2025_AU_NCC</v>
      </c>
      <c r="C55" t="str">
        <f>'Space Types'!C58</f>
        <v>Assisted Living</v>
      </c>
      <c r="D55" t="str">
        <f>'Space Types'!D58</f>
        <v>Corridor</v>
      </c>
      <c r="E55">
        <f>'Space Types'!I58</f>
        <v>169</v>
      </c>
      <c r="F55">
        <f>'Space Types'!J58</f>
        <v>31</v>
      </c>
      <c r="G55">
        <f>'Space Types'!K58</f>
        <v>31</v>
      </c>
      <c r="H55" t="str">
        <f>'Space Types'!L58</f>
        <v>CS Corridor - Assisted Living_2025AUNCC</v>
      </c>
      <c r="I55" t="str">
        <f>'Space Types'!M58</f>
        <v>CS Corridor - Assisted Living_2025AUNCCScheduleSet</v>
      </c>
      <c r="J55">
        <f>'Space Types'!P58</f>
        <v>0</v>
      </c>
      <c r="K55">
        <f>'Space Types'!U58</f>
        <v>0</v>
      </c>
      <c r="L55">
        <f>'Space Types'!V58</f>
        <v>0</v>
      </c>
      <c r="M55">
        <f>'Space Types'!W58</f>
        <v>130</v>
      </c>
      <c r="N55">
        <f>'Space Types'!X58</f>
        <v>0.57692307700000001</v>
      </c>
      <c r="O55" t="str">
        <f>'Space Types'!AC58</f>
        <v/>
      </c>
      <c r="P55" t="str">
        <f>'Space Types'!AD58</f>
        <v/>
      </c>
      <c r="Q55" t="str">
        <f>'Space Types'!AE58</f>
        <v/>
      </c>
      <c r="R55" t="str">
        <f>'Space Types'!AG58</f>
        <v/>
      </c>
      <c r="S55">
        <f>'Space Types'!AI58</f>
        <v>3.0479999999999998E-4</v>
      </c>
      <c r="T55" t="str">
        <f>'Space Types'!AL58</f>
        <v/>
      </c>
      <c r="U55" t="str">
        <f>'Space Types'!AQ58</f>
        <v>Washington State Mechanical Code TABLE 403.3.1.1Public spaces_Corridors serving Group R Vent</v>
      </c>
      <c r="V55">
        <f>'Space Types'!AS58</f>
        <v>0</v>
      </c>
      <c r="W55">
        <f>'Space Types'!AT58</f>
        <v>0</v>
      </c>
      <c r="X55">
        <f>'Space Types'!AU58</f>
        <v>0.5</v>
      </c>
      <c r="Y55">
        <f>'Space Types'!AV58</f>
        <v>0</v>
      </c>
      <c r="Z55" t="str">
        <f>'Space Types'!AZ58</f>
        <v>NCC S35C2lClass 9c building: S35C2l's 160 W/room provision applies only to sole-occupancy resident rooms; a corridor is a communal/circulation space so it defaults to 'Other applications - No load'; radiant/latent/lost fraction split retained from original WA/COMNET-REV9 source (AIRAH Technical Handbook does not publish this split)CS Corridor - Assisted LivingElectricalEquipDef</v>
      </c>
      <c r="AA55" t="str">
        <f>'Space Types'!BA58</f>
        <v>OfficeMedium BLDG_EQUIP_SCH</v>
      </c>
      <c r="AB55">
        <f>'Space Types'!BC58</f>
        <v>5</v>
      </c>
      <c r="AC55">
        <f>'Space Types'!BD58</f>
        <v>0.37</v>
      </c>
      <c r="AD55">
        <f>'Space Types'!BE58</f>
        <v>0.2</v>
      </c>
      <c r="AE55" t="str">
        <f>'Space Types'!BI58</f>
        <v>NCC J7D3aCorridors (Class 9c aged care building - NCC 2025 Vol One Spec 35 Table S35C2k is the applicable occupancy profile table for future schedule work); radiant/latent/lost fraction split retained from original WA/COMNET-REV9 source (AIRAH Technical Handbook does not publish this split)LightingDef</v>
      </c>
      <c r="AF55" t="str">
        <f>'Space Types'!BJ58</f>
        <v>OfficeMedium BLDG_LIGHT_SCH_2013</v>
      </c>
      <c r="AG55">
        <f>'Space Types'!BM58</f>
        <v>0</v>
      </c>
      <c r="AH55">
        <f>'Space Types'!BN58</f>
        <v>0</v>
      </c>
      <c r="AI55">
        <f>'Space Types'!BO58</f>
        <v>0</v>
      </c>
      <c r="AJ55">
        <f>'Space Types'!BP58</f>
        <v>0</v>
      </c>
      <c r="AK55" t="str">
        <f>'Space Types'!BT58</f>
        <v/>
      </c>
      <c r="AL55" t="str">
        <f>'Space Types'!BU58</f>
        <v/>
      </c>
      <c r="AM55">
        <f>'Space Types'!BX58</f>
        <v>0</v>
      </c>
      <c r="AN55" t="str">
        <f>'Space Types'!CC58</f>
        <v>NCC S34C2(6)0.7 ACH assumed as design infiltration for periods without mechanical outdoor air supply; NCC also specifies 0.35 ACH when mechanical OA is operating (to be applied via infiltration schedule once developed)MidriseApartment_CorridorInfil</v>
      </c>
      <c r="AO55" t="str">
        <f>'Space Types'!CD58</f>
        <v>ApartmentMidRise INF_APT_SCH</v>
      </c>
      <c r="AP55">
        <f>'Space Types'!CG58</f>
        <v>0</v>
      </c>
      <c r="AQ55">
        <f>'Space Types'!CH58</f>
        <v>0.19</v>
      </c>
      <c r="AR55">
        <f>'Space Types'!CI58</f>
        <v>0</v>
      </c>
      <c r="AS55" t="str">
        <f>'Space Types'!CJ58</f>
        <v>Smooth</v>
      </c>
      <c r="AT55">
        <f>'Space Types'!CK58</f>
        <v>2.7000000000000001E-3</v>
      </c>
      <c r="AU55">
        <f>'Space Types'!CL58</f>
        <v>182.5</v>
      </c>
      <c r="AV55">
        <f>'Space Types'!CM58</f>
        <v>3009</v>
      </c>
      <c r="AW55">
        <f>'Space Types'!CN58</f>
        <v>894</v>
      </c>
      <c r="AX55">
        <f>'Space Types'!CO58</f>
        <v>0.9</v>
      </c>
      <c r="AY55">
        <f>'Space Types'!CP58</f>
        <v>0.7</v>
      </c>
      <c r="AZ55">
        <f>'Space Types'!CQ58</f>
        <v>0.7</v>
      </c>
      <c r="BA55" t="str">
        <f>'Space Types'!CR58</f>
        <v>Aluminum_Corridor_Fixtures_3mm</v>
      </c>
      <c r="BB55" t="str">
        <f>'Space Types'!CW58</f>
        <v>CalculatedEstimateAluminumHandrailsAndWayfindingSignageAluminum_Corridor_Fixtures_3mmInternalMassDef</v>
      </c>
    </row>
    <row r="56" spans="1:54" x14ac:dyDescent="0.35">
      <c r="A56" t="str">
        <f>'Space Types'!A59</f>
        <v>CS Corridor - Hospital</v>
      </c>
      <c r="B56" t="str">
        <f>'Space Types'!B59</f>
        <v>2025_AU_NCC</v>
      </c>
      <c r="C56" t="str">
        <f>'Space Types'!C59</f>
        <v>Hospital</v>
      </c>
      <c r="D56" t="str">
        <f>'Space Types'!D59</f>
        <v>Corridor</v>
      </c>
      <c r="E56">
        <f>'Space Types'!I59</f>
        <v>169</v>
      </c>
      <c r="F56">
        <f>'Space Types'!J59</f>
        <v>31</v>
      </c>
      <c r="G56">
        <f>'Space Types'!K59</f>
        <v>31</v>
      </c>
      <c r="H56" t="str">
        <f>'Space Types'!L59</f>
        <v>CS Corridor - Hospital_2025AUNCC</v>
      </c>
      <c r="I56" t="str">
        <f>'Space Types'!M59</f>
        <v>CS Corridor - Hospital_2025AUNCCScheduleSet</v>
      </c>
      <c r="J56">
        <f>'Space Types'!P59</f>
        <v>0</v>
      </c>
      <c r="K56">
        <f>'Space Types'!U59</f>
        <v>0</v>
      </c>
      <c r="L56">
        <f>'Space Types'!V59</f>
        <v>0</v>
      </c>
      <c r="M56">
        <f>'Space Types'!W59</f>
        <v>130</v>
      </c>
      <c r="N56">
        <f>'Space Types'!X59</f>
        <v>0.57692307700000001</v>
      </c>
      <c r="O56" t="str">
        <f>'Space Types'!AC59</f>
        <v/>
      </c>
      <c r="P56" t="str">
        <f>'Space Types'!AD59</f>
        <v/>
      </c>
      <c r="Q56" t="str">
        <f>'Space Types'!AE59</f>
        <v/>
      </c>
      <c r="R56" t="str">
        <f>'Space Types'!AG59</f>
        <v/>
      </c>
      <c r="S56">
        <f>'Space Types'!AI59</f>
        <v>3.0479999999999998E-4</v>
      </c>
      <c r="T56" t="str">
        <f>'Space Types'!AL59</f>
        <v/>
      </c>
      <c r="U56" t="str">
        <f>'Space Types'!AQ59</f>
        <v>Washington State Mechanical Code TABLE 403.3.1.1Public spaces_Corridors other than Group RVent</v>
      </c>
      <c r="V56">
        <f>'Space Types'!AS59</f>
        <v>5</v>
      </c>
      <c r="W56">
        <f>'Space Types'!AT59</f>
        <v>0</v>
      </c>
      <c r="X56">
        <f>'Space Types'!AU59</f>
        <v>0.5</v>
      </c>
      <c r="Y56">
        <f>'Space Types'!AV59</f>
        <v>0</v>
      </c>
      <c r="Z56" t="str">
        <f>'Space Types'!AZ59</f>
        <v>NCC S35C2lClass 9a ward area (support/circulation default); radiant/latent/lost fraction split retained from original WA/COMNET-REV9 source (AIRAH Technical Handbook does not publish this split)CS Corridor - HospitalElectricalEquipDef</v>
      </c>
      <c r="AA56" t="str">
        <f>'Space Types'!BA59</f>
        <v>Hospital BLDG_EQUIP_SCH</v>
      </c>
      <c r="AB56">
        <f>'Space Types'!BC59</f>
        <v>2.5</v>
      </c>
      <c r="AC56">
        <f>'Space Types'!BD59</f>
        <v>0.37</v>
      </c>
      <c r="AD56">
        <f>'Space Types'!BE59</f>
        <v>0.2</v>
      </c>
      <c r="AE56" t="str">
        <f>'Space Types'!BI59</f>
        <v>NCC J7D3aHealth-care - all other patient care areas including wards and corridors; radiant/visible fraction split retained from original WA/COMNET-REV9 source (AIRAH Technical Handbook does not publish this split)LightingDef</v>
      </c>
      <c r="AF56" t="str">
        <f>'Space Types'!BJ59</f>
        <v>Hospital BLDG_LIGHT_CORRIDOR_SCH</v>
      </c>
      <c r="AG56">
        <f>'Space Types'!BM59</f>
        <v>0</v>
      </c>
      <c r="AH56">
        <f>'Space Types'!BN59</f>
        <v>0</v>
      </c>
      <c r="AI56">
        <f>'Space Types'!BO59</f>
        <v>0</v>
      </c>
      <c r="AJ56">
        <f>'Space Types'!BP59</f>
        <v>0</v>
      </c>
      <c r="AK56" t="str">
        <f>'Space Types'!BT59</f>
        <v/>
      </c>
      <c r="AL56" t="str">
        <f>'Space Types'!BU59</f>
        <v/>
      </c>
      <c r="AM56">
        <f>'Space Types'!BX59</f>
        <v>0</v>
      </c>
      <c r="AN56" t="str">
        <f>'Space Types'!CC59</f>
        <v>NCC S34C2(6)0.7 ACH assumed as design infiltration for periods without mechanical outdoor air supply; NCC also specifies 0.35 ACH when mechanical OA is operating (to be applied via infiltration schedule once developed)Hospital_CorridorInfil</v>
      </c>
      <c r="AO56" t="str">
        <f>'Space Types'!CD59</f>
        <v>Hospital INFIL_SCH_PNNL</v>
      </c>
      <c r="AP56">
        <f>'Space Types'!CG59</f>
        <v>0</v>
      </c>
      <c r="AQ56">
        <f>'Space Types'!CH59</f>
        <v>0.26</v>
      </c>
      <c r="AR56">
        <f>'Space Types'!CI59</f>
        <v>0</v>
      </c>
      <c r="AS56" t="str">
        <f>'Space Types'!CJ59</f>
        <v>Smooth</v>
      </c>
      <c r="AT56">
        <f>'Space Types'!CK59</f>
        <v>2.5000000000000001E-3</v>
      </c>
      <c r="AU56">
        <f>'Space Types'!CL59</f>
        <v>64.8</v>
      </c>
      <c r="AV56">
        <f>'Space Types'!CM59</f>
        <v>6330</v>
      </c>
      <c r="AW56">
        <f>'Space Types'!CN59</f>
        <v>644</v>
      </c>
      <c r="AX56">
        <f>'Space Types'!CO59</f>
        <v>0.9</v>
      </c>
      <c r="AY56">
        <f>'Space Types'!CP59</f>
        <v>0.7</v>
      </c>
      <c r="AZ56">
        <f>'Space Types'!CQ59</f>
        <v>0.7</v>
      </c>
      <c r="BA56" t="str">
        <f>'Space Types'!CR59</f>
        <v>Stainless_Aluminum_Hospital_3mm</v>
      </c>
      <c r="BB56" t="str">
        <f>'Space Types'!CW59</f>
        <v>CalculatedEstimateStainlessHandrailsAndMedicalSignageStainless_Aluminum_Hospital_3mmInternalMassDef</v>
      </c>
    </row>
    <row r="57" spans="1:54" x14ac:dyDescent="0.35">
      <c r="A57" t="str">
        <f>'Space Types'!A60</f>
        <v>CS Corridor - Manufacturing</v>
      </c>
      <c r="B57" t="str">
        <f>'Space Types'!B60</f>
        <v>2025_AU_NCC</v>
      </c>
      <c r="C57" t="str">
        <f>'Space Types'!C60</f>
        <v>Manufacturing Facility</v>
      </c>
      <c r="D57" t="str">
        <f>'Space Types'!D60</f>
        <v>Corridor</v>
      </c>
      <c r="E57">
        <f>'Space Types'!I60</f>
        <v>169</v>
      </c>
      <c r="F57">
        <f>'Space Types'!J60</f>
        <v>31</v>
      </c>
      <c r="G57">
        <f>'Space Types'!K60</f>
        <v>31</v>
      </c>
      <c r="H57" t="str">
        <f>'Space Types'!L60</f>
        <v>CS Corridor - Manufacturing_2025AUNCC</v>
      </c>
      <c r="I57" t="str">
        <f>'Space Types'!M60</f>
        <v>CS Corridor - Manufacturing_2025AUNCCScheduleSet</v>
      </c>
      <c r="J57">
        <f>'Space Types'!P60</f>
        <v>7.5272133000000005E-2</v>
      </c>
      <c r="K57">
        <f>'Space Types'!U60</f>
        <v>0</v>
      </c>
      <c r="L57">
        <f>'Space Types'!V60</f>
        <v>0</v>
      </c>
      <c r="M57">
        <f>'Space Types'!W60</f>
        <v>130</v>
      </c>
      <c r="N57">
        <f>'Space Types'!X60</f>
        <v>0.57692307700000001</v>
      </c>
      <c r="O57" t="str">
        <f>'Space Types'!AC60</f>
        <v>NCC S35C2nOther applications (non-dining)CS Corridor - ManufacturingPeopleDef</v>
      </c>
      <c r="P57" t="str">
        <f>'Space Types'!AD60</f>
        <v>NECB-A-Occupancy</v>
      </c>
      <c r="Q57" t="str">
        <f>'Space Types'!AE60</f>
        <v>CS Corridor - ManufacturingActivity</v>
      </c>
      <c r="R57" t="str">
        <f>'Space Types'!AG60</f>
        <v/>
      </c>
      <c r="S57">
        <f>'Space Types'!AI60</f>
        <v>1.2700000000000001E-3</v>
      </c>
      <c r="T57" t="str">
        <f>'Space Types'!AL60</f>
        <v/>
      </c>
      <c r="U57" t="str">
        <f>'Space Types'!AQ60</f>
        <v>COMNET-REV9CS Corridor - ManufacturingVent</v>
      </c>
      <c r="V57">
        <f>'Space Types'!AS60</f>
        <v>0</v>
      </c>
      <c r="W57">
        <f>'Space Types'!AT60</f>
        <v>0</v>
      </c>
      <c r="X57">
        <f>'Space Types'!AU60</f>
        <v>0.5</v>
      </c>
      <c r="Y57">
        <f>'Space Types'!AV60</f>
        <v>0</v>
      </c>
      <c r="Z57" t="str">
        <f>'Space Types'!AZ60</f>
        <v>NCC S35C2lClass 8 (Other applications) - no equipment load per S35C2l; radiant/latent/lost fraction split retained from original WA/COMNET-REV9 source (AIRAH Technical Handbook does not publish this split)CS Corridor - ManufacturingElectricalEquipDef</v>
      </c>
      <c r="AA57" t="str">
        <f>'Space Types'!BA60</f>
        <v>NECB-A-Electric-Equipment</v>
      </c>
      <c r="AB57">
        <f>'Space Types'!BC60</f>
        <v>5</v>
      </c>
      <c r="AC57">
        <f>'Space Types'!BD60</f>
        <v>0.37</v>
      </c>
      <c r="AD57">
        <f>'Space Types'!BE60</f>
        <v>0.2</v>
      </c>
      <c r="AE57" t="str">
        <f>'Space Types'!BI60</f>
        <v>NCC J7D3aCorridors; radiant/visible fraction split retained from original WA/COMNET-REV9 source (AIRAH Technical Handbook does not publish this split)LightingDef</v>
      </c>
      <c r="AF57" t="str">
        <f>'Space Types'!BJ60</f>
        <v>NECB-A-Lighting</v>
      </c>
      <c r="AG57">
        <f>'Space Types'!BM60</f>
        <v>0</v>
      </c>
      <c r="AH57">
        <f>'Space Types'!BN60</f>
        <v>0</v>
      </c>
      <c r="AI57">
        <f>'Space Types'!BO60</f>
        <v>0</v>
      </c>
      <c r="AJ57">
        <f>'Space Types'!BP60</f>
        <v>0</v>
      </c>
      <c r="AK57" t="str">
        <f>'Space Types'!BT60</f>
        <v/>
      </c>
      <c r="AL57" t="str">
        <f>'Space Types'!BU60</f>
        <v/>
      </c>
      <c r="AM57">
        <f>'Space Types'!BX60</f>
        <v>0</v>
      </c>
      <c r="AN57" t="str">
        <f>'Space Types'!CC60</f>
        <v>NCC S34C2(6)0.7 ACH assumed as design infiltration for periods without mechanical outdoor air supply; NCC also specifies 0.35 ACH when mechanical OA is operating (to be applied via infiltration schedule once developed)Office_CorridorInfil</v>
      </c>
      <c r="AO57" t="str">
        <f>'Space Types'!CD60</f>
        <v>OfficeMedium INFIL_SCH_PNNL</v>
      </c>
      <c r="AP57">
        <f>'Space Types'!CG60</f>
        <v>0</v>
      </c>
      <c r="AQ57">
        <f>'Space Types'!CH60</f>
        <v>0.34</v>
      </c>
      <c r="AR57">
        <f>'Space Types'!CI60</f>
        <v>0</v>
      </c>
      <c r="AS57" t="str">
        <f>'Space Types'!CJ60</f>
        <v>MediumRough</v>
      </c>
      <c r="AT57">
        <f>'Space Types'!CK60</f>
        <v>6.3E-3</v>
      </c>
      <c r="AU57">
        <f>'Space Types'!CL60</f>
        <v>82</v>
      </c>
      <c r="AV57">
        <f>'Space Types'!CM60</f>
        <v>5095</v>
      </c>
      <c r="AW57">
        <f>'Space Types'!CN60</f>
        <v>711</v>
      </c>
      <c r="AX57">
        <f>'Space Types'!CO60</f>
        <v>0.9</v>
      </c>
      <c r="AY57">
        <f>'Space Types'!CP60</f>
        <v>0.7</v>
      </c>
      <c r="AZ57">
        <f>'Space Types'!CQ60</f>
        <v>0.7</v>
      </c>
      <c r="BA57" t="str">
        <f>'Space Types'!CR60</f>
        <v>Steel_Aluminum_Industrial_6mm</v>
      </c>
      <c r="BB57" t="str">
        <f>'Space Types'!CW60</f>
        <v>CalculatedEstimateSteelHandrailsAndSafetyBollardsSteel_Aluminum_Industrial_6mmInternalMassDef</v>
      </c>
    </row>
    <row r="58" spans="1:54" x14ac:dyDescent="0.35">
      <c r="A58" t="str">
        <f>'Space Types'!A61</f>
        <v>CS Corridor - Other</v>
      </c>
      <c r="B58" t="str">
        <f>'Space Types'!B61</f>
        <v>2025_AU_NCC</v>
      </c>
      <c r="C58" t="str">
        <f>'Space Types'!C61</f>
        <v>Miscellaneous</v>
      </c>
      <c r="D58" t="str">
        <f>'Space Types'!D61</f>
        <v>Corridor</v>
      </c>
      <c r="E58">
        <f>'Space Types'!I61</f>
        <v>169</v>
      </c>
      <c r="F58">
        <f>'Space Types'!J61</f>
        <v>31</v>
      </c>
      <c r="G58">
        <f>'Space Types'!K61</f>
        <v>31</v>
      </c>
      <c r="H58" t="str">
        <f>'Space Types'!L61</f>
        <v>CS Corridor - Other_2025AUNCC</v>
      </c>
      <c r="I58" t="str">
        <f>'Space Types'!M61</f>
        <v>CS Corridor - Other_2025AUNCCScheduleSet</v>
      </c>
      <c r="J58">
        <f>'Space Types'!P61</f>
        <v>0</v>
      </c>
      <c r="K58">
        <f>'Space Types'!U61</f>
        <v>0</v>
      </c>
      <c r="L58">
        <f>'Space Types'!V61</f>
        <v>0</v>
      </c>
      <c r="M58">
        <f>'Space Types'!W61</f>
        <v>130</v>
      </c>
      <c r="N58">
        <f>'Space Types'!X61</f>
        <v>0.57692307700000001</v>
      </c>
      <c r="O58" t="str">
        <f>'Space Types'!AC61</f>
        <v/>
      </c>
      <c r="P58" t="str">
        <f>'Space Types'!AD61</f>
        <v/>
      </c>
      <c r="Q58" t="str">
        <f>'Space Types'!AE61</f>
        <v/>
      </c>
      <c r="R58" t="str">
        <f>'Space Types'!AG61</f>
        <v/>
      </c>
      <c r="S58">
        <f>'Space Types'!AI61</f>
        <v>3.0479999999999998E-4</v>
      </c>
      <c r="T58" t="str">
        <f>'Space Types'!AL61</f>
        <v/>
      </c>
      <c r="U58" t="str">
        <f>'Space Types'!AQ61</f>
        <v>Washington State Mechanical Code TABLE 403.3.1.1Public spaces_Corridors other than Group RVent</v>
      </c>
      <c r="V58">
        <f>'Space Types'!AS61</f>
        <v>0</v>
      </c>
      <c r="W58">
        <f>'Space Types'!AT61</f>
        <v>0</v>
      </c>
      <c r="X58">
        <f>'Space Types'!AU61</f>
        <v>0.5</v>
      </c>
      <c r="Y58">
        <f>'Space Types'!AV61</f>
        <v>0</v>
      </c>
      <c r="Z58" t="str">
        <f>'Space Types'!AZ61</f>
        <v>NCC S35C2lBA WarehouseShared with host building class (Other applications) - no equipment load per S35C2l; radiant/latent/lost fraction split retained from original WA/COMNET-REV9 source (AIRAH Technical Handbook does not publish this split)CS Corridor - OtherElectricalEquipDef</v>
      </c>
      <c r="AA58" t="str">
        <f>'Space Types'!BA61</f>
        <v>SchoolSecondary BLDG_EQUIP_SCH</v>
      </c>
      <c r="AB58">
        <f>'Space Types'!BC61</f>
        <v>5</v>
      </c>
      <c r="AC58">
        <f>'Space Types'!BD61</f>
        <v>0.37</v>
      </c>
      <c r="AD58">
        <f>'Space Types'!BE61</f>
        <v>0.2</v>
      </c>
      <c r="AE58" t="str">
        <f>'Space Types'!BI61</f>
        <v>NCC J7D3aCorridors; radiant/visible fraction split retained from original WA/COMNET-REV9 source (AIRAH Technical Handbook does not publish this split)LightingDef</v>
      </c>
      <c r="AF58" t="str">
        <f>'Space Types'!BJ61</f>
        <v>SchoolSecondary BLDG_LIGHT_CORRIDOR_SCH</v>
      </c>
      <c r="AG58">
        <f>'Space Types'!BM61</f>
        <v>0</v>
      </c>
      <c r="AH58">
        <f>'Space Types'!BN61</f>
        <v>0</v>
      </c>
      <c r="AI58">
        <f>'Space Types'!BO61</f>
        <v>0</v>
      </c>
      <c r="AJ58">
        <f>'Space Types'!BP61</f>
        <v>0</v>
      </c>
      <c r="AK58" t="str">
        <f>'Space Types'!BT61</f>
        <v/>
      </c>
      <c r="AL58" t="str">
        <f>'Space Types'!BU61</f>
        <v/>
      </c>
      <c r="AM58">
        <f>'Space Types'!BX61</f>
        <v>0</v>
      </c>
      <c r="AN58" t="str">
        <f>'Space Types'!CC61</f>
        <v>NCC S34C2(6)0.7 ACH assumed as design infiltration for periods without mechanical outdoor air supply; NCC also specifies 0.35 ACH when mechanical OA is operating (to be applied via infiltration schedule once developed)LargeHotel_CorridorInfil</v>
      </c>
      <c r="AO58" t="str">
        <f>'Space Types'!CD61</f>
        <v>HotelLarge INFIL_QUARTER_ON_SCH</v>
      </c>
      <c r="AP58">
        <f>'Space Types'!CG61</f>
        <v>0</v>
      </c>
      <c r="AQ58">
        <f>'Space Types'!CH61</f>
        <v>0.19</v>
      </c>
      <c r="AR58">
        <f>'Space Types'!CI61</f>
        <v>0</v>
      </c>
      <c r="AS58" t="str">
        <f>'Space Types'!CJ61</f>
        <v>Smooth</v>
      </c>
      <c r="AT58">
        <f>'Space Types'!CK61</f>
        <v>2.7000000000000001E-3</v>
      </c>
      <c r="AU58">
        <f>'Space Types'!CL61</f>
        <v>186.9</v>
      </c>
      <c r="AV58">
        <f>'Space Types'!CM61</f>
        <v>2928</v>
      </c>
      <c r="AW58">
        <f>'Space Types'!CN61</f>
        <v>898</v>
      </c>
      <c r="AX58">
        <f>'Space Types'!CO61</f>
        <v>0.9</v>
      </c>
      <c r="AY58">
        <f>'Space Types'!CP61</f>
        <v>0.7</v>
      </c>
      <c r="AZ58">
        <f>'Space Types'!CQ61</f>
        <v>0.7</v>
      </c>
      <c r="BA58" t="str">
        <f>'Space Types'!CR61</f>
        <v>Aluminum_Commercial_Fixtures_3mm</v>
      </c>
      <c r="BB58" t="str">
        <f>'Space Types'!CW61</f>
        <v>CalculatedEstimateAluminumHandrailsAndDirectionalSignageAluminum_Commercial_Fixtures_3mmInternalMassDef</v>
      </c>
    </row>
    <row r="59" spans="1:54" x14ac:dyDescent="0.35">
      <c r="A59" t="str">
        <f>'Space Types'!A62</f>
        <v>CS Courtroom</v>
      </c>
      <c r="B59" t="str">
        <f>'Space Types'!B62</f>
        <v>2025_AU_NCC</v>
      </c>
      <c r="C59" t="str">
        <f>'Space Types'!C62</f>
        <v>Courthouse</v>
      </c>
      <c r="D59" t="str">
        <f>'Space Types'!D62</f>
        <v>Courtroom</v>
      </c>
      <c r="E59">
        <f>'Space Types'!I62</f>
        <v>153</v>
      </c>
      <c r="F59">
        <f>'Space Types'!J62</f>
        <v>76</v>
      </c>
      <c r="G59">
        <f>'Space Types'!K62</f>
        <v>0</v>
      </c>
      <c r="H59" t="str">
        <f>'Space Types'!L62</f>
        <v>CS Courtroom_2025AUNCC</v>
      </c>
      <c r="I59" t="str">
        <f>'Space Types'!M62</f>
        <v>CS Courtroom_2025AUNCCScheduleSet</v>
      </c>
      <c r="J59">
        <f>'Space Types'!P62</f>
        <v>0.753474054</v>
      </c>
      <c r="K59">
        <f>'Space Types'!U62</f>
        <v>0</v>
      </c>
      <c r="L59">
        <f>'Space Types'!V62</f>
        <v>0</v>
      </c>
      <c r="M59">
        <f>'Space Types'!W62</f>
        <v>130</v>
      </c>
      <c r="N59">
        <f>'Space Types'!X62</f>
        <v>0.57692307700000001</v>
      </c>
      <c r="O59" t="str">
        <f>'Space Types'!AC62</f>
        <v>NCC S35C2nOther applications (non-dining)PeopleDef</v>
      </c>
      <c r="P59" t="str">
        <f>'Space Types'!AD62</f>
        <v>NECB-A-Occupancy</v>
      </c>
      <c r="Q59" t="str">
        <f>'Space Types'!AE62</f>
        <v>CS CourtroomActivity</v>
      </c>
      <c r="R59">
        <f>'Space Types'!AG62</f>
        <v>2.3596035865974517E-3</v>
      </c>
      <c r="S59">
        <f>'Space Types'!AI62</f>
        <v>3.0479999999999998E-4</v>
      </c>
      <c r="T59" t="str">
        <f>'Space Types'!AL62</f>
        <v/>
      </c>
      <c r="U59" t="str">
        <f>'Space Types'!AQ62</f>
        <v>Washington State Mechanical Code TABLE 403.3.1.1Public spaces_CourtroomsVent</v>
      </c>
      <c r="V59">
        <f>'Space Types'!AS62</f>
        <v>0</v>
      </c>
      <c r="W59">
        <f>'Space Types'!AT62</f>
        <v>0</v>
      </c>
      <c r="X59">
        <f>'Space Types'!AU62</f>
        <v>0.5</v>
      </c>
      <c r="Y59">
        <f>'Space Types'!AV62</f>
        <v>0</v>
      </c>
      <c r="Z59" t="str">
        <f>'Space Types'!AZ62</f>
        <v>NCC S35C2lClass 9b special (Other applications) - no equipment load per S35C2l; radiant/latent/lost fraction split retained from original WA/COMNET-REV9 source (AIRAH Technical Handbook does not publish this split)CS CourtroomElectricalEquipDef</v>
      </c>
      <c r="AA59" t="str">
        <f>'Space Types'!BA62</f>
        <v>NECB-A-Electric-Equipment</v>
      </c>
      <c r="AB59">
        <f>'Space Types'!BC62</f>
        <v>4.5</v>
      </c>
      <c r="AC59">
        <f>'Space Types'!BD62</f>
        <v>0.37</v>
      </c>
      <c r="AD59">
        <f>'Space Types'!BE62</f>
        <v>0.2</v>
      </c>
      <c r="AE59" t="str">
        <f>'Space Types'!BI62</f>
        <v>NCC J7D3aCourtroom; radiant/visible fraction split retained from original WA/COMNET-REV9 source (AIRAH Technical Handbook does not publish this split)LightingDef</v>
      </c>
      <c r="AF59" t="str">
        <f>'Space Types'!BJ62</f>
        <v>NECB-A-Lighting</v>
      </c>
      <c r="AG59">
        <f>'Space Types'!BM62</f>
        <v>0</v>
      </c>
      <c r="AH59">
        <f>'Space Types'!BN62</f>
        <v>0</v>
      </c>
      <c r="AI59">
        <f>'Space Types'!BO62</f>
        <v>0</v>
      </c>
      <c r="AJ59">
        <f>'Space Types'!BP62</f>
        <v>0</v>
      </c>
      <c r="AK59" t="str">
        <f>'Space Types'!BT62</f>
        <v/>
      </c>
      <c r="AL59" t="str">
        <f>'Space Types'!BU62</f>
        <v/>
      </c>
      <c r="AM59">
        <f>'Space Types'!BX62</f>
        <v>0</v>
      </c>
      <c r="AN59" t="str">
        <f>'Space Types'!CC62</f>
        <v>NCC S34C2(6)0.7 ACH assumed as design infiltration for periods without mechanical outdoor air supply; NCC also specifies 0.35 ACH when mechanical OA is operating (to be applied via infiltration schedule once developed)Space Function_Courthouse - courtroomInfil</v>
      </c>
      <c r="AO59" t="str">
        <f>'Space Types'!CD62</f>
        <v>Always On</v>
      </c>
      <c r="AP59">
        <f>'Space Types'!CG62</f>
        <v>0</v>
      </c>
      <c r="AQ59">
        <f>'Space Types'!CH62</f>
        <v>0.84</v>
      </c>
      <c r="AR59">
        <f>'Space Types'!CI62</f>
        <v>0</v>
      </c>
      <c r="AS59" t="str">
        <f>'Space Types'!CJ62</f>
        <v>MediumRough</v>
      </c>
      <c r="AT59">
        <f>'Space Types'!CK62</f>
        <v>2.4E-2</v>
      </c>
      <c r="AU59">
        <f>'Space Types'!CL62</f>
        <v>3.54</v>
      </c>
      <c r="AV59">
        <f>'Space Types'!CM62</f>
        <v>596</v>
      </c>
      <c r="AW59">
        <f>'Space Types'!CN62</f>
        <v>1580</v>
      </c>
      <c r="AX59">
        <f>'Space Types'!CO62</f>
        <v>0.9</v>
      </c>
      <c r="AY59">
        <f>'Space Types'!CP62</f>
        <v>0.7</v>
      </c>
      <c r="AZ59">
        <f>'Space Types'!CQ62</f>
        <v>0.65</v>
      </c>
      <c r="BA59" t="str">
        <f>'Space Types'!CR62</f>
        <v>Wood_Courtroom_Furniture_24mm</v>
      </c>
      <c r="BB59" t="str">
        <f>'Space Types'!CW62</f>
        <v>CalculatedEstimateSolidHardwoodBenchesAndGallerySeatingWood_Courtroom_Furniture_24mmInternalMassDef</v>
      </c>
    </row>
    <row r="60" spans="1:54" x14ac:dyDescent="0.35">
      <c r="A60" t="str">
        <f>'Space Types'!A63</f>
        <v>CS Computer Room</v>
      </c>
      <c r="B60" t="str">
        <f>'Space Types'!B63</f>
        <v>2025_AU_NCC</v>
      </c>
      <c r="C60" t="str">
        <f>'Space Types'!C63</f>
        <v>Office</v>
      </c>
      <c r="D60" t="str">
        <f>'Space Types'!D63</f>
        <v>Computer Room</v>
      </c>
      <c r="E60">
        <f>'Space Types'!I63</f>
        <v>41</v>
      </c>
      <c r="F60">
        <f>'Space Types'!J63</f>
        <v>31</v>
      </c>
      <c r="G60">
        <f>'Space Types'!K63</f>
        <v>169</v>
      </c>
      <c r="H60" t="str">
        <f>'Space Types'!L63</f>
        <v>CS Computer Room_2025AUNCC</v>
      </c>
      <c r="I60" t="str">
        <f>'Space Types'!M63</f>
        <v>CS Computer Room_2025AUNCCScheduleSet</v>
      </c>
      <c r="J60">
        <f>'Space Types'!P63</f>
        <v>4.3055660000000003E-2</v>
      </c>
      <c r="K60">
        <f>'Space Types'!U63</f>
        <v>0</v>
      </c>
      <c r="L60">
        <f>'Space Types'!V63</f>
        <v>0</v>
      </c>
      <c r="M60">
        <f>'Space Types'!W63</f>
        <v>130</v>
      </c>
      <c r="N60">
        <f>'Space Types'!X63</f>
        <v>0.57692307700000001</v>
      </c>
      <c r="O60" t="str">
        <f>'Space Types'!AC63</f>
        <v>NCC S35C2nOther applications (non-dining)PeopleDef</v>
      </c>
      <c r="P60" t="str">
        <f>'Space Types'!AD63</f>
        <v>OfficeMedium BLDG_OCC_SCH</v>
      </c>
      <c r="Q60" t="str">
        <f>'Space Types'!AE63</f>
        <v>CS Computer RoomActivity</v>
      </c>
      <c r="R60">
        <f>'Space Types'!AG63</f>
        <v>2.3596035865974517E-3</v>
      </c>
      <c r="S60">
        <f>'Space Types'!AI63</f>
        <v>3.0479999999999998E-4</v>
      </c>
      <c r="T60" t="str">
        <f>'Space Types'!AL63</f>
        <v/>
      </c>
      <c r="U60" t="str">
        <f>'Space Types'!AQ63</f>
        <v>Washington State Mechanical Code TABLE 403.3.1.1Workrooms_Computer without printingVent</v>
      </c>
      <c r="V60">
        <f>'Space Types'!AS63</f>
        <v>11</v>
      </c>
      <c r="W60">
        <f>'Space Types'!AT63</f>
        <v>0</v>
      </c>
      <c r="X60">
        <f>'Space Types'!AU63</f>
        <v>0.5</v>
      </c>
      <c r="Y60">
        <f>'Space Types'!AV63</f>
        <v>0</v>
      </c>
      <c r="Z60" t="str">
        <f>'Space Types'!AZ63</f>
        <v>NCC S35C2lClass 5 building; radiant/latent/lost fraction split retained from original WA/COMNET-REV9 source (AIRAH Technical Handbook does not publish this split)CS Computer RoomElectricalEquipDef</v>
      </c>
      <c r="AA60" t="str">
        <f>'Space Types'!BA63</f>
        <v>OfficeMedium BLDG_EQUIP_SCH</v>
      </c>
      <c r="AB60">
        <f>'Space Types'!BC63</f>
        <v>4.5</v>
      </c>
      <c r="AC60">
        <f>'Space Types'!BD63</f>
        <v>0.37</v>
      </c>
      <c r="AD60">
        <f>'Space Types'!BE63</f>
        <v>0.2</v>
      </c>
      <c r="AE60" t="str">
        <f>'Space Types'!BI63</f>
        <v>NCC J7D3aControl room, switch room and the like - constant monitoring; radiant/visible fraction split retained from original WA/COMNET-REV9 source (AIRAH Technical Handbook does not publish this split)LightingDef</v>
      </c>
      <c r="AF60" t="str">
        <f>'Space Types'!BJ63</f>
        <v>OfficeMedium BLDG_LIGHT_SCH_2013</v>
      </c>
      <c r="AG60">
        <f>'Space Types'!BM63</f>
        <v>0</v>
      </c>
      <c r="AH60">
        <f>'Space Types'!BN63</f>
        <v>0</v>
      </c>
      <c r="AI60">
        <f>'Space Types'!BO63</f>
        <v>0</v>
      </c>
      <c r="AJ60">
        <f>'Space Types'!BP63</f>
        <v>0</v>
      </c>
      <c r="AK60" t="str">
        <f>'Space Types'!BT63</f>
        <v/>
      </c>
      <c r="AL60" t="str">
        <f>'Space Types'!BU63</f>
        <v/>
      </c>
      <c r="AM60">
        <f>'Space Types'!BX63</f>
        <v>0</v>
      </c>
      <c r="AN60" t="str">
        <f>'Space Types'!CC63</f>
        <v>NCC S34C2(6)0.7 ACH assumed as design infiltration for periods without mechanical outdoor air supply; NCC also specifies 0.35 ACH when mechanical OA is operating (to be applied via infiltration schedule once developed)Office_IT_RoomInfil</v>
      </c>
      <c r="AO60" t="str">
        <f>'Space Types'!CD63</f>
        <v>OfficeMedium INFIL_SCH_PNNL</v>
      </c>
      <c r="AP60">
        <f>'Space Types'!CG63</f>
        <v>0</v>
      </c>
      <c r="AQ60">
        <f>'Space Types'!CH63</f>
        <v>1.62</v>
      </c>
      <c r="AR60">
        <f>'Space Types'!CI63</f>
        <v>0</v>
      </c>
      <c r="AS60" t="str">
        <f>'Space Types'!CJ63</f>
        <v>MediumRough</v>
      </c>
      <c r="AT60">
        <f>'Space Types'!CK63</f>
        <v>2.2000000000000001E-3</v>
      </c>
      <c r="AU60">
        <f>'Space Types'!CL63</f>
        <v>59</v>
      </c>
      <c r="AV60">
        <f>'Space Types'!CM63</f>
        <v>4439</v>
      </c>
      <c r="AW60">
        <f>'Space Types'!CN63</f>
        <v>844</v>
      </c>
      <c r="AX60">
        <f>'Space Types'!CO63</f>
        <v>0.9</v>
      </c>
      <c r="AY60">
        <f>'Space Types'!CP63</f>
        <v>0.7</v>
      </c>
      <c r="AZ60">
        <f>'Space Types'!CQ63</f>
        <v>0.65</v>
      </c>
      <c r="BA60" t="str">
        <f>'Space Types'!CR63</f>
        <v>Steel_IT_Equipment_2mm</v>
      </c>
      <c r="BB60" t="str">
        <f>'Space Types'!CW63</f>
        <v>CalculatedEstimateITWorkstationsAndServerRackSteel_IT_Equipment_2mmInternalMassDef</v>
      </c>
    </row>
    <row r="61" spans="1:54" x14ac:dyDescent="0.35">
      <c r="A61" t="str">
        <f>'Space Types'!A64</f>
        <v>CS Dining Area - Penitentiary</v>
      </c>
      <c r="B61" t="str">
        <f>'Space Types'!B64</f>
        <v>2025_AU_NCC</v>
      </c>
      <c r="C61" t="str">
        <f>'Space Types'!C64</f>
        <v>Penitentiary</v>
      </c>
      <c r="D61" t="str">
        <f>'Space Types'!D64</f>
        <v>Dining Area</v>
      </c>
      <c r="E61">
        <f>'Space Types'!I64</f>
        <v>31</v>
      </c>
      <c r="F61">
        <f>'Space Types'!J64</f>
        <v>169</v>
      </c>
      <c r="G61">
        <f>'Space Types'!K64</f>
        <v>34</v>
      </c>
      <c r="H61" t="str">
        <f>'Space Types'!L64</f>
        <v>CS Dining Area - Penitentiary_2025AUNCC</v>
      </c>
      <c r="I61" t="str">
        <f>'Space Types'!M64</f>
        <v>CS Dining Area - Penitentiary_2025AUNCCScheduleSet</v>
      </c>
      <c r="J61">
        <f>'Space Types'!P64</f>
        <v>0.753474054</v>
      </c>
      <c r="K61">
        <f>'Space Types'!U64</f>
        <v>0</v>
      </c>
      <c r="L61">
        <f>'Space Types'!V64</f>
        <v>0</v>
      </c>
      <c r="M61">
        <f>'Space Types'!W64</f>
        <v>160</v>
      </c>
      <c r="N61">
        <f>'Space Types'!X64</f>
        <v>0.5</v>
      </c>
      <c r="O61" t="str">
        <f>'Space Types'!AC64</f>
        <v>NCC S35C2nDining room/restaurant/cafePeopleDef</v>
      </c>
      <c r="P61" t="str">
        <f>'Space Types'!AD64</f>
        <v>NECB-B-Occupancy</v>
      </c>
      <c r="Q61" t="str">
        <f>'Space Types'!AE64</f>
        <v>CS Dining Area - PenitentiaryActivity</v>
      </c>
      <c r="R61">
        <f>'Space Types'!AG64</f>
        <v>3.5394053798961773E-3</v>
      </c>
      <c r="S61">
        <f>'Space Types'!AI64</f>
        <v>9.144E-4</v>
      </c>
      <c r="T61" t="str">
        <f>'Space Types'!AL64</f>
        <v/>
      </c>
      <c r="U61" t="str">
        <f>'Space Types'!AQ64</f>
        <v>Washington State Mechanical Code TABLE 403.3.1.1Food and beverage service_Dining roomsVent</v>
      </c>
      <c r="V61">
        <f>'Space Types'!AS64</f>
        <v>13.594895899999999</v>
      </c>
      <c r="W61">
        <f>'Space Types'!AT64</f>
        <v>0</v>
      </c>
      <c r="X61">
        <f>'Space Types'!AU64</f>
        <v>0.5</v>
      </c>
      <c r="Y61">
        <f>'Space Types'!AV64</f>
        <v>0</v>
      </c>
      <c r="Z61" t="str">
        <f>'Space Types'!AZ64</f>
        <v>COMNET-REV9DOEPrototypeCS Dining Area - PenitentiaryElectricalEquipDef</v>
      </c>
      <c r="AA61" t="str">
        <f>'Space Types'!BA64</f>
        <v>NECB-B-Electric-Equipment</v>
      </c>
      <c r="AB61">
        <f>'Space Types'!BC64</f>
        <v>3.7673700000000001</v>
      </c>
      <c r="AC61">
        <f>'Space Types'!BD64</f>
        <v>0.37</v>
      </c>
      <c r="AD61">
        <f>'Space Types'!BE64</f>
        <v>0.2</v>
      </c>
      <c r="AE61" t="str">
        <f>'Space Types'!BI64</f>
        <v>IECC Table C405.3.2(2)Dining area - in a penitentiary; radiant/visible fraction split retained from original WA/COMNET-REV9 sourceLightingDef</v>
      </c>
      <c r="AF61" t="str">
        <f>'Space Types'!BJ64</f>
        <v>NECB-B-Lighting</v>
      </c>
      <c r="AG61">
        <f>'Space Types'!BM64</f>
        <v>0</v>
      </c>
      <c r="AH61">
        <f>'Space Types'!BN64</f>
        <v>0</v>
      </c>
      <c r="AI61">
        <f>'Space Types'!BO64</f>
        <v>0</v>
      </c>
      <c r="AJ61">
        <f>'Space Types'!BP64</f>
        <v>0</v>
      </c>
      <c r="AK61" t="str">
        <f>'Space Types'!BT64</f>
        <v/>
      </c>
      <c r="AL61" t="str">
        <f>'Space Types'!BU64</f>
        <v/>
      </c>
      <c r="AM61">
        <f>'Space Types'!BX64</f>
        <v>0</v>
      </c>
      <c r="AN61" t="str">
        <f>'Space Types'!CC64</f>
        <v>NCC S34C2(6)0.7 ACH assumed as design infiltration for periods without mechanical outdoor air supply; NCC also specifies 0.35 ACH when mechanical OA is operating (to be applied via infiltration schedule once developed)Space Function_Penitentiary - diningInfil</v>
      </c>
      <c r="AO61" t="str">
        <f>'Space Types'!CD64</f>
        <v>Always On</v>
      </c>
      <c r="AP61">
        <f>'Space Types'!CG64</f>
        <v>0</v>
      </c>
      <c r="AQ61">
        <f>'Space Types'!CH64</f>
        <v>0.74</v>
      </c>
      <c r="AR61">
        <f>'Space Types'!CI64</f>
        <v>0</v>
      </c>
      <c r="AS61" t="str">
        <f>'Space Types'!CJ64</f>
        <v>Smooth</v>
      </c>
      <c r="AT61">
        <f>'Space Types'!CK64</f>
        <v>2.7000000000000001E-3</v>
      </c>
      <c r="AU61">
        <f>'Space Types'!CL64</f>
        <v>42.6</v>
      </c>
      <c r="AV61">
        <f>'Space Types'!CM64</f>
        <v>7746</v>
      </c>
      <c r="AW61">
        <f>'Space Types'!CN64</f>
        <v>478</v>
      </c>
      <c r="AX61">
        <f>'Space Types'!CO64</f>
        <v>0.9</v>
      </c>
      <c r="AY61">
        <f>'Space Types'!CP64</f>
        <v>0.7</v>
      </c>
      <c r="AZ61">
        <f>'Space Types'!CQ64</f>
        <v>0.7</v>
      </c>
      <c r="BA61" t="str">
        <f>'Space Types'!CR64</f>
        <v>Steel_Security_Dining_3mm</v>
      </c>
      <c r="BB61" t="str">
        <f>'Space Types'!CW64</f>
        <v>CalculatedEstimateFixedSteelTableBenchUnitsSteel_Security_Dining_3mmInternalMassDef</v>
      </c>
    </row>
    <row r="62" spans="1:54" x14ac:dyDescent="0.35">
      <c r="A62" t="str">
        <f>'Space Types'!A65</f>
        <v>CS Dining Area - Assisted Living</v>
      </c>
      <c r="B62" t="str">
        <f>'Space Types'!B65</f>
        <v>2025_AU_NCC</v>
      </c>
      <c r="C62" t="str">
        <f>'Space Types'!C65</f>
        <v>Hotel/Motel</v>
      </c>
      <c r="D62" t="str">
        <f>'Space Types'!D65</f>
        <v>Dining Area</v>
      </c>
      <c r="E62">
        <f>'Space Types'!I65</f>
        <v>31</v>
      </c>
      <c r="F62">
        <f>'Space Types'!J65</f>
        <v>169</v>
      </c>
      <c r="G62">
        <f>'Space Types'!K65</f>
        <v>34</v>
      </c>
      <c r="H62" t="str">
        <f>'Space Types'!L65</f>
        <v>CS Dining Area - Assisted Living_2025AUNCC</v>
      </c>
      <c r="I62" t="str">
        <f>'Space Types'!M65</f>
        <v>CS Dining Area - Assisted Living_2025AUNCCScheduleSet</v>
      </c>
      <c r="J62">
        <f>'Space Types'!P65</f>
        <v>0.753474054</v>
      </c>
      <c r="K62">
        <f>'Space Types'!U65</f>
        <v>0</v>
      </c>
      <c r="L62">
        <f>'Space Types'!V65</f>
        <v>0</v>
      </c>
      <c r="M62">
        <f>'Space Types'!W65</f>
        <v>160</v>
      </c>
      <c r="N62">
        <f>'Space Types'!X65</f>
        <v>0.5</v>
      </c>
      <c r="O62" t="str">
        <f>'Space Types'!AC65</f>
        <v>NCC S35C2nDining room/restaurant/cafePeopleDef</v>
      </c>
      <c r="P62" t="str">
        <f>'Space Types'!AD65</f>
        <v>NECB-B-Occupancy</v>
      </c>
      <c r="Q62" t="str">
        <f>'Space Types'!AE65</f>
        <v>CS Dining Area - Assisted LivingActivity</v>
      </c>
      <c r="R62">
        <f>'Space Types'!AG65</f>
        <v>3.5394053798961773E-3</v>
      </c>
      <c r="S62">
        <f>'Space Types'!AI65</f>
        <v>9.144E-4</v>
      </c>
      <c r="T62" t="str">
        <f>'Space Types'!AL65</f>
        <v/>
      </c>
      <c r="U62" t="str">
        <f>'Space Types'!AQ65</f>
        <v>Washington State Mechanical Code TABLE 403.3.1.1Food and beverage service_Dining roomsVent</v>
      </c>
      <c r="V62">
        <f>'Space Types'!AS65</f>
        <v>5</v>
      </c>
      <c r="W62">
        <f>'Space Types'!AT65</f>
        <v>0</v>
      </c>
      <c r="X62">
        <f>'Space Types'!AU65</f>
        <v>0.5</v>
      </c>
      <c r="Y62">
        <f>'Space Types'!AV65</f>
        <v>0</v>
      </c>
      <c r="Z62" t="str">
        <f>'Space Types'!AZ65</f>
        <v>NCC S35C2lClass 6 cafe/restaurant (dining function, despite Class 3 host building); radiant/latent/lost fraction split retained from original WA/COMNET-REV9 source (AIRAH Technical Handbook does not publish this split)CS Dining Area - Assisted LivingElectricalEquipDef</v>
      </c>
      <c r="AA62" t="str">
        <f>'Space Types'!BA65</f>
        <v>NECB-B-Electric-Equipment</v>
      </c>
      <c r="AB62">
        <f>'Space Types'!BC65</f>
        <v>14</v>
      </c>
      <c r="AC62">
        <f>'Space Types'!BD65</f>
        <v>0.37</v>
      </c>
      <c r="AD62">
        <f>'Space Types'!BE65</f>
        <v>0.2</v>
      </c>
      <c r="AE62" t="str">
        <f>'Space Types'!BI65</f>
        <v>NCC J7D3aRestaurant, cafe, bar, hotel lounge...; radiant/visible fraction split retained from original WA/COMNET-REV9 source (AIRAH Technical Handbook does not publish this split)LightingDef</v>
      </c>
      <c r="AF62" t="str">
        <f>'Space Types'!BJ65</f>
        <v>NECB-B-Lighting</v>
      </c>
      <c r="AG62">
        <f>'Space Types'!BM65</f>
        <v>0</v>
      </c>
      <c r="AH62">
        <f>'Space Types'!BN65</f>
        <v>0</v>
      </c>
      <c r="AI62">
        <f>'Space Types'!BO65</f>
        <v>0</v>
      </c>
      <c r="AJ62">
        <f>'Space Types'!BP65</f>
        <v>0</v>
      </c>
      <c r="AK62" t="str">
        <f>'Space Types'!BT65</f>
        <v/>
      </c>
      <c r="AL62" t="str">
        <f>'Space Types'!BU65</f>
        <v/>
      </c>
      <c r="AM62">
        <f>'Space Types'!BX65</f>
        <v>0</v>
      </c>
      <c r="AN62" t="str">
        <f>'Space Types'!CC65</f>
        <v>NCC S34C2(6)0.7 ACH assumed as design infiltration for periods without mechanical outdoor air supply; NCC also specifies 0.35 ACH when mechanical OA is operating (to be applied via infiltration schedule once developed)Dining - family_WholeBuildingInfil</v>
      </c>
      <c r="AO62" t="str">
        <f>'Space Types'!CD65</f>
        <v>Always On</v>
      </c>
      <c r="AP62">
        <f>'Space Types'!CG65</f>
        <v>0</v>
      </c>
      <c r="AQ62">
        <f>'Space Types'!CH65</f>
        <v>1.44</v>
      </c>
      <c r="AR62">
        <f>'Space Types'!CI65</f>
        <v>0</v>
      </c>
      <c r="AS62" t="str">
        <f>'Space Types'!CJ65</f>
        <v>MediumRough</v>
      </c>
      <c r="AT62">
        <f>'Space Types'!CK65</f>
        <v>7.4000000000000003E-3</v>
      </c>
      <c r="AU62">
        <f>'Space Types'!CL65</f>
        <v>6.95</v>
      </c>
      <c r="AV62">
        <f>'Space Types'!CM65</f>
        <v>877</v>
      </c>
      <c r="AW62">
        <f>'Space Types'!CN65</f>
        <v>1320</v>
      </c>
      <c r="AX62">
        <f>'Space Types'!CO65</f>
        <v>0.9</v>
      </c>
      <c r="AY62">
        <f>'Space Types'!CP65</f>
        <v>0.7</v>
      </c>
      <c r="AZ62">
        <f>'Space Types'!CQ65</f>
        <v>0.65</v>
      </c>
      <c r="BA62" t="str">
        <f>'Space Types'!CR65</f>
        <v>Wood_Composite_Residential_7mm</v>
      </c>
      <c r="BB62" t="str">
        <f>'Space Types'!CW65</f>
        <v>CalculatedEstimateResidentialStyleDiningFurnitureWood_Composite_Residential_7mmInternalMassDef</v>
      </c>
    </row>
    <row r="63" spans="1:54" x14ac:dyDescent="0.35">
      <c r="A63" t="str">
        <f>'Space Types'!A66</f>
        <v xml:space="preserve">CS Dining Area - Bar Lounge/Leisure   </v>
      </c>
      <c r="B63" t="str">
        <f>'Space Types'!B66</f>
        <v>2025_AU_NCC</v>
      </c>
      <c r="C63" t="str">
        <f>'Space Types'!C66</f>
        <v>Bar/Lounge</v>
      </c>
      <c r="D63" t="str">
        <f>'Space Types'!D66</f>
        <v>Dining Area</v>
      </c>
      <c r="E63">
        <f>'Space Types'!I66</f>
        <v>31</v>
      </c>
      <c r="F63">
        <f>'Space Types'!J66</f>
        <v>169</v>
      </c>
      <c r="G63">
        <f>'Space Types'!K66</f>
        <v>34</v>
      </c>
      <c r="H63" t="str">
        <f>'Space Types'!L66</f>
        <v>CS Dining Area - Bar Lounge/Leisure   _2025AUNCC</v>
      </c>
      <c r="I63" t="str">
        <f>'Space Types'!M66</f>
        <v>CS Dining Area - Bar Lounge/Leisure   _2025AUNCCScheduleSet</v>
      </c>
      <c r="J63">
        <f>'Space Types'!P66</f>
        <v>1.0763915049999999</v>
      </c>
      <c r="K63">
        <f>'Space Types'!U66</f>
        <v>0</v>
      </c>
      <c r="L63">
        <f>'Space Types'!V66</f>
        <v>0</v>
      </c>
      <c r="M63">
        <f>'Space Types'!W66</f>
        <v>160</v>
      </c>
      <c r="N63">
        <f>'Space Types'!X66</f>
        <v>0.5</v>
      </c>
      <c r="O63" t="str">
        <f>'Space Types'!AC66</f>
        <v>NCC S35C2nDining room/restaurant/cafePeopleDef</v>
      </c>
      <c r="P63" t="str">
        <f>'Space Types'!AD66</f>
        <v>NECB-B-Occupancy</v>
      </c>
      <c r="Q63" t="str">
        <f>'Space Types'!AE66</f>
        <v>CS Dining Area - Bar Lounge/Leisure   Activity</v>
      </c>
      <c r="R63">
        <f>'Space Types'!AG66</f>
        <v>3.5394053798961773E-3</v>
      </c>
      <c r="S63">
        <f>'Space Types'!AI66</f>
        <v>9.144E-4</v>
      </c>
      <c r="T63" t="str">
        <f>'Space Types'!AL66</f>
        <v/>
      </c>
      <c r="U63" t="str">
        <f>'Space Types'!AQ66</f>
        <v>Washington State Mechanical Code TABLE 403.3.1.1Food and beverage service_Bars_cocktail loungesVent</v>
      </c>
      <c r="V63">
        <f>'Space Types'!AS66</f>
        <v>5</v>
      </c>
      <c r="W63">
        <f>'Space Types'!AT66</f>
        <v>0.25</v>
      </c>
      <c r="X63">
        <f>'Space Types'!AU66</f>
        <v>0.3</v>
      </c>
      <c r="Y63">
        <f>'Space Types'!AV66</f>
        <v>0</v>
      </c>
      <c r="Z63" t="str">
        <f>'Space Types'!AZ66</f>
        <v>NCC S35C2lClass 6 cafe/restaurant; radiant/latent/lost fraction split retained from original WA/COMNET-REV9 source (AIRAH Technical Handbook does not publish this split)CS Dining Area - Bar Lounge/Leisure   ElectricalEquipDef</v>
      </c>
      <c r="AA63" t="str">
        <f>'Space Types'!BA66</f>
        <v>NECB-B-Electric-Equipment</v>
      </c>
      <c r="AB63">
        <f>'Space Types'!BC66</f>
        <v>14</v>
      </c>
      <c r="AC63">
        <f>'Space Types'!BD66</f>
        <v>0.37</v>
      </c>
      <c r="AD63">
        <f>'Space Types'!BE66</f>
        <v>0.2</v>
      </c>
      <c r="AE63" t="str">
        <f>'Space Types'!BI66</f>
        <v>NCC J7D3aRestaurant, cafe, bar, hotel lounge...; radiant/visible fraction split retained from original WA/COMNET-REV9 source (AIRAH Technical Handbook does not publish this split)LightingDef</v>
      </c>
      <c r="AF63" t="str">
        <f>'Space Types'!BJ66</f>
        <v>NECB-B-Lighting</v>
      </c>
      <c r="AG63">
        <f>'Space Types'!BM66</f>
        <v>0</v>
      </c>
      <c r="AH63">
        <f>'Space Types'!BN66</f>
        <v>0</v>
      </c>
      <c r="AI63">
        <f>'Space Types'!BO66</f>
        <v>0</v>
      </c>
      <c r="AJ63">
        <f>'Space Types'!BP66</f>
        <v>0</v>
      </c>
      <c r="AK63" t="str">
        <f>'Space Types'!BT66</f>
        <v/>
      </c>
      <c r="AL63" t="str">
        <f>'Space Types'!BU66</f>
        <v/>
      </c>
      <c r="AM63">
        <f>'Space Types'!BX66</f>
        <v>0</v>
      </c>
      <c r="AN63" t="str">
        <f>'Space Types'!CC66</f>
        <v>NCC S34C2(6)0.7 ACH assumed as design infiltration for periods without mechanical outdoor air supply; NCC also specifies 0.35 ACH when mechanical OA is operating (to be applied via infiltration schedule once developed)Space Function_Dining - bar lounge/leisureInfil</v>
      </c>
      <c r="AO63" t="str">
        <f>'Space Types'!CD66</f>
        <v>Always On</v>
      </c>
      <c r="AP63">
        <f>'Space Types'!CG66</f>
        <v>0</v>
      </c>
      <c r="AQ63">
        <f>'Space Types'!CH66</f>
        <v>1.79</v>
      </c>
      <c r="AR63">
        <f>'Space Types'!CI66</f>
        <v>0</v>
      </c>
      <c r="AS63" t="str">
        <f>'Space Types'!CJ66</f>
        <v>MediumRough</v>
      </c>
      <c r="AT63">
        <f>'Space Types'!CK66</f>
        <v>2.8E-3</v>
      </c>
      <c r="AU63">
        <f>'Space Types'!CL66</f>
        <v>9.7200000000000006</v>
      </c>
      <c r="AV63">
        <f>'Space Types'!CM66</f>
        <v>2241</v>
      </c>
      <c r="AW63">
        <f>'Space Types'!CN66</f>
        <v>1189</v>
      </c>
      <c r="AX63">
        <f>'Space Types'!CO66</f>
        <v>0.9</v>
      </c>
      <c r="AY63">
        <f>'Space Types'!CP66</f>
        <v>0.7</v>
      </c>
      <c r="AZ63">
        <f>'Space Types'!CQ66</f>
        <v>0.65</v>
      </c>
      <c r="BA63" t="str">
        <f>'Space Types'!CR66</f>
        <v>Mixed_Commercial_BarLounge_3mm</v>
      </c>
      <c r="BB63" t="str">
        <f>'Space Types'!CW66</f>
        <v>CalculatedEstimateBarCounterAndMixedSeatingMixed_Commercial_BarLounge_3mmInternalMassDef</v>
      </c>
    </row>
    <row r="64" spans="1:54" x14ac:dyDescent="0.35">
      <c r="A64" t="str">
        <f>'Space Types'!A67</f>
        <v xml:space="preserve">CS Dining Area - Cafeteria or Fast Food </v>
      </c>
      <c r="B64" t="str">
        <f>'Space Types'!B67</f>
        <v>2025_AU_NCC</v>
      </c>
      <c r="C64" t="str">
        <f>'Space Types'!C67</f>
        <v>Quick Service Restaurant</v>
      </c>
      <c r="D64" t="str">
        <f>'Space Types'!D67</f>
        <v>Dining Area</v>
      </c>
      <c r="E64">
        <f>'Space Types'!I67</f>
        <v>31</v>
      </c>
      <c r="F64">
        <f>'Space Types'!J67</f>
        <v>169</v>
      </c>
      <c r="G64">
        <f>'Space Types'!K67</f>
        <v>34</v>
      </c>
      <c r="H64" t="str">
        <f>'Space Types'!L67</f>
        <v>CS Dining Area - Cafeteria or Fast Food _2025AUNCC</v>
      </c>
      <c r="I64" t="str">
        <f>'Space Types'!M67</f>
        <v>CS Dining Area - Cafeteria or Fast Food _2025AUNCCScheduleSet</v>
      </c>
      <c r="J64">
        <f>'Space Types'!P67</f>
        <v>1.0763915049999999</v>
      </c>
      <c r="K64">
        <f>'Space Types'!U67</f>
        <v>0</v>
      </c>
      <c r="L64">
        <f>'Space Types'!V67</f>
        <v>0</v>
      </c>
      <c r="M64">
        <f>'Space Types'!W67</f>
        <v>160</v>
      </c>
      <c r="N64">
        <f>'Space Types'!X67</f>
        <v>0.5</v>
      </c>
      <c r="O64" t="str">
        <f>'Space Types'!AC67</f>
        <v>NCC S35C2nDining room/restaurant/cafePeopleDef</v>
      </c>
      <c r="P64" t="str">
        <f>'Space Types'!AD67</f>
        <v>RestaurantFastFood BLDG_OCC_SCH</v>
      </c>
      <c r="Q64" t="str">
        <f>'Space Types'!AE67</f>
        <v>CS Dining Area - Cafeteria or Fast Food Activity</v>
      </c>
      <c r="R64">
        <f>'Space Types'!AG67</f>
        <v>3.5394053798961773E-3</v>
      </c>
      <c r="S64">
        <f>'Space Types'!AI67</f>
        <v>9.144E-4</v>
      </c>
      <c r="T64" t="str">
        <f>'Space Types'!AL67</f>
        <v/>
      </c>
      <c r="U64" t="str">
        <f>'Space Types'!AQ67</f>
        <v>Washington State Mechanical Code TABLE 403.3.1.1Food and beverage service_Cafeteria_fast food Vent</v>
      </c>
      <c r="V64">
        <f>'Space Types'!AS67</f>
        <v>5</v>
      </c>
      <c r="W64">
        <f>'Space Types'!AT67</f>
        <v>0.25</v>
      </c>
      <c r="X64">
        <f>'Space Types'!AU67</f>
        <v>0.3</v>
      </c>
      <c r="Y64">
        <f>'Space Types'!AV67</f>
        <v>0</v>
      </c>
      <c r="Z64" t="str">
        <f>'Space Types'!AZ67</f>
        <v>NCC S35C2lClass 6 cafe/restaurant; radiant/latent/lost fraction split retained from original WA/COMNET-REV9 source (AIRAH Technical Handbook does not publish this split)CS Dining Area - Cafeteria or Fast Food ElectricalEquipDef</v>
      </c>
      <c r="AA64" t="str">
        <f>'Space Types'!BA67</f>
        <v>RestaurantFastFood BLDG_EQUIP_SCH</v>
      </c>
      <c r="AB64">
        <f>'Space Types'!BC67</f>
        <v>14</v>
      </c>
      <c r="AC64">
        <f>'Space Types'!BD67</f>
        <v>0.37</v>
      </c>
      <c r="AD64">
        <f>'Space Types'!BE67</f>
        <v>0.2</v>
      </c>
      <c r="AE64" t="str">
        <f>'Space Types'!BI67</f>
        <v>NCC J7D3aRestaurant, cafe, bar, hotel lounge...; radiant/visible fraction split retained from original WA/COMNET-REV9 source (AIRAH Technical Handbook does not publish this split)LightingDef</v>
      </c>
      <c r="AF64" t="str">
        <f>'Space Types'!BJ67</f>
        <v>RestaurantFastFood BLDG_LIGHT_DINING_SCH_2013</v>
      </c>
      <c r="AG64">
        <f>'Space Types'!BM67</f>
        <v>0</v>
      </c>
      <c r="AH64">
        <f>'Space Types'!BN67</f>
        <v>0</v>
      </c>
      <c r="AI64">
        <f>'Space Types'!BO67</f>
        <v>0</v>
      </c>
      <c r="AJ64">
        <f>'Space Types'!BP67</f>
        <v>0</v>
      </c>
      <c r="AK64" t="str">
        <f>'Space Types'!BT67</f>
        <v/>
      </c>
      <c r="AL64" t="str">
        <f>'Space Types'!BU67</f>
        <v/>
      </c>
      <c r="AM64">
        <f>'Space Types'!BX67</f>
        <v>0</v>
      </c>
      <c r="AN64" t="str">
        <f>'Space Types'!CC67</f>
        <v>NCC S34C2(6)0.7 ACH assumed as design infiltration for periods without mechanical outdoor air supply; NCC also specifies 0.35 ACH when mechanical OA is operating (to be applied via infiltration schedule once developed)Dining - cafeteria_WholeBuildingInfil</v>
      </c>
      <c r="AO64" t="str">
        <f>'Space Types'!CD67</f>
        <v>Always On</v>
      </c>
      <c r="AP64">
        <f>'Space Types'!CG67</f>
        <v>0</v>
      </c>
      <c r="AQ64">
        <f>'Space Types'!CH67</f>
        <v>1.68</v>
      </c>
      <c r="AR64">
        <f>'Space Types'!CI67</f>
        <v>0</v>
      </c>
      <c r="AS64" t="str">
        <f>'Space Types'!CJ67</f>
        <v>Smooth</v>
      </c>
      <c r="AT64">
        <f>'Space Types'!CK67</f>
        <v>2.7000000000000001E-3</v>
      </c>
      <c r="AU64">
        <f>'Space Types'!CL67</f>
        <v>19.2</v>
      </c>
      <c r="AV64">
        <f>'Space Types'!CM67</f>
        <v>2705</v>
      </c>
      <c r="AW64">
        <f>'Space Types'!CN67</f>
        <v>1099</v>
      </c>
      <c r="AX64">
        <f>'Space Types'!CO67</f>
        <v>0.9</v>
      </c>
      <c r="AY64">
        <f>'Space Types'!CP67</f>
        <v>0.7</v>
      </c>
      <c r="AZ64">
        <f>'Space Types'!CQ67</f>
        <v>0.65</v>
      </c>
      <c r="BA64" t="str">
        <f>'Space Types'!CR67</f>
        <v>Laminate_Commercial_FastFood_3mm</v>
      </c>
      <c r="BB64" t="str">
        <f>'Space Types'!CW67</f>
        <v>CalculatedEstimateFixedBoothAndMoldedChairsLaminate_Commercial_FastFood_3mmInternalMassDef</v>
      </c>
    </row>
    <row r="65" spans="1:54" x14ac:dyDescent="0.35">
      <c r="A65" t="str">
        <f>'Space Types'!A68</f>
        <v xml:space="preserve">CS Dining Area - Family Dining  </v>
      </c>
      <c r="B65" t="str">
        <f>'Space Types'!B68</f>
        <v>2025_AU_NCC</v>
      </c>
      <c r="C65" t="str">
        <f>'Space Types'!C68</f>
        <v>Restaurant</v>
      </c>
      <c r="D65" t="str">
        <f>'Space Types'!D68</f>
        <v>Dining Area</v>
      </c>
      <c r="E65">
        <f>'Space Types'!I68</f>
        <v>31</v>
      </c>
      <c r="F65">
        <f>'Space Types'!J68</f>
        <v>169</v>
      </c>
      <c r="G65">
        <f>'Space Types'!K68</f>
        <v>34</v>
      </c>
      <c r="H65" t="str">
        <f>'Space Types'!L68</f>
        <v>CS Dining Area - Family Dining  _2025AUNCC</v>
      </c>
      <c r="I65" t="str">
        <f>'Space Types'!M68</f>
        <v>CS Dining Area - Family Dining  _2025AUNCCScheduleSet</v>
      </c>
      <c r="J65">
        <f>'Space Types'!P68</f>
        <v>0.753474054</v>
      </c>
      <c r="K65">
        <f>'Space Types'!U68</f>
        <v>0</v>
      </c>
      <c r="L65">
        <f>'Space Types'!V68</f>
        <v>0</v>
      </c>
      <c r="M65">
        <f>'Space Types'!W68</f>
        <v>160</v>
      </c>
      <c r="N65">
        <f>'Space Types'!X68</f>
        <v>0.5</v>
      </c>
      <c r="O65" t="str">
        <f>'Space Types'!AC68</f>
        <v>NCC S35C2nDining room/restaurant/cafePeopleDef</v>
      </c>
      <c r="P65" t="str">
        <f>'Space Types'!AD68</f>
        <v>NECB-B-Occupancy</v>
      </c>
      <c r="Q65" t="str">
        <f>'Space Types'!AE68</f>
        <v>CS Dining Area - Family Dining  Activity</v>
      </c>
      <c r="R65">
        <f>'Space Types'!AG68</f>
        <v>3.5394053798961773E-3</v>
      </c>
      <c r="S65">
        <f>'Space Types'!AI68</f>
        <v>9.144E-4</v>
      </c>
      <c r="T65" t="str">
        <f>'Space Types'!AL68</f>
        <v/>
      </c>
      <c r="U65" t="str">
        <f>'Space Types'!AQ68</f>
        <v>Washington State Mechanical Code TABLE 403.3.1.1Food and beverage service_Dining roomsVent</v>
      </c>
      <c r="V65">
        <f>'Space Types'!AS68</f>
        <v>5</v>
      </c>
      <c r="W65">
        <f>'Space Types'!AT68</f>
        <v>0</v>
      </c>
      <c r="X65">
        <f>'Space Types'!AU68</f>
        <v>0.5</v>
      </c>
      <c r="Y65">
        <f>'Space Types'!AV68</f>
        <v>0</v>
      </c>
      <c r="Z65" t="str">
        <f>'Space Types'!AZ68</f>
        <v>NCC S35C2lClass 6 cafe/restaurant; radiant/latent/lost fraction split retained from original WA/COMNET-REV9 source (AIRAH Technical Handbook does not publish this split)CS Dining Area - Family Dining  ElectricalEquipDef</v>
      </c>
      <c r="AA65" t="str">
        <f>'Space Types'!BA68</f>
        <v>NECB-B-Electric-Equipment</v>
      </c>
      <c r="AB65">
        <f>'Space Types'!BC68</f>
        <v>14</v>
      </c>
      <c r="AC65">
        <f>'Space Types'!BD68</f>
        <v>0.37</v>
      </c>
      <c r="AD65">
        <f>'Space Types'!BE68</f>
        <v>0.2</v>
      </c>
      <c r="AE65" t="str">
        <f>'Space Types'!BI68</f>
        <v>NCC J7D3aRestaurant, cafe, bar, hotel lounge...; radiant/visible fraction split retained from original WA/COMNET-REV9 source (AIRAH Technical Handbook does not publish this split)LightingDef</v>
      </c>
      <c r="AF65" t="str">
        <f>'Space Types'!BJ68</f>
        <v>NECB-B-Lighting</v>
      </c>
      <c r="AG65">
        <f>'Space Types'!BM68</f>
        <v>0</v>
      </c>
      <c r="AH65">
        <f>'Space Types'!BN68</f>
        <v>0</v>
      </c>
      <c r="AI65">
        <f>'Space Types'!BO68</f>
        <v>0</v>
      </c>
      <c r="AJ65">
        <f>'Space Types'!BP68</f>
        <v>0</v>
      </c>
      <c r="AK65" t="str">
        <f>'Space Types'!BT68</f>
        <v/>
      </c>
      <c r="AL65" t="str">
        <f>'Space Types'!BU68</f>
        <v/>
      </c>
      <c r="AM65">
        <f>'Space Types'!BX68</f>
        <v>0</v>
      </c>
      <c r="AN65" t="str">
        <f>'Space Types'!CC68</f>
        <v>NCC S34C2(6)0.7 ACH assumed as design infiltration for periods without mechanical outdoor air supply; NCC also specifies 0.35 ACH when mechanical OA is operating (to be applied via infiltration schedule once developed)Dining - family_WholeBuildingInfil</v>
      </c>
      <c r="AO65" t="str">
        <f>'Space Types'!CD68</f>
        <v>Always On</v>
      </c>
      <c r="AP65">
        <f>'Space Types'!CG68</f>
        <v>0</v>
      </c>
      <c r="AQ65">
        <f>'Space Types'!CH68</f>
        <v>2.9</v>
      </c>
      <c r="AR65">
        <f>'Space Types'!CI68</f>
        <v>0</v>
      </c>
      <c r="AS65" t="str">
        <f>'Space Types'!CJ68</f>
        <v>MediumRough</v>
      </c>
      <c r="AT65">
        <f>'Space Types'!CK68</f>
        <v>5.4999999999999997E-3</v>
      </c>
      <c r="AU65">
        <f>'Space Types'!CL68</f>
        <v>4.74</v>
      </c>
      <c r="AV65">
        <f>'Space Types'!CM68</f>
        <v>802</v>
      </c>
      <c r="AW65">
        <f>'Space Types'!CN68</f>
        <v>1360</v>
      </c>
      <c r="AX65">
        <f>'Space Types'!CO68</f>
        <v>0.9</v>
      </c>
      <c r="AY65">
        <f>'Space Types'!CP68</f>
        <v>0.7</v>
      </c>
      <c r="AZ65">
        <f>'Space Types'!CQ68</f>
        <v>0.65</v>
      </c>
      <c r="BA65" t="str">
        <f>'Space Types'!CR68</f>
        <v>Wood_Composite_Family_Dining_6mm</v>
      </c>
      <c r="BB65" t="str">
        <f>'Space Types'!CW68</f>
        <v>CalculatedEstimateBoothSeatingAndUpholsteredChairsWood_Composite_Family_Dining_6mmInternalMassDef</v>
      </c>
    </row>
    <row r="66" spans="1:54" x14ac:dyDescent="0.35">
      <c r="A66" t="str">
        <f>'Space Types'!A69</f>
        <v>CS Dining Area - Other</v>
      </c>
      <c r="B66" t="str">
        <f>'Space Types'!B69</f>
        <v>2025_AU_NCC</v>
      </c>
      <c r="C66" t="str">
        <f>'Space Types'!C69</f>
        <v>Dining - other</v>
      </c>
      <c r="D66" t="str">
        <f>'Space Types'!D69</f>
        <v>Dining Area</v>
      </c>
      <c r="E66">
        <f>'Space Types'!I69</f>
        <v>31</v>
      </c>
      <c r="F66">
        <f>'Space Types'!J69</f>
        <v>169</v>
      </c>
      <c r="G66">
        <f>'Space Types'!K69</f>
        <v>34</v>
      </c>
      <c r="H66" t="str">
        <f>'Space Types'!L69</f>
        <v>CS Dining Area - Other_2025AUNCC</v>
      </c>
      <c r="I66" t="str">
        <f>'Space Types'!M69</f>
        <v>CS Dining Area - Other_2025AUNCCScheduleSet</v>
      </c>
      <c r="J66">
        <f>'Space Types'!P69</f>
        <v>0.753474054</v>
      </c>
      <c r="K66">
        <f>'Space Types'!U69</f>
        <v>0</v>
      </c>
      <c r="L66">
        <f>'Space Types'!V69</f>
        <v>0</v>
      </c>
      <c r="M66">
        <f>'Space Types'!W69</f>
        <v>160</v>
      </c>
      <c r="N66">
        <f>'Space Types'!X69</f>
        <v>0.5</v>
      </c>
      <c r="O66" t="str">
        <f>'Space Types'!AC69</f>
        <v>NCC S35C2nDining room/restaurant/cafePeopleDef</v>
      </c>
      <c r="P66" t="str">
        <f>'Space Types'!AD69</f>
        <v>NECB-B-Occupancy</v>
      </c>
      <c r="Q66" t="str">
        <f>'Space Types'!AE69</f>
        <v>CS Dining Area - OtherActivity</v>
      </c>
      <c r="R66">
        <f>'Space Types'!AG69</f>
        <v>3.5394053798961773E-3</v>
      </c>
      <c r="S66">
        <f>'Space Types'!AI69</f>
        <v>9.144E-4</v>
      </c>
      <c r="T66" t="str">
        <f>'Space Types'!AL69</f>
        <v/>
      </c>
      <c r="U66" t="str">
        <f>'Space Types'!AQ69</f>
        <v>Washington State Mechanical Code TABLE 403.3.1.1Food and beverage service_Dining roomsVent</v>
      </c>
      <c r="V66">
        <f>'Space Types'!AS69</f>
        <v>5</v>
      </c>
      <c r="W66">
        <f>'Space Types'!AT69</f>
        <v>0</v>
      </c>
      <c r="X66">
        <f>'Space Types'!AU69</f>
        <v>0.5</v>
      </c>
      <c r="Y66">
        <f>'Space Types'!AV69</f>
        <v>0</v>
      </c>
      <c r="Z66" t="str">
        <f>'Space Types'!AZ69</f>
        <v>NCC S35C2lClass 6 cafe/restaurant; radiant/latent/lost fraction split retained from original WA/COMNET-REV9 source (AIRAH Technical Handbook does not publish this split)CS Dining Area - OtherElectricalEquipDef</v>
      </c>
      <c r="AA66" t="str">
        <f>'Space Types'!BA69</f>
        <v>NECB-B-Electric-Equipment</v>
      </c>
      <c r="AB66">
        <f>'Space Types'!BC69</f>
        <v>14</v>
      </c>
      <c r="AC66">
        <f>'Space Types'!BD69</f>
        <v>0.37</v>
      </c>
      <c r="AD66">
        <f>'Space Types'!BE69</f>
        <v>0.2</v>
      </c>
      <c r="AE66" t="str">
        <f>'Space Types'!BI69</f>
        <v>NCC J7D3aRestaurant, cafe, bar, hotel lounge...; radiant/visible fraction split retained from original WA/COMNET-REV9 source (AIRAH Technical Handbook does not publish this split)LightingDef</v>
      </c>
      <c r="AF66" t="str">
        <f>'Space Types'!BJ69</f>
        <v>NECB-B-Lighting</v>
      </c>
      <c r="AG66">
        <f>'Space Types'!BM69</f>
        <v>0</v>
      </c>
      <c r="AH66">
        <f>'Space Types'!BN69</f>
        <v>0</v>
      </c>
      <c r="AI66">
        <f>'Space Types'!BO69</f>
        <v>0</v>
      </c>
      <c r="AJ66">
        <f>'Space Types'!BP69</f>
        <v>0</v>
      </c>
      <c r="AK66" t="str">
        <f>'Space Types'!BT69</f>
        <v/>
      </c>
      <c r="AL66" t="str">
        <f>'Space Types'!BU69</f>
        <v/>
      </c>
      <c r="AM66">
        <f>'Space Types'!BX69</f>
        <v>0</v>
      </c>
      <c r="AN66" t="str">
        <f>'Space Types'!CC69</f>
        <v>NCC S34C2(6)0.7 ACH assumed as design infiltration for periods without mechanical outdoor air supply; NCC also specifies 0.35 ACH when mechanical OA is operating (to be applied via infiltration schedule once developed)Space Function_Dining - otherInfil</v>
      </c>
      <c r="AO66" t="str">
        <f>'Space Types'!CD69</f>
        <v>Always On</v>
      </c>
      <c r="AP66">
        <f>'Space Types'!CG69</f>
        <v>0</v>
      </c>
      <c r="AQ66">
        <f>'Space Types'!CH69</f>
        <v>2.4300000000000002</v>
      </c>
      <c r="AR66">
        <f>'Space Types'!CI69</f>
        <v>0</v>
      </c>
      <c r="AS66" t="str">
        <f>'Space Types'!CJ69</f>
        <v>MediumRough</v>
      </c>
      <c r="AT66">
        <f>'Space Types'!CK69</f>
        <v>2.8E-3</v>
      </c>
      <c r="AU66">
        <f>'Space Types'!CL69</f>
        <v>5.29</v>
      </c>
      <c r="AV66">
        <f>'Space Types'!CM69</f>
        <v>1440</v>
      </c>
      <c r="AW66">
        <f>'Space Types'!CN69</f>
        <v>1288</v>
      </c>
      <c r="AX66">
        <f>'Space Types'!CO69</f>
        <v>0.9</v>
      </c>
      <c r="AY66">
        <f>'Space Types'!CP69</f>
        <v>0.7</v>
      </c>
      <c r="AZ66">
        <f>'Space Types'!CQ69</f>
        <v>0.65</v>
      </c>
      <c r="BA66" t="str">
        <f>'Space Types'!CR69</f>
        <v>Mixed_Commercial_Dining_3mm</v>
      </c>
      <c r="BB66" t="str">
        <f>'Space Types'!CW69</f>
        <v>CalculatedEstimateGenericBoothAndTableSeatingMixed_Commercial_Dining_3mmInternalMassDef</v>
      </c>
    </row>
    <row r="67" spans="1:54" x14ac:dyDescent="0.35">
      <c r="A67" t="str">
        <f>'Space Types'!A70</f>
        <v>CS Electrical/Mechanical</v>
      </c>
      <c r="B67" t="str">
        <f>'Space Types'!B70</f>
        <v>2025_AU_NCC</v>
      </c>
      <c r="C67" t="str">
        <f>'Space Types'!C70</f>
        <v>Elec/Mech Room</v>
      </c>
      <c r="D67" t="str">
        <f>'Space Types'!D70</f>
        <v>Electrical/Mechanical</v>
      </c>
      <c r="E67">
        <f>'Space Types'!I70</f>
        <v>41</v>
      </c>
      <c r="F67">
        <f>'Space Types'!J70</f>
        <v>31</v>
      </c>
      <c r="G67">
        <f>'Space Types'!K70</f>
        <v>175</v>
      </c>
      <c r="H67" t="str">
        <f>'Space Types'!L70</f>
        <v>CS Electrical/Mechanical_2025AUNCC</v>
      </c>
      <c r="I67" t="str">
        <f>'Space Types'!M70</f>
        <v>CS Electrical/Mechanical_2025AUNCCScheduleSet</v>
      </c>
      <c r="J67">
        <f>'Space Types'!P70</f>
        <v>0</v>
      </c>
      <c r="K67">
        <f>'Space Types'!U70</f>
        <v>0</v>
      </c>
      <c r="L67">
        <f>'Space Types'!V70</f>
        <v>0</v>
      </c>
      <c r="M67">
        <f>'Space Types'!W70</f>
        <v>130</v>
      </c>
      <c r="N67">
        <f>'Space Types'!X70</f>
        <v>0.57692307700000001</v>
      </c>
      <c r="O67" t="str">
        <f>'Space Types'!AC70</f>
        <v/>
      </c>
      <c r="P67" t="str">
        <f>'Space Types'!AD70</f>
        <v/>
      </c>
      <c r="Q67" t="str">
        <f>'Space Types'!AE70</f>
        <v/>
      </c>
      <c r="R67" t="str">
        <f>'Space Types'!AG70</f>
        <v/>
      </c>
      <c r="S67">
        <f>'Space Types'!AI70</f>
        <v>6.0959999999999996E-4</v>
      </c>
      <c r="T67" t="str">
        <f>'Space Types'!AL70</f>
        <v/>
      </c>
      <c r="U67" t="str">
        <f>'Space Types'!AQ70</f>
        <v>Washington State Mechanical Code TABLE 403.3.1.1Retail stores, sales floors, and showroom floors - Storage roomsVent</v>
      </c>
      <c r="V67">
        <f>'Space Types'!AS70</f>
        <v>0</v>
      </c>
      <c r="W67">
        <f>'Space Types'!AT70</f>
        <v>0</v>
      </c>
      <c r="X67">
        <f>'Space Types'!AU70</f>
        <v>0.5</v>
      </c>
      <c r="Y67">
        <f>'Space Types'!AV70</f>
        <v>0</v>
      </c>
      <c r="Z67" t="str">
        <f>'Space Types'!AZ70</f>
        <v>NCC S35C2lBA OfficePlant/equipment room (Other applications) - no equipment load per S35C2l; radiant/latent/lost fraction split retained from original WA/COMNET-REV9 source (AIRAH Technical Handbook does not publish this split)CS Electrical/MechanicalElectricalEquipDef</v>
      </c>
      <c r="AA67" t="str">
        <f>'Space Types'!BA70</f>
        <v>OfficeMedium BLDG_EQUIP_SCH</v>
      </c>
      <c r="AB67">
        <f>'Space Types'!BC70</f>
        <v>2</v>
      </c>
      <c r="AC67">
        <f>'Space Types'!BD70</f>
        <v>0.37</v>
      </c>
      <c r="AD67">
        <f>'Space Types'!BE70</f>
        <v>0.2</v>
      </c>
      <c r="AE67" t="str">
        <f>'Space Types'!BI70</f>
        <v>NCC J7D3aPlant rooms with a horizontal illuminance target of 80 lx; radiant/visible fraction split retained from original WA/COMNET-REV9 source (AIRAH Technical Handbook does not publish this split)LightingDef</v>
      </c>
      <c r="AF67" t="str">
        <f>'Space Types'!BJ70</f>
        <v>OfficeMedium BLDG_LIGHT_SCH_2013</v>
      </c>
      <c r="AG67">
        <f>'Space Types'!BM70</f>
        <v>0</v>
      </c>
      <c r="AH67">
        <f>'Space Types'!BN70</f>
        <v>0</v>
      </c>
      <c r="AI67">
        <f>'Space Types'!BO70</f>
        <v>0</v>
      </c>
      <c r="AJ67">
        <f>'Space Types'!BP70</f>
        <v>0</v>
      </c>
      <c r="AK67" t="str">
        <f>'Space Types'!BT70</f>
        <v/>
      </c>
      <c r="AL67" t="str">
        <f>'Space Types'!BU70</f>
        <v/>
      </c>
      <c r="AM67">
        <f>'Space Types'!BX70</f>
        <v>0</v>
      </c>
      <c r="AN67" t="str">
        <f>'Space Types'!CC70</f>
        <v>NCC S34C2(6)0.7 ACH assumed as design infiltration for periods without mechanical outdoor air supply; NCC also specifies 0.35 ACH when mechanical OA is operating (to be applied via infiltration schedule once developed)Space Function_Electrical/MechanicalInfil</v>
      </c>
      <c r="AO67" t="str">
        <f>'Space Types'!CD70</f>
        <v>Always On</v>
      </c>
      <c r="AP67">
        <f>'Space Types'!CG70</f>
        <v>0</v>
      </c>
      <c r="AQ67">
        <f>'Space Types'!CH70</f>
        <v>3.48</v>
      </c>
      <c r="AR67">
        <f>'Space Types'!CI70</f>
        <v>0</v>
      </c>
      <c r="AS67" t="str">
        <f>'Space Types'!CJ70</f>
        <v>Smooth</v>
      </c>
      <c r="AT67">
        <f>'Space Types'!CK70</f>
        <v>2.8E-3</v>
      </c>
      <c r="AU67">
        <f>'Space Types'!CL70</f>
        <v>56.7</v>
      </c>
      <c r="AV67">
        <f>'Space Types'!CM70</f>
        <v>7047</v>
      </c>
      <c r="AW67">
        <f>'Space Types'!CN70</f>
        <v>511</v>
      </c>
      <c r="AX67">
        <f>'Space Types'!CO70</f>
        <v>0.9</v>
      </c>
      <c r="AY67">
        <f>'Space Types'!CP70</f>
        <v>0.7</v>
      </c>
      <c r="AZ67">
        <f>'Space Types'!CQ70</f>
        <v>0.7</v>
      </c>
      <c r="BA67" t="str">
        <f>'Space Types'!CR70</f>
        <v>Steel_Mechanical_Equipment_3mm</v>
      </c>
      <c r="BB67" t="str">
        <f>'Space Types'!CW70</f>
        <v>CalculatedEstimateHVACAndElectricalEquipmentSteel_Mechanical_Equipment_3mmInternalMassDef</v>
      </c>
    </row>
    <row r="68" spans="1:54" x14ac:dyDescent="0.35">
      <c r="A68" t="str">
        <f>'Space Types'!A71</f>
        <v>CS Emergency Vehicle Garage</v>
      </c>
      <c r="B68" t="str">
        <f>'Space Types'!B71</f>
        <v>2025_AU_NCC</v>
      </c>
      <c r="C68" t="str">
        <f>'Space Types'!C71</f>
        <v>Parking Garage</v>
      </c>
      <c r="D68" t="str">
        <f>'Space Types'!D71</f>
        <v>Emergency Vehicle Garage</v>
      </c>
      <c r="E68">
        <f>'Space Types'!I71</f>
        <v>153</v>
      </c>
      <c r="F68">
        <f>'Space Types'!J71</f>
        <v>0</v>
      </c>
      <c r="G68">
        <f>'Space Types'!K71</f>
        <v>76</v>
      </c>
      <c r="H68" t="str">
        <f>'Space Types'!L71</f>
        <v>CS Emergency Vehicle Garage_2025AUNCC</v>
      </c>
      <c r="I68" t="str">
        <f>'Space Types'!M71</f>
        <v>CS Emergency Vehicle Garage_2025AUNCCScheduleSet</v>
      </c>
      <c r="J68">
        <f>'Space Types'!P71</f>
        <v>0</v>
      </c>
      <c r="K68">
        <f>'Space Types'!U71</f>
        <v>0</v>
      </c>
      <c r="L68">
        <f>'Space Types'!V71</f>
        <v>0</v>
      </c>
      <c r="M68">
        <f>'Space Types'!W71</f>
        <v>130</v>
      </c>
      <c r="N68">
        <f>'Space Types'!X71</f>
        <v>0.57692307700000001</v>
      </c>
      <c r="O68" t="str">
        <f>'Space Types'!AC71</f>
        <v/>
      </c>
      <c r="P68" t="str">
        <f>'Space Types'!AD71</f>
        <v/>
      </c>
      <c r="Q68" t="str">
        <f>'Space Types'!AE71</f>
        <v/>
      </c>
      <c r="R68" t="str">
        <f>'Space Types'!AG71</f>
        <v/>
      </c>
      <c r="S68" t="str">
        <f>'Space Types'!AI71</f>
        <v/>
      </c>
      <c r="T68" t="str">
        <f>'Space Types'!AL71</f>
        <v/>
      </c>
      <c r="U68" t="str">
        <f>'Space Types'!AQ71</f>
        <v>Washington State Mechanical Code TABLE 403.3.1.1Storage_Repair garages_enclosed parking garageVent</v>
      </c>
      <c r="V68">
        <f>'Space Types'!AS71</f>
        <v>0</v>
      </c>
      <c r="W68">
        <f>'Space Types'!AT71</f>
        <v>0</v>
      </c>
      <c r="X68">
        <f>'Space Types'!AU71</f>
        <v>0.5</v>
      </c>
      <c r="Y68">
        <f>'Space Types'!AV71</f>
        <v>0</v>
      </c>
      <c r="Z68" t="str">
        <f>'Space Types'!AZ71</f>
        <v>NCC S35C2lClass 7a/8 (Other applications) - no equipment load per S35C2l; radiant/latent/lost fraction split retained from original WA/COMNET-REV9 source (AIRAH Technical Handbook does not publish this split)CS Emergency Vehicle GarageElectricalEquipDef</v>
      </c>
      <c r="AA68" t="str">
        <f>'Space Types'!BA71</f>
        <v>NECB-H-Electric-Equipment</v>
      </c>
      <c r="AB68">
        <f>'Space Types'!BC71</f>
        <v>2</v>
      </c>
      <c r="AC68">
        <f>'Space Types'!BD71</f>
        <v>0.37</v>
      </c>
      <c r="AD68">
        <f>'Space Types'!BE71</f>
        <v>0.2</v>
      </c>
      <c r="AE68" t="str">
        <f>'Space Types'!BI71</f>
        <v>NCC J7D3aCarpark - general; radiant/visible fraction split retained from original WA/COMNET-REV9 source (AIRAH Technical Handbook does not publish this split)LightingDef</v>
      </c>
      <c r="AF68" t="str">
        <f>'Space Types'!BJ71</f>
        <v>NECB-H-Lighting</v>
      </c>
      <c r="AG68">
        <f>'Space Types'!BM71</f>
        <v>0</v>
      </c>
      <c r="AH68">
        <f>'Space Types'!BN71</f>
        <v>0</v>
      </c>
      <c r="AI68">
        <f>'Space Types'!BO71</f>
        <v>0</v>
      </c>
      <c r="AJ68">
        <f>'Space Types'!BP71</f>
        <v>0</v>
      </c>
      <c r="AK68" t="str">
        <f>'Space Types'!BT71</f>
        <v/>
      </c>
      <c r="AL68" t="str">
        <f>'Space Types'!BU71</f>
        <v/>
      </c>
      <c r="AM68">
        <f>'Space Types'!BX71</f>
        <v>0</v>
      </c>
      <c r="AN68" t="str">
        <f>'Space Types'!CC71</f>
        <v>NCC S34C2(6)0.7 ACH assumed as design infiltration for periods without mechanical outdoor air supply; NCC also specifies 0.35 ACH when mechanical OA is operating (to be applied via infiltration schedule once developed)Space Function_Parking garage spaceInfil</v>
      </c>
      <c r="AO68" t="str">
        <f>'Space Types'!CD71</f>
        <v>Always On</v>
      </c>
      <c r="AP68">
        <f>'Space Types'!CG71</f>
        <v>0</v>
      </c>
      <c r="AQ68">
        <f>'Space Types'!CH71</f>
        <v>1.1000000000000001</v>
      </c>
      <c r="AR68">
        <f>'Space Types'!CI71</f>
        <v>0</v>
      </c>
      <c r="AS68" t="str">
        <f>'Space Types'!CJ71</f>
        <v>MediumRough</v>
      </c>
      <c r="AT68">
        <f>'Space Types'!CK71</f>
        <v>1.6999999999999999E-3</v>
      </c>
      <c r="AU68">
        <f>'Space Types'!CL71</f>
        <v>45.8</v>
      </c>
      <c r="AV68">
        <f>'Space Types'!CM71</f>
        <v>7368</v>
      </c>
      <c r="AW68">
        <f>'Space Types'!CN71</f>
        <v>517</v>
      </c>
      <c r="AX68">
        <f>'Space Types'!CO71</f>
        <v>0.9</v>
      </c>
      <c r="AY68">
        <f>'Space Types'!CP71</f>
        <v>0.7</v>
      </c>
      <c r="AZ68">
        <f>'Space Types'!CQ71</f>
        <v>0.7</v>
      </c>
      <c r="BA68" t="str">
        <f>'Space Types'!CR71</f>
        <v>Steel_Emergency_Garage_2mm</v>
      </c>
      <c r="BB68" t="str">
        <f>'Space Types'!CW71</f>
        <v>CalculatedEstimateApparatusBayStorageAndLockersSteel_Emergency_Garage_2mmInternalMassDef</v>
      </c>
    </row>
    <row r="69" spans="1:54" x14ac:dyDescent="0.35">
      <c r="A69" t="str">
        <f>'Space Types'!A72</f>
        <v>CS Food Preparation - Gas Cooking</v>
      </c>
      <c r="B69" t="str">
        <f>'Space Types'!B72</f>
        <v>2025_AU_NCC</v>
      </c>
      <c r="C69" t="str">
        <f>'Space Types'!C72</f>
        <v>Commercial Kitchen</v>
      </c>
      <c r="D69" t="str">
        <f>'Space Types'!D72</f>
        <v>Food Preparation - Gas Cooking</v>
      </c>
      <c r="E69">
        <f>'Space Types'!I72</f>
        <v>255</v>
      </c>
      <c r="F69">
        <f>'Space Types'!J72</f>
        <v>178</v>
      </c>
      <c r="G69">
        <f>'Space Types'!K72</f>
        <v>102</v>
      </c>
      <c r="H69" t="str">
        <f>'Space Types'!L72</f>
        <v>CS Food Preparation - Gas Cooking_2025AUNCC</v>
      </c>
      <c r="I69" t="str">
        <f>'Space Types'!M72</f>
        <v>CS Food Preparation - Gas Cooking_2025AUNCCScheduleSet</v>
      </c>
      <c r="J69">
        <f>'Space Types'!P72</f>
        <v>0.21527830100000001</v>
      </c>
      <c r="K69">
        <f>'Space Types'!U72</f>
        <v>0</v>
      </c>
      <c r="L69">
        <f>'Space Types'!V72</f>
        <v>0</v>
      </c>
      <c r="M69">
        <f>'Space Types'!W72</f>
        <v>130</v>
      </c>
      <c r="N69">
        <f>'Space Types'!X72</f>
        <v>0.57692307700000001</v>
      </c>
      <c r="O69" t="str">
        <f>'Space Types'!AC72</f>
        <v>NCC S35C2nOther applications (non-dining)PeopleDef</v>
      </c>
      <c r="P69" t="str">
        <f>'Space Types'!AD72</f>
        <v>NECB-B-Occupancy</v>
      </c>
      <c r="Q69" t="str">
        <f>'Space Types'!AE72</f>
        <v>CS Food Preparation - Gas CookingActivity</v>
      </c>
      <c r="R69">
        <f>'Space Types'!AG72</f>
        <v>3.5394053798961773E-3</v>
      </c>
      <c r="S69">
        <f>'Space Types'!AI72</f>
        <v>6.0959999999999996E-4</v>
      </c>
      <c r="T69" t="str">
        <f>'Space Types'!AL72</f>
        <v/>
      </c>
      <c r="U69" t="str">
        <f>'Space Types'!AQ72</f>
        <v>Washington State Mechanical Code TABLE 403.3.1.1Food and beverage service_Kitchens (cooking)Vent</v>
      </c>
      <c r="V69">
        <f>'Space Types'!AS72</f>
        <v>14.16604173</v>
      </c>
      <c r="W69">
        <f>'Space Types'!AT72</f>
        <v>0.25</v>
      </c>
      <c r="X69">
        <f>'Space Types'!AU72</f>
        <v>0.3</v>
      </c>
      <c r="Y69">
        <f>'Space Types'!AV72</f>
        <v>0.2</v>
      </c>
      <c r="Z69" t="str">
        <f>'Space Types'!AZ72</f>
        <v>COMNET-REV9DOEPrototypeCS Food Preparation - Gas CookingElectricalEquipDef</v>
      </c>
      <c r="AA69" t="str">
        <f>'Space Types'!BA72</f>
        <v>NECB-B-Electric-Equipment</v>
      </c>
      <c r="AB69">
        <f>'Space Types'!BC72</f>
        <v>4</v>
      </c>
      <c r="AC69">
        <f>'Space Types'!BD72</f>
        <v>0.37</v>
      </c>
      <c r="AD69">
        <f>'Space Types'!BE72</f>
        <v>0.2</v>
      </c>
      <c r="AE69" t="str">
        <f>'Space Types'!BI72</f>
        <v>NCC J7D3aKitchen and food preparation area; radiant/visible fraction split retained from original WA/COMNET-REV9 source (AIRAH Technical Handbook does not publish this split)LightingDef</v>
      </c>
      <c r="AF69" t="str">
        <f>'Space Types'!BJ72</f>
        <v>NECB-B-Lighting</v>
      </c>
      <c r="AG69">
        <f>'Space Types'!BM72</f>
        <v>377.49347999999998</v>
      </c>
      <c r="AH69">
        <f>'Space Types'!BN72</f>
        <v>0.1</v>
      </c>
      <c r="AI69">
        <f>'Space Types'!BO72</f>
        <v>0.2</v>
      </c>
      <c r="AJ69">
        <f>'Space Types'!BP72</f>
        <v>0.7</v>
      </c>
      <c r="AK69" t="str">
        <f>'Space Types'!BT72</f>
        <v>COMNET-REV9California Commercial End-Use Survey (CEUS)DOEPrototypeCS Food Preparation - Gas CookingGasEquipDef</v>
      </c>
      <c r="AL69" t="str">
        <f>'Space Types'!BU72</f>
        <v>RestaurantFastFood FF_GAS_EQUIP_SCH</v>
      </c>
      <c r="AM69">
        <f>'Space Types'!BX72</f>
        <v>0</v>
      </c>
      <c r="AN69" t="str">
        <f>'Space Types'!CC72</f>
        <v>NCC S34C2(6)0.7 ACH assumed as design infiltration for periods without mechanical outdoor air supply; NCC also specifies 0.35 ACH when mechanical OA is operating (to be applied via infiltration schedule once developed)Space Function_Food preparationInfil</v>
      </c>
      <c r="AO69" t="str">
        <f>'Space Types'!CD72</f>
        <v>Always On</v>
      </c>
      <c r="AP69">
        <f>'Space Types'!CG72</f>
        <v>0</v>
      </c>
      <c r="AQ69">
        <f>'Space Types'!CH72</f>
        <v>2.2000000000000002</v>
      </c>
      <c r="AR69">
        <f>'Space Types'!CI72</f>
        <v>0</v>
      </c>
      <c r="AS69" t="str">
        <f>'Space Types'!CJ72</f>
        <v>Smooth</v>
      </c>
      <c r="AT69">
        <f>'Space Types'!CK72</f>
        <v>2.3E-3</v>
      </c>
      <c r="AU69">
        <f>'Space Types'!CL72</f>
        <v>22.8</v>
      </c>
      <c r="AV69">
        <f>'Space Types'!CM72</f>
        <v>7656</v>
      </c>
      <c r="AW69">
        <f>'Space Types'!CN72</f>
        <v>515</v>
      </c>
      <c r="AX69">
        <f>'Space Types'!CO72</f>
        <v>0.9</v>
      </c>
      <c r="AY69">
        <f>'Space Types'!CP72</f>
        <v>0.7</v>
      </c>
      <c r="AZ69">
        <f>'Space Types'!CQ72</f>
        <v>0.7</v>
      </c>
      <c r="BA69" t="str">
        <f>'Space Types'!CR72</f>
        <v>Stainless_Commercial_Kitchen_2mm</v>
      </c>
      <c r="BB69" t="str">
        <f>'Space Types'!CW72</f>
        <v>CalculatedEstimateGasCookingEquipmentAndStainlessPrepStainless_Commercial_Kitchen_2mmInternalMassDef</v>
      </c>
    </row>
    <row r="70" spans="1:54" x14ac:dyDescent="0.35">
      <c r="A70" t="str">
        <f>'Space Types'!A73</f>
        <v>CS Guest Room</v>
      </c>
      <c r="B70" t="str">
        <f>'Space Types'!B73</f>
        <v>2025_AU_NCC</v>
      </c>
      <c r="C70" t="str">
        <f>'Space Types'!C73</f>
        <v>Hotel/Motel</v>
      </c>
      <c r="D70" t="str">
        <f>'Space Types'!D73</f>
        <v>Guest Room</v>
      </c>
      <c r="E70">
        <f>'Space Types'!I73</f>
        <v>78</v>
      </c>
      <c r="F70">
        <f>'Space Types'!J73</f>
        <v>167</v>
      </c>
      <c r="G70">
        <f>'Space Types'!K73</f>
        <v>222</v>
      </c>
      <c r="H70" t="str">
        <f>'Space Types'!L73</f>
        <v>CS Guest Room_2025AUNCC</v>
      </c>
      <c r="I70" t="str">
        <f>'Space Types'!M73</f>
        <v>CS Guest Room_2025AUNCCScheduleSet</v>
      </c>
      <c r="J70">
        <f>'Space Types'!P73</f>
        <v>0.107639151</v>
      </c>
      <c r="K70">
        <f>'Space Types'!U73</f>
        <v>0</v>
      </c>
      <c r="L70">
        <f>'Space Types'!V73</f>
        <v>0</v>
      </c>
      <c r="M70">
        <f>'Space Types'!W73</f>
        <v>130</v>
      </c>
      <c r="N70">
        <f>'Space Types'!X73</f>
        <v>0.57692307700000001</v>
      </c>
      <c r="O70" t="str">
        <f>'Space Types'!AC73</f>
        <v>NCC S35C2nOther applications (non-dining)PeopleDef</v>
      </c>
      <c r="P70" t="str">
        <f>'Space Types'!AD73</f>
        <v>HotelLarge GuestRoom_Occ_Sch</v>
      </c>
      <c r="Q70" t="str">
        <f>'Space Types'!AE73</f>
        <v>CS Guest RoomActivity</v>
      </c>
      <c r="R70">
        <f>'Space Types'!AG73</f>
        <v>2.3596035865974517E-3</v>
      </c>
      <c r="S70">
        <f>'Space Types'!AI73</f>
        <v>3.0479999999999998E-4</v>
      </c>
      <c r="T70" t="str">
        <f>'Space Types'!AL73</f>
        <v/>
      </c>
      <c r="U70" t="str">
        <f>'Space Types'!AQ73</f>
        <v>Washington State Mechanical Code TABLE 403.3.1.1Hotels,_motels_resorts_dormitories_Bedroom/living room Vent</v>
      </c>
      <c r="V70">
        <f>'Space Types'!AS73</f>
        <v>16.836282629999999</v>
      </c>
      <c r="W70">
        <f>'Space Types'!AT73</f>
        <v>0</v>
      </c>
      <c r="X70">
        <f>'Space Types'!AU73</f>
        <v>0.5</v>
      </c>
      <c r="Y70">
        <f>'Space Types'!AV73</f>
        <v>0</v>
      </c>
      <c r="Z70" t="str">
        <f>'Space Types'!AZ73</f>
        <v>COMNET-REV9DOEPrototypeCS Guest RoomElectricalEquipDef</v>
      </c>
      <c r="AA70" t="str">
        <f>'Space Types'!BA73</f>
        <v>HotelLarge GuestRoom_Eqp_Sch_Adva</v>
      </c>
      <c r="AB70">
        <f>'Space Types'!BC73</f>
        <v>5.1666800000000004</v>
      </c>
      <c r="AC70">
        <f>'Space Types'!BD73</f>
        <v>0.37</v>
      </c>
      <c r="AD70">
        <f>'Space Types'!BE73</f>
        <v>0.2</v>
      </c>
      <c r="AE70" t="str">
        <f>'Space Types'!BI73</f>
        <v>IECC Table C405.3.2(2)Dormitory - living quarters (nearest match for a private sleeping/holding room); radiant/visible fraction split retained from original WA/COMNET-REV9 sourceLightingDef</v>
      </c>
      <c r="AF70" t="str">
        <f>'Space Types'!BJ73</f>
        <v>HotelLarge BLDG_LIGHT_GUESTROOM_SCH_2010</v>
      </c>
      <c r="AG70">
        <f>'Space Types'!BM73</f>
        <v>0</v>
      </c>
      <c r="AH70">
        <f>'Space Types'!BN73</f>
        <v>0</v>
      </c>
      <c r="AI70">
        <f>'Space Types'!BO73</f>
        <v>0</v>
      </c>
      <c r="AJ70">
        <f>'Space Types'!BP73</f>
        <v>0</v>
      </c>
      <c r="AK70" t="str">
        <f>'Space Types'!BT73</f>
        <v/>
      </c>
      <c r="AL70" t="str">
        <f>'Space Types'!BU73</f>
        <v/>
      </c>
      <c r="AM70">
        <f>'Space Types'!BX73</f>
        <v>0</v>
      </c>
      <c r="AN70" t="str">
        <f>'Space Types'!CC73</f>
        <v>NCC S34C2(6)0.7 ACH assumed as design infiltration for periods without mechanical outdoor air supply; NCC also specifies 0.35 ACH when mechanical OA is operating (to be applied via infiltration schedule once developed)LargeHotel_GuestRoomInfil</v>
      </c>
      <c r="AO70" t="str">
        <f>'Space Types'!CD73</f>
        <v>HotelLarge INFIL_QUARTER_ON_SCH</v>
      </c>
      <c r="AP70">
        <f>'Space Types'!CG73</f>
        <v>0</v>
      </c>
      <c r="AQ70">
        <f>'Space Types'!CH73</f>
        <v>1.79</v>
      </c>
      <c r="AR70">
        <f>'Space Types'!CI73</f>
        <v>0</v>
      </c>
      <c r="AS70" t="str">
        <f>'Space Types'!CJ73</f>
        <v>MediumRough</v>
      </c>
      <c r="AT70">
        <f>'Space Types'!CK73</f>
        <v>9.7000000000000003E-3</v>
      </c>
      <c r="AU70">
        <f>'Space Types'!CL73</f>
        <v>3.27</v>
      </c>
      <c r="AV70">
        <f>'Space Types'!CM73</f>
        <v>1155</v>
      </c>
      <c r="AW70">
        <f>'Space Types'!CN73</f>
        <v>1293</v>
      </c>
      <c r="AX70">
        <f>'Space Types'!CO73</f>
        <v>0.9</v>
      </c>
      <c r="AY70">
        <f>'Space Types'!CP73</f>
        <v>0.7</v>
      </c>
      <c r="AZ70">
        <f>'Space Types'!CQ73</f>
        <v>0.65</v>
      </c>
      <c r="BA70" t="str">
        <f>'Space Types'!CR73</f>
        <v>Mixed_Hotel_Furniture_10mm</v>
      </c>
      <c r="BB70" t="str">
        <f>'Space Types'!CW73</f>
        <v>CalculatedEstimateBedDresserAndCaseGoodsMixed_Hotel_Furniture_10mmInternalMassDef</v>
      </c>
    </row>
    <row r="71" spans="1:54" x14ac:dyDescent="0.35">
      <c r="A71" t="str">
        <f>'Space Types'!A74</f>
        <v>CS Judges Chambers</v>
      </c>
      <c r="B71" t="str">
        <f>'Space Types'!B74</f>
        <v>2025_AU_NCC</v>
      </c>
      <c r="C71" t="str">
        <f>'Space Types'!C74</f>
        <v>Courthouse</v>
      </c>
      <c r="D71" t="str">
        <f>'Space Types'!D74</f>
        <v>Judges Chambers</v>
      </c>
      <c r="E71">
        <f>'Space Types'!I74</f>
        <v>153</v>
      </c>
      <c r="F71">
        <f>'Space Types'!J74</f>
        <v>153</v>
      </c>
      <c r="G71">
        <f>'Space Types'!K74</f>
        <v>0</v>
      </c>
      <c r="H71" t="str">
        <f>'Space Types'!L74</f>
        <v>CS Judges Chambers_2025AUNCC</v>
      </c>
      <c r="I71" t="str">
        <f>'Space Types'!M74</f>
        <v>CS Judges Chambers_2025AUNCCScheduleSet</v>
      </c>
      <c r="J71">
        <f>'Space Types'!P74</f>
        <v>5.3819575000000001E-2</v>
      </c>
      <c r="K71">
        <f>'Space Types'!U74</f>
        <v>0</v>
      </c>
      <c r="L71">
        <f>'Space Types'!V74</f>
        <v>0</v>
      </c>
      <c r="M71">
        <f>'Space Types'!W74</f>
        <v>130</v>
      </c>
      <c r="N71">
        <f>'Space Types'!X74</f>
        <v>0.57692307700000001</v>
      </c>
      <c r="O71" t="str">
        <f>'Space Types'!AC74</f>
        <v>NCC S35C2nOther applications (non-dining)PeopleDef</v>
      </c>
      <c r="P71" t="str">
        <f>'Space Types'!AD74</f>
        <v>NECB-A-Occupancy</v>
      </c>
      <c r="Q71" t="str">
        <f>'Space Types'!AE74</f>
        <v>CS Judges ChambersActivity</v>
      </c>
      <c r="R71">
        <f>'Space Types'!AG74</f>
        <v>2.3596035865974517E-3</v>
      </c>
      <c r="S71">
        <f>'Space Types'!AI74</f>
        <v>3.0479999999999998E-4</v>
      </c>
      <c r="T71" t="str">
        <f>'Space Types'!AL74</f>
        <v/>
      </c>
      <c r="U71" t="str">
        <f>'Space Types'!AQ74</f>
        <v>Washington State Mechanical Code TABLE 403.3.1.1Office_Office spacesVent</v>
      </c>
      <c r="V71">
        <f>'Space Types'!AS74</f>
        <v>11</v>
      </c>
      <c r="W71">
        <f>'Space Types'!AT74</f>
        <v>0</v>
      </c>
      <c r="X71">
        <f>'Space Types'!AU74</f>
        <v>0.5</v>
      </c>
      <c r="Y71">
        <f>'Space Types'!AV74</f>
        <v>0</v>
      </c>
      <c r="Z71" t="str">
        <f>'Space Types'!AZ74</f>
        <v>NCC S35C2lClass 5 building (Judges Chambers treated as office analogue); radiant/latent/lost fraction split retained from original WA/COMNET-REV9 source (AIRAH Technical Handbook does not publish this split)CS Judges ChambersElectricalEquipDef</v>
      </c>
      <c r="AA71" t="str">
        <f>'Space Types'!BA74</f>
        <v>NECB-A-Electric-Equipment</v>
      </c>
      <c r="AB71">
        <f>'Space Types'!BC74</f>
        <v>4.5</v>
      </c>
      <c r="AC71">
        <f>'Space Types'!BD74</f>
        <v>0.37</v>
      </c>
      <c r="AD71">
        <f>'Space Types'!BE74</f>
        <v>0.2</v>
      </c>
      <c r="AE71" t="str">
        <f>'Space Types'!BI74</f>
        <v>NCC J7D3aOffice - artificially lit to &gt;= 200 lux; radiant/visible fraction split retained from original WA/COMNET-REV9 source (AIRAH Technical Handbook does not publish this split)LightingDef</v>
      </c>
      <c r="AF71" t="str">
        <f>'Space Types'!BJ74</f>
        <v>NECB-A-Lighting</v>
      </c>
      <c r="AG71">
        <f>'Space Types'!BM74</f>
        <v>0</v>
      </c>
      <c r="AH71">
        <f>'Space Types'!BN74</f>
        <v>0</v>
      </c>
      <c r="AI71">
        <f>'Space Types'!BO74</f>
        <v>0</v>
      </c>
      <c r="AJ71">
        <f>'Space Types'!BP74</f>
        <v>0</v>
      </c>
      <c r="AK71" t="str">
        <f>'Space Types'!BT74</f>
        <v/>
      </c>
      <c r="AL71" t="str">
        <f>'Space Types'!BU74</f>
        <v/>
      </c>
      <c r="AM71">
        <f>'Space Types'!BX74</f>
        <v>0</v>
      </c>
      <c r="AN71" t="str">
        <f>'Space Types'!CC74</f>
        <v>NCC S34C2(6)0.7 ACH assumed as design infiltration for periods without mechanical outdoor air supply; NCC also specifies 0.35 ACH when mechanical OA is operating (to be applied via infiltration schedule once developed)Space Function_Courthouse - chambersInfil</v>
      </c>
      <c r="AO71" t="str">
        <f>'Space Types'!CD74</f>
        <v>Always On</v>
      </c>
      <c r="AP71">
        <f>'Space Types'!CG74</f>
        <v>0</v>
      </c>
      <c r="AQ71">
        <f>'Space Types'!CH74</f>
        <v>4.0599999999999996</v>
      </c>
      <c r="AR71">
        <f>'Space Types'!CI74</f>
        <v>0</v>
      </c>
      <c r="AS71" t="str">
        <f>'Space Types'!CJ74</f>
        <v>MediumRough</v>
      </c>
      <c r="AT71">
        <f>'Space Types'!CK74</f>
        <v>6.1999999999999998E-3</v>
      </c>
      <c r="AU71">
        <f>'Space Types'!CL74</f>
        <v>4.93</v>
      </c>
      <c r="AV71">
        <f>'Space Types'!CM74</f>
        <v>1520</v>
      </c>
      <c r="AW71">
        <f>'Space Types'!CN74</f>
        <v>1343</v>
      </c>
      <c r="AX71">
        <f>'Space Types'!CO74</f>
        <v>0.9</v>
      </c>
      <c r="AY71">
        <f>'Space Types'!CP74</f>
        <v>0.7</v>
      </c>
      <c r="AZ71">
        <f>'Space Types'!CQ74</f>
        <v>0.65</v>
      </c>
      <c r="BA71" t="str">
        <f>'Space Types'!CR74</f>
        <v>Wood_Legal_Library_6mm</v>
      </c>
      <c r="BB71" t="str">
        <f>'Space Types'!CW74</f>
        <v>CalculatedEstimateLawBookShelvingAndExecutiveFurnitureWood_Legal_Library_6mmInternalMassDef</v>
      </c>
    </row>
    <row r="72" spans="1:54" x14ac:dyDescent="0.35">
      <c r="A72" t="str">
        <f>'Space Types'!A75</f>
        <v xml:space="preserve">CS Laboratory - Classrooms  </v>
      </c>
      <c r="B72" t="str">
        <f>'Space Types'!B75</f>
        <v>2025_AU_NCC</v>
      </c>
      <c r="C72" t="str">
        <f>'Space Types'!C75</f>
        <v>School/University</v>
      </c>
      <c r="D72" t="str">
        <f>'Space Types'!D75</f>
        <v>Laboratory - Classrooms</v>
      </c>
      <c r="E72">
        <f>'Space Types'!I75</f>
        <v>224</v>
      </c>
      <c r="F72">
        <f>'Space Types'!J75</f>
        <v>224</v>
      </c>
      <c r="G72">
        <f>'Space Types'!K75</f>
        <v>224</v>
      </c>
      <c r="H72" t="str">
        <f>'Space Types'!L75</f>
        <v>CS Laboratory - Classrooms  _2025AUNCC</v>
      </c>
      <c r="I72" t="str">
        <f>'Space Types'!M75</f>
        <v>CS Laboratory - Classrooms  _2025AUNCCScheduleSet</v>
      </c>
      <c r="J72">
        <f>'Space Types'!P75</f>
        <v>0.26909787600000001</v>
      </c>
      <c r="K72">
        <f>'Space Types'!U75</f>
        <v>0</v>
      </c>
      <c r="L72">
        <f>'Space Types'!V75</f>
        <v>0</v>
      </c>
      <c r="M72">
        <f>'Space Types'!W75</f>
        <v>130</v>
      </c>
      <c r="N72">
        <f>'Space Types'!X75</f>
        <v>0.57692307700000001</v>
      </c>
      <c r="O72" t="str">
        <f>'Space Types'!AC75</f>
        <v>NCC S35C2nOther applications (non-dining)PeopleDef</v>
      </c>
      <c r="P72" t="str">
        <f>'Space Types'!AD75</f>
        <v>NECB-D-Occupancy</v>
      </c>
      <c r="Q72" t="str">
        <f>'Space Types'!AE75</f>
        <v>CS Laboratory - Classrooms  Activity</v>
      </c>
      <c r="R72">
        <f>'Space Types'!AG75</f>
        <v>4.7192071731949033E-3</v>
      </c>
      <c r="S72">
        <f>'Space Types'!AI75</f>
        <v>9.144E-4</v>
      </c>
      <c r="T72" t="str">
        <f>'Space Types'!AL75</f>
        <v/>
      </c>
      <c r="U72" t="str">
        <f>'Space Types'!AQ75</f>
        <v>Washington State Mechanical Code TABLE 403.3.1.1Education - Science laboratoriesVent</v>
      </c>
      <c r="V72">
        <f>'Space Types'!AS75</f>
        <v>15</v>
      </c>
      <c r="W72">
        <f>'Space Types'!AT75</f>
        <v>0.2</v>
      </c>
      <c r="X72">
        <f>'Space Types'!AU75</f>
        <v>0.5</v>
      </c>
      <c r="Y72">
        <f>'Space Types'!AV75</f>
        <v>0.1</v>
      </c>
      <c r="Z72" t="str">
        <f>'Space Types'!AZ75</f>
        <v>NCC S35C2lClass 8 laboratory; radiant/latent/lost fraction split retained from original WA/COMNET-REV9 source (AIRAH Technical Handbook does not publish this split)CS Laboratory - Classrooms  ElectricalEquipDef</v>
      </c>
      <c r="AA72" t="str">
        <f>'Space Types'!BA75</f>
        <v>NECB-D-Electric-Equipment</v>
      </c>
      <c r="AB72">
        <f>'Space Types'!BC75</f>
        <v>6</v>
      </c>
      <c r="AC72">
        <f>'Space Types'!BD75</f>
        <v>0.37</v>
      </c>
      <c r="AD72">
        <f>'Space Types'!BE75</f>
        <v>0.2</v>
      </c>
      <c r="AE72" t="str">
        <f>'Space Types'!BI75</f>
        <v>NCC J7D3aLaboratory - artificially lit to an ambient level of 400 lx or more; radiant/visible fraction split retained from original WA/COMNET-REV9 source (AIRAH Technical Handbook does not publish this split)LightingDef</v>
      </c>
      <c r="AF72" t="str">
        <f>'Space Types'!BJ75</f>
        <v>NECB-D-Lighting</v>
      </c>
      <c r="AG72">
        <f>'Space Types'!BM75</f>
        <v>0</v>
      </c>
      <c r="AH72">
        <f>'Space Types'!BN75</f>
        <v>0</v>
      </c>
      <c r="AI72">
        <f>'Space Types'!BO75</f>
        <v>0</v>
      </c>
      <c r="AJ72">
        <f>'Space Types'!BP75</f>
        <v>0</v>
      </c>
      <c r="AK72" t="str">
        <f>'Space Types'!BT75</f>
        <v/>
      </c>
      <c r="AL72" t="str">
        <f>'Space Types'!BU75</f>
        <v/>
      </c>
      <c r="AM72">
        <f>'Space Types'!BX75</f>
        <v>0</v>
      </c>
      <c r="AN72" t="str">
        <f>'Space Types'!CC75</f>
        <v>NCC S34C2(6)0.7 ACH assumed as design infiltration for periods without mechanical outdoor air supply; NCC also specifies 0.35 ACH when mechanical OA is operating (to be applied via infiltration schedule once developed)Space Function_Lab - classroomsInfil</v>
      </c>
      <c r="AO72" t="str">
        <f>'Space Types'!CD75</f>
        <v>Always On</v>
      </c>
      <c r="AP72">
        <f>'Space Types'!CG75</f>
        <v>0</v>
      </c>
      <c r="AQ72">
        <f>'Space Types'!CH75</f>
        <v>3.6</v>
      </c>
      <c r="AR72">
        <f>'Space Types'!CI75</f>
        <v>0</v>
      </c>
      <c r="AS72" t="str">
        <f>'Space Types'!CJ75</f>
        <v>Smooth</v>
      </c>
      <c r="AT72">
        <f>'Space Types'!CK75</f>
        <v>1.6999999999999999E-3</v>
      </c>
      <c r="AU72">
        <f>'Space Types'!CL75</f>
        <v>32.4</v>
      </c>
      <c r="AV72">
        <f>'Space Types'!CM75</f>
        <v>4900</v>
      </c>
      <c r="AW72">
        <f>'Space Types'!CN75</f>
        <v>833</v>
      </c>
      <c r="AX72">
        <f>'Space Types'!CO75</f>
        <v>0.9</v>
      </c>
      <c r="AY72">
        <f>'Space Types'!CP75</f>
        <v>0.7</v>
      </c>
      <c r="AZ72">
        <f>'Space Types'!CQ75</f>
        <v>0.7</v>
      </c>
      <c r="BA72" t="str">
        <f>'Space Types'!CR75</f>
        <v>Steel_Lab_Equipment_2mm</v>
      </c>
      <c r="BB72" t="str">
        <f>'Space Types'!CW75</f>
        <v>CalculatedEstimateLabBenchesFumeHoodAndStorageSteel_Lab_Equipment_2mmInternalMassDef</v>
      </c>
    </row>
    <row r="73" spans="1:54" x14ac:dyDescent="0.35">
      <c r="A73" t="str">
        <f>'Space Types'!A76</f>
        <v>CS Laboratory - Other</v>
      </c>
      <c r="B73" t="str">
        <f>'Space Types'!B76</f>
        <v>2025_AU_NCC</v>
      </c>
      <c r="C73" t="str">
        <f>'Space Types'!C76</f>
        <v>Laboratory</v>
      </c>
      <c r="D73" t="str">
        <f>'Space Types'!D76</f>
        <v>Laboratory - Other</v>
      </c>
      <c r="E73">
        <f>'Space Types'!I76</f>
        <v>224</v>
      </c>
      <c r="F73">
        <f>'Space Types'!J76</f>
        <v>224</v>
      </c>
      <c r="G73">
        <f>'Space Types'!K76</f>
        <v>224</v>
      </c>
      <c r="H73" t="str">
        <f>'Space Types'!L76</f>
        <v>CS Laboratory - Other_2025AUNCC</v>
      </c>
      <c r="I73" t="str">
        <f>'Space Types'!M76</f>
        <v>CS Laboratory - Other_2025AUNCCScheduleSet</v>
      </c>
      <c r="J73">
        <f>'Space Types'!P76</f>
        <v>0.26909787600000001</v>
      </c>
      <c r="K73">
        <f>'Space Types'!U76</f>
        <v>0</v>
      </c>
      <c r="L73">
        <f>'Space Types'!V76</f>
        <v>0</v>
      </c>
      <c r="M73">
        <f>'Space Types'!W76</f>
        <v>130</v>
      </c>
      <c r="N73">
        <f>'Space Types'!X76</f>
        <v>0.57692307700000001</v>
      </c>
      <c r="O73" t="str">
        <f>'Space Types'!AC76</f>
        <v>NCC S35C2nOther applications (non-dining)PeopleDef</v>
      </c>
      <c r="P73" t="str">
        <f>'Space Types'!AD76</f>
        <v>NECB-A-Occupancy</v>
      </c>
      <c r="Q73" t="str">
        <f>'Space Types'!AE76</f>
        <v>CS Laboratory - OtherActivity</v>
      </c>
      <c r="R73">
        <f>'Space Types'!AG76</f>
        <v>4.7192071731949033E-3</v>
      </c>
      <c r="S73">
        <f>'Space Types'!AI76</f>
        <v>9.144E-4</v>
      </c>
      <c r="T73" t="str">
        <f>'Space Types'!AL76</f>
        <v/>
      </c>
      <c r="U73" t="str">
        <f>'Space Types'!AQ76</f>
        <v>Washington State Mechanical Code TABLE 403.3.1.1Education - Science laboratoriesVent</v>
      </c>
      <c r="V73">
        <f>'Space Types'!AS76</f>
        <v>15</v>
      </c>
      <c r="W73">
        <f>'Space Types'!AT76</f>
        <v>0.2</v>
      </c>
      <c r="X73">
        <f>'Space Types'!AU76</f>
        <v>0.5</v>
      </c>
      <c r="Y73">
        <f>'Space Types'!AV76</f>
        <v>0.1</v>
      </c>
      <c r="Z73" t="str">
        <f>'Space Types'!AZ76</f>
        <v>NCC S35C2lClass 8 laboratory; radiant/latent/lost fraction split retained from original WA/COMNET-REV9 source (AIRAH Technical Handbook does not publish this split)CS Laboratory - OtherElectricalEquipDef</v>
      </c>
      <c r="AA73" t="str">
        <f>'Space Types'!BA76</f>
        <v>NECB-A-Electric-Equipment</v>
      </c>
      <c r="AB73">
        <f>'Space Types'!BC76</f>
        <v>6</v>
      </c>
      <c r="AC73">
        <f>'Space Types'!BD76</f>
        <v>0.37</v>
      </c>
      <c r="AD73">
        <f>'Space Types'!BE76</f>
        <v>0.2</v>
      </c>
      <c r="AE73" t="str">
        <f>'Space Types'!BI76</f>
        <v>NCC J7D3aLaboratory - artificially lit to an ambient level of 400 lx or more; radiant/visible fraction split retained from original WA/COMNET-REV9 source (AIRAH Technical Handbook does not publish this split)LightingDef</v>
      </c>
      <c r="AF73" t="str">
        <f>'Space Types'!BJ76</f>
        <v>NECB-A-Lighting</v>
      </c>
      <c r="AG73">
        <f>'Space Types'!BM76</f>
        <v>0</v>
      </c>
      <c r="AH73">
        <f>'Space Types'!BN76</f>
        <v>0</v>
      </c>
      <c r="AI73">
        <f>'Space Types'!BO76</f>
        <v>0</v>
      </c>
      <c r="AJ73">
        <f>'Space Types'!BP76</f>
        <v>0</v>
      </c>
      <c r="AK73" t="str">
        <f>'Space Types'!BT76</f>
        <v/>
      </c>
      <c r="AL73" t="str">
        <f>'Space Types'!BU76</f>
        <v/>
      </c>
      <c r="AM73">
        <f>'Space Types'!BX76</f>
        <v>0</v>
      </c>
      <c r="AN73" t="str">
        <f>'Space Types'!CC76</f>
        <v>NCC S34C2(6)0.7 ACH assumed as design infiltration for periods without mechanical outdoor air supply; NCC also specifies 0.35 ACH when mechanical OA is operating (to be applied via infiltration schedule once developed)Space Function_Lab - researchInfil</v>
      </c>
      <c r="AO73" t="str">
        <f>'Space Types'!CD76</f>
        <v>Always On</v>
      </c>
      <c r="AP73">
        <f>'Space Types'!CG76</f>
        <v>0</v>
      </c>
      <c r="AQ73">
        <f>'Space Types'!CH76</f>
        <v>4.53</v>
      </c>
      <c r="AR73">
        <f>'Space Types'!CI76</f>
        <v>0</v>
      </c>
      <c r="AS73" t="str">
        <f>'Space Types'!CJ76</f>
        <v>Smooth</v>
      </c>
      <c r="AT73">
        <f>'Space Types'!CK76</f>
        <v>2.3E-3</v>
      </c>
      <c r="AU73">
        <f>'Space Types'!CL76</f>
        <v>34.200000000000003</v>
      </c>
      <c r="AV73">
        <f>'Space Types'!CM76</f>
        <v>6792</v>
      </c>
      <c r="AW73">
        <f>'Space Types'!CN76</f>
        <v>592</v>
      </c>
      <c r="AX73">
        <f>'Space Types'!CO76</f>
        <v>0.9</v>
      </c>
      <c r="AY73">
        <f>'Space Types'!CP76</f>
        <v>0.7</v>
      </c>
      <c r="AZ73">
        <f>'Space Types'!CQ76</f>
        <v>0.7</v>
      </c>
      <c r="BA73" t="str">
        <f>'Space Types'!CR76</f>
        <v>Steel_Research_Lab_2mm</v>
      </c>
      <c r="BB73" t="str">
        <f>'Space Types'!CW76</f>
        <v>CalculatedEstimateResearchBenchesFumeHoodsAndStorageSteel_Research_Lab_2mmInternalMassDef</v>
      </c>
    </row>
    <row r="74" spans="1:54" x14ac:dyDescent="0.35">
      <c r="A74" t="str">
        <f>'Space Types'!A77</f>
        <v>CS Laundry/Washing Area</v>
      </c>
      <c r="B74" t="str">
        <f>'Space Types'!B77</f>
        <v>2025_AU_NCC</v>
      </c>
      <c r="C74" t="str">
        <f>'Space Types'!C77</f>
        <v>Commercial Laundry</v>
      </c>
      <c r="D74" t="str">
        <f>'Space Types'!D77</f>
        <v>Laundry/Washing Area</v>
      </c>
      <c r="E74">
        <f>'Space Types'!I77</f>
        <v>120</v>
      </c>
      <c r="F74">
        <f>'Space Types'!J77</f>
        <v>149</v>
      </c>
      <c r="G74">
        <f>'Space Types'!K77</f>
        <v>230</v>
      </c>
      <c r="H74" t="str">
        <f>'Space Types'!L77</f>
        <v>CS Laundry/Washing Area_2025AUNCC</v>
      </c>
      <c r="I74" t="str">
        <f>'Space Types'!M77</f>
        <v>CS Laundry/Washing Area_2025AUNCCScheduleSet</v>
      </c>
      <c r="J74">
        <f>'Space Types'!P77</f>
        <v>0.107639151</v>
      </c>
      <c r="K74">
        <f>'Space Types'!U77</f>
        <v>0</v>
      </c>
      <c r="L74">
        <f>'Space Types'!V77</f>
        <v>0</v>
      </c>
      <c r="M74">
        <f>'Space Types'!W77</f>
        <v>130</v>
      </c>
      <c r="N74">
        <f>'Space Types'!X77</f>
        <v>0.57692307700000001</v>
      </c>
      <c r="O74" t="str">
        <f>'Space Types'!AC77</f>
        <v>NCC S35C2nOther applications (non-dining)PeopleDef</v>
      </c>
      <c r="P74" t="str">
        <f>'Space Types'!AD77</f>
        <v>HotelSmall LaundryRoom_Occ_Sch</v>
      </c>
      <c r="Q74" t="str">
        <f>'Space Types'!AE77</f>
        <v>CS Laundry/Washing AreaActivity</v>
      </c>
      <c r="R74">
        <f>'Space Types'!AG77</f>
        <v>2.3596035865974517E-3</v>
      </c>
      <c r="S74">
        <f>'Space Types'!AI77</f>
        <v>6.0959999999999996E-4</v>
      </c>
      <c r="T74" t="str">
        <f>'Space Types'!AL77</f>
        <v/>
      </c>
      <c r="U74" t="str">
        <f>'Space Types'!AQ77</f>
        <v>Washington State Mechanical Code TABLE 403.3.1.1Dry cleaners, laundries - Commercial laundryVent</v>
      </c>
      <c r="V74">
        <f>'Space Types'!AS77</f>
        <v>5.5878357049999998</v>
      </c>
      <c r="W74">
        <f>'Space Types'!AT77</f>
        <v>0.2</v>
      </c>
      <c r="X74">
        <f>'Space Types'!AU77</f>
        <v>0.2</v>
      </c>
      <c r="Y74">
        <f>'Space Types'!AV77</f>
        <v>0.4</v>
      </c>
      <c r="Z74" t="str">
        <f>'Space Types'!AZ77</f>
        <v>COMNET-REV9EstimateCS Laundry/Washing AreaElectricalEquipDef</v>
      </c>
      <c r="AA74" t="str">
        <f>'Space Types'!BA77</f>
        <v>HotelSmall LaundryRoom_Eqp_Elec_Sch</v>
      </c>
      <c r="AB74">
        <f>'Space Types'!BC77</f>
        <v>1.5</v>
      </c>
      <c r="AC74">
        <f>'Space Types'!BD77</f>
        <v>0.37</v>
      </c>
      <c r="AD74">
        <f>'Space Types'!BE77</f>
        <v>0.2</v>
      </c>
      <c r="AE74" t="str">
        <f>'Space Types'!BI77</f>
        <v>NCC J7D3aService area, cleaner's room and the like; radiant/visible fraction split retained from original WA/COMNET-REV9 source (AIRAH Technical Handbook does not publish this split)LightingDef</v>
      </c>
      <c r="AF74" t="str">
        <f>'Space Types'!BJ77</f>
        <v>HotelSmall BLDG_LIGHT_LAUNDRY_SCH</v>
      </c>
      <c r="AG74">
        <f>'Space Types'!BM77</f>
        <v>0</v>
      </c>
      <c r="AH74">
        <f>'Space Types'!BN77</f>
        <v>0</v>
      </c>
      <c r="AI74">
        <f>'Space Types'!BO77</f>
        <v>0</v>
      </c>
      <c r="AJ74">
        <f>'Space Types'!BP77</f>
        <v>0</v>
      </c>
      <c r="AK74" t="str">
        <f>'Space Types'!BT77</f>
        <v/>
      </c>
      <c r="AL74" t="str">
        <f>'Space Types'!BU77</f>
        <v/>
      </c>
      <c r="AM74">
        <f>'Space Types'!BX77</f>
        <v>0</v>
      </c>
      <c r="AN74" t="str">
        <f>'Space Types'!CC77</f>
        <v>NCC S34C2(6)0.7 ACH assumed as design infiltration for periods without mechanical outdoor air supply; NCC also specifies 0.35 ACH when mechanical OA is operating (to be applied via infiltration schedule once developed)Space Function_Hospital - laundry/washingInfil</v>
      </c>
      <c r="AO74" t="str">
        <f>'Space Types'!CD77</f>
        <v>Always On</v>
      </c>
      <c r="AP74">
        <f>'Space Types'!CG77</f>
        <v>0</v>
      </c>
      <c r="AQ74">
        <f>'Space Types'!CH77</f>
        <v>1.92</v>
      </c>
      <c r="AR74">
        <f>'Space Types'!CI77</f>
        <v>0</v>
      </c>
      <c r="AS74" t="str">
        <f>'Space Types'!CJ77</f>
        <v>Smooth</v>
      </c>
      <c r="AT74">
        <f>'Space Types'!CK77</f>
        <v>2.3E-3</v>
      </c>
      <c r="AU74">
        <f>'Space Types'!CL77</f>
        <v>27.1</v>
      </c>
      <c r="AV74">
        <f>'Space Types'!CM77</f>
        <v>6662</v>
      </c>
      <c r="AW74">
        <f>'Space Types'!CN77</f>
        <v>565</v>
      </c>
      <c r="AX74">
        <f>'Space Types'!CO77</f>
        <v>0.9</v>
      </c>
      <c r="AY74">
        <f>'Space Types'!CP77</f>
        <v>0.7</v>
      </c>
      <c r="AZ74">
        <f>'Space Types'!CQ77</f>
        <v>0.7</v>
      </c>
      <c r="BA74" t="str">
        <f>'Space Types'!CR77</f>
        <v>Steel_Laundry_Equipment_2mm</v>
      </c>
      <c r="BB74" t="str">
        <f>'Space Types'!CW77</f>
        <v>CalculatedEstimateCommercialWashersAndDryersSteel_Laundry_Equipment_2mmInternalMassDef</v>
      </c>
    </row>
    <row r="75" spans="1:54" x14ac:dyDescent="0.35">
      <c r="A75" t="str">
        <f>'Space Types'!A78</f>
        <v>CS Loading Dock - Interior</v>
      </c>
      <c r="B75" t="str">
        <f>'Space Types'!B78</f>
        <v>2025_AU_NCC</v>
      </c>
      <c r="C75" t="str">
        <f>'Space Types'!C78</f>
        <v>Warehouse</v>
      </c>
      <c r="D75" t="str">
        <f>'Space Types'!D78</f>
        <v>Loading Dock - Interior</v>
      </c>
      <c r="E75">
        <f>'Space Types'!I78</f>
        <v>153</v>
      </c>
      <c r="F75">
        <f>'Space Types'!J78</f>
        <v>153</v>
      </c>
      <c r="G75">
        <f>'Space Types'!K78</f>
        <v>255</v>
      </c>
      <c r="H75" t="str">
        <f>'Space Types'!L78</f>
        <v>CS Loading Dock - Interior_2025AUNCC</v>
      </c>
      <c r="I75" t="str">
        <f>'Space Types'!M78</f>
        <v>CS Loading Dock - Interior_2025AUNCCScheduleSet</v>
      </c>
      <c r="J75">
        <f>'Space Types'!P78</f>
        <v>2.1527830000000001E-2</v>
      </c>
      <c r="K75">
        <f>'Space Types'!U78</f>
        <v>0</v>
      </c>
      <c r="L75">
        <f>'Space Types'!V78</f>
        <v>0</v>
      </c>
      <c r="M75">
        <f>'Space Types'!W78</f>
        <v>130</v>
      </c>
      <c r="N75">
        <f>'Space Types'!X78</f>
        <v>0.57692307700000001</v>
      </c>
      <c r="O75" t="str">
        <f>'Space Types'!AC78</f>
        <v>NCC S35C2nOther applications (non-dining)PeopleDef</v>
      </c>
      <c r="P75" t="str">
        <f>'Space Types'!AD78</f>
        <v>NECB-A-Occupancy</v>
      </c>
      <c r="Q75" t="str">
        <f>'Space Types'!AE78</f>
        <v>CS Loading Dock - InteriorActivity</v>
      </c>
      <c r="R75">
        <f>'Space Types'!AG78</f>
        <v>4.7192071731949033E-3</v>
      </c>
      <c r="S75">
        <f>'Space Types'!AI78</f>
        <v>6.0959999999999996E-4</v>
      </c>
      <c r="T75" t="str">
        <f>'Space Types'!AL78</f>
        <v/>
      </c>
      <c r="U75" t="str">
        <f>'Space Types'!AQ78</f>
        <v>Washington State Mechanical Code TABLE 403.3.1.1Retail stores, sales floors, and showroom floors - Shipping and receivingVent</v>
      </c>
      <c r="V75">
        <f>'Space Types'!AS78</f>
        <v>0</v>
      </c>
      <c r="W75">
        <f>'Space Types'!AT78</f>
        <v>0</v>
      </c>
      <c r="X75">
        <f>'Space Types'!AU78</f>
        <v>0.5</v>
      </c>
      <c r="Y75">
        <f>'Space Types'!AV78</f>
        <v>0</v>
      </c>
      <c r="Z75" t="str">
        <f>'Space Types'!AZ78</f>
        <v>NCC S35C2lClass 7b (Other applications) - no equipment load per S35C2l; radiant/latent/lost fraction split retained from original WA/COMNET-REV9 source (AIRAH Technical Handbook does not publish this split)CS Loading Dock - InteriorElectricalEquipDef</v>
      </c>
      <c r="AA75" t="str">
        <f>'Space Types'!BA78</f>
        <v>NECB-A-Electric-Equipment</v>
      </c>
      <c r="AB75">
        <f>'Space Types'!BC78</f>
        <v>1.5</v>
      </c>
      <c r="AC75">
        <f>'Space Types'!BD78</f>
        <v>0.37</v>
      </c>
      <c r="AD75">
        <f>'Space Types'!BE78</f>
        <v>0.2</v>
      </c>
      <c r="AE75" t="str">
        <f>'Space Types'!BI78</f>
        <v>NCC J7D3aStorage; radiant/visible fraction split retained from original WA/COMNET-REV9 source (AIRAH Technical Handbook does not publish this split)LightingDef</v>
      </c>
      <c r="AF75" t="str">
        <f>'Space Types'!BJ78</f>
        <v>NECB-A-Lighting</v>
      </c>
      <c r="AG75">
        <f>'Space Types'!BM78</f>
        <v>0</v>
      </c>
      <c r="AH75">
        <f>'Space Types'!BN78</f>
        <v>0</v>
      </c>
      <c r="AI75">
        <f>'Space Types'!BO78</f>
        <v>0</v>
      </c>
      <c r="AJ75">
        <f>'Space Types'!BP78</f>
        <v>0</v>
      </c>
      <c r="AK75" t="str">
        <f>'Space Types'!BT78</f>
        <v/>
      </c>
      <c r="AL75" t="str">
        <f>'Space Types'!BU78</f>
        <v/>
      </c>
      <c r="AM75">
        <f>'Space Types'!BX78</f>
        <v>0</v>
      </c>
      <c r="AN75" t="str">
        <f>'Space Types'!CC78</f>
        <v>NCC S34C2(6)0.7 ACH assumed as design infiltration for periods without mechanical outdoor air supply; NCC also specifies 0.35 ACH when mechanical OA is operating (to be applied via infiltration schedule once developed)Space Function_Warehouse - med/blkInfil</v>
      </c>
      <c r="AO75" t="str">
        <f>'Space Types'!CD78</f>
        <v>Always On</v>
      </c>
      <c r="AP75">
        <f>'Space Types'!CG78</f>
        <v>0</v>
      </c>
      <c r="AQ75">
        <f>'Space Types'!CH78</f>
        <v>1.07</v>
      </c>
      <c r="AR75">
        <f>'Space Types'!CI78</f>
        <v>0</v>
      </c>
      <c r="AS75" t="str">
        <f>'Space Types'!CJ78</f>
        <v>MediumRough</v>
      </c>
      <c r="AT75">
        <f>'Space Types'!CK78</f>
        <v>3.5999999999999999E-3</v>
      </c>
      <c r="AU75">
        <f>'Space Types'!CL78</f>
        <v>75.599999999999994</v>
      </c>
      <c r="AV75">
        <f>'Space Types'!CM78</f>
        <v>6355</v>
      </c>
      <c r="AW75">
        <f>'Space Types'!CN78</f>
        <v>589</v>
      </c>
      <c r="AX75">
        <f>'Space Types'!CO78</f>
        <v>0.9</v>
      </c>
      <c r="AY75">
        <f>'Space Types'!CP78</f>
        <v>0.7</v>
      </c>
      <c r="AZ75">
        <f>'Space Types'!CQ78</f>
        <v>0.7</v>
      </c>
      <c r="BA75" t="str">
        <f>'Space Types'!CR78</f>
        <v>Steel_Warehouse_Equipment_4mm</v>
      </c>
      <c r="BB75" t="str">
        <f>'Space Types'!CW78</f>
        <v>CalculatedEstimatePalletRackingAndDockEquipmentSteel_Warehouse_Equipment_4mmInternalMassDef</v>
      </c>
    </row>
    <row r="76" spans="1:54" x14ac:dyDescent="0.35">
      <c r="A76" t="str">
        <f>'Space Types'!A79</f>
        <v>CS Lobby - Assisted Living</v>
      </c>
      <c r="B76" t="str">
        <f>'Space Types'!B79</f>
        <v>2025_AU_NCC</v>
      </c>
      <c r="C76" t="str">
        <f>'Space Types'!C79</f>
        <v>Hotel/Motel</v>
      </c>
      <c r="D76" t="str">
        <f>'Space Types'!D79</f>
        <v>Lobby</v>
      </c>
      <c r="E76">
        <f>'Space Types'!I79</f>
        <v>230</v>
      </c>
      <c r="F76">
        <f>'Space Types'!J79</f>
        <v>157</v>
      </c>
      <c r="G76">
        <f>'Space Types'!K79</f>
        <v>120</v>
      </c>
      <c r="H76" t="str">
        <f>'Space Types'!L79</f>
        <v>CS Lobby - Assisted Living_2025AUNCC</v>
      </c>
      <c r="I76" t="str">
        <f>'Space Types'!M79</f>
        <v>CS Lobby - Assisted Living_2025AUNCCScheduleSet</v>
      </c>
      <c r="J76">
        <f>'Space Types'!P79</f>
        <v>0.32291745199999999</v>
      </c>
      <c r="K76">
        <f>'Space Types'!U79</f>
        <v>0</v>
      </c>
      <c r="L76">
        <f>'Space Types'!V79</f>
        <v>0</v>
      </c>
      <c r="M76">
        <f>'Space Types'!W79</f>
        <v>130</v>
      </c>
      <c r="N76">
        <f>'Space Types'!X79</f>
        <v>0.57692307700000001</v>
      </c>
      <c r="O76" t="str">
        <f>'Space Types'!AC79</f>
        <v>NCC S35C2nOther applications (non-dining)PeopleDef</v>
      </c>
      <c r="P76" t="str">
        <f>'Space Types'!AD79</f>
        <v>NECB-H-Occupancy</v>
      </c>
      <c r="Q76" t="str">
        <f>'Space Types'!AE79</f>
        <v>CS Lobby - Assisted LivingActivity</v>
      </c>
      <c r="R76">
        <f>'Space Types'!AG79</f>
        <v>3.5394053798961773E-3</v>
      </c>
      <c r="S76">
        <f>'Space Types'!AI79</f>
        <v>3.0479999999999998E-4</v>
      </c>
      <c r="T76" t="str">
        <f>'Space Types'!AL79</f>
        <v/>
      </c>
      <c r="U76" t="str">
        <f>'Space Types'!AQ79</f>
        <v>Washington State Mechanical Code TABLE 403.3.1.1Hotels, motels, resorts and dormitories - Lobbies/prefunctionVent</v>
      </c>
      <c r="V76">
        <f>'Space Types'!AS79</f>
        <v>15.1196451</v>
      </c>
      <c r="W76">
        <f>'Space Types'!AT79</f>
        <v>0</v>
      </c>
      <c r="X76">
        <f>'Space Types'!AU79</f>
        <v>0.5</v>
      </c>
      <c r="Y76">
        <f>'Space Types'!AV79</f>
        <v>0</v>
      </c>
      <c r="Z76" t="str">
        <f>'Space Types'!AZ79</f>
        <v>COMNET-REV9DOEPrototypeCS Lobby - Assisted LivingElectricalEquipDef</v>
      </c>
      <c r="AA76" t="str">
        <f>'Space Types'!BA79</f>
        <v>NECB-H-Electric-Equipment</v>
      </c>
      <c r="AB76">
        <f>'Space Types'!BC79</f>
        <v>9</v>
      </c>
      <c r="AC76">
        <f>'Space Types'!BD79</f>
        <v>0.37</v>
      </c>
      <c r="AD76">
        <f>'Space Types'!BE79</f>
        <v>0.2</v>
      </c>
      <c r="AE76" t="str">
        <f>'Space Types'!BI79</f>
        <v>NCC J7D3aEntry lobby from outside the building; radiant/visible fraction split retained from original WA/COMNET-REV9 source (AIRAH Technical Handbook does not publish this split)LightingDef</v>
      </c>
      <c r="AF76" t="str">
        <f>'Space Types'!BJ79</f>
        <v>NECB-H-Lighting</v>
      </c>
      <c r="AG76">
        <f>'Space Types'!BM79</f>
        <v>0</v>
      </c>
      <c r="AH76">
        <f>'Space Types'!BN79</f>
        <v>0</v>
      </c>
      <c r="AI76">
        <f>'Space Types'!BO79</f>
        <v>0</v>
      </c>
      <c r="AJ76">
        <f>'Space Types'!BP79</f>
        <v>0</v>
      </c>
      <c r="AK76" t="str">
        <f>'Space Types'!BT79</f>
        <v/>
      </c>
      <c r="AL76" t="str">
        <f>'Space Types'!BU79</f>
        <v/>
      </c>
      <c r="AM76">
        <f>'Space Types'!BX79</f>
        <v>0</v>
      </c>
      <c r="AN76" t="str">
        <f>'Space Types'!CC79</f>
        <v>NCC S34C2(6)0.7 ACH assumed as design infiltration for periods without mechanical outdoor air supply; NCC also specifies 0.35 ACH when mechanical OA is operating (to be applied via infiltration schedule once developed)Space Function_Hotel/Motel - lobbyInfil</v>
      </c>
      <c r="AO76" t="str">
        <f>'Space Types'!CD79</f>
        <v>Always On</v>
      </c>
      <c r="AP76">
        <f>'Space Types'!CG79</f>
        <v>0</v>
      </c>
      <c r="AQ76">
        <f>'Space Types'!CH79</f>
        <v>2.13</v>
      </c>
      <c r="AR76">
        <f>'Space Types'!CI79</f>
        <v>0</v>
      </c>
      <c r="AS76" t="str">
        <f>'Space Types'!CJ79</f>
        <v>MediumRough</v>
      </c>
      <c r="AT76">
        <f>'Space Types'!CK79</f>
        <v>4.4999999999999997E-3</v>
      </c>
      <c r="AU76">
        <f>'Space Types'!CL79</f>
        <v>4.1900000000000004</v>
      </c>
      <c r="AV76">
        <f>'Space Types'!CM79</f>
        <v>1362</v>
      </c>
      <c r="AW76">
        <f>'Space Types'!CN79</f>
        <v>1313</v>
      </c>
      <c r="AX76">
        <f>'Space Types'!CO79</f>
        <v>0.9</v>
      </c>
      <c r="AY76">
        <f>'Space Types'!CP79</f>
        <v>0.7</v>
      </c>
      <c r="AZ76">
        <f>'Space Types'!CQ79</f>
        <v>0.65</v>
      </c>
      <c r="BA76" t="str">
        <f>'Space Types'!CR79</f>
        <v>Wood_Residential_Lobby_5mm</v>
      </c>
      <c r="BB76" t="str">
        <f>'Space Types'!CW79</f>
        <v>CalculatedEstimateResidentialLoungeFurnitureWithPianoWood_Residential_Lobby_5mmInternalMassDef</v>
      </c>
    </row>
    <row r="77" spans="1:54" x14ac:dyDescent="0.35">
      <c r="A77" t="str">
        <f>'Space Types'!A80</f>
        <v xml:space="preserve">CS Lobby - Elevator  </v>
      </c>
      <c r="B77" t="str">
        <f>'Space Types'!B80</f>
        <v>2025_AU_NCC</v>
      </c>
      <c r="C77" t="str">
        <f>'Space Types'!C80</f>
        <v>Miscellaneous</v>
      </c>
      <c r="D77" t="str">
        <f>'Space Types'!D80</f>
        <v>Lobby - Elevator</v>
      </c>
      <c r="E77">
        <f>'Space Types'!I80</f>
        <v>230</v>
      </c>
      <c r="F77">
        <f>'Space Types'!J80</f>
        <v>157</v>
      </c>
      <c r="G77">
        <f>'Space Types'!K80</f>
        <v>120</v>
      </c>
      <c r="H77" t="str">
        <f>'Space Types'!L80</f>
        <v>CS Lobby - Elevator  _2025AUNCC</v>
      </c>
      <c r="I77" t="str">
        <f>'Space Types'!M80</f>
        <v>CS Lobby - Elevator  _2025AUNCCScheduleSet</v>
      </c>
      <c r="J77">
        <f>'Space Types'!P80</f>
        <v>0</v>
      </c>
      <c r="K77">
        <f>'Space Types'!U80</f>
        <v>0</v>
      </c>
      <c r="L77">
        <f>'Space Types'!V80</f>
        <v>0</v>
      </c>
      <c r="M77">
        <f>'Space Types'!W80</f>
        <v>130</v>
      </c>
      <c r="N77">
        <f>'Space Types'!X80</f>
        <v>0.57692307700000001</v>
      </c>
      <c r="O77" t="str">
        <f>'Space Types'!AC80</f>
        <v/>
      </c>
      <c r="P77" t="str">
        <f>'Space Types'!AD80</f>
        <v/>
      </c>
      <c r="Q77" t="str">
        <f>'Space Types'!AE80</f>
        <v/>
      </c>
      <c r="R77" t="str">
        <f>'Space Types'!AG80</f>
        <v/>
      </c>
      <c r="S77">
        <f>'Space Types'!AI80</f>
        <v>3.0479999999999998E-4</v>
      </c>
      <c r="T77" t="str">
        <f>'Space Types'!AL80</f>
        <v/>
      </c>
      <c r="U77" t="str">
        <f>'Space Types'!AQ80</f>
        <v>Washington State Mechanical Code TABLE 403.3.1.1Public spaces - Corridors serving other than Group R occupanciesVent</v>
      </c>
      <c r="V77">
        <f>'Space Types'!AS80</f>
        <v>0</v>
      </c>
      <c r="W77">
        <f>'Space Types'!AT80</f>
        <v>0</v>
      </c>
      <c r="X77">
        <f>'Space Types'!AU80</f>
        <v>0.5</v>
      </c>
      <c r="Y77">
        <f>'Space Types'!AV80</f>
        <v>0</v>
      </c>
      <c r="Z77" t="str">
        <f>'Space Types'!AZ80</f>
        <v>NCC S35C2lBA WarehouseShared with host building class (Other applications) - no equipment load per S35C2l; radiant/latent/lost fraction split retained from original WA/COMNET-REV9 source (AIRAH Technical Handbook does not publish this split)CS Lobby - Elevator  ElectricalEquipDef</v>
      </c>
      <c r="AA77" t="str">
        <f>'Space Types'!BA80</f>
        <v>NECB-C-Electric-Equipment</v>
      </c>
      <c r="AB77">
        <f>'Space Types'!BC80</f>
        <v>5.5</v>
      </c>
      <c r="AC77">
        <f>'Space Types'!BD80</f>
        <v>0.37</v>
      </c>
      <c r="AD77">
        <f>'Space Types'!BE80</f>
        <v>0.2</v>
      </c>
      <c r="AE77" t="str">
        <f>'Space Types'!BI80</f>
        <v>NCC J7D3aLift cars; radiant/visible fraction split retained from original WA/COMNET-REV9 source (AIRAH Technical Handbook does not publish this split)LightingDef</v>
      </c>
      <c r="AF77" t="str">
        <f>'Space Types'!BJ80</f>
        <v>NECB-C-Lighting</v>
      </c>
      <c r="AG77">
        <f>'Space Types'!BM80</f>
        <v>0</v>
      </c>
      <c r="AH77">
        <f>'Space Types'!BN80</f>
        <v>0</v>
      </c>
      <c r="AI77">
        <f>'Space Types'!BO80</f>
        <v>0</v>
      </c>
      <c r="AJ77">
        <f>'Space Types'!BP80</f>
        <v>0</v>
      </c>
      <c r="AK77" t="str">
        <f>'Space Types'!BT80</f>
        <v/>
      </c>
      <c r="AL77" t="str">
        <f>'Space Types'!BU80</f>
        <v/>
      </c>
      <c r="AM77">
        <f>'Space Types'!BX80</f>
        <v>0</v>
      </c>
      <c r="AN77" t="str">
        <f>'Space Types'!CC80</f>
        <v>NCC S34C2(6)0.7 ACH assumed as design infiltration for periods without mechanical outdoor air supply; NCC also specifies 0.35 ACH when mechanical OA is operating (to be applied via infiltration schedule once developed)Space Function_Lobby - elevatorInfil</v>
      </c>
      <c r="AO77" t="str">
        <f>'Space Types'!CD80</f>
        <v>Always On</v>
      </c>
      <c r="AP77">
        <f>'Space Types'!CG80</f>
        <v>0</v>
      </c>
      <c r="AQ77">
        <f>'Space Types'!CH80</f>
        <v>0.55000000000000004</v>
      </c>
      <c r="AR77">
        <f>'Space Types'!CI80</f>
        <v>0</v>
      </c>
      <c r="AS77" t="str">
        <f>'Space Types'!CJ80</f>
        <v>Smooth</v>
      </c>
      <c r="AT77">
        <f>'Space Types'!CK80</f>
        <v>2.2000000000000001E-3</v>
      </c>
      <c r="AU77">
        <f>'Space Types'!CL80</f>
        <v>65.599999999999994</v>
      </c>
      <c r="AV77">
        <f>'Space Types'!CM80</f>
        <v>3739</v>
      </c>
      <c r="AW77">
        <f>'Space Types'!CN80</f>
        <v>961</v>
      </c>
      <c r="AX77">
        <f>'Space Types'!CO80</f>
        <v>0.9</v>
      </c>
      <c r="AY77">
        <f>'Space Types'!CP80</f>
        <v>0.7</v>
      </c>
      <c r="AZ77">
        <f>'Space Types'!CQ80</f>
        <v>0.7</v>
      </c>
      <c r="BA77" t="str">
        <f>'Space Types'!CR80</f>
        <v>Metal_Elevator_Lobby_2mm</v>
      </c>
      <c r="BB77" t="str">
        <f>'Space Types'!CW80</f>
        <v>CalculatedEstimateMinimalBenchAndDirectoryBoardMetal_Elevator_Lobby_2mmInternalMassDef</v>
      </c>
    </row>
    <row r="78" spans="1:54" x14ac:dyDescent="0.35">
      <c r="A78" t="str">
        <f>'Space Types'!A81</f>
        <v>CS Lobby - Hotel</v>
      </c>
      <c r="B78" t="str">
        <f>'Space Types'!B81</f>
        <v>2025_AU_NCC</v>
      </c>
      <c r="C78" t="str">
        <f>'Space Types'!C81</f>
        <v>Hotel/Motel</v>
      </c>
      <c r="D78" t="str">
        <f>'Space Types'!D81</f>
        <v>Lobby</v>
      </c>
      <c r="E78">
        <f>'Space Types'!I81</f>
        <v>230</v>
      </c>
      <c r="F78">
        <f>'Space Types'!J81</f>
        <v>157</v>
      </c>
      <c r="G78">
        <f>'Space Types'!K81</f>
        <v>120</v>
      </c>
      <c r="H78" t="str">
        <f>'Space Types'!L81</f>
        <v>CS Lobby - Hotel_2025AUNCC</v>
      </c>
      <c r="I78" t="str">
        <f>'Space Types'!M81</f>
        <v>CS Lobby - Hotel_2025AUNCCScheduleSet</v>
      </c>
      <c r="J78">
        <f>'Space Types'!P81</f>
        <v>0.32291745199999999</v>
      </c>
      <c r="K78">
        <f>'Space Types'!U81</f>
        <v>0</v>
      </c>
      <c r="L78">
        <f>'Space Types'!V81</f>
        <v>0</v>
      </c>
      <c r="M78">
        <f>'Space Types'!W81</f>
        <v>130</v>
      </c>
      <c r="N78">
        <f>'Space Types'!X81</f>
        <v>0.57692307700000001</v>
      </c>
      <c r="O78" t="str">
        <f>'Space Types'!AC81</f>
        <v>NCC S35C2nOther applications (non-dining)PeopleDef</v>
      </c>
      <c r="P78" t="str">
        <f>'Space Types'!AD81</f>
        <v>HotelLarge BLDG_OCC_SCH</v>
      </c>
      <c r="Q78" t="str">
        <f>'Space Types'!AE81</f>
        <v>CS Lobby - HotelActivity</v>
      </c>
      <c r="R78">
        <f>'Space Types'!AG81</f>
        <v>3.5394053798961773E-3</v>
      </c>
      <c r="S78">
        <f>'Space Types'!AI81</f>
        <v>3.0479999999999998E-4</v>
      </c>
      <c r="T78" t="str">
        <f>'Space Types'!AL81</f>
        <v/>
      </c>
      <c r="U78" t="str">
        <f>'Space Types'!AQ81</f>
        <v>Washington State Mechanical Code TABLE 403.3.1.1Hotels, motels, resorts and dormitories - Lobbies/prefunctionVent</v>
      </c>
      <c r="V78">
        <f>'Space Types'!AS81</f>
        <v>16.836282629999999</v>
      </c>
      <c r="W78">
        <f>'Space Types'!AT81</f>
        <v>0</v>
      </c>
      <c r="X78">
        <f>'Space Types'!AU81</f>
        <v>0.5</v>
      </c>
      <c r="Y78">
        <f>'Space Types'!AV81</f>
        <v>0</v>
      </c>
      <c r="Z78" t="str">
        <f>'Space Types'!AZ81</f>
        <v>COMNET-REV9DOEPrototypeCS Lobby - HotelElectricalEquipDef</v>
      </c>
      <c r="AA78" t="str">
        <f>'Space Types'!BA81</f>
        <v>HotelLarge BLDG_EQUIP_SCH</v>
      </c>
      <c r="AB78">
        <f>'Space Types'!BC81</f>
        <v>9</v>
      </c>
      <c r="AC78">
        <f>'Space Types'!BD81</f>
        <v>0.37</v>
      </c>
      <c r="AD78">
        <f>'Space Types'!BE81</f>
        <v>0.2</v>
      </c>
      <c r="AE78" t="str">
        <f>'Space Types'!BI81</f>
        <v>NCC J7D3aEntry lobby from outside the building; radiant/visible fraction split retained from original WA/COMNET-REV9 source (AIRAH Technical Handbook does not publish this split)LightingDef</v>
      </c>
      <c r="AF78" t="str">
        <f>'Space Types'!BJ81</f>
        <v>HotelLarge BLDG_LIGHT_SCH</v>
      </c>
      <c r="AG78">
        <f>'Space Types'!BM81</f>
        <v>0</v>
      </c>
      <c r="AH78">
        <f>'Space Types'!BN81</f>
        <v>0</v>
      </c>
      <c r="AI78">
        <f>'Space Types'!BO81</f>
        <v>0</v>
      </c>
      <c r="AJ78">
        <f>'Space Types'!BP81</f>
        <v>0</v>
      </c>
      <c r="AK78" t="str">
        <f>'Space Types'!BT81</f>
        <v/>
      </c>
      <c r="AL78" t="str">
        <f>'Space Types'!BU81</f>
        <v/>
      </c>
      <c r="AM78">
        <f>'Space Types'!BX81</f>
        <v>0</v>
      </c>
      <c r="AN78" t="str">
        <f>'Space Types'!CC81</f>
        <v>NCC S34C2(6)0.7 ACH assumed as design infiltration for periods without mechanical outdoor air supply; NCC also specifies 0.35 ACH when mechanical OA is operating (to be applied via infiltration schedule once developed)LargeHotel_LobbyInfil</v>
      </c>
      <c r="AO78" t="str">
        <f>'Space Types'!CD81</f>
        <v>Always On</v>
      </c>
      <c r="AP78">
        <f>'Space Types'!CG81</f>
        <v>0</v>
      </c>
      <c r="AQ78">
        <f>'Space Types'!CH81</f>
        <v>1.88</v>
      </c>
      <c r="AR78">
        <f>'Space Types'!CI81</f>
        <v>0</v>
      </c>
      <c r="AS78" t="str">
        <f>'Space Types'!CJ81</f>
        <v>MediumRough</v>
      </c>
      <c r="AT78">
        <f>'Space Types'!CK81</f>
        <v>4.4999999999999997E-3</v>
      </c>
      <c r="AU78">
        <f>'Space Types'!CL81</f>
        <v>4.21</v>
      </c>
      <c r="AV78">
        <f>'Space Types'!CM81</f>
        <v>1601</v>
      </c>
      <c r="AW78">
        <f>'Space Types'!CN81</f>
        <v>1121</v>
      </c>
      <c r="AX78">
        <f>'Space Types'!CO81</f>
        <v>0.9</v>
      </c>
      <c r="AY78">
        <f>'Space Types'!CP81</f>
        <v>0.7</v>
      </c>
      <c r="AZ78">
        <f>'Space Types'!CQ81</f>
        <v>0.65</v>
      </c>
      <c r="BA78" t="str">
        <f>'Space Types'!CR81</f>
        <v>Mixed_Hotel_Lobby_5mm</v>
      </c>
      <c r="BB78" t="str">
        <f>'Space Types'!CW81</f>
        <v>CalculatedEstimateFrontDeskSofasAndAreaRugsMixed_Hotel_Lobby_5mmInternalMassDef</v>
      </c>
    </row>
    <row r="79" spans="1:54" x14ac:dyDescent="0.35">
      <c r="A79" t="str">
        <f>'Space Types'!A82</f>
        <v xml:space="preserve">CS Lobby - Motion Picture Theater  </v>
      </c>
      <c r="B79" t="str">
        <f>'Space Types'!B82</f>
        <v>2025_AU_NCC</v>
      </c>
      <c r="C79" t="str">
        <f>'Space Types'!C82</f>
        <v>Theater</v>
      </c>
      <c r="D79" t="str">
        <f>'Space Types'!D82</f>
        <v>Lobby</v>
      </c>
      <c r="E79">
        <f>'Space Types'!I82</f>
        <v>230</v>
      </c>
      <c r="F79">
        <f>'Space Types'!J82</f>
        <v>157</v>
      </c>
      <c r="G79">
        <f>'Space Types'!K82</f>
        <v>120</v>
      </c>
      <c r="H79" t="str">
        <f>'Space Types'!L82</f>
        <v>CS Lobby - Motion Picture Theater  _2025AUNCC</v>
      </c>
      <c r="I79" t="str">
        <f>'Space Types'!M82</f>
        <v>CS Lobby - Motion Picture Theater  _2025AUNCCScheduleSet</v>
      </c>
      <c r="J79">
        <f>'Space Types'!P82</f>
        <v>1.614587258</v>
      </c>
      <c r="K79">
        <f>'Space Types'!U82</f>
        <v>0</v>
      </c>
      <c r="L79">
        <f>'Space Types'!V82</f>
        <v>0</v>
      </c>
      <c r="M79">
        <f>'Space Types'!W82</f>
        <v>130</v>
      </c>
      <c r="N79">
        <f>'Space Types'!X82</f>
        <v>0.57692307700000001</v>
      </c>
      <c r="O79" t="str">
        <f>'Space Types'!AC82</f>
        <v>NCC S35C2nOther applications (non-dining)PeopleDef</v>
      </c>
      <c r="P79" t="str">
        <f>'Space Types'!AD82</f>
        <v>NECB-C-Occupancy</v>
      </c>
      <c r="Q79" t="str">
        <f>'Space Types'!AE82</f>
        <v>CS Lobby - Motion Picture Theater  Activity</v>
      </c>
      <c r="R79">
        <f>'Space Types'!AG82</f>
        <v>2.3596035865974517E-3</v>
      </c>
      <c r="S79">
        <f>'Space Types'!AI82</f>
        <v>3.0479999999999998E-4</v>
      </c>
      <c r="T79" t="str">
        <f>'Space Types'!AL82</f>
        <v/>
      </c>
      <c r="U79" t="str">
        <f>'Space Types'!AQ82</f>
        <v>Washington State Mechanical Code TABLE 403.3.1.1Theaters - LobbiesVent</v>
      </c>
      <c r="V79">
        <f>'Space Types'!AS82</f>
        <v>0</v>
      </c>
      <c r="W79">
        <f>'Space Types'!AT82</f>
        <v>0</v>
      </c>
      <c r="X79">
        <f>'Space Types'!AU82</f>
        <v>0.5</v>
      </c>
      <c r="Y79">
        <f>'Space Types'!AV82</f>
        <v>0</v>
      </c>
      <c r="Z79" t="str">
        <f>'Space Types'!AZ82</f>
        <v>NCC S35C2lClass 9b (Other applications) - no equipment load per S35C2l; radiant/latent/lost fraction split retained from original WA/COMNET-REV9 source (AIRAH Technical Handbook does not publish this split)CS Lobby - Motion Picture Theater  ElectricalEquipDef</v>
      </c>
      <c r="AA79" t="str">
        <f>'Space Types'!BA82</f>
        <v>NECB-C-Electric-Equipment</v>
      </c>
      <c r="AB79">
        <f>'Space Types'!BC82</f>
        <v>9</v>
      </c>
      <c r="AC79">
        <f>'Space Types'!BD82</f>
        <v>0.37</v>
      </c>
      <c r="AD79">
        <f>'Space Types'!BE82</f>
        <v>0.2</v>
      </c>
      <c r="AE79" t="str">
        <f>'Space Types'!BI82</f>
        <v>NCC J7D3aEntry lobby from outside the building; radiant/visible fraction split retained from original WA/COMNET-REV9 source (AIRAH Technical Handbook does not publish this split)LightingDef</v>
      </c>
      <c r="AF79" t="str">
        <f>'Space Types'!BJ82</f>
        <v>NECB-C-Lighting</v>
      </c>
      <c r="AG79">
        <f>'Space Types'!BM82</f>
        <v>0</v>
      </c>
      <c r="AH79">
        <f>'Space Types'!BN82</f>
        <v>0</v>
      </c>
      <c r="AI79">
        <f>'Space Types'!BO82</f>
        <v>0</v>
      </c>
      <c r="AJ79">
        <f>'Space Types'!BP82</f>
        <v>0</v>
      </c>
      <c r="AK79" t="str">
        <f>'Space Types'!BT82</f>
        <v/>
      </c>
      <c r="AL79" t="str">
        <f>'Space Types'!BU82</f>
        <v/>
      </c>
      <c r="AM79">
        <f>'Space Types'!BX82</f>
        <v>0</v>
      </c>
      <c r="AN79" t="str">
        <f>'Space Types'!CC82</f>
        <v>NCC S34C2(6)0.7 ACH assumed as design infiltration for periods without mechanical outdoor air supply; NCC also specifies 0.35 ACH when mechanical OA is operating (to be applied via infiltration schedule once developed)Space Function_Lobby - motion pictureInfil</v>
      </c>
      <c r="AO79" t="str">
        <f>'Space Types'!CD82</f>
        <v>Always On</v>
      </c>
      <c r="AP79">
        <f>'Space Types'!CG82</f>
        <v>0</v>
      </c>
      <c r="AQ79">
        <f>'Space Types'!CH82</f>
        <v>1.32</v>
      </c>
      <c r="AR79">
        <f>'Space Types'!CI82</f>
        <v>0</v>
      </c>
      <c r="AS79" t="str">
        <f>'Space Types'!CJ82</f>
        <v>Smooth</v>
      </c>
      <c r="AT79">
        <f>'Space Types'!CK82</f>
        <v>1.1000000000000001E-3</v>
      </c>
      <c r="AU79">
        <f>'Space Types'!CL82</f>
        <v>42.4</v>
      </c>
      <c r="AV79">
        <f>'Space Types'!CM82</f>
        <v>5971</v>
      </c>
      <c r="AW79">
        <f>'Space Types'!CN82</f>
        <v>655</v>
      </c>
      <c r="AX79">
        <f>'Space Types'!CO82</f>
        <v>0.9</v>
      </c>
      <c r="AY79">
        <f>'Space Types'!CP82</f>
        <v>0.7</v>
      </c>
      <c r="AZ79">
        <f>'Space Types'!CQ82</f>
        <v>0.7</v>
      </c>
      <c r="BA79" t="str">
        <f>'Space Types'!CR82</f>
        <v>Steel_Theater_Equipment_1mm</v>
      </c>
      <c r="BB79" t="str">
        <f>'Space Types'!CW82</f>
        <v>CalculatedEstimateConcessionStandAndTicketKiosksSteel_Theater_Equipment_1mmInternalMassDef</v>
      </c>
    </row>
    <row r="80" spans="1:54" x14ac:dyDescent="0.35">
      <c r="A80" t="str">
        <f>'Space Types'!A83</f>
        <v xml:space="preserve">CS Lobby - Performing Arts Theater  </v>
      </c>
      <c r="B80" t="str">
        <f>'Space Types'!B83</f>
        <v>2025_AU_NCC</v>
      </c>
      <c r="C80" t="str">
        <f>'Space Types'!C83</f>
        <v>Theater</v>
      </c>
      <c r="D80" t="str">
        <f>'Space Types'!D83</f>
        <v>Lobby</v>
      </c>
      <c r="E80">
        <f>'Space Types'!I83</f>
        <v>230</v>
      </c>
      <c r="F80">
        <f>'Space Types'!J83</f>
        <v>157</v>
      </c>
      <c r="G80">
        <f>'Space Types'!K83</f>
        <v>120</v>
      </c>
      <c r="H80" t="str">
        <f>'Space Types'!L83</f>
        <v>CS Lobby - Performing Arts Theater  _2025AUNCC</v>
      </c>
      <c r="I80" t="str">
        <f>'Space Types'!M83</f>
        <v>CS Lobby - Performing Arts Theater  _2025AUNCCScheduleSet</v>
      </c>
      <c r="J80">
        <f>'Space Types'!P83</f>
        <v>1.614587258</v>
      </c>
      <c r="K80">
        <f>'Space Types'!U83</f>
        <v>0</v>
      </c>
      <c r="L80">
        <f>'Space Types'!V83</f>
        <v>0</v>
      </c>
      <c r="M80">
        <f>'Space Types'!W83</f>
        <v>130</v>
      </c>
      <c r="N80">
        <f>'Space Types'!X83</f>
        <v>0.57692307700000001</v>
      </c>
      <c r="O80" t="str">
        <f>'Space Types'!AC83</f>
        <v>NCC S35C2nOther applications (non-dining)PeopleDef</v>
      </c>
      <c r="P80" t="str">
        <f>'Space Types'!AD83</f>
        <v>NECB-C-Occupancy</v>
      </c>
      <c r="Q80" t="str">
        <f>'Space Types'!AE83</f>
        <v>CS Lobby - Performing Arts Theater  Activity</v>
      </c>
      <c r="R80">
        <f>'Space Types'!AG83</f>
        <v>2.3596035865974517E-3</v>
      </c>
      <c r="S80">
        <f>'Space Types'!AI83</f>
        <v>3.0479999999999998E-4</v>
      </c>
      <c r="T80" t="str">
        <f>'Space Types'!AL83</f>
        <v/>
      </c>
      <c r="U80" t="str">
        <f>'Space Types'!AQ83</f>
        <v>Washington State Mechanical Code TABLE 403.3.1.1Theaters - LobbiesVent</v>
      </c>
      <c r="V80">
        <f>'Space Types'!AS83</f>
        <v>0</v>
      </c>
      <c r="W80">
        <f>'Space Types'!AT83</f>
        <v>0</v>
      </c>
      <c r="X80">
        <f>'Space Types'!AU83</f>
        <v>0.5</v>
      </c>
      <c r="Y80">
        <f>'Space Types'!AV83</f>
        <v>0</v>
      </c>
      <c r="Z80" t="str">
        <f>'Space Types'!AZ83</f>
        <v>NCC S35C2lClass 9b (Other applications) - no equipment load per S35C2l; radiant/latent/lost fraction split retained from original WA/COMNET-REV9 source (AIRAH Technical Handbook does not publish this split)CS Lobby - Performing Arts Theater  ElectricalEquipDef</v>
      </c>
      <c r="AA80" t="str">
        <f>'Space Types'!BA83</f>
        <v>NECB-C-Electric-Equipment</v>
      </c>
      <c r="AB80">
        <f>'Space Types'!BC83</f>
        <v>9</v>
      </c>
      <c r="AC80">
        <f>'Space Types'!BD83</f>
        <v>0.37</v>
      </c>
      <c r="AD80">
        <f>'Space Types'!BE83</f>
        <v>0.2</v>
      </c>
      <c r="AE80" t="str">
        <f>'Space Types'!BI83</f>
        <v>NCC J7D3aEntry lobby from outside the building; radiant/visible fraction split retained from original WA/COMNET-REV9 source (AIRAH Technical Handbook does not publish this split)LightingDef</v>
      </c>
      <c r="AF80" t="str">
        <f>'Space Types'!BJ83</f>
        <v>NECB-C-Lighting</v>
      </c>
      <c r="AG80">
        <f>'Space Types'!BM83</f>
        <v>0</v>
      </c>
      <c r="AH80">
        <f>'Space Types'!BN83</f>
        <v>0</v>
      </c>
      <c r="AI80">
        <f>'Space Types'!BO83</f>
        <v>0</v>
      </c>
      <c r="AJ80">
        <f>'Space Types'!BP83</f>
        <v>0</v>
      </c>
      <c r="AK80" t="str">
        <f>'Space Types'!BT83</f>
        <v/>
      </c>
      <c r="AL80" t="str">
        <f>'Space Types'!BU83</f>
        <v/>
      </c>
      <c r="AM80">
        <f>'Space Types'!BX83</f>
        <v>0</v>
      </c>
      <c r="AN80" t="str">
        <f>'Space Types'!CC83</f>
        <v>NCC S34C2(6)0.7 ACH assumed as design infiltration for periods without mechanical outdoor air supply; NCC also specifies 0.35 ACH when mechanical OA is operating (to be applied via infiltration schedule once developed)Space Function_Lobby - performance artsInfil</v>
      </c>
      <c r="AO80" t="str">
        <f>'Space Types'!CD83</f>
        <v>Always On</v>
      </c>
      <c r="AP80">
        <f>'Space Types'!CG83</f>
        <v>0</v>
      </c>
      <c r="AQ80">
        <f>'Space Types'!CH83</f>
        <v>3.01</v>
      </c>
      <c r="AR80">
        <f>'Space Types'!CI83</f>
        <v>0</v>
      </c>
      <c r="AS80" t="str">
        <f>'Space Types'!CJ83</f>
        <v>MediumRough</v>
      </c>
      <c r="AT80">
        <f>'Space Types'!CK83</f>
        <v>4.3E-3</v>
      </c>
      <c r="AU80">
        <f>'Space Types'!CL83</f>
        <v>3.32</v>
      </c>
      <c r="AV80">
        <f>'Space Types'!CM83</f>
        <v>1416</v>
      </c>
      <c r="AW80">
        <f>'Space Types'!CN83</f>
        <v>1196</v>
      </c>
      <c r="AX80">
        <f>'Space Types'!CO83</f>
        <v>0.9</v>
      </c>
      <c r="AY80">
        <f>'Space Types'!CP83</f>
        <v>0.7</v>
      </c>
      <c r="AZ80">
        <f>'Space Types'!CQ83</f>
        <v>0.65</v>
      </c>
      <c r="BA80" t="str">
        <f>'Space Types'!CR83</f>
        <v>Mixed_Theater_Lobby_4mm</v>
      </c>
      <c r="BB80" t="str">
        <f>'Space Types'!CW83</f>
        <v>CalculatedEstimateCarpetedLobbyWithBarAndSeatingMixed_Theater_Lobby_4mmInternalMassDef</v>
      </c>
    </row>
    <row r="81" spans="1:54" x14ac:dyDescent="0.35">
      <c r="A81" t="str">
        <f>'Space Types'!A84</f>
        <v>CS Lobby - Other</v>
      </c>
      <c r="B81" t="str">
        <f>'Space Types'!B84</f>
        <v>2025_AU_NCC</v>
      </c>
      <c r="C81" t="str">
        <f>'Space Types'!C84</f>
        <v>Miscellaneous</v>
      </c>
      <c r="D81" t="str">
        <f>'Space Types'!D84</f>
        <v>Lobby</v>
      </c>
      <c r="E81">
        <f>'Space Types'!I84</f>
        <v>230</v>
      </c>
      <c r="F81">
        <f>'Space Types'!J84</f>
        <v>157</v>
      </c>
      <c r="G81">
        <f>'Space Types'!K84</f>
        <v>120</v>
      </c>
      <c r="H81" t="str">
        <f>'Space Types'!L84</f>
        <v>CS Lobby - Other_2025AUNCC</v>
      </c>
      <c r="I81" t="str">
        <f>'Space Types'!M84</f>
        <v>CS Lobby - Other_2025AUNCCScheduleSet</v>
      </c>
      <c r="J81">
        <f>'Space Types'!P84</f>
        <v>0</v>
      </c>
      <c r="K81">
        <f>'Space Types'!U84</f>
        <v>0</v>
      </c>
      <c r="L81">
        <f>'Space Types'!V84</f>
        <v>0</v>
      </c>
      <c r="M81">
        <f>'Space Types'!W84</f>
        <v>130</v>
      </c>
      <c r="N81">
        <f>'Space Types'!X84</f>
        <v>0.57692307700000001</v>
      </c>
      <c r="O81" t="str">
        <f>'Space Types'!AC84</f>
        <v/>
      </c>
      <c r="P81" t="str">
        <f>'Space Types'!AD84</f>
        <v/>
      </c>
      <c r="Q81" t="str">
        <f>'Space Types'!AE84</f>
        <v/>
      </c>
      <c r="R81" t="str">
        <f>'Space Types'!AG84</f>
        <v/>
      </c>
      <c r="S81">
        <f>'Space Types'!AI84</f>
        <v>5.0800000000000003E-3</v>
      </c>
      <c r="T81" t="str">
        <f>'Space Types'!AL84</f>
        <v/>
      </c>
      <c r="U81" t="str">
        <f>'Space Types'!AQ84</f>
        <v>Washington State Mechanical Code TABLE 403.3.1.1Public spaces - Elevator lobbies in parking garageVent</v>
      </c>
      <c r="V81">
        <f>'Space Types'!AS84</f>
        <v>0</v>
      </c>
      <c r="W81">
        <f>'Space Types'!AT84</f>
        <v>0</v>
      </c>
      <c r="X81">
        <f>'Space Types'!AU84</f>
        <v>0</v>
      </c>
      <c r="Y81">
        <f>'Space Types'!AV84</f>
        <v>0</v>
      </c>
      <c r="Z81" t="str">
        <f>'Space Types'!AZ84</f>
        <v/>
      </c>
      <c r="AA81" t="str">
        <f>'Space Types'!BA84</f>
        <v/>
      </c>
      <c r="AB81">
        <f>'Space Types'!BC84</f>
        <v>9</v>
      </c>
      <c r="AC81">
        <f>'Space Types'!BD84</f>
        <v>0.37</v>
      </c>
      <c r="AD81">
        <f>'Space Types'!BE84</f>
        <v>0.2</v>
      </c>
      <c r="AE81" t="str">
        <f>'Space Types'!BI84</f>
        <v>NCC J7D3aEntry lobby from outside the building (general default); radiant/visible fraction split retained from original WA/COMNET-REV9 source (AIRAH Technical Handbook does not publish this split)LightingDef</v>
      </c>
      <c r="AF81" t="str">
        <f>'Space Types'!BJ84</f>
        <v>NECB-C-Lighting</v>
      </c>
      <c r="AG81">
        <f>'Space Types'!BM84</f>
        <v>0</v>
      </c>
      <c r="AH81">
        <f>'Space Types'!BN84</f>
        <v>0</v>
      </c>
      <c r="AI81">
        <f>'Space Types'!BO84</f>
        <v>0</v>
      </c>
      <c r="AJ81">
        <f>'Space Types'!BP84</f>
        <v>0</v>
      </c>
      <c r="AK81" t="str">
        <f>'Space Types'!BT84</f>
        <v/>
      </c>
      <c r="AL81" t="str">
        <f>'Space Types'!BU84</f>
        <v/>
      </c>
      <c r="AM81">
        <f>'Space Types'!BX84</f>
        <v>0</v>
      </c>
      <c r="AN81" t="str">
        <f>'Space Types'!CC84</f>
        <v>NCC S34C2(6)0.7 ACH assumed as design infiltration for periods without mechanical outdoor air supply; NCC also specifies 0.35 ACH when mechanical OA is operating (to be applied via infiltration schedule once developed)Space Function_Lobby - otherInfil</v>
      </c>
      <c r="AO81" t="str">
        <f>'Space Types'!CD84</f>
        <v>Always On</v>
      </c>
      <c r="AP81">
        <f>'Space Types'!CG84</f>
        <v>0</v>
      </c>
      <c r="AQ81">
        <f>'Space Types'!CH84</f>
        <v>0.71</v>
      </c>
      <c r="AR81">
        <f>'Space Types'!CI84</f>
        <v>0</v>
      </c>
      <c r="AS81" t="str">
        <f>'Space Types'!CJ84</f>
        <v>MediumRough</v>
      </c>
      <c r="AT81">
        <f>'Space Types'!CK84</f>
        <v>2.8999999999999998E-3</v>
      </c>
      <c r="AU81">
        <f>'Space Types'!CL84</f>
        <v>24.6</v>
      </c>
      <c r="AV81">
        <f>'Space Types'!CM84</f>
        <v>1775</v>
      </c>
      <c r="AW81">
        <f>'Space Types'!CN84</f>
        <v>1112</v>
      </c>
      <c r="AX81">
        <f>'Space Types'!CO84</f>
        <v>0.9</v>
      </c>
      <c r="AY81">
        <f>'Space Types'!CP84</f>
        <v>0.7</v>
      </c>
      <c r="AZ81">
        <f>'Space Types'!CQ84</f>
        <v>0.7</v>
      </c>
      <c r="BA81" t="str">
        <f>'Space Types'!CR84</f>
        <v>Mixed_Commercial_Lobby_3mm</v>
      </c>
      <c r="BB81" t="str">
        <f>'Space Types'!CW84</f>
        <v>CalculatedEstimateBasicReceptionAndWaitingAreaMixed_Commercial_Lobby_3mmInternalMassDef</v>
      </c>
    </row>
    <row r="82" spans="1:54" x14ac:dyDescent="0.35">
      <c r="A82" t="str">
        <f>'Space Types'!A85</f>
        <v>CS Locker Room</v>
      </c>
      <c r="B82" t="str">
        <f>'Space Types'!B85</f>
        <v>2025_AU_NCC</v>
      </c>
      <c r="C82" t="str">
        <f>'Space Types'!C85</f>
        <v>Miscellaneous</v>
      </c>
      <c r="D82" t="str">
        <f>'Space Types'!D85</f>
        <v>Locker Room</v>
      </c>
      <c r="E82">
        <f>'Space Types'!I85</f>
        <v>0</v>
      </c>
      <c r="F82">
        <f>'Space Types'!J85</f>
        <v>153</v>
      </c>
      <c r="G82">
        <f>'Space Types'!K85</f>
        <v>153</v>
      </c>
      <c r="H82" t="str">
        <f>'Space Types'!L85</f>
        <v>CS Locker Room_2025AUNCC</v>
      </c>
      <c r="I82" t="str">
        <f>'Space Types'!M85</f>
        <v>CS Locker Room_2025AUNCCScheduleSet</v>
      </c>
      <c r="J82">
        <f>'Space Types'!P85</f>
        <v>0</v>
      </c>
      <c r="K82">
        <f>'Space Types'!U85</f>
        <v>0</v>
      </c>
      <c r="L82">
        <f>'Space Types'!V85</f>
        <v>0</v>
      </c>
      <c r="M82">
        <f>'Space Types'!W85</f>
        <v>130</v>
      </c>
      <c r="N82">
        <f>'Space Types'!X85</f>
        <v>0.57692307700000001</v>
      </c>
      <c r="O82" t="str">
        <f>'Space Types'!AC85</f>
        <v/>
      </c>
      <c r="P82" t="str">
        <f>'Space Types'!AD85</f>
        <v/>
      </c>
      <c r="Q82" t="str">
        <f>'Space Types'!AE85</f>
        <v/>
      </c>
      <c r="R82" t="str">
        <f>'Space Types'!AG85</f>
        <v/>
      </c>
      <c r="S82" t="str">
        <f>'Space Types'!AI85</f>
        <v/>
      </c>
      <c r="T82" t="str">
        <f>'Space Types'!AL85</f>
        <v/>
      </c>
      <c r="U82" t="str">
        <f>'Space Types'!AQ85</f>
        <v>Washington State Mechanical Code TABLE 403.3.1.1Education - Locker/dressing roomsVent</v>
      </c>
      <c r="V82">
        <f>'Space Types'!AS85</f>
        <v>0</v>
      </c>
      <c r="W82">
        <f>'Space Types'!AT85</f>
        <v>0.2</v>
      </c>
      <c r="X82">
        <f>'Space Types'!AU85</f>
        <v>0.5</v>
      </c>
      <c r="Y82">
        <f>'Space Types'!AV85</f>
        <v>0.1</v>
      </c>
      <c r="Z82" t="str">
        <f>'Space Types'!AZ85</f>
        <v>NCC S35C2lShared with host building class (Other applications) - no equipment load per S35C2l; radiant/latent/lost fraction split retained from original WA/COMNET-REV9 source (AIRAH Technical Handbook does not publish this split)CS Locker RoomElectricalEquipDef</v>
      </c>
      <c r="AA82" t="str">
        <f>'Space Types'!BA85</f>
        <v>SchoolSecondary BLDG_EQUIP_SCH</v>
      </c>
      <c r="AB82">
        <f>'Space Types'!BC85</f>
        <v>3</v>
      </c>
      <c r="AC82">
        <f>'Space Types'!BD85</f>
        <v>0.37</v>
      </c>
      <c r="AD82">
        <f>'Space Types'!BE85</f>
        <v>0.2</v>
      </c>
      <c r="AE82" t="str">
        <f>'Space Types'!BI85</f>
        <v>NCC J7D3aToilet, locker room, staff room, rest room and the like; radiant/visible fraction split retained from original WA/COMNET-REV9 source (AIRAH Technical Handbook does not publish this split)LightingDef</v>
      </c>
      <c r="AF82" t="str">
        <f>'Space Types'!BJ85</f>
        <v>SchoolSecondary BLDG_LIGHT_GYM_SCH</v>
      </c>
      <c r="AG82">
        <f>'Space Types'!BM85</f>
        <v>0</v>
      </c>
      <c r="AH82">
        <f>'Space Types'!BN85</f>
        <v>0</v>
      </c>
      <c r="AI82">
        <f>'Space Types'!BO85</f>
        <v>0</v>
      </c>
      <c r="AJ82">
        <f>'Space Types'!BP85</f>
        <v>0</v>
      </c>
      <c r="AK82" t="str">
        <f>'Space Types'!BT85</f>
        <v/>
      </c>
      <c r="AL82" t="str">
        <f>'Space Types'!BU85</f>
        <v/>
      </c>
      <c r="AM82">
        <f>'Space Types'!BX85</f>
        <v>0</v>
      </c>
      <c r="AN82" t="str">
        <f>'Space Types'!CC85</f>
        <v>NCC S34C2(6)0.7 ACH assumed as design infiltration for periods without mechanical outdoor air supply; NCC also specifies 0.35 ACH when mechanical OA is operating (to be applied via infiltration schedule once developed)Space Function_Locker roomInfil</v>
      </c>
      <c r="AO82" t="str">
        <f>'Space Types'!CD85</f>
        <v>Always On</v>
      </c>
      <c r="AP82">
        <f>'Space Types'!CG85</f>
        <v>0</v>
      </c>
      <c r="AQ82">
        <f>'Space Types'!CH85</f>
        <v>3.66</v>
      </c>
      <c r="AR82">
        <f>'Space Types'!CI85</f>
        <v>0</v>
      </c>
      <c r="AS82" t="str">
        <f>'Space Types'!CJ85</f>
        <v>Smooth</v>
      </c>
      <c r="AT82">
        <f>'Space Types'!CK85</f>
        <v>1.1000000000000001E-3</v>
      </c>
      <c r="AU82">
        <f>'Space Types'!CL85</f>
        <v>42.3</v>
      </c>
      <c r="AV82">
        <f>'Space Types'!CM85</f>
        <v>7003</v>
      </c>
      <c r="AW82">
        <f>'Space Types'!CN85</f>
        <v>567</v>
      </c>
      <c r="AX82">
        <f>'Space Types'!CO85</f>
        <v>0.9</v>
      </c>
      <c r="AY82">
        <f>'Space Types'!CP85</f>
        <v>0.7</v>
      </c>
      <c r="AZ82">
        <f>'Space Types'!CQ85</f>
        <v>0.7</v>
      </c>
      <c r="BA82" t="str">
        <f>'Space Types'!CR85</f>
        <v>Steel_LockerRoom_1mm</v>
      </c>
      <c r="BB82" t="str">
        <f>'Space Types'!CW85</f>
        <v>CalculatedEstimateMetalLockersAndBenchesSteel_LockerRoom_1mmInternalMassDef</v>
      </c>
    </row>
    <row r="83" spans="1:54" x14ac:dyDescent="0.35">
      <c r="A83" t="str">
        <f>'Space Types'!A86</f>
        <v>CS Lounge/Break - Healthcare</v>
      </c>
      <c r="B83" t="str">
        <f>'Space Types'!B86</f>
        <v>2025_AU_NCC</v>
      </c>
      <c r="C83" t="str">
        <f>'Space Types'!C86</f>
        <v>Healthcare</v>
      </c>
      <c r="D83" t="str">
        <f>'Space Types'!D86</f>
        <v>Lounge/Break</v>
      </c>
      <c r="E83">
        <f>'Space Types'!I86</f>
        <v>230</v>
      </c>
      <c r="F83">
        <f>'Space Types'!J86</f>
        <v>157</v>
      </c>
      <c r="G83">
        <f>'Space Types'!K86</f>
        <v>120</v>
      </c>
      <c r="H83" t="str">
        <f>'Space Types'!L86</f>
        <v>CS Lounge/Break - Healthcare_2025AUNCC</v>
      </c>
      <c r="I83" t="str">
        <f>'Space Types'!M86</f>
        <v>CS Lounge/Break - Healthcare_2025AUNCCScheduleSet</v>
      </c>
      <c r="J83">
        <f>'Space Types'!P86</f>
        <v>0.26909787600000001</v>
      </c>
      <c r="K83">
        <f>'Space Types'!U86</f>
        <v>0</v>
      </c>
      <c r="L83">
        <f>'Space Types'!V86</f>
        <v>0</v>
      </c>
      <c r="M83">
        <f>'Space Types'!W86</f>
        <v>130</v>
      </c>
      <c r="N83">
        <f>'Space Types'!X86</f>
        <v>0.57692307700000001</v>
      </c>
      <c r="O83" t="str">
        <f>'Space Types'!AC86</f>
        <v>NCC S35C2nOther applications (non-dining)PeopleDef</v>
      </c>
      <c r="P83" t="str">
        <f>'Space Types'!AD86</f>
        <v>OutPatientHealthCare BLDG_OCC_SCH</v>
      </c>
      <c r="Q83" t="str">
        <f>'Space Types'!AE86</f>
        <v>CS Lounge/Break - HealthcareActivity</v>
      </c>
      <c r="R83">
        <f>'Space Types'!AG86</f>
        <v>2.3596035865974517E-3</v>
      </c>
      <c r="S83">
        <f>'Space Types'!AI86</f>
        <v>3.0479999999999998E-4</v>
      </c>
      <c r="T83" t="str">
        <f>'Space Types'!AL86</f>
        <v/>
      </c>
      <c r="U83" t="str">
        <f>'Space Types'!AQ86</f>
        <v>Washington State Mechanical Code TABLE 403.3.1.1Office - KitchenettesVent</v>
      </c>
      <c r="V83">
        <f>'Space Types'!AS86</f>
        <v>5</v>
      </c>
      <c r="W83">
        <f>'Space Types'!AT86</f>
        <v>0</v>
      </c>
      <c r="X83">
        <f>'Space Types'!AU86</f>
        <v>0.5</v>
      </c>
      <c r="Y83">
        <f>'Space Types'!AV86</f>
        <v>0</v>
      </c>
      <c r="Z83" t="str">
        <f>'Space Types'!AZ86</f>
        <v>NCC S35C2lClass 9a ward area (support default); radiant/latent/lost fraction split retained from original WA/COMNET-REV9 source (AIRAH Technical Handbook does not publish this split)CS Lounge/Break - HealthcareElectricalEquipDef</v>
      </c>
      <c r="AA83" t="str">
        <f>'Space Types'!BA86</f>
        <v>OutPatientHealthCare BLDG_EQUIP_SCH_BASE</v>
      </c>
      <c r="AB83">
        <f>'Space Types'!BC86</f>
        <v>3</v>
      </c>
      <c r="AC83">
        <f>'Space Types'!BD86</f>
        <v>0.37</v>
      </c>
      <c r="AD83">
        <f>'Space Types'!BE86</f>
        <v>0.2</v>
      </c>
      <c r="AE83" t="str">
        <f>'Space Types'!BI86</f>
        <v>NCC J7D3aToilet, locker room, staff room, rest room and the like (staff break/lounge fit); radiant/visible fraction split retained from original WA/COMNET-REV9 source (AIRAH Technical Handbook does not publish this split)LightingDef</v>
      </c>
      <c r="AF83" t="str">
        <f>'Space Types'!BJ86</f>
        <v>OutPatientHealthCare BLDG_LIGHT_SCH</v>
      </c>
      <c r="AG83">
        <f>'Space Types'!BM86</f>
        <v>0</v>
      </c>
      <c r="AH83">
        <f>'Space Types'!BN86</f>
        <v>0</v>
      </c>
      <c r="AI83">
        <f>'Space Types'!BO86</f>
        <v>0</v>
      </c>
      <c r="AJ83">
        <f>'Space Types'!BP86</f>
        <v>0</v>
      </c>
      <c r="AK83" t="str">
        <f>'Space Types'!BT86</f>
        <v/>
      </c>
      <c r="AL83" t="str">
        <f>'Space Types'!BU86</f>
        <v/>
      </c>
      <c r="AM83">
        <f>'Space Types'!BX86</f>
        <v>0</v>
      </c>
      <c r="AN83" t="str">
        <f>'Space Types'!CC86</f>
        <v>NCC S34C2(6)0.7 ACH assumed as design infiltration for periods without mechanical outdoor air supply; NCC also specifies 0.35 ACH when mechanical OA is operating (to be applied via infiltration schedule once developed)Outpatient_LoungeInfil</v>
      </c>
      <c r="AO83" t="str">
        <f>'Space Types'!CD86</f>
        <v>OutPatientHealthCare INFIL_SCH</v>
      </c>
      <c r="AP83">
        <f>'Space Types'!CG86</f>
        <v>0</v>
      </c>
      <c r="AQ83">
        <f>'Space Types'!CH86</f>
        <v>2.29</v>
      </c>
      <c r="AR83">
        <f>'Space Types'!CI86</f>
        <v>0</v>
      </c>
      <c r="AS83" t="str">
        <f>'Space Types'!CJ86</f>
        <v>MediumRough</v>
      </c>
      <c r="AT83">
        <f>'Space Types'!CK86</f>
        <v>2.2000000000000001E-3</v>
      </c>
      <c r="AU83">
        <f>'Space Types'!CL86</f>
        <v>15.9</v>
      </c>
      <c r="AV83">
        <f>'Space Types'!CM86</f>
        <v>2558</v>
      </c>
      <c r="AW83">
        <f>'Space Types'!CN86</f>
        <v>1034</v>
      </c>
      <c r="AX83">
        <f>'Space Types'!CO86</f>
        <v>0.9</v>
      </c>
      <c r="AY83">
        <f>'Space Types'!CP86</f>
        <v>0.7</v>
      </c>
      <c r="AZ83">
        <f>'Space Types'!CQ86</f>
        <v>0.7</v>
      </c>
      <c r="BA83" t="str">
        <f>'Space Types'!CR86</f>
        <v>Mixed_Healthcare_Lounge_2mm</v>
      </c>
      <c r="BB83" t="str">
        <f>'Space Types'!CW86</f>
        <v>CalculatedEstimateKitchenetteAndDiningFurnitureMixed_Healthcare_Lounge_2mmInternalMassDef</v>
      </c>
    </row>
    <row r="84" spans="1:54" x14ac:dyDescent="0.35">
      <c r="A84" t="str">
        <f>'Space Types'!A87</f>
        <v>CS Lounge/Break - Other</v>
      </c>
      <c r="B84" t="str">
        <f>'Space Types'!B87</f>
        <v>2025_AU_NCC</v>
      </c>
      <c r="C84" t="str">
        <f>'Space Types'!C87</f>
        <v>Miscellaneous</v>
      </c>
      <c r="D84" t="str">
        <f>'Space Types'!D87</f>
        <v>Lounge/Break</v>
      </c>
      <c r="E84">
        <f>'Space Types'!I87</f>
        <v>230</v>
      </c>
      <c r="F84">
        <f>'Space Types'!J87</f>
        <v>157</v>
      </c>
      <c r="G84">
        <f>'Space Types'!K87</f>
        <v>120</v>
      </c>
      <c r="H84" t="str">
        <f>'Space Types'!L87</f>
        <v>CS Lounge/Break - Other_2025AUNCC</v>
      </c>
      <c r="I84" t="str">
        <f>'Space Types'!M87</f>
        <v>CS Lounge/Break - Other_2025AUNCCScheduleSet</v>
      </c>
      <c r="J84">
        <f>'Space Types'!P87</f>
        <v>0.26909787600000001</v>
      </c>
      <c r="K84">
        <f>'Space Types'!U87</f>
        <v>0</v>
      </c>
      <c r="L84">
        <f>'Space Types'!V87</f>
        <v>0</v>
      </c>
      <c r="M84">
        <f>'Space Types'!W87</f>
        <v>130</v>
      </c>
      <c r="N84">
        <f>'Space Types'!X87</f>
        <v>0.57692307700000001</v>
      </c>
      <c r="O84" t="str">
        <f>'Space Types'!AC87</f>
        <v>NCC S35C2nOther applications (non-dining)PeopleDef</v>
      </c>
      <c r="P84" t="str">
        <f>'Space Types'!AD87</f>
        <v>OfficeMedium BLDG_OCC_SCH</v>
      </c>
      <c r="Q84" t="str">
        <f>'Space Types'!AE87</f>
        <v>CS Lounge/Break - OtherActivity</v>
      </c>
      <c r="R84">
        <f>'Space Types'!AG87</f>
        <v>2.3596035865974517E-3</v>
      </c>
      <c r="S84">
        <f>'Space Types'!AI87</f>
        <v>3.0479999999999998E-4</v>
      </c>
      <c r="T84" t="str">
        <f>'Space Types'!AL87</f>
        <v/>
      </c>
      <c r="U84" t="str">
        <f>'Space Types'!AQ87</f>
        <v>Washington State Mechanical Code TABLE 403.3.1.1Office - KitchenettesVent</v>
      </c>
      <c r="V84">
        <f>'Space Types'!AS87</f>
        <v>0</v>
      </c>
      <c r="W84">
        <f>'Space Types'!AT87</f>
        <v>0.25</v>
      </c>
      <c r="X84">
        <f>'Space Types'!AU87</f>
        <v>0.3</v>
      </c>
      <c r="Y84">
        <f>'Space Types'!AV87</f>
        <v>0</v>
      </c>
      <c r="Z84" t="str">
        <f>'Space Types'!AZ87</f>
        <v>NCC S35C2lBA OfficeShared with host building class (Other applications) - no equipment load per S35C2l; radiant/latent/lost fraction split retained from original WA/COMNET-REV9 source (AIRAH Technical Handbook does not publish this split)CS Lounge/Break - OtherElectricalEquipDef</v>
      </c>
      <c r="AA84" t="str">
        <f>'Space Types'!BA87</f>
        <v>OfficeMedium BLDG_EQUIP_SCH</v>
      </c>
      <c r="AB84">
        <f>'Space Types'!BC87</f>
        <v>3</v>
      </c>
      <c r="AC84">
        <f>'Space Types'!BD87</f>
        <v>0.37</v>
      </c>
      <c r="AD84">
        <f>'Space Types'!BE87</f>
        <v>0.2</v>
      </c>
      <c r="AE84" t="str">
        <f>'Space Types'!BI87</f>
        <v>NCC J7D3aToilet, locker room, staff room, rest room and the like; radiant/visible fraction split retained from original WA/COMNET-REV9 source (AIRAH Technical Handbook does not publish this split)LightingDef</v>
      </c>
      <c r="AF84" t="str">
        <f>'Space Types'!BJ87</f>
        <v>OfficeMedium BLDG_LIGHT_SCH_2013</v>
      </c>
      <c r="AG84">
        <f>'Space Types'!BM87</f>
        <v>0</v>
      </c>
      <c r="AH84">
        <f>'Space Types'!BN87</f>
        <v>0</v>
      </c>
      <c r="AI84">
        <f>'Space Types'!BO87</f>
        <v>0</v>
      </c>
      <c r="AJ84">
        <f>'Space Types'!BP87</f>
        <v>0</v>
      </c>
      <c r="AK84" t="str">
        <f>'Space Types'!BT87</f>
        <v/>
      </c>
      <c r="AL84" t="str">
        <f>'Space Types'!BU87</f>
        <v/>
      </c>
      <c r="AM84">
        <f>'Space Types'!BX87</f>
        <v>0</v>
      </c>
      <c r="AN84" t="str">
        <f>'Space Types'!CC87</f>
        <v>NCC S34C2(6)0.7 ACH assumed as design infiltration for periods without mechanical outdoor air supply; NCC also specifies 0.35 ACH when mechanical OA is operating (to be applied via infiltration schedule once developed)Office_BreakRoomInfil</v>
      </c>
      <c r="AO84" t="str">
        <f>'Space Types'!CD87</f>
        <v>OfficeMedium INFIL_SCH_PNNL</v>
      </c>
      <c r="AP84">
        <f>'Space Types'!CG87</f>
        <v>0</v>
      </c>
      <c r="AQ84">
        <f>'Space Types'!CH87</f>
        <v>2.83</v>
      </c>
      <c r="AR84">
        <f>'Space Types'!CI87</f>
        <v>0</v>
      </c>
      <c r="AS84" t="str">
        <f>'Space Types'!CJ87</f>
        <v>Smooth</v>
      </c>
      <c r="AT84">
        <f>'Space Types'!CK87</f>
        <v>1.9E-3</v>
      </c>
      <c r="AU84">
        <f>'Space Types'!CL87</f>
        <v>23.7</v>
      </c>
      <c r="AV84">
        <f>'Space Types'!CM87</f>
        <v>4488</v>
      </c>
      <c r="AW84">
        <f>'Space Types'!CN87</f>
        <v>869</v>
      </c>
      <c r="AX84">
        <f>'Space Types'!CO87</f>
        <v>0.9</v>
      </c>
      <c r="AY84">
        <f>'Space Types'!CP87</f>
        <v>0.7</v>
      </c>
      <c r="AZ84">
        <f>'Space Types'!CQ87</f>
        <v>0.7</v>
      </c>
      <c r="BA84" t="str">
        <f>'Space Types'!CR87</f>
        <v>Steel_Break_Room_2mm</v>
      </c>
      <c r="BB84" t="str">
        <f>'Space Types'!CW87</f>
        <v>CalculatedEstimateVendingMachinesAndKitchenetteSteel_Break_Room_2mmInternalMassDef</v>
      </c>
    </row>
    <row r="85" spans="1:54" x14ac:dyDescent="0.35">
      <c r="A85" t="str">
        <f>'Space Types'!A88</f>
        <v>CS Office - Enclosed</v>
      </c>
      <c r="B85" t="str">
        <f>'Space Types'!B88</f>
        <v>2025_AU_NCC</v>
      </c>
      <c r="C85" t="str">
        <f>'Space Types'!C88</f>
        <v>Office</v>
      </c>
      <c r="D85" t="str">
        <f>'Space Types'!D88</f>
        <v>Office - Enclosed</v>
      </c>
      <c r="E85">
        <f>'Space Types'!I88</f>
        <v>120</v>
      </c>
      <c r="F85">
        <f>'Space Types'!J88</f>
        <v>230</v>
      </c>
      <c r="G85">
        <f>'Space Types'!K88</f>
        <v>199</v>
      </c>
      <c r="H85" t="str">
        <f>'Space Types'!L88</f>
        <v>CS Office - Enclosed_2025AUNCC</v>
      </c>
      <c r="I85" t="str">
        <f>'Space Types'!M88</f>
        <v>CS Office - Enclosed_2025AUNCCScheduleSet</v>
      </c>
      <c r="J85">
        <f>'Space Types'!P88</f>
        <v>5.3819575000000001E-2</v>
      </c>
      <c r="K85">
        <f>'Space Types'!U88</f>
        <v>0</v>
      </c>
      <c r="L85">
        <f>'Space Types'!V88</f>
        <v>0</v>
      </c>
      <c r="M85">
        <f>'Space Types'!W88</f>
        <v>130</v>
      </c>
      <c r="N85">
        <f>'Space Types'!X88</f>
        <v>0.57692307700000001</v>
      </c>
      <c r="O85" t="str">
        <f>'Space Types'!AC88</f>
        <v>NCC S35C2nClass 5 (Office) - Other applications (non-dining)PeopleDef</v>
      </c>
      <c r="P85" t="str">
        <f>'Space Types'!AD88</f>
        <v>OfficeMedium BLDG_OCC_SCH</v>
      </c>
      <c r="Q85" t="str">
        <f>'Space Types'!AE88</f>
        <v>CS Office - EnclosedActivity</v>
      </c>
      <c r="R85">
        <f>'Space Types'!AG88</f>
        <v>2.3596035865974517E-3</v>
      </c>
      <c r="S85">
        <f>'Space Types'!AI88</f>
        <v>3.0479999999999998E-4</v>
      </c>
      <c r="T85" t="str">
        <f>'Space Types'!AL88</f>
        <v/>
      </c>
      <c r="U85" t="str">
        <f>'Space Types'!AQ88</f>
        <v>Washington State Mechanical Code TABLE 403.3.1.1Office - Office spacesVent</v>
      </c>
      <c r="V85">
        <f>'Space Types'!AS88</f>
        <v>11</v>
      </c>
      <c r="W85">
        <f>'Space Types'!AT88</f>
        <v>0</v>
      </c>
      <c r="X85">
        <f>'Space Types'!AU88</f>
        <v>0.5</v>
      </c>
      <c r="Y85">
        <f>'Space Types'!AV88</f>
        <v>0</v>
      </c>
      <c r="Z85" t="str">
        <f>'Space Types'!AZ88</f>
        <v>NCC S35C2lCOMNET-REV9NCC S35C2l for equipment W/m2; radiant/latent/lost fraction split retained from original WA/COMNET-REV9 source (AIRAH Technical Handbook does not publish this split)CS Office - EnclosedElectricalEquipDef</v>
      </c>
      <c r="AA85" t="str">
        <f>'Space Types'!BA88</f>
        <v>OfficeMedium BLDG_EQUIP_SCH</v>
      </c>
      <c r="AB85">
        <f>'Space Types'!BC88</f>
        <v>4.5</v>
      </c>
      <c r="AC85">
        <f>'Space Types'!BD88</f>
        <v>0.37</v>
      </c>
      <c r="AD85">
        <f>'Space Types'!BE88</f>
        <v>0.2</v>
      </c>
      <c r="AE85" t="str">
        <f>'Space Types'!BI88</f>
        <v>NCC J7D3aCOMNET-REV9NCC J7D3a for lighting W/m2 (office &gt;= 200 lux row); radiant/visible fraction split retained from original WA/COMNET-REV9 source (AIRAH Technical Handbook does not publish this split)LightingDef</v>
      </c>
      <c r="AF85" t="str">
        <f>'Space Types'!BJ88</f>
        <v>OfficeMedium BLDG_LIGHT_SCH_2013</v>
      </c>
      <c r="AG85">
        <f>'Space Types'!BM88</f>
        <v>0</v>
      </c>
      <c r="AH85">
        <f>'Space Types'!BN88</f>
        <v>0</v>
      </c>
      <c r="AI85">
        <f>'Space Types'!BO88</f>
        <v>0</v>
      </c>
      <c r="AJ85">
        <f>'Space Types'!BP88</f>
        <v>0</v>
      </c>
      <c r="AK85" t="str">
        <f>'Space Types'!BT88</f>
        <v/>
      </c>
      <c r="AL85" t="str">
        <f>'Space Types'!BU88</f>
        <v/>
      </c>
      <c r="AM85">
        <f>'Space Types'!BX88</f>
        <v>0</v>
      </c>
      <c r="AN85" t="str">
        <f>'Space Types'!CC88</f>
        <v>NCC S34C2(6)0.7 ACH assumed as design infiltration for periods without mechanical outdoor air supply; NCC also specifies 0.35 ACH when mechanical OA is operating (to be applied via infiltration schedule once developed)Office_ClosedOfficeInfil</v>
      </c>
      <c r="AO85" t="str">
        <f>'Space Types'!CD88</f>
        <v>OfficeMedium INFIL_SCH_PNNL</v>
      </c>
      <c r="AP85">
        <f>'Space Types'!CG88</f>
        <v>0</v>
      </c>
      <c r="AQ85">
        <f>'Space Types'!CH88</f>
        <v>2.99</v>
      </c>
      <c r="AR85">
        <f>'Space Types'!CI88</f>
        <v>0</v>
      </c>
      <c r="AS85" t="str">
        <f>'Space Types'!CJ88</f>
        <v>Smooth</v>
      </c>
      <c r="AT85">
        <f>'Space Types'!CK88</f>
        <v>1.4E-3</v>
      </c>
      <c r="AU85">
        <f>'Space Types'!CL88</f>
        <v>23.9</v>
      </c>
      <c r="AV85">
        <f>'Space Types'!CM88</f>
        <v>4513</v>
      </c>
      <c r="AW85">
        <f>'Space Types'!CN88</f>
        <v>864</v>
      </c>
      <c r="AX85">
        <f>'Space Types'!CO88</f>
        <v>0.9</v>
      </c>
      <c r="AY85">
        <f>'Space Types'!CP88</f>
        <v>0.7</v>
      </c>
      <c r="AZ85">
        <f>'Space Types'!CQ88</f>
        <v>0.7</v>
      </c>
      <c r="BA85" t="str">
        <f>'Space Types'!CR88</f>
        <v>Steel_Office_Furniture_1mm</v>
      </c>
      <c r="BB85" t="str">
        <f>'Space Types'!CW88</f>
        <v>CalculatedEstimateDeskFilingCabinetsAndBookshelfSteel_Office_Furniture_1mmInternalMassDef</v>
      </c>
    </row>
    <row r="86" spans="1:54" x14ac:dyDescent="0.35">
      <c r="A86" t="str">
        <f>'Space Types'!A89</f>
        <v>CS Office - Open Plan</v>
      </c>
      <c r="B86" t="str">
        <f>'Space Types'!B89</f>
        <v>2025_AU_NCC</v>
      </c>
      <c r="C86" t="str">
        <f>'Space Types'!C89</f>
        <v>Office</v>
      </c>
      <c r="D86" t="str">
        <f>'Space Types'!D89</f>
        <v>Office - Open Plan</v>
      </c>
      <c r="E86">
        <f>'Space Types'!I89</f>
        <v>120</v>
      </c>
      <c r="F86">
        <f>'Space Types'!J89</f>
        <v>230</v>
      </c>
      <c r="G86">
        <f>'Space Types'!K89</f>
        <v>199</v>
      </c>
      <c r="H86" t="str">
        <f>'Space Types'!L89</f>
        <v>CS Office - Open Plan_2025AUNCC</v>
      </c>
      <c r="I86" t="str">
        <f>'Space Types'!M89</f>
        <v>CS Office - Open Plan_2025AUNCCScheduleSet</v>
      </c>
      <c r="J86">
        <f>'Space Types'!P89</f>
        <v>0.64583490300000002</v>
      </c>
      <c r="K86">
        <f>'Space Types'!U89</f>
        <v>0</v>
      </c>
      <c r="L86">
        <f>'Space Types'!V89</f>
        <v>0</v>
      </c>
      <c r="M86">
        <f>'Space Types'!W89</f>
        <v>130</v>
      </c>
      <c r="N86">
        <f>'Space Types'!X89</f>
        <v>0.57692307700000001</v>
      </c>
      <c r="O86" t="str">
        <f>'Space Types'!AC89</f>
        <v>NCC S35C2nClass 5 (Office) - Other applications (non-dining)PeopleDef</v>
      </c>
      <c r="P86" t="str">
        <f>'Space Types'!AD89</f>
        <v>OfficeMedium BLDG_OCC_SCH</v>
      </c>
      <c r="Q86" t="str">
        <f>'Space Types'!AE89</f>
        <v>CS Office - Open PlanActivity</v>
      </c>
      <c r="R86">
        <f>'Space Types'!AG89</f>
        <v>2.3596035865974517E-3</v>
      </c>
      <c r="S86">
        <f>'Space Types'!AI89</f>
        <v>3.0479999999999998E-4</v>
      </c>
      <c r="T86" t="str">
        <f>'Space Types'!AL89</f>
        <v/>
      </c>
      <c r="U86" t="str">
        <f>'Space Types'!AQ89</f>
        <v>ASHRAE 62.1-2019Office Buildings - Telephone/data entryVent</v>
      </c>
      <c r="V86">
        <f>'Space Types'!AS89</f>
        <v>11</v>
      </c>
      <c r="W86">
        <f>'Space Types'!AT89</f>
        <v>0</v>
      </c>
      <c r="X86">
        <f>'Space Types'!AU89</f>
        <v>0.5</v>
      </c>
      <c r="Y86">
        <f>'Space Types'!AV89</f>
        <v>0</v>
      </c>
      <c r="Z86" t="str">
        <f>'Space Types'!AZ89</f>
        <v>NCC S35C2lCOMNET-REV9NCC S35C2l for equipment W/m2; radiant/latent/lost fraction split retained from original WA/COMNET-REV9 source (AIRAH Technical Handbook does not publish this split)CS Office - Open PlanElectricalEquipDef</v>
      </c>
      <c r="AA86" t="str">
        <f>'Space Types'!BA89</f>
        <v>OfficeMedium BLDG_EQUIP_SCH</v>
      </c>
      <c r="AB86">
        <f>'Space Types'!BC89</f>
        <v>4.5</v>
      </c>
      <c r="AC86">
        <f>'Space Types'!BD89</f>
        <v>0.37</v>
      </c>
      <c r="AD86">
        <f>'Space Types'!BE89</f>
        <v>0.2</v>
      </c>
      <c r="AE86" t="str">
        <f>'Space Types'!BI89</f>
        <v>NCC J7D3aCOMNET-REV9NCC J7D3a for lighting W/m2 (office &gt;= 200 lux row); radiant/visible fraction split retained from original WA/COMNET-REV9 source (AIRAH Technical Handbook does not publish this split)LightingDef</v>
      </c>
      <c r="AF86" t="str">
        <f>'Space Types'!BJ89</f>
        <v>OfficeMedium BLDG_LIGHT_SCH_2013</v>
      </c>
      <c r="AG86">
        <f>'Space Types'!BM89</f>
        <v>0</v>
      </c>
      <c r="AH86">
        <f>'Space Types'!BN89</f>
        <v>0</v>
      </c>
      <c r="AI86">
        <f>'Space Types'!BO89</f>
        <v>0</v>
      </c>
      <c r="AJ86">
        <f>'Space Types'!BP89</f>
        <v>0</v>
      </c>
      <c r="AK86" t="str">
        <f>'Space Types'!BT89</f>
        <v/>
      </c>
      <c r="AL86" t="str">
        <f>'Space Types'!BU89</f>
        <v/>
      </c>
      <c r="AM86">
        <f>'Space Types'!BX89</f>
        <v>0</v>
      </c>
      <c r="AN86" t="str">
        <f>'Space Types'!CC89</f>
        <v>NCC S34C2(6)0.7 ACH assumed as design infiltration for periods without mechanical outdoor air supply; NCC also specifies 0.35 ACH when mechanical OA is operating (to be applied via infiltration schedule once developed)Office_OpenOfficeInfil</v>
      </c>
      <c r="AO86" t="str">
        <f>'Space Types'!CD89</f>
        <v>OfficeMedium INFIL_SCH_PNNL</v>
      </c>
      <c r="AP86">
        <f>'Space Types'!CG89</f>
        <v>0</v>
      </c>
      <c r="AQ86">
        <f>'Space Types'!CH89</f>
        <v>3.22</v>
      </c>
      <c r="AR86">
        <f>'Space Types'!CI89</f>
        <v>0</v>
      </c>
      <c r="AS86" t="str">
        <f>'Space Types'!CJ89</f>
        <v>MediumRough</v>
      </c>
      <c r="AT86">
        <f>'Space Types'!CK89</f>
        <v>5.4999999999999997E-3</v>
      </c>
      <c r="AU86">
        <f>'Space Types'!CL89</f>
        <v>8.98</v>
      </c>
      <c r="AV86">
        <f>'Space Types'!CM89</f>
        <v>2130</v>
      </c>
      <c r="AW86">
        <f>'Space Types'!CN89</f>
        <v>1138</v>
      </c>
      <c r="AX86">
        <f>'Space Types'!CO89</f>
        <v>0.9</v>
      </c>
      <c r="AY86">
        <f>'Space Types'!CP89</f>
        <v>0.7</v>
      </c>
      <c r="AZ86">
        <f>'Space Types'!CQ89</f>
        <v>0.7</v>
      </c>
      <c r="BA86" t="str">
        <f>'Space Types'!CR89</f>
        <v>Particleboard_Office_Panels_5mm</v>
      </c>
      <c r="BB86" t="str">
        <f>'Space Types'!CW89</f>
        <v>CalculatedEstimateCubiclePanelsAndWorkstationsParticleboard_Office_Panels_5mmInternalMassDef</v>
      </c>
    </row>
    <row r="87" spans="1:54" x14ac:dyDescent="0.35">
      <c r="A87" t="str">
        <f>'Space Types'!A90</f>
        <v>CS Parking Area - Interior</v>
      </c>
      <c r="B87" t="str">
        <f>'Space Types'!B90</f>
        <v>2025_AU_NCC</v>
      </c>
      <c r="C87" t="str">
        <f>'Space Types'!C90</f>
        <v>Parking Garage</v>
      </c>
      <c r="D87" t="str">
        <f>'Space Types'!D90</f>
        <v>Parking Area - Interior</v>
      </c>
      <c r="E87">
        <f>'Space Types'!I90</f>
        <v>153</v>
      </c>
      <c r="F87">
        <f>'Space Types'!J90</f>
        <v>0</v>
      </c>
      <c r="G87">
        <f>'Space Types'!K90</f>
        <v>76</v>
      </c>
      <c r="H87" t="str">
        <f>'Space Types'!L90</f>
        <v>CS Parking Area - Interior_2025AUNCC</v>
      </c>
      <c r="I87" t="str">
        <f>'Space Types'!M90</f>
        <v>CS Parking Area - Interior_2025AUNCCScheduleSet</v>
      </c>
      <c r="J87">
        <f>'Space Types'!P90</f>
        <v>0</v>
      </c>
      <c r="K87">
        <f>'Space Types'!U90</f>
        <v>0</v>
      </c>
      <c r="L87">
        <f>'Space Types'!V90</f>
        <v>0</v>
      </c>
      <c r="M87">
        <f>'Space Types'!W90</f>
        <v>130</v>
      </c>
      <c r="N87">
        <f>'Space Types'!X90</f>
        <v>0.57692307700000001</v>
      </c>
      <c r="O87" t="str">
        <f>'Space Types'!AC90</f>
        <v/>
      </c>
      <c r="P87" t="str">
        <f>'Space Types'!AD90</f>
        <v/>
      </c>
      <c r="Q87" t="str">
        <f>'Space Types'!AE90</f>
        <v/>
      </c>
      <c r="R87" t="str">
        <f>'Space Types'!AG90</f>
        <v/>
      </c>
      <c r="S87" t="str">
        <f>'Space Types'!AI90</f>
        <v/>
      </c>
      <c r="T87" t="str">
        <f>'Space Types'!AL90</f>
        <v/>
      </c>
      <c r="U87" t="str">
        <f>'Space Types'!AQ90</f>
        <v>Washington State Mechanical Code TABLE 403.3.1.1Storage_Repair garages_enclosed parking garageVent</v>
      </c>
      <c r="V87">
        <f>'Space Types'!AS90</f>
        <v>0</v>
      </c>
      <c r="W87">
        <f>'Space Types'!AT90</f>
        <v>0</v>
      </c>
      <c r="X87">
        <f>'Space Types'!AU90</f>
        <v>0.06</v>
      </c>
      <c r="Y87">
        <f>'Space Types'!AV90</f>
        <v>0.88</v>
      </c>
      <c r="Z87" t="str">
        <f>'Space Types'!AZ90</f>
        <v>NCC S35C2lClass 7a (Other applications) - no equipment load per S35C2l; radiant/latent/lost fraction split retained from original WA/COMNET-REV9 source (AIRAH Technical Handbook does not publish this split)CS Parking Area - InteriorElectricalEquipDef</v>
      </c>
      <c r="AA87" t="str">
        <f>'Space Types'!BA90</f>
        <v>NECB-H-Electric-Equipment</v>
      </c>
      <c r="AB87">
        <f>'Space Types'!BC90</f>
        <v>2</v>
      </c>
      <c r="AC87">
        <f>'Space Types'!BD90</f>
        <v>0.37</v>
      </c>
      <c r="AD87">
        <f>'Space Types'!BE90</f>
        <v>0.2</v>
      </c>
      <c r="AE87" t="str">
        <f>'Space Types'!BI90</f>
        <v>NCC J7D3aCarpark - general; radiant/visible fraction split retained from original WA/COMNET-REV9 source (AIRAH Technical Handbook does not publish this split)LightingDef</v>
      </c>
      <c r="AF87" t="str">
        <f>'Space Types'!BJ90</f>
        <v>NECB-H-Lighting</v>
      </c>
      <c r="AG87" t="str">
        <f>'Space Types'!BM90</f>
        <v/>
      </c>
      <c r="AH87" t="str">
        <f>'Space Types'!BN90</f>
        <v/>
      </c>
      <c r="AI87" t="str">
        <f>'Space Types'!BO90</f>
        <v/>
      </c>
      <c r="AJ87" t="str">
        <f>'Space Types'!BP90</f>
        <v/>
      </c>
      <c r="AK87" t="str">
        <f>'Space Types'!BT90</f>
        <v/>
      </c>
      <c r="AL87" t="str">
        <f>'Space Types'!BU90</f>
        <v/>
      </c>
      <c r="AM87">
        <f>'Space Types'!BX90</f>
        <v>0</v>
      </c>
      <c r="AN87" t="str">
        <f>'Space Types'!CC90</f>
        <v>NCC S34C2(6)0.7 ACH assumed as design infiltration for periods without mechanical outdoor air supply; NCC also specifies 0.35 ACH when mechanical OA is operating (to be applied via infiltration schedule once developed)Space Function_Parking garage spaceInfil</v>
      </c>
      <c r="AO87" t="str">
        <f>'Space Types'!CD90</f>
        <v>Always On</v>
      </c>
      <c r="AP87">
        <f>'Space Types'!CG90</f>
        <v>0</v>
      </c>
      <c r="AQ87">
        <f>'Space Types'!CH90</f>
        <v>2.68</v>
      </c>
      <c r="AR87">
        <f>'Space Types'!CI90</f>
        <v>0</v>
      </c>
      <c r="AS87" t="str">
        <f>'Space Types'!CJ90</f>
        <v>Smooth</v>
      </c>
      <c r="AT87">
        <f>'Space Types'!CK90</f>
        <v>6.0000000000000001E-3</v>
      </c>
      <c r="AU87">
        <f>'Space Types'!CL90</f>
        <v>31.1</v>
      </c>
      <c r="AV87">
        <f>'Space Types'!CM90</f>
        <v>5865</v>
      </c>
      <c r="AW87">
        <f>'Space Types'!CN90</f>
        <v>669</v>
      </c>
      <c r="AX87">
        <f>'Space Types'!CO90</f>
        <v>0.9</v>
      </c>
      <c r="AY87">
        <f>'Space Types'!CP90</f>
        <v>0.7</v>
      </c>
      <c r="AZ87">
        <f>'Space Types'!CQ90</f>
        <v>0.65</v>
      </c>
      <c r="BA87" t="str">
        <f>'Space Types'!CR90</f>
        <v>Steel_Vehicles_6mm</v>
      </c>
      <c r="BB87" t="str">
        <f>'Space Types'!CW90</f>
        <v>CalculatedEstimateParkedVehiclesAt60PercentOccupancySteel_Vehicles_6mmInternalMassDef</v>
      </c>
    </row>
    <row r="88" spans="1:54" x14ac:dyDescent="0.35">
      <c r="A88" t="str">
        <f>'Space Types'!A91</f>
        <v>CS Pharmacy Area</v>
      </c>
      <c r="B88" t="str">
        <f>'Space Types'!B91</f>
        <v>2025_AU_NCC</v>
      </c>
      <c r="C88" t="str">
        <f>'Space Types'!C91</f>
        <v>Healthcare</v>
      </c>
      <c r="D88" t="str">
        <f>'Space Types'!D91</f>
        <v>Pharmacy Area</v>
      </c>
      <c r="E88">
        <f>'Space Types'!I91</f>
        <v>255</v>
      </c>
      <c r="F88">
        <f>'Space Types'!J91</f>
        <v>0</v>
      </c>
      <c r="G88">
        <f>'Space Types'!K91</f>
        <v>127</v>
      </c>
      <c r="H88" t="str">
        <f>'Space Types'!L91</f>
        <v>CS Pharmacy Area_2025AUNCC</v>
      </c>
      <c r="I88" t="str">
        <f>'Space Types'!M91</f>
        <v>CS Pharmacy Area_2025AUNCCScheduleSet</v>
      </c>
      <c r="J88">
        <f>'Space Types'!P91</f>
        <v>0.107639151</v>
      </c>
      <c r="K88">
        <f>'Space Types'!U91</f>
        <v>0</v>
      </c>
      <c r="L88">
        <f>'Space Types'!V91</f>
        <v>0</v>
      </c>
      <c r="M88">
        <f>'Space Types'!W91</f>
        <v>130</v>
      </c>
      <c r="N88">
        <f>'Space Types'!X91</f>
        <v>0.57692307700000001</v>
      </c>
      <c r="O88" t="str">
        <f>'Space Types'!AC91</f>
        <v>NCC S35C2nOther applications (non-dining)PeopleDef</v>
      </c>
      <c r="P88" t="str">
        <f>'Space Types'!AD91</f>
        <v>NECB-C-Occupancy</v>
      </c>
      <c r="Q88" t="str">
        <f>'Space Types'!AE91</f>
        <v>CS Pharmacy AreaActivity</v>
      </c>
      <c r="R88">
        <f>'Space Types'!AG91</f>
        <v>2.3596035865974517E-3</v>
      </c>
      <c r="S88">
        <f>'Space Types'!AI91</f>
        <v>9.144E-4</v>
      </c>
      <c r="T88" t="str">
        <f>'Space Types'!AL91</f>
        <v/>
      </c>
      <c r="U88" t="str">
        <f>'Space Types'!AQ91</f>
        <v>Washington State Mechanical Code TABLE 403.3.1.1Workrooms - Pharmacy (prep area)Vent</v>
      </c>
      <c r="V88">
        <f>'Space Types'!AS91</f>
        <v>5</v>
      </c>
      <c r="W88">
        <f>'Space Types'!AT91</f>
        <v>0</v>
      </c>
      <c r="X88">
        <f>'Space Types'!AU91</f>
        <v>0.5</v>
      </c>
      <c r="Y88">
        <f>'Space Types'!AV91</f>
        <v>0</v>
      </c>
      <c r="Z88" t="str">
        <f>'Space Types'!AZ91</f>
        <v>NCC S35C2lClass 9a ward area (support default - judgment call, pharmacy could arguably be clinic/procedure-rated); radiant/latent/lost fraction split retained from original WA/COMNET-REV9 source (AIRAH Technical Handbook does not publish this split)CS Pharmacy AreaElectricalEquipDef</v>
      </c>
      <c r="AA88" t="str">
        <f>'Space Types'!BA91</f>
        <v>NECB-C-Electric-Equipment</v>
      </c>
      <c r="AB88">
        <f>'Space Types'!BC91</f>
        <v>4.5</v>
      </c>
      <c r="AC88">
        <f>'Space Types'!BD91</f>
        <v>0.37</v>
      </c>
      <c r="AD88">
        <f>'Space Types'!BE91</f>
        <v>0.2</v>
      </c>
      <c r="AE88" t="str">
        <f>'Space Types'!BI91</f>
        <v>NCC J7D3aHealth-care - examination room (nearest for dispensing counter); radiant/visible fraction split retained from original WA/COMNET-REV9 source (AIRAH Technical Handbook does not publish this split)LightingDef</v>
      </c>
      <c r="AF88" t="str">
        <f>'Space Types'!BJ91</f>
        <v>NECB-C-Lighting</v>
      </c>
      <c r="AG88" t="str">
        <f>'Space Types'!BM91</f>
        <v/>
      </c>
      <c r="AH88" t="str">
        <f>'Space Types'!BN91</f>
        <v/>
      </c>
      <c r="AI88" t="str">
        <f>'Space Types'!BO91</f>
        <v/>
      </c>
      <c r="AJ88" t="str">
        <f>'Space Types'!BP91</f>
        <v/>
      </c>
      <c r="AK88" t="str">
        <f>'Space Types'!BT91</f>
        <v/>
      </c>
      <c r="AL88" t="str">
        <f>'Space Types'!BU91</f>
        <v/>
      </c>
      <c r="AM88">
        <f>'Space Types'!BX91</f>
        <v>0</v>
      </c>
      <c r="AN88" t="str">
        <f>'Space Types'!CC91</f>
        <v>NCC S34C2(6)0.7 ACH assumed as design infiltration for periods without mechanical outdoor air supply; NCC also specifies 0.35 ACH when mechanical OA is operating (to be applied via infiltration schedule once developed)Space Function_Hospital - pharmacyInfil</v>
      </c>
      <c r="AO88" t="str">
        <f>'Space Types'!CD91</f>
        <v>Always On</v>
      </c>
      <c r="AP88">
        <f>'Space Types'!CG91</f>
        <v>0</v>
      </c>
      <c r="AQ88">
        <f>'Space Types'!CH91</f>
        <v>4.0199999999999996</v>
      </c>
      <c r="AR88">
        <f>'Space Types'!CI91</f>
        <v>0</v>
      </c>
      <c r="AS88" t="str">
        <f>'Space Types'!CJ91</f>
        <v>MediumRough</v>
      </c>
      <c r="AT88">
        <f>'Space Types'!CK91</f>
        <v>2.5999999999999999E-3</v>
      </c>
      <c r="AU88">
        <f>'Space Types'!CL91</f>
        <v>14.3</v>
      </c>
      <c r="AV88">
        <f>'Space Types'!CM91</f>
        <v>3052</v>
      </c>
      <c r="AW88">
        <f>'Space Types'!CN91</f>
        <v>1139</v>
      </c>
      <c r="AX88">
        <f>'Space Types'!CO91</f>
        <v>0.9</v>
      </c>
      <c r="AY88">
        <f>'Space Types'!CP91</f>
        <v>0.7</v>
      </c>
      <c r="AZ88">
        <f>'Space Types'!CQ91</f>
        <v>0.7</v>
      </c>
      <c r="BA88" t="str">
        <f>'Space Types'!CR91</f>
        <v>Mixed_Pharmacy_3mm</v>
      </c>
      <c r="BB88" t="str">
        <f>'Space Types'!CW91</f>
        <v>CalculatedEstimateMedicationShelvingAndStorageCabinetsMixed_Pharmacy_3mmInternalMassDef</v>
      </c>
    </row>
    <row r="89" spans="1:54" x14ac:dyDescent="0.35">
      <c r="A89" t="str">
        <f>'Space Types'!A92</f>
        <v>CS Restrooms - Assisted Living</v>
      </c>
      <c r="B89" t="str">
        <f>'Space Types'!B92</f>
        <v>2025_AU_NCC</v>
      </c>
      <c r="C89" t="str">
        <f>'Space Types'!C92</f>
        <v>Assisted Living</v>
      </c>
      <c r="D89" t="str">
        <f>'Space Types'!D92</f>
        <v>Restrooms</v>
      </c>
      <c r="E89">
        <f>'Space Types'!I92</f>
        <v>169</v>
      </c>
      <c r="F89">
        <f>'Space Types'!J92</f>
        <v>169</v>
      </c>
      <c r="G89">
        <f>'Space Types'!K92</f>
        <v>31</v>
      </c>
      <c r="H89" t="str">
        <f>'Space Types'!L92</f>
        <v>CS Restrooms - Assisted Living_2025AUNCC</v>
      </c>
      <c r="I89" t="str">
        <f>'Space Types'!M92</f>
        <v>CS Restrooms - Assisted Living_2025AUNCCScheduleSet</v>
      </c>
      <c r="J89">
        <f>'Space Types'!P92</f>
        <v>0</v>
      </c>
      <c r="K89">
        <f>'Space Types'!U92</f>
        <v>0</v>
      </c>
      <c r="L89">
        <f>'Space Types'!V92</f>
        <v>0</v>
      </c>
      <c r="M89">
        <f>'Space Types'!W92</f>
        <v>130</v>
      </c>
      <c r="N89">
        <f>'Space Types'!X92</f>
        <v>0.57692307700000001</v>
      </c>
      <c r="O89" t="str">
        <f>'Space Types'!AC92</f>
        <v/>
      </c>
      <c r="P89" t="str">
        <f>'Space Types'!AD92</f>
        <v/>
      </c>
      <c r="Q89" t="str">
        <f>'Space Types'!AE92</f>
        <v/>
      </c>
      <c r="R89" t="str">
        <f>'Space Types'!AG92</f>
        <v/>
      </c>
      <c r="S89" t="str">
        <f>'Space Types'!AI92</f>
        <v/>
      </c>
      <c r="T89">
        <f>'Space Types'!AL92</f>
        <v>7</v>
      </c>
      <c r="U89" t="str">
        <f>'Space Types'!AQ92</f>
        <v>Rule of ThumbHotels, motels, resorts and dormitories - Bathrooms/toilets - privateWashington State Mechanical Code TABLE 403.3.1.6 - 25/50 per fixtureVent</v>
      </c>
      <c r="V89">
        <f>'Space Types'!AS92</f>
        <v>0</v>
      </c>
      <c r="W89">
        <f>'Space Types'!AT92</f>
        <v>0</v>
      </c>
      <c r="X89">
        <f>'Space Types'!AU92</f>
        <v>0.5</v>
      </c>
      <c r="Y89">
        <f>'Space Types'!AV92</f>
        <v>0</v>
      </c>
      <c r="Z89" t="str">
        <f>'Space Types'!AZ92</f>
        <v>NCC S35C2lClass 9c building: S35C2l's 160 W/room provision applies only to sole-occupancy resident rooms; restrooms are a communal amenity space so they default to 'Other applications - No load'; radiant/latent/lost fraction split retained from original WA/COMNET-REV9 source (AIRAH Technical Handbook does not publish this split)CS Restrooms - Assisted LivingElectricalEquipDef</v>
      </c>
      <c r="AA89" t="str">
        <f>'Space Types'!BA92</f>
        <v>OfficeMedium BLDG_EQUIP_SCH</v>
      </c>
      <c r="AB89">
        <f>'Space Types'!BC92</f>
        <v>3</v>
      </c>
      <c r="AC89">
        <f>'Space Types'!BD92</f>
        <v>0.37</v>
      </c>
      <c r="AD89">
        <f>'Space Types'!BE92</f>
        <v>0.2</v>
      </c>
      <c r="AE89" t="str">
        <f>'Space Types'!BI92</f>
        <v>NCC J7D3aToilet, locker room, staff room, rest room and the like (Class 9c aged care building - NCC 2025 Vol One Spec 35 Table S35C2k is the applicable occupancy profile table for future schedule work); radiant/latent/lost fraction split retained from original WA/COMNET-REV9 source (AIRAH Technical Handbook does not publish this split)LightingDef</v>
      </c>
      <c r="AF89" t="str">
        <f>'Space Types'!BJ92</f>
        <v>OfficeMedium BLDG_LIGHT_SCH_2013</v>
      </c>
      <c r="AG89" t="str">
        <f>'Space Types'!BM92</f>
        <v/>
      </c>
      <c r="AH89" t="str">
        <f>'Space Types'!BN92</f>
        <v/>
      </c>
      <c r="AI89" t="str">
        <f>'Space Types'!BO92</f>
        <v/>
      </c>
      <c r="AJ89" t="str">
        <f>'Space Types'!BP92</f>
        <v/>
      </c>
      <c r="AK89" t="str">
        <f>'Space Types'!BT92</f>
        <v/>
      </c>
      <c r="AL89" t="str">
        <f>'Space Types'!BU92</f>
        <v/>
      </c>
      <c r="AM89">
        <f>'Space Types'!BX92</f>
        <v>0</v>
      </c>
      <c r="AN89" t="str">
        <f>'Space Types'!CC92</f>
        <v>NCC S34C2(6)0.7 ACH assumed as design infiltration for periods without mechanical outdoor air supply; NCC also specifies 0.35 ACH when mechanical OA is operating (to be applied via infiltration schedule once developed)Office_RestroomInfil</v>
      </c>
      <c r="AO89" t="str">
        <f>'Space Types'!CD92</f>
        <v>OfficeMedium INFIL_SCH_PNNL</v>
      </c>
      <c r="AP89">
        <f>'Space Types'!CG92</f>
        <v>0</v>
      </c>
      <c r="AQ89">
        <f>'Space Types'!CH92</f>
        <v>3.22</v>
      </c>
      <c r="AR89">
        <f>'Space Types'!CI92</f>
        <v>0</v>
      </c>
      <c r="AS89" t="str">
        <f>'Space Types'!CJ92</f>
        <v>Smooth</v>
      </c>
      <c r="AT89">
        <f>'Space Types'!CK92</f>
        <v>4.4999999999999997E-3</v>
      </c>
      <c r="AU89">
        <f>'Space Types'!CL92</f>
        <v>7.51</v>
      </c>
      <c r="AV89">
        <f>'Space Types'!CM92</f>
        <v>2167</v>
      </c>
      <c r="AW89">
        <f>'Space Types'!CN92</f>
        <v>1148</v>
      </c>
      <c r="AX89">
        <f>'Space Types'!CO92</f>
        <v>0.9</v>
      </c>
      <c r="AY89">
        <f>'Space Types'!CP92</f>
        <v>0.7</v>
      </c>
      <c r="AZ89">
        <f>'Space Types'!CQ92</f>
        <v>0.7</v>
      </c>
      <c r="BA89" t="str">
        <f>'Space Types'!CR92</f>
        <v>Phenolic_Restroom_4mm</v>
      </c>
      <c r="BB89" t="str">
        <f>'Space Types'!CW92</f>
        <v>CalculatedEstimateADAFixturesWithGrabBarsAndShowerPhenolic_Restroom_4mmInternalMassDef</v>
      </c>
    </row>
    <row r="90" spans="1:54" x14ac:dyDescent="0.35">
      <c r="A90" t="str">
        <f>'Space Types'!A93</f>
        <v>CS Restrooms - Other</v>
      </c>
      <c r="B90" t="str">
        <f>'Space Types'!B93</f>
        <v>2025_AU_NCC</v>
      </c>
      <c r="C90" t="str">
        <f>'Space Types'!C93</f>
        <v>Miscellaneous</v>
      </c>
      <c r="D90" t="str">
        <f>'Space Types'!D93</f>
        <v>Restrooms</v>
      </c>
      <c r="E90">
        <f>'Space Types'!I93</f>
        <v>169</v>
      </c>
      <c r="F90">
        <f>'Space Types'!J93</f>
        <v>169</v>
      </c>
      <c r="G90">
        <f>'Space Types'!K93</f>
        <v>31</v>
      </c>
      <c r="H90" t="str">
        <f>'Space Types'!L93</f>
        <v>CS Restrooms - Other_2025AUNCC</v>
      </c>
      <c r="I90" t="str">
        <f>'Space Types'!M93</f>
        <v>CS Restrooms - Other_2025AUNCCScheduleSet</v>
      </c>
      <c r="J90">
        <f>'Space Types'!P93</f>
        <v>0</v>
      </c>
      <c r="K90">
        <f>'Space Types'!U93</f>
        <v>0</v>
      </c>
      <c r="L90">
        <f>'Space Types'!V93</f>
        <v>0</v>
      </c>
      <c r="M90">
        <f>'Space Types'!W93</f>
        <v>130</v>
      </c>
      <c r="N90">
        <f>'Space Types'!X93</f>
        <v>0.57692307700000001</v>
      </c>
      <c r="O90" t="str">
        <f>'Space Types'!AC93</f>
        <v/>
      </c>
      <c r="P90" t="str">
        <f>'Space Types'!AD93</f>
        <v/>
      </c>
      <c r="Q90" t="str">
        <f>'Space Types'!AE93</f>
        <v/>
      </c>
      <c r="R90" t="str">
        <f>'Space Types'!AG93</f>
        <v/>
      </c>
      <c r="S90" t="str">
        <f>'Space Types'!AI93</f>
        <v/>
      </c>
      <c r="T90">
        <f>'Space Types'!AL93</f>
        <v>12</v>
      </c>
      <c r="U90" t="str">
        <f>'Space Types'!AQ93</f>
        <v>Rule of ThumbPublic spaces - Toilet rooms - PublicWashington State Mechanical Code TABLE 403.3.1.6 - 50/70 per fixtureVent</v>
      </c>
      <c r="V90">
        <f>'Space Types'!AS93</f>
        <v>0</v>
      </c>
      <c r="W90">
        <f>'Space Types'!AT93</f>
        <v>0</v>
      </c>
      <c r="X90">
        <f>'Space Types'!AU93</f>
        <v>0.5</v>
      </c>
      <c r="Y90">
        <f>'Space Types'!AV93</f>
        <v>0</v>
      </c>
      <c r="Z90" t="str">
        <f>'Space Types'!AZ93</f>
        <v>NCC S35C2lBA WarehouseShared with host building class (Other applications) - no equipment load per S35C2l; radiant/latent/lost fraction split retained from original WA/COMNET-REV9 source (AIRAH Technical Handbook does not publish this split)CS Restrooms - OtherElectricalEquipDef</v>
      </c>
      <c r="AA90" t="str">
        <f>'Space Types'!BA93</f>
        <v>HotelSmall Lobby_Eqp_Sch</v>
      </c>
      <c r="AB90">
        <f>'Space Types'!BC93</f>
        <v>3</v>
      </c>
      <c r="AC90">
        <f>'Space Types'!BD93</f>
        <v>0.37</v>
      </c>
      <c r="AD90">
        <f>'Space Types'!BE93</f>
        <v>0.2</v>
      </c>
      <c r="AE90" t="str">
        <f>'Space Types'!BI93</f>
        <v>NCC J7D3aToilet, locker room, staff room, rest room and the like; radiant/visible fraction split retained from original WA/COMNET-REV9 source (AIRAH Technical Handbook does not publish this split)LightingDef</v>
      </c>
      <c r="AF90" t="str">
        <f>'Space Types'!BJ93</f>
        <v>HotelSmall BLDG_LIGHT_RESTROOM_SCH</v>
      </c>
      <c r="AG90" t="str">
        <f>'Space Types'!BM93</f>
        <v/>
      </c>
      <c r="AH90" t="str">
        <f>'Space Types'!BN93</f>
        <v/>
      </c>
      <c r="AI90" t="str">
        <f>'Space Types'!BO93</f>
        <v/>
      </c>
      <c r="AJ90" t="str">
        <f>'Space Types'!BP93</f>
        <v/>
      </c>
      <c r="AK90" t="str">
        <f>'Space Types'!BT93</f>
        <v/>
      </c>
      <c r="AL90" t="str">
        <f>'Space Types'!BU93</f>
        <v/>
      </c>
      <c r="AM90">
        <f>'Space Types'!BX93</f>
        <v>0</v>
      </c>
      <c r="AN90" t="str">
        <f>'Space Types'!CC93</f>
        <v>NCC S34C2(6)0.7 ACH assumed as design infiltration for periods without mechanical outdoor air supply; NCC also specifies 0.35 ACH when mechanical OA is operating (to be applied via infiltration schedule once developed)SecondarySchool_RestroomInfil</v>
      </c>
      <c r="AO90" t="str">
        <f>'Space Types'!CD93</f>
        <v>SchoolSecondary INFIL_SCH_PNNL</v>
      </c>
      <c r="AP90">
        <f>'Space Types'!CG93</f>
        <v>0</v>
      </c>
      <c r="AQ90">
        <f>'Space Types'!CH93</f>
        <v>2.36</v>
      </c>
      <c r="AR90">
        <f>'Space Types'!CI93</f>
        <v>0</v>
      </c>
      <c r="AS90" t="str">
        <f>'Space Types'!CJ93</f>
        <v>Smooth</v>
      </c>
      <c r="AT90">
        <f>'Space Types'!CK93</f>
        <v>2.2000000000000001E-3</v>
      </c>
      <c r="AU90">
        <f>'Space Types'!CL93</f>
        <v>13.9</v>
      </c>
      <c r="AV90">
        <f>'Space Types'!CM93</f>
        <v>4190</v>
      </c>
      <c r="AW90">
        <f>'Space Types'!CN93</f>
        <v>878</v>
      </c>
      <c r="AX90">
        <f>'Space Types'!CO93</f>
        <v>0.9</v>
      </c>
      <c r="AY90">
        <f>'Space Types'!CP93</f>
        <v>0.7</v>
      </c>
      <c r="AZ90">
        <f>'Space Types'!CQ93</f>
        <v>0.7</v>
      </c>
      <c r="BA90" t="str">
        <f>'Space Types'!CR93</f>
        <v>Mixed_Restroom_2mm</v>
      </c>
      <c r="BB90" t="str">
        <f>'Space Types'!CW93</f>
        <v>CalculatedEstimateStandardCommercialFixturesAndPartitionsMixed_Restroom_2mmInternalMassDef</v>
      </c>
    </row>
    <row r="91" spans="1:54" x14ac:dyDescent="0.35">
      <c r="A91" t="str">
        <f>'Space Types'!A94</f>
        <v>CS Sales Area</v>
      </c>
      <c r="B91" t="str">
        <f>'Space Types'!B94</f>
        <v>2025_AU_NCC</v>
      </c>
      <c r="C91" t="str">
        <f>'Space Types'!C94</f>
        <v>Retail</v>
      </c>
      <c r="D91" t="str">
        <f>'Space Types'!D94</f>
        <v>Sales Area</v>
      </c>
      <c r="E91">
        <f>'Space Types'!I94</f>
        <v>102</v>
      </c>
      <c r="F91">
        <f>'Space Types'!J94</f>
        <v>255</v>
      </c>
      <c r="G91">
        <f>'Space Types'!K94</f>
        <v>102</v>
      </c>
      <c r="H91" t="str">
        <f>'Space Types'!L94</f>
        <v>CS Sales Area_2025AUNCC</v>
      </c>
      <c r="I91" t="str">
        <f>'Space Types'!M94</f>
        <v>CS Sales Area_2025AUNCCScheduleSet</v>
      </c>
      <c r="J91">
        <f>'Space Types'!P94</f>
        <v>0.161458726</v>
      </c>
      <c r="K91">
        <f>'Space Types'!U94</f>
        <v>0</v>
      </c>
      <c r="L91">
        <f>'Space Types'!V94</f>
        <v>0</v>
      </c>
      <c r="M91">
        <f>'Space Types'!W94</f>
        <v>130</v>
      </c>
      <c r="N91">
        <f>'Space Types'!X94</f>
        <v>0.57692307700000001</v>
      </c>
      <c r="O91" t="str">
        <f>'Space Types'!AC94</f>
        <v>NCC S35C2nOther applications (non-dining)PeopleDef</v>
      </c>
      <c r="P91" t="str">
        <f>'Space Types'!AD94</f>
        <v>NECB-C-Occupancy</v>
      </c>
      <c r="Q91" t="str">
        <f>'Space Types'!AE94</f>
        <v>CS Sales AreaActivity</v>
      </c>
      <c r="R91">
        <f>'Space Types'!AG94</f>
        <v>3.5394053798961773E-3</v>
      </c>
      <c r="S91">
        <f>'Space Types'!AI94</f>
        <v>6.0959999999999996E-4</v>
      </c>
      <c r="T91" t="str">
        <f>'Space Types'!AL94</f>
        <v/>
      </c>
      <c r="U91" t="str">
        <f>'Space Types'!AQ94</f>
        <v>Washington State Mechanical Code TABLE 403.3.1.1Retail stores, sales floors, and showroom floors - SalesVent</v>
      </c>
      <c r="V91">
        <f>'Space Types'!AS94</f>
        <v>5</v>
      </c>
      <c r="W91">
        <f>'Space Types'!AT94</f>
        <v>0</v>
      </c>
      <c r="X91">
        <f>'Space Types'!AU94</f>
        <v>0.5</v>
      </c>
      <c r="Y91">
        <f>'Space Types'!AV94</f>
        <v>0</v>
      </c>
      <c r="Z91" t="str">
        <f>'Space Types'!AZ94</f>
        <v>NCC S35C2lClass 6 shop/shopping centre; radiant/latent/lost fraction split retained from original WA/COMNET-REV9 source (AIRAH Technical Handbook does not publish this split)CS Sales AreaElectricalEquipDef</v>
      </c>
      <c r="AA91" t="str">
        <f>'Space Types'!BA94</f>
        <v>NECB-C-Electric-Equipment</v>
      </c>
      <c r="AB91">
        <f>'Space Types'!BC94</f>
        <v>14</v>
      </c>
      <c r="AC91">
        <f>'Space Types'!BD94</f>
        <v>0.37</v>
      </c>
      <c r="AD91">
        <f>'Space Types'!BE94</f>
        <v>0.2</v>
      </c>
      <c r="AE91" t="str">
        <f>'Space Types'!BI94</f>
        <v>NCC J7D3aRetail space including a museum and gallery whose purpose is the sale of objects; radiant/visible fraction split retained from original WA/COMNET-REV9 source (AIRAH Technical Handbook does not publish this split)LightingDef</v>
      </c>
      <c r="AF91" t="str">
        <f>'Space Types'!BJ94</f>
        <v>NECB-C-Lighting</v>
      </c>
      <c r="AG91" t="str">
        <f>'Space Types'!BM94</f>
        <v/>
      </c>
      <c r="AH91" t="str">
        <f>'Space Types'!BN94</f>
        <v/>
      </c>
      <c r="AI91" t="str">
        <f>'Space Types'!BO94</f>
        <v/>
      </c>
      <c r="AJ91" t="str">
        <f>'Space Types'!BP94</f>
        <v/>
      </c>
      <c r="AK91" t="str">
        <f>'Space Types'!BT94</f>
        <v/>
      </c>
      <c r="AL91" t="str">
        <f>'Space Types'!BU94</f>
        <v/>
      </c>
      <c r="AM91">
        <f>'Space Types'!BX94</f>
        <v>0</v>
      </c>
      <c r="AN91" t="str">
        <f>'Space Types'!CC94</f>
        <v>NCC S34C2(6)0.7 ACH assumed as design infiltration for periods without mechanical outdoor air supply; NCC also specifies 0.35 ACH when mechanical OA is operating (to be applied via infiltration schedule once developed)Retail_Point_of_SaleInfil</v>
      </c>
      <c r="AO91" t="str">
        <f>'Space Types'!CD94</f>
        <v>Always On</v>
      </c>
      <c r="AP91">
        <f>'Space Types'!CG94</f>
        <v>0</v>
      </c>
      <c r="AQ91">
        <f>'Space Types'!CH94</f>
        <v>3.54</v>
      </c>
      <c r="AR91">
        <f>'Space Types'!CI94</f>
        <v>0</v>
      </c>
      <c r="AS91" t="str">
        <f>'Space Types'!CJ94</f>
        <v>MediumRough</v>
      </c>
      <c r="AT91">
        <f>'Space Types'!CK94</f>
        <v>3.2000000000000002E-3</v>
      </c>
      <c r="AU91">
        <f>'Space Types'!CL94</f>
        <v>10.6</v>
      </c>
      <c r="AV91">
        <f>'Space Types'!CM94</f>
        <v>2496</v>
      </c>
      <c r="AW91">
        <f>'Space Types'!CN94</f>
        <v>1134</v>
      </c>
      <c r="AX91">
        <f>'Space Types'!CO94</f>
        <v>0.9</v>
      </c>
      <c r="AY91">
        <f>'Space Types'!CP94</f>
        <v>0.7</v>
      </c>
      <c r="AZ91">
        <f>'Space Types'!CQ94</f>
        <v>0.7</v>
      </c>
      <c r="BA91" t="str">
        <f>'Space Types'!CR94</f>
        <v>Mixed_Retail_3mm</v>
      </c>
      <c r="BB91" t="str">
        <f>'Space Types'!CW94</f>
        <v>CalculatedEstimateDisplayShelvingAndMerchandiseInventoryMixed_Retail_3mmInternalMassDef</v>
      </c>
    </row>
    <row r="92" spans="1:54" x14ac:dyDescent="0.35">
      <c r="A92" t="str">
        <f>'Space Types'!A95</f>
        <v>CS Seating Area General</v>
      </c>
      <c r="B92" t="str">
        <f>'Space Types'!B95</f>
        <v>2025_AU_NCC</v>
      </c>
      <c r="C92" t="str">
        <f>'Space Types'!C95</f>
        <v>Miscellaneous</v>
      </c>
      <c r="D92" t="str">
        <f>'Space Types'!D95</f>
        <v>Seating Area General</v>
      </c>
      <c r="E92">
        <f>'Space Types'!I95</f>
        <v>230</v>
      </c>
      <c r="F92">
        <f>'Space Types'!J95</f>
        <v>196</v>
      </c>
      <c r="G92">
        <f>'Space Types'!K95</f>
        <v>120</v>
      </c>
      <c r="H92" t="str">
        <f>'Space Types'!L95</f>
        <v>CS Seating Area General_2025AUNCC</v>
      </c>
      <c r="I92" t="str">
        <f>'Space Types'!M95</f>
        <v>CS Seating Area General_2025AUNCCScheduleSet</v>
      </c>
      <c r="J92">
        <f>'Space Types'!P95</f>
        <v>0.32291745199999999</v>
      </c>
      <c r="K92">
        <f>'Space Types'!U95</f>
        <v>0</v>
      </c>
      <c r="L92">
        <f>'Space Types'!V95</f>
        <v>0</v>
      </c>
      <c r="M92">
        <f>'Space Types'!W95</f>
        <v>130</v>
      </c>
      <c r="N92">
        <f>'Space Types'!X95</f>
        <v>0.57692307700000001</v>
      </c>
      <c r="O92" t="str">
        <f>'Space Types'!AC95</f>
        <v>NCC S35C2nOther applications (non-dining)PeopleDef</v>
      </c>
      <c r="P92" t="str">
        <f>'Space Types'!AD95</f>
        <v>NECB-C-Occupancy</v>
      </c>
      <c r="Q92" t="str">
        <f>'Space Types'!AE95</f>
        <v>CS Seating Area GeneralActivity</v>
      </c>
      <c r="R92">
        <f>'Space Types'!AG95</f>
        <v>3.5394053798961773E-3</v>
      </c>
      <c r="S92">
        <f>'Space Types'!AI95</f>
        <v>3.0479999999999998E-4</v>
      </c>
      <c r="T92" t="str">
        <f>'Space Types'!AL95</f>
        <v/>
      </c>
      <c r="U92" t="str">
        <f>'Space Types'!AQ95</f>
        <v>Washington State Mechanical Code TABLE 403.3.1.1Hotels, motels, resorts and dormitories - Lobbies/prefunctionVent</v>
      </c>
      <c r="V92">
        <f>'Space Types'!AS95</f>
        <v>5</v>
      </c>
      <c r="W92">
        <f>'Space Types'!AT95</f>
        <v>0</v>
      </c>
      <c r="X92">
        <f>'Space Types'!AU95</f>
        <v>0.5</v>
      </c>
      <c r="Y92">
        <f>'Space Types'!AV95</f>
        <v>0</v>
      </c>
      <c r="Z92" t="str">
        <f>'Space Types'!AZ95</f>
        <v>NCC S35C2lBA HotelClass 6 shop/shopping centre (retail seating area); radiant/latent/lost fraction split retained from original WA/COMNET-REV9 source (AIRAH Technical Handbook does not publish this split)CS Seating Area GeneralElectricalEquipDef</v>
      </c>
      <c r="AA92" t="str">
        <f>'Space Types'!BA95</f>
        <v>NECB-C-Electric-Equipment</v>
      </c>
      <c r="AB92">
        <f>'Space Types'!BC95</f>
        <v>14</v>
      </c>
      <c r="AC92">
        <f>'Space Types'!BD95</f>
        <v>0.37</v>
      </c>
      <c r="AD92">
        <f>'Space Types'!BE95</f>
        <v>0.2</v>
      </c>
      <c r="AE92" t="str">
        <f>'Space Types'!BI95</f>
        <v>NCC J7D3aRetail space including a museum and gallery whose purpose is the sale of objects; radiant/visible fraction split retained from original WA/COMNET-REV9 source (AIRAH Technical Handbook does not publish this split)LightingDef</v>
      </c>
      <c r="AF92" t="str">
        <f>'Space Types'!BJ95</f>
        <v>NECB-C-Lighting</v>
      </c>
      <c r="AG92" t="str">
        <f>'Space Types'!BM95</f>
        <v/>
      </c>
      <c r="AH92" t="str">
        <f>'Space Types'!BN95</f>
        <v/>
      </c>
      <c r="AI92" t="str">
        <f>'Space Types'!BO95</f>
        <v/>
      </c>
      <c r="AJ92" t="str">
        <f>'Space Types'!BP95</f>
        <v/>
      </c>
      <c r="AK92" t="str">
        <f>'Space Types'!BT95</f>
        <v/>
      </c>
      <c r="AL92" t="str">
        <f>'Space Types'!BU95</f>
        <v/>
      </c>
      <c r="AM92">
        <f>'Space Types'!BX95</f>
        <v>0</v>
      </c>
      <c r="AN92" t="str">
        <f>'Space Types'!CC95</f>
        <v>NCC S34C2(6)0.7 ACH assumed as design infiltration for periods without mechanical outdoor air supply; NCC also specifies 0.35 ACH when mechanical OA is operating (to be applied via infiltration schedule once developed)Space Function_Transp. seatingInfil</v>
      </c>
      <c r="AO92" t="str">
        <f>'Space Types'!CD95</f>
        <v>Always On</v>
      </c>
      <c r="AP92">
        <f>'Space Types'!CG95</f>
        <v>0</v>
      </c>
      <c r="AQ92">
        <f>'Space Types'!CH95</f>
        <v>2.1800000000000002</v>
      </c>
      <c r="AR92">
        <f>'Space Types'!CI95</f>
        <v>0</v>
      </c>
      <c r="AS92" t="str">
        <f>'Space Types'!CJ95</f>
        <v>MediumRough</v>
      </c>
      <c r="AT92">
        <f>'Space Types'!CK95</f>
        <v>6.3E-3</v>
      </c>
      <c r="AU92">
        <f>'Space Types'!CL95</f>
        <v>6.65</v>
      </c>
      <c r="AV92">
        <f>'Space Types'!CM95</f>
        <v>1015</v>
      </c>
      <c r="AW92">
        <f>'Space Types'!CN95</f>
        <v>1349</v>
      </c>
      <c r="AX92">
        <f>'Space Types'!CO95</f>
        <v>0.9</v>
      </c>
      <c r="AY92">
        <f>'Space Types'!CP95</f>
        <v>0.7</v>
      </c>
      <c r="AZ92">
        <f>'Space Types'!CQ95</f>
        <v>0.7</v>
      </c>
      <c r="BA92" t="str">
        <f>'Space Types'!CR95</f>
        <v>Mixed_Seating_6mm</v>
      </c>
      <c r="BB92" t="str">
        <f>'Space Types'!CW95</f>
        <v>CalculatedEstimateSofasChairsAndAreaRugMixed_Seating_6mmInternalMassDef</v>
      </c>
    </row>
    <row r="93" spans="1:54" x14ac:dyDescent="0.35">
      <c r="A93" t="str">
        <f>'Space Types'!A96</f>
        <v>CS Stairway</v>
      </c>
      <c r="B93" t="str">
        <f>'Space Types'!B96</f>
        <v>2025_AU_NCC</v>
      </c>
      <c r="C93" t="str">
        <f>'Space Types'!C96</f>
        <v>Miscellaneous</v>
      </c>
      <c r="D93" t="str">
        <f>'Space Types'!D96</f>
        <v>Stairway</v>
      </c>
      <c r="E93">
        <f>'Space Types'!I96</f>
        <v>230</v>
      </c>
      <c r="F93">
        <f>'Space Types'!J96</f>
        <v>157</v>
      </c>
      <c r="G93">
        <f>'Space Types'!K96</f>
        <v>120</v>
      </c>
      <c r="H93" t="str">
        <f>'Space Types'!L96</f>
        <v>CS Stairway_2025AUNCC</v>
      </c>
      <c r="I93" t="str">
        <f>'Space Types'!M96</f>
        <v>CS Stairway_2025AUNCCScheduleSet</v>
      </c>
      <c r="J93">
        <f>'Space Types'!P96</f>
        <v>0</v>
      </c>
      <c r="K93">
        <f>'Space Types'!U96</f>
        <v>0</v>
      </c>
      <c r="L93">
        <f>'Space Types'!V96</f>
        <v>0</v>
      </c>
      <c r="M93">
        <f>'Space Types'!W96</f>
        <v>130</v>
      </c>
      <c r="N93">
        <f>'Space Types'!X96</f>
        <v>0.57692307700000001</v>
      </c>
      <c r="O93" t="str">
        <f>'Space Types'!AC96</f>
        <v/>
      </c>
      <c r="P93" t="str">
        <f>'Space Types'!AD96</f>
        <v/>
      </c>
      <c r="Q93" t="str">
        <f>'Space Types'!AE96</f>
        <v/>
      </c>
      <c r="R93" t="str">
        <f>'Space Types'!AG96</f>
        <v/>
      </c>
      <c r="S93">
        <f>'Space Types'!AI96</f>
        <v>3.0479999999999998E-4</v>
      </c>
      <c r="T93" t="str">
        <f>'Space Types'!AL96</f>
        <v/>
      </c>
      <c r="U93" t="str">
        <f>'Space Types'!AQ96</f>
        <v>Washington State Mechanical Code TABLE 403.3.1.1Public spaces - Corridors serving other than Group R occupanciesVent</v>
      </c>
      <c r="V93">
        <f>'Space Types'!AS96</f>
        <v>0</v>
      </c>
      <c r="W93">
        <f>'Space Types'!AT96</f>
        <v>0</v>
      </c>
      <c r="X93">
        <f>'Space Types'!AU96</f>
        <v>0.5</v>
      </c>
      <c r="Y93">
        <f>'Space Types'!AV96</f>
        <v>0</v>
      </c>
      <c r="Z93" t="str">
        <f>'Space Types'!AZ96</f>
        <v>NCC S35C2lBA WarehouseShared with host building class (Other applications) - no equipment load per S35C2l; radiant/latent/lost fraction split retained from original WA/COMNET-REV9 source (AIRAH Technical Handbook does not publish this split)CS StairwayElectricalEquipDef</v>
      </c>
      <c r="AA93" t="str">
        <f>'Space Types'!BA96</f>
        <v>HotelSmall AlwaysOff</v>
      </c>
      <c r="AB93">
        <f>'Space Types'!BC96</f>
        <v>2</v>
      </c>
      <c r="AC93">
        <f>'Space Types'!BD96</f>
        <v>0.37</v>
      </c>
      <c r="AD93">
        <f>'Space Types'!BE96</f>
        <v>0.2</v>
      </c>
      <c r="AE93" t="str">
        <f>'Space Types'!BI96</f>
        <v>NCC J7D3aStairways, including fire-isolated stairways; radiant/visible fraction split retained from original WA/COMNET-REV9 source (AIRAH Technical Handbook does not publish this split)LightingDef</v>
      </c>
      <c r="AF93" t="str">
        <f>'Space Types'!BJ96</f>
        <v>HotelSmall BLDG_LIGHT_STAIR_SCH</v>
      </c>
      <c r="AG93" t="str">
        <f>'Space Types'!BM96</f>
        <v/>
      </c>
      <c r="AH93" t="str">
        <f>'Space Types'!BN96</f>
        <v/>
      </c>
      <c r="AI93" t="str">
        <f>'Space Types'!BO96</f>
        <v/>
      </c>
      <c r="AJ93" t="str">
        <f>'Space Types'!BP96</f>
        <v/>
      </c>
      <c r="AK93" t="str">
        <f>'Space Types'!BT96</f>
        <v/>
      </c>
      <c r="AL93" t="str">
        <f>'Space Types'!BU96</f>
        <v/>
      </c>
      <c r="AM93">
        <f>'Space Types'!BX96</f>
        <v>0</v>
      </c>
      <c r="AN93" t="str">
        <f>'Space Types'!CC96</f>
        <v>NCC S34C2(6)0.7 ACH assumed as design infiltration for periods without mechanical outdoor air supply; NCC also specifies 0.35 ACH when mechanical OA is operating (to be applied via infiltration schedule once developed)Space Function_StairwayInfil</v>
      </c>
      <c r="AO93" t="str">
        <f>'Space Types'!CD96</f>
        <v>Always On</v>
      </c>
      <c r="AP93">
        <f>'Space Types'!CG96</f>
        <v>0</v>
      </c>
      <c r="AQ93">
        <f>'Space Types'!CH96</f>
        <v>1.77</v>
      </c>
      <c r="AR93">
        <f>'Space Types'!CI96</f>
        <v>0</v>
      </c>
      <c r="AS93" t="str">
        <f>'Space Types'!CJ96</f>
        <v>MediumRough</v>
      </c>
      <c r="AT93">
        <f>'Space Types'!CK96</f>
        <v>1.8800000000000001E-2</v>
      </c>
      <c r="AU93">
        <f>'Space Types'!CL96</f>
        <v>9.9700000000000006</v>
      </c>
      <c r="AV93">
        <f>'Space Types'!CM96</f>
        <v>3219</v>
      </c>
      <c r="AW93">
        <f>'Space Types'!CN96</f>
        <v>817</v>
      </c>
      <c r="AX93">
        <f>'Space Types'!CO96</f>
        <v>0.9</v>
      </c>
      <c r="AY93">
        <f>'Space Types'!CP96</f>
        <v>0.7</v>
      </c>
      <c r="AZ93">
        <f>'Space Types'!CQ96</f>
        <v>0.65</v>
      </c>
      <c r="BA93" t="str">
        <f>'Space Types'!CR96</f>
        <v>Concrete_Stairway_19mm</v>
      </c>
      <c r="BB93" t="str">
        <f>'Space Types'!CW96</f>
        <v>CalculatedEstimateConcreteStairsWithHandrailsAndGuardrailsConcrete_Stairway_19mmInternalMassDef</v>
      </c>
    </row>
    <row r="94" spans="1:54" x14ac:dyDescent="0.35">
      <c r="A94" t="str">
        <f>'Space Types'!A97</f>
        <v>CS Storage - Hospital</v>
      </c>
      <c r="B94" t="str">
        <f>'Space Types'!B97</f>
        <v>2025_AU_NCC</v>
      </c>
      <c r="C94" t="str">
        <f>'Space Types'!C97</f>
        <v>Hospital</v>
      </c>
      <c r="D94" t="str">
        <f>'Space Types'!D97</f>
        <v>Storage</v>
      </c>
      <c r="E94">
        <f>'Space Types'!I97</f>
        <v>102</v>
      </c>
      <c r="F94">
        <f>'Space Types'!J97</f>
        <v>0</v>
      </c>
      <c r="G94">
        <f>'Space Types'!K97</f>
        <v>0</v>
      </c>
      <c r="H94" t="str">
        <f>'Space Types'!L97</f>
        <v>CS Storage - Hospital_2025AUNCC</v>
      </c>
      <c r="I94" t="str">
        <f>'Space Types'!M97</f>
        <v>CS Storage - Hospital_2025AUNCCScheduleSet</v>
      </c>
      <c r="J94">
        <f>'Space Types'!P97</f>
        <v>0</v>
      </c>
      <c r="K94">
        <f>'Space Types'!U97</f>
        <v>0</v>
      </c>
      <c r="L94">
        <f>'Space Types'!V97</f>
        <v>0</v>
      </c>
      <c r="M94">
        <f>'Space Types'!W97</f>
        <v>130</v>
      </c>
      <c r="N94">
        <f>'Space Types'!X97</f>
        <v>0.57692307700000001</v>
      </c>
      <c r="O94" t="str">
        <f>'Space Types'!AC97</f>
        <v/>
      </c>
      <c r="P94" t="str">
        <f>'Space Types'!AD97</f>
        <v/>
      </c>
      <c r="Q94" t="str">
        <f>'Space Types'!AE97</f>
        <v/>
      </c>
      <c r="R94" t="str">
        <f>'Space Types'!AG97</f>
        <v/>
      </c>
      <c r="S94">
        <f>'Space Types'!AI97</f>
        <v>6.0959999999999996E-4</v>
      </c>
      <c r="T94" t="str">
        <f>'Space Types'!AL97</f>
        <v/>
      </c>
      <c r="U94" t="str">
        <f>'Space Types'!AQ97</f>
        <v>Washington State Mechanical Code TABLE 403.3.1.1Retail stores, sales floors, and showroom floors - Storage roomsVent</v>
      </c>
      <c r="V94">
        <f>'Space Types'!AS97</f>
        <v>0</v>
      </c>
      <c r="W94">
        <f>'Space Types'!AT97</f>
        <v>0</v>
      </c>
      <c r="X94">
        <f>'Space Types'!AU97</f>
        <v>0.5</v>
      </c>
      <c r="Y94">
        <f>'Space Types'!AV97</f>
        <v>0</v>
      </c>
      <c r="Z94" t="str">
        <f>'Space Types'!AZ97</f>
        <v>NCC S35C2lClass 9a storage (Other applications) - no equipment load per S35C2l; radiant/latent/lost fraction split retained from original WA/COMNET-REV9 source (AIRAH Technical Handbook does not publish this split)CS Storage - HospitalElectricalEquipDef</v>
      </c>
      <c r="AA94" t="str">
        <f>'Space Types'!BA97</f>
        <v>NECB-H-Electric-Equipment</v>
      </c>
      <c r="AB94">
        <f>'Space Types'!BC97</f>
        <v>1.5</v>
      </c>
      <c r="AC94">
        <f>'Space Types'!BD97</f>
        <v>0.37</v>
      </c>
      <c r="AD94">
        <f>'Space Types'!BE97</f>
        <v>0.2</v>
      </c>
      <c r="AE94" t="str">
        <f>'Space Types'!BI97</f>
        <v>NCC J7D3aStorage; radiant/visible fraction split retained from original WA/COMNET-REV9 source (AIRAH Technical Handbook does not publish this split)LightingDef</v>
      </c>
      <c r="AF94" t="str">
        <f>'Space Types'!BJ97</f>
        <v>NECB-H-Lighting</v>
      </c>
      <c r="AG94" t="str">
        <f>'Space Types'!BM97</f>
        <v/>
      </c>
      <c r="AH94" t="str">
        <f>'Space Types'!BN97</f>
        <v/>
      </c>
      <c r="AI94" t="str">
        <f>'Space Types'!BO97</f>
        <v/>
      </c>
      <c r="AJ94" t="str">
        <f>'Space Types'!BP97</f>
        <v/>
      </c>
      <c r="AK94" t="str">
        <f>'Space Types'!BT97</f>
        <v/>
      </c>
      <c r="AL94" t="str">
        <f>'Space Types'!BU97</f>
        <v/>
      </c>
      <c r="AM94">
        <f>'Space Types'!BX97</f>
        <v>0</v>
      </c>
      <c r="AN94" t="str">
        <f>'Space Types'!CC97</f>
        <v>NCC S34C2(6)0.7 ACH assumed as design infiltration for periods without mechanical outdoor air supply; NCC also specifies 0.35 ACH when mechanical OA is operating (to be applied via infiltration schedule once developed)Space Function_Storage areaInfil</v>
      </c>
      <c r="AO94" t="str">
        <f>'Space Types'!CD97</f>
        <v>Always On</v>
      </c>
      <c r="AP94">
        <f>'Space Types'!CG97</f>
        <v>0</v>
      </c>
      <c r="AQ94">
        <f>'Space Types'!CH97</f>
        <v>6.89</v>
      </c>
      <c r="AR94">
        <f>'Space Types'!CI97</f>
        <v>0</v>
      </c>
      <c r="AS94" t="str">
        <f>'Space Types'!CJ97</f>
        <v>Smooth</v>
      </c>
      <c r="AT94">
        <f>'Space Types'!CK97</f>
        <v>2.2000000000000001E-3</v>
      </c>
      <c r="AU94">
        <f>'Space Types'!CL97</f>
        <v>9.2200000000000006</v>
      </c>
      <c r="AV94">
        <f>'Space Types'!CM97</f>
        <v>4416</v>
      </c>
      <c r="AW94">
        <f>'Space Types'!CN97</f>
        <v>928</v>
      </c>
      <c r="AX94">
        <f>'Space Types'!CO97</f>
        <v>0.9</v>
      </c>
      <c r="AY94">
        <f>'Space Types'!CP97</f>
        <v>0.7</v>
      </c>
      <c r="AZ94">
        <f>'Space Types'!CQ97</f>
        <v>0.7</v>
      </c>
      <c r="BA94" t="str">
        <f>'Space Types'!CR97</f>
        <v>Steel_Hospital_Storage_2mm</v>
      </c>
      <c r="BB94" t="str">
        <f>'Space Types'!CW97</f>
        <v>CalculatedEstimateMedicalShelvingAndSupplyCartsSteel_Hospital_Storage_2mmInternalMassDef</v>
      </c>
    </row>
    <row r="95" spans="1:54" x14ac:dyDescent="0.35">
      <c r="A95" t="str">
        <f>'Space Types'!A98</f>
        <v xml:space="preserve">CS Storage - &gt;= 50 ft2 </v>
      </c>
      <c r="B95" t="str">
        <f>'Space Types'!B98</f>
        <v>2025_AU_NCC</v>
      </c>
      <c r="C95" t="str">
        <f>'Space Types'!C98</f>
        <v>Miscellaneous</v>
      </c>
      <c r="D95" t="str">
        <f>'Space Types'!D98</f>
        <v>Storage - &gt;= 50 ft2</v>
      </c>
      <c r="E95">
        <f>'Space Types'!I98</f>
        <v>102</v>
      </c>
      <c r="F95">
        <f>'Space Types'!J98</f>
        <v>0</v>
      </c>
      <c r="G95">
        <f>'Space Types'!K98</f>
        <v>0</v>
      </c>
      <c r="H95" t="str">
        <f>'Space Types'!L98</f>
        <v>CS Storage - &gt;= 50 ft2 _2025AUNCC</v>
      </c>
      <c r="I95" t="str">
        <f>'Space Types'!M98</f>
        <v>CS Storage - &gt;= 50 ft2 _2025AUNCCScheduleSet</v>
      </c>
      <c r="J95">
        <f>'Space Types'!P98</f>
        <v>0</v>
      </c>
      <c r="K95">
        <f>'Space Types'!U98</f>
        <v>0</v>
      </c>
      <c r="L95">
        <f>'Space Types'!V98</f>
        <v>0</v>
      </c>
      <c r="M95">
        <f>'Space Types'!W98</f>
        <v>130</v>
      </c>
      <c r="N95">
        <f>'Space Types'!X98</f>
        <v>0.57692307700000001</v>
      </c>
      <c r="O95" t="str">
        <f>'Space Types'!AC98</f>
        <v/>
      </c>
      <c r="P95" t="str">
        <f>'Space Types'!AD98</f>
        <v/>
      </c>
      <c r="Q95" t="str">
        <f>'Space Types'!AE98</f>
        <v/>
      </c>
      <c r="R95" t="str">
        <f>'Space Types'!AG98</f>
        <v/>
      </c>
      <c r="S95">
        <f>'Space Types'!AI98</f>
        <v>3.0479999999999998E-4</v>
      </c>
      <c r="T95" t="str">
        <f>'Space Types'!AL98</f>
        <v/>
      </c>
      <c r="U95" t="str">
        <f>'Space Types'!AQ98</f>
        <v>Washington State Mechanical Code TABLE 403.3.1.1Storage - WarehousesVent</v>
      </c>
      <c r="V95">
        <f>'Space Types'!AS98</f>
        <v>0</v>
      </c>
      <c r="W95">
        <f>'Space Types'!AT98</f>
        <v>0</v>
      </c>
      <c r="X95">
        <f>'Space Types'!AU98</f>
        <v>0.5</v>
      </c>
      <c r="Y95">
        <f>'Space Types'!AV98</f>
        <v>0</v>
      </c>
      <c r="Z95" t="str">
        <f>'Space Types'!AZ98</f>
        <v>NCC S35C2lShared with host building class (Other applications) - no equipment load per S35C2l; radiant/latent/lost fraction split retained from original WA/COMNET-REV9 source (AIRAH Technical Handbook does not publish this split)CS Storage - &gt;= 50 ft2 ElectricalEquipDef</v>
      </c>
      <c r="AA95" t="str">
        <f>'Space Types'!BA98</f>
        <v>NECB-E-Electric-Equipment</v>
      </c>
      <c r="AB95">
        <f>'Space Types'!BC98</f>
        <v>1.5</v>
      </c>
      <c r="AC95">
        <f>'Space Types'!BD98</f>
        <v>0.37</v>
      </c>
      <c r="AD95">
        <f>'Space Types'!BE98</f>
        <v>0.2</v>
      </c>
      <c r="AE95" t="str">
        <f>'Space Types'!BI98</f>
        <v>NCC J7D3aStorage; radiant/visible fraction split retained from original WA/COMNET-REV9 source (AIRAH Technical Handbook does not publish this split)LightingDef</v>
      </c>
      <c r="AF95" t="str">
        <f>'Space Types'!BJ98</f>
        <v>NECB-E-Lighting</v>
      </c>
      <c r="AG95" t="str">
        <f>'Space Types'!BM98</f>
        <v/>
      </c>
      <c r="AH95" t="str">
        <f>'Space Types'!BN98</f>
        <v/>
      </c>
      <c r="AI95" t="str">
        <f>'Space Types'!BO98</f>
        <v/>
      </c>
      <c r="AJ95" t="str">
        <f>'Space Types'!BP98</f>
        <v/>
      </c>
      <c r="AK95" t="str">
        <f>'Space Types'!BT98</f>
        <v/>
      </c>
      <c r="AL95" t="str">
        <f>'Space Types'!BU98</f>
        <v/>
      </c>
      <c r="AM95">
        <f>'Space Types'!BX98</f>
        <v>0</v>
      </c>
      <c r="AN95" t="str">
        <f>'Space Types'!CC98</f>
        <v>NCC S34C2(6)0.7 ACH assumed as design infiltration for periods without mechanical outdoor air supply; NCC also specifies 0.35 ACH when mechanical OA is operating (to be applied via infiltration schedule once developed)SmallHotel_Storage4FrontInfil</v>
      </c>
      <c r="AO95" t="str">
        <f>'Space Types'!CD98</f>
        <v>Always On</v>
      </c>
      <c r="AP95">
        <f>'Space Types'!CG98</f>
        <v>0</v>
      </c>
      <c r="AQ95">
        <f>'Space Types'!CH98</f>
        <v>7.37</v>
      </c>
      <c r="AR95">
        <f>'Space Types'!CI98</f>
        <v>0</v>
      </c>
      <c r="AS95" t="str">
        <f>'Space Types'!CJ98</f>
        <v>MediumRough</v>
      </c>
      <c r="AT95">
        <f>'Space Types'!CK98</f>
        <v>4.0000000000000001E-3</v>
      </c>
      <c r="AU95">
        <f>'Space Types'!CL98</f>
        <v>10.9</v>
      </c>
      <c r="AV95">
        <f>'Space Types'!CM98</f>
        <v>2584</v>
      </c>
      <c r="AW95">
        <f>'Space Types'!CN98</f>
        <v>1123</v>
      </c>
      <c r="AX95">
        <f>'Space Types'!CO98</f>
        <v>0.9</v>
      </c>
      <c r="AY95">
        <f>'Space Types'!CP98</f>
        <v>0.7</v>
      </c>
      <c r="AZ95">
        <f>'Space Types'!CQ98</f>
        <v>0.7</v>
      </c>
      <c r="BA95" t="str">
        <f>'Space Types'!CR98</f>
        <v>Mixed_Commercial_Storage_4mm</v>
      </c>
      <c r="BB95" t="str">
        <f>'Space Types'!CW98</f>
        <v>CalculatedEstimateShelvingWithFileAndPaperBoxesMixed_Commercial_Storage_4mmInternalMassDef</v>
      </c>
    </row>
    <row r="96" spans="1:54" x14ac:dyDescent="0.35">
      <c r="A96" t="str">
        <f>'Space Types'!A99</f>
        <v xml:space="preserve">CS Storage - &lt; 50 ft2 </v>
      </c>
      <c r="B96" t="str">
        <f>'Space Types'!B99</f>
        <v>2025_AU_NCC</v>
      </c>
      <c r="C96" t="str">
        <f>'Space Types'!C99</f>
        <v>Miscellaneous</v>
      </c>
      <c r="D96" t="str">
        <f>'Space Types'!D99</f>
        <v>Storage - &lt; 50 ft2</v>
      </c>
      <c r="E96">
        <f>'Space Types'!I99</f>
        <v>102</v>
      </c>
      <c r="F96">
        <f>'Space Types'!J99</f>
        <v>0</v>
      </c>
      <c r="G96">
        <f>'Space Types'!K99</f>
        <v>0</v>
      </c>
      <c r="H96" t="str">
        <f>'Space Types'!L99</f>
        <v>CS Storage - &lt; 50 ft2 _2025AUNCC</v>
      </c>
      <c r="I96" t="str">
        <f>'Space Types'!M99</f>
        <v>CS Storage - &lt; 50 ft2 _2025AUNCCScheduleSet</v>
      </c>
      <c r="J96">
        <f>'Space Types'!P99</f>
        <v>0</v>
      </c>
      <c r="K96">
        <f>'Space Types'!U99</f>
        <v>0</v>
      </c>
      <c r="L96">
        <f>'Space Types'!V99</f>
        <v>0</v>
      </c>
      <c r="M96">
        <f>'Space Types'!W99</f>
        <v>130</v>
      </c>
      <c r="N96">
        <f>'Space Types'!X99</f>
        <v>0.57692307700000001</v>
      </c>
      <c r="O96" t="str">
        <f>'Space Types'!AC99</f>
        <v/>
      </c>
      <c r="P96" t="str">
        <f>'Space Types'!AD99</f>
        <v/>
      </c>
      <c r="Q96" t="str">
        <f>'Space Types'!AE99</f>
        <v/>
      </c>
      <c r="R96" t="str">
        <f>'Space Types'!AG99</f>
        <v/>
      </c>
      <c r="S96">
        <f>'Space Types'!AI99</f>
        <v>3.0479999999999998E-4</v>
      </c>
      <c r="T96" t="str">
        <f>'Space Types'!AL99</f>
        <v/>
      </c>
      <c r="U96" t="str">
        <f>'Space Types'!AQ99</f>
        <v>Washington State Mechanical Code TABLE 403.3.1.1Storage - WarehousesVent</v>
      </c>
      <c r="V96">
        <f>'Space Types'!AS99</f>
        <v>0</v>
      </c>
      <c r="W96">
        <f>'Space Types'!AT99</f>
        <v>0</v>
      </c>
      <c r="X96">
        <f>'Space Types'!AU99</f>
        <v>0.5</v>
      </c>
      <c r="Y96">
        <f>'Space Types'!AV99</f>
        <v>0</v>
      </c>
      <c r="Z96" t="str">
        <f>'Space Types'!AZ99</f>
        <v>NCC S35C2lShared with host building class (Other applications) - no equipment load per S35C2l; radiant/latent/lost fraction split retained from original WA/COMNET-REV9 source (AIRAH Technical Handbook does not publish this split)CS Storage - &lt; 50 ft2 ElectricalEquipDef</v>
      </c>
      <c r="AA96" t="str">
        <f>'Space Types'!BA99</f>
        <v>NECB-E-Electric-Equipment</v>
      </c>
      <c r="AB96">
        <f>'Space Types'!BC99</f>
        <v>1.5</v>
      </c>
      <c r="AC96">
        <f>'Space Types'!BD99</f>
        <v>0.37</v>
      </c>
      <c r="AD96">
        <f>'Space Types'!BE99</f>
        <v>0.2</v>
      </c>
      <c r="AE96" t="str">
        <f>'Space Types'!BI99</f>
        <v>NCC J7D3aStorage; radiant/visible fraction split retained from original WA/COMNET-REV9 source (AIRAH Technical Handbook does not publish this split)LightingDef</v>
      </c>
      <c r="AF96" t="str">
        <f>'Space Types'!BJ99</f>
        <v>NECB-E-Lighting</v>
      </c>
      <c r="AG96" t="str">
        <f>'Space Types'!BM99</f>
        <v/>
      </c>
      <c r="AH96" t="str">
        <f>'Space Types'!BN99</f>
        <v/>
      </c>
      <c r="AI96" t="str">
        <f>'Space Types'!BO99</f>
        <v/>
      </c>
      <c r="AJ96" t="str">
        <f>'Space Types'!BP99</f>
        <v/>
      </c>
      <c r="AK96" t="str">
        <f>'Space Types'!BT99</f>
        <v/>
      </c>
      <c r="AL96" t="str">
        <f>'Space Types'!BU99</f>
        <v/>
      </c>
      <c r="AM96">
        <f>'Space Types'!BX99</f>
        <v>0</v>
      </c>
      <c r="AN96" t="str">
        <f>'Space Types'!CC99</f>
        <v>NCC S34C2(6)0.7 ACH assumed as design infiltration for periods without mechanical outdoor air supply; NCC also specifies 0.35 ACH when mechanical OA is operating (to be applied via infiltration schedule once developed)SmallHotel_Storage4FrontInfil</v>
      </c>
      <c r="AO96" t="str">
        <f>'Space Types'!CD99</f>
        <v>Always On</v>
      </c>
      <c r="AP96">
        <f>'Space Types'!CG99</f>
        <v>0</v>
      </c>
      <c r="AQ96">
        <f>'Space Types'!CH99</f>
        <v>4.72</v>
      </c>
      <c r="AR96">
        <f>'Space Types'!CI99</f>
        <v>0</v>
      </c>
      <c r="AS96" t="str">
        <f>'Space Types'!CJ99</f>
        <v>MediumRough</v>
      </c>
      <c r="AT96">
        <f>'Space Types'!CK99</f>
        <v>2.5000000000000001E-3</v>
      </c>
      <c r="AU96">
        <f>'Space Types'!CL99</f>
        <v>14.7</v>
      </c>
      <c r="AV96">
        <f>'Space Types'!CM99</f>
        <v>2644</v>
      </c>
      <c r="AW96">
        <f>'Space Types'!CN99</f>
        <v>1128</v>
      </c>
      <c r="AX96">
        <f>'Space Types'!CO99</f>
        <v>0.9</v>
      </c>
      <c r="AY96">
        <f>'Space Types'!CP99</f>
        <v>0.7</v>
      </c>
      <c r="AZ96">
        <f>'Space Types'!CQ99</f>
        <v>0.7</v>
      </c>
      <c r="BA96" t="str">
        <f>'Space Types'!CR99</f>
        <v>Mixed_Small_Storage_2mm</v>
      </c>
      <c r="BB96" t="str">
        <f>'Space Types'!CW99</f>
        <v>CalculatedEstimateWallShelvingInJanitorialClosetMixed_Small_Storage_2mmInternalMassDef</v>
      </c>
    </row>
    <row r="97" spans="1:54" x14ac:dyDescent="0.35">
      <c r="A97" t="str">
        <f>'Space Types'!A100</f>
        <v>CS Vehicular Maintenance</v>
      </c>
      <c r="B97" t="str">
        <f>'Space Types'!B100</f>
        <v>2025_AU_NCC</v>
      </c>
      <c r="C97" t="str">
        <f>'Space Types'!C100</f>
        <v>Repair Garage</v>
      </c>
      <c r="D97" t="str">
        <f>'Space Types'!D100</f>
        <v>Vehicular Maintenance</v>
      </c>
      <c r="E97">
        <f>'Space Types'!I100</f>
        <v>153</v>
      </c>
      <c r="F97">
        <f>'Space Types'!J100</f>
        <v>0</v>
      </c>
      <c r="G97">
        <f>'Space Types'!K100</f>
        <v>76</v>
      </c>
      <c r="H97" t="str">
        <f>'Space Types'!L100</f>
        <v>CS Vehicular Maintenance_2025AUNCC</v>
      </c>
      <c r="I97" t="str">
        <f>'Space Types'!M100</f>
        <v>CS Vehicular Maintenance_2025AUNCCScheduleSet</v>
      </c>
      <c r="J97">
        <f>'Space Types'!P100</f>
        <v>0</v>
      </c>
      <c r="K97">
        <f>'Space Types'!U100</f>
        <v>0</v>
      </c>
      <c r="L97">
        <f>'Space Types'!V100</f>
        <v>0</v>
      </c>
      <c r="M97">
        <f>'Space Types'!W100</f>
        <v>130</v>
      </c>
      <c r="N97">
        <f>'Space Types'!X100</f>
        <v>0.57692307700000001</v>
      </c>
      <c r="O97" t="str">
        <f>'Space Types'!AC100</f>
        <v/>
      </c>
      <c r="P97" t="str">
        <f>'Space Types'!AD100</f>
        <v/>
      </c>
      <c r="Q97" t="str">
        <f>'Space Types'!AE100</f>
        <v/>
      </c>
      <c r="R97" t="str">
        <f>'Space Types'!AG100</f>
        <v/>
      </c>
      <c r="S97" t="str">
        <f>'Space Types'!AI100</f>
        <v/>
      </c>
      <c r="T97" t="str">
        <f>'Space Types'!AL100</f>
        <v/>
      </c>
      <c r="U97" t="str">
        <f>'Space Types'!AQ100</f>
        <v>Washington State Mechanical Code TABLE 403.3.1.1Storage_Repair garages_enclosed parking garageVent</v>
      </c>
      <c r="V97">
        <f>'Space Types'!AS100</f>
        <v>0</v>
      </c>
      <c r="W97">
        <f>'Space Types'!AT100</f>
        <v>0</v>
      </c>
      <c r="X97">
        <f>'Space Types'!AU100</f>
        <v>0.5</v>
      </c>
      <c r="Y97">
        <f>'Space Types'!AV100</f>
        <v>0</v>
      </c>
      <c r="Z97" t="str">
        <f>'Space Types'!AZ100</f>
        <v>NCC S35C2lClass 8 (Other applications) - no equipment load per S35C2l; radiant/latent/lost fraction split retained from original WA/COMNET-REV9 source (AIRAH Technical Handbook does not publish this split)CS Vehicular MaintenanceElectricalEquipDef</v>
      </c>
      <c r="AA97" t="str">
        <f>'Space Types'!BA100</f>
        <v>NECB-A-Electric-Equipment</v>
      </c>
      <c r="AB97">
        <f>'Space Types'!BC100</f>
        <v>6.3507100000000003</v>
      </c>
      <c r="AC97">
        <f>'Space Types'!BD100</f>
        <v>0.37</v>
      </c>
      <c r="AD97">
        <f>'Space Types'!BE100</f>
        <v>0.2</v>
      </c>
      <c r="AE97" t="str">
        <f>'Space Types'!BI100</f>
        <v>IECC Table C405.3.2(2)Vehicular maintenance area; radiant/visible fraction split retained from original WA/COMNET-REV9 sourceLightingDef</v>
      </c>
      <c r="AF97" t="str">
        <f>'Space Types'!BJ100</f>
        <v>NECB-A-Lighting</v>
      </c>
      <c r="AG97" t="str">
        <f>'Space Types'!BM100</f>
        <v/>
      </c>
      <c r="AH97" t="str">
        <f>'Space Types'!BN100</f>
        <v/>
      </c>
      <c r="AI97" t="str">
        <f>'Space Types'!BO100</f>
        <v/>
      </c>
      <c r="AJ97" t="str">
        <f>'Space Types'!BP100</f>
        <v/>
      </c>
      <c r="AK97" t="str">
        <f>'Space Types'!BT100</f>
        <v/>
      </c>
      <c r="AL97" t="str">
        <f>'Space Types'!BU100</f>
        <v/>
      </c>
      <c r="AM97">
        <f>'Space Types'!BX100</f>
        <v>0</v>
      </c>
      <c r="AN97" t="str">
        <f>'Space Types'!CC100</f>
        <v>NCC S34C2(6)0.7 ACH assumed as design infiltration for periods without mechanical outdoor air supply; NCC also specifies 0.35 ACH when mechanical OA is operating (to be applied via infiltration schedule once developed)Space Function_Parking garage spaceInfil</v>
      </c>
      <c r="AO97" t="str">
        <f>'Space Types'!CD100</f>
        <v>Always On</v>
      </c>
      <c r="AP97">
        <f>'Space Types'!CG100</f>
        <v>0</v>
      </c>
      <c r="AQ97">
        <f>'Space Types'!CH100</f>
        <v>1.31</v>
      </c>
      <c r="AR97">
        <f>'Space Types'!CI100</f>
        <v>0</v>
      </c>
      <c r="AS97" t="str">
        <f>'Space Types'!CJ100</f>
        <v>Smooth</v>
      </c>
      <c r="AT97">
        <f>'Space Types'!CK100</f>
        <v>4.4999999999999997E-3</v>
      </c>
      <c r="AU97">
        <f>'Space Types'!CL100</f>
        <v>41.4</v>
      </c>
      <c r="AV97">
        <f>'Space Types'!CM100</f>
        <v>7054</v>
      </c>
      <c r="AW97">
        <f>'Space Types'!CN100</f>
        <v>551</v>
      </c>
      <c r="AX97">
        <f>'Space Types'!CO100</f>
        <v>0.9</v>
      </c>
      <c r="AY97">
        <f>'Space Types'!CP100</f>
        <v>0.7</v>
      </c>
      <c r="AZ97">
        <f>'Space Types'!CQ100</f>
        <v>0.7</v>
      </c>
      <c r="BA97" t="str">
        <f>'Space Types'!CR100</f>
        <v>Steel_AutoShop_4mm</v>
      </c>
      <c r="BB97" t="str">
        <f>'Space Types'!CW100</f>
        <v>CalculatedEstimateVehicleLiftsAndToolChestsSteel_AutoShop_4mmInternalMassDef</v>
      </c>
    </row>
    <row r="98" spans="1:54" x14ac:dyDescent="0.35">
      <c r="A98" t="str">
        <f>'Space Types'!A101</f>
        <v>CS Workshop</v>
      </c>
      <c r="B98" t="str">
        <f>'Space Types'!B101</f>
        <v>2025_AU_NCC</v>
      </c>
      <c r="C98" t="str">
        <f>'Space Types'!C101</f>
        <v>Workshop</v>
      </c>
      <c r="D98" t="str">
        <f>'Space Types'!D101</f>
        <v>Workshop</v>
      </c>
      <c r="E98">
        <f>'Space Types'!I101</f>
        <v>160</v>
      </c>
      <c r="F98">
        <f>'Space Types'!J101</f>
        <v>160</v>
      </c>
      <c r="G98">
        <f>'Space Types'!K101</f>
        <v>160</v>
      </c>
      <c r="H98" t="str">
        <f>'Space Types'!L101</f>
        <v>CS Workshop_2025AUNCC</v>
      </c>
      <c r="I98" t="str">
        <f>'Space Types'!M101</f>
        <v>CS Workshop_2025AUNCCScheduleSet</v>
      </c>
      <c r="J98">
        <f>'Space Types'!P101</f>
        <v>0.21527830100000001</v>
      </c>
      <c r="K98">
        <f>'Space Types'!U101</f>
        <v>0</v>
      </c>
      <c r="L98">
        <f>'Space Types'!V101</f>
        <v>0</v>
      </c>
      <c r="M98">
        <f>'Space Types'!W101</f>
        <v>130</v>
      </c>
      <c r="N98">
        <f>'Space Types'!X101</f>
        <v>0.57692307700000001</v>
      </c>
      <c r="O98" t="str">
        <f>'Space Types'!AC101</f>
        <v>NCC S35C2nOther applications (non-dining)PeopleDef</v>
      </c>
      <c r="P98" t="str">
        <f>'Space Types'!AD101</f>
        <v>NECB-A-Occupancy</v>
      </c>
      <c r="Q98" t="str">
        <f>'Space Types'!AE101</f>
        <v>CS WorkshopActivity</v>
      </c>
      <c r="R98">
        <f>'Space Types'!AG101</f>
        <v>4.7192071731949033E-3</v>
      </c>
      <c r="S98">
        <f>'Space Types'!AI101</f>
        <v>9.144E-4</v>
      </c>
      <c r="T98" t="str">
        <f>'Space Types'!AL101</f>
        <v/>
      </c>
      <c r="U98" t="str">
        <f>'Space Types'!AQ101</f>
        <v>Washington State Mechanical Code TABLE 403.3.1.1Education - Wood/metal shopsVent</v>
      </c>
      <c r="V98">
        <f>'Space Types'!AS101</f>
        <v>0</v>
      </c>
      <c r="W98">
        <f>'Space Types'!AT101</f>
        <v>0.1</v>
      </c>
      <c r="X98">
        <f>'Space Types'!AU101</f>
        <v>0.5</v>
      </c>
      <c r="Y98">
        <f>'Space Types'!AV101</f>
        <v>0.1</v>
      </c>
      <c r="Z98" t="str">
        <f>'Space Types'!AZ101</f>
        <v>NCC S35C2lClass 8 (Other applications) - no equipment load per S35C2l; radiant/latent/lost fraction split retained from original WA/COMNET-REV9 source (AIRAH Technical Handbook does not publish this split)CS WorkshopElectricalEquipDef</v>
      </c>
      <c r="AA98" t="str">
        <f>'Space Types'!BA101</f>
        <v>NECB-A-Electric-Equipment</v>
      </c>
      <c r="AB98">
        <f>'Space Types'!BC101</f>
        <v>12.593769999999999</v>
      </c>
      <c r="AC98">
        <f>'Space Types'!BD101</f>
        <v>0.37</v>
      </c>
      <c r="AD98">
        <f>'Space Types'!BE101</f>
        <v>0.2</v>
      </c>
      <c r="AE98" t="str">
        <f>'Space Types'!BI101</f>
        <v>IECC Table C405.3.2(2)Workshop; radiant/visible fraction split retained from original WA/COMNET-REV9 sourceLightingDef</v>
      </c>
      <c r="AF98" t="str">
        <f>'Space Types'!BJ101</f>
        <v>NECB-A-Lighting</v>
      </c>
      <c r="AG98" t="str">
        <f>'Space Types'!BM101</f>
        <v/>
      </c>
      <c r="AH98" t="str">
        <f>'Space Types'!BN101</f>
        <v/>
      </c>
      <c r="AI98" t="str">
        <f>'Space Types'!BO101</f>
        <v/>
      </c>
      <c r="AJ98" t="str">
        <f>'Space Types'!BP101</f>
        <v/>
      </c>
      <c r="AK98" t="str">
        <f>'Space Types'!BT101</f>
        <v/>
      </c>
      <c r="AL98" t="str">
        <f>'Space Types'!BU101</f>
        <v/>
      </c>
      <c r="AM98">
        <f>'Space Types'!BX101</f>
        <v>0</v>
      </c>
      <c r="AN98" t="str">
        <f>'Space Types'!CC101</f>
        <v>NCC S34C2(6)0.7 ACH assumed as design infiltration for periods without mechanical outdoor air supply; NCC also specifies 0.35 ACH when mechanical OA is operating (to be applied via infiltration schedule once developed)Space Function_Parking garage spaceInfil</v>
      </c>
      <c r="AO98" t="str">
        <f>'Space Types'!CD101</f>
        <v>Always On</v>
      </c>
      <c r="AP98">
        <f>'Space Types'!CG101</f>
        <v>0</v>
      </c>
      <c r="AQ98">
        <f>'Space Types'!CH101</f>
        <v>2.27</v>
      </c>
      <c r="AR98">
        <f>'Space Types'!CI101</f>
        <v>0</v>
      </c>
      <c r="AS98" t="str">
        <f>'Space Types'!CJ101</f>
        <v>Smooth</v>
      </c>
      <c r="AT98">
        <f>'Space Types'!CK101</f>
        <v>2.5000000000000001E-3</v>
      </c>
      <c r="AU98">
        <f>'Space Types'!CL101</f>
        <v>40.799999999999997</v>
      </c>
      <c r="AV98">
        <f>'Space Types'!CM101</f>
        <v>6533</v>
      </c>
      <c r="AW98">
        <f>'Space Types'!CN101</f>
        <v>647</v>
      </c>
      <c r="AX98">
        <f>'Space Types'!CO101</f>
        <v>0.9</v>
      </c>
      <c r="AY98">
        <f>'Space Types'!CP101</f>
        <v>0.7</v>
      </c>
      <c r="AZ98">
        <f>'Space Types'!CQ101</f>
        <v>0.7</v>
      </c>
      <c r="BA98" t="str">
        <f>'Space Types'!CR101</f>
        <v>Steel_Workshop_2mm</v>
      </c>
      <c r="BB98" t="str">
        <f>'Space Types'!CW101</f>
        <v>CalculatedEstimateMachineToolsAndWorkbenchesSteel_Workshop_2mmInternalMassDef</v>
      </c>
    </row>
    <row r="99" spans="1:54" x14ac:dyDescent="0.35">
      <c r="A99" t="str">
        <f>'Space Types'!A102</f>
        <v>SS Assisted Living - Chapel</v>
      </c>
      <c r="B99" t="str">
        <f>'Space Types'!B102</f>
        <v>2025_AU_NCC</v>
      </c>
      <c r="C99" t="str">
        <f>'Space Types'!C102</f>
        <v>Religious</v>
      </c>
      <c r="D99" t="str">
        <f>'Space Types'!D102</f>
        <v>Chapel</v>
      </c>
      <c r="E99">
        <f>'Space Types'!I102</f>
        <v>255</v>
      </c>
      <c r="F99">
        <f>'Space Types'!J102</f>
        <v>153</v>
      </c>
      <c r="G99">
        <f>'Space Types'!K102</f>
        <v>255</v>
      </c>
      <c r="H99" t="str">
        <f>'Space Types'!L102</f>
        <v>SS Assisted Living - Chapel_2025AUNCC</v>
      </c>
      <c r="I99" t="str">
        <f>'Space Types'!M102</f>
        <v>SS Assisted Living - Chapel_2025AUNCCScheduleSet</v>
      </c>
      <c r="J99">
        <f>'Space Types'!P102</f>
        <v>1.291669806</v>
      </c>
      <c r="K99">
        <f>'Space Types'!U102</f>
        <v>0</v>
      </c>
      <c r="L99">
        <f>'Space Types'!V102</f>
        <v>0</v>
      </c>
      <c r="M99">
        <f>'Space Types'!W102</f>
        <v>130</v>
      </c>
      <c r="N99">
        <f>'Space Types'!X102</f>
        <v>0.57692307700000001</v>
      </c>
      <c r="O99" t="str">
        <f>'Space Types'!AC102</f>
        <v>NCC S35C2nOther applications (non-dining)PeopleDef</v>
      </c>
      <c r="P99" t="str">
        <f>'Space Types'!AD102</f>
        <v>NECB-C-Occupancy</v>
      </c>
      <c r="Q99" t="str">
        <f>'Space Types'!AE102</f>
        <v>SS Assisted Living - ChapelActivity</v>
      </c>
      <c r="R99">
        <f>'Space Types'!AG102</f>
        <v>2.3596035865974517E-3</v>
      </c>
      <c r="S99">
        <f>'Space Types'!AI102</f>
        <v>3.0479999999999998E-4</v>
      </c>
      <c r="T99" t="str">
        <f>'Space Types'!AL102</f>
        <v/>
      </c>
      <c r="U99" t="str">
        <f>'Space Types'!AQ102</f>
        <v>Washington State Mechanical Code TABLE 403.3.1.1Public spaces - Places of religious worshipVent</v>
      </c>
      <c r="V99">
        <f>'Space Types'!AS102</f>
        <v>0</v>
      </c>
      <c r="W99">
        <f>'Space Types'!AT102</f>
        <v>0</v>
      </c>
      <c r="X99">
        <f>'Space Types'!AU102</f>
        <v>0.5</v>
      </c>
      <c r="Y99">
        <f>'Space Types'!AV102</f>
        <v>0</v>
      </c>
      <c r="Z99" t="str">
        <f>'Space Types'!AZ102</f>
        <v>NCC S35C2lClass 9b (Other applications) - no equipment load per S35C2l; radiant/latent/lost fraction split retained from original WA/COMNET-REV9 source (AIRAH Technical Handbook does not publish this split)SS Assisted Living - ChapelElectricalEquipDef</v>
      </c>
      <c r="AA99" t="str">
        <f>'Space Types'!BA102</f>
        <v>NECB-C-Electric-Equipment</v>
      </c>
      <c r="AB99">
        <f>'Space Types'!BC102</f>
        <v>8</v>
      </c>
      <c r="AC99">
        <f>'Space Types'!BD102</f>
        <v>0.37</v>
      </c>
      <c r="AD99">
        <f>'Space Types'!BE102</f>
        <v>0.2</v>
      </c>
      <c r="AE99" t="str">
        <f>'Space Types'!BI102</f>
        <v>NCC J7D3aAuditorium, church and public hall (chapel); radiant/visible fraction split retained from original WA/COMNET-REV9 source (AIRAH Technical Handbook does not publish this split)LightingDef</v>
      </c>
      <c r="AF99" t="str">
        <f>'Space Types'!BJ102</f>
        <v>NECB-C-Lighting</v>
      </c>
      <c r="AG99" t="str">
        <f>'Space Types'!BM102</f>
        <v/>
      </c>
      <c r="AH99" t="str">
        <f>'Space Types'!BN102</f>
        <v/>
      </c>
      <c r="AI99" t="str">
        <f>'Space Types'!BO102</f>
        <v/>
      </c>
      <c r="AJ99" t="str">
        <f>'Space Types'!BP102</f>
        <v/>
      </c>
      <c r="AK99" t="str">
        <f>'Space Types'!BT102</f>
        <v/>
      </c>
      <c r="AL99" t="str">
        <f>'Space Types'!BU102</f>
        <v/>
      </c>
      <c r="AM99">
        <f>'Space Types'!BX102</f>
        <v>0</v>
      </c>
      <c r="AN99" t="str">
        <f>'Space Types'!CC102</f>
        <v>NCC S34C2(6)0.7 ACH assumed as design infiltration for periods without mechanical outdoor air supply; NCC also specifies 0.35 ACH when mechanical OA is operating (to be applied via infiltration schedule once developed)Space Function_Religious - fellowship hallInfil</v>
      </c>
      <c r="AO99" t="str">
        <f>'Space Types'!CD102</f>
        <v>Always On</v>
      </c>
      <c r="AP99">
        <f>'Space Types'!CG102</f>
        <v>0</v>
      </c>
      <c r="AQ99">
        <f>'Space Types'!CH102</f>
        <v>3.06</v>
      </c>
      <c r="AR99">
        <f>'Space Types'!CI102</f>
        <v>0</v>
      </c>
      <c r="AS99" t="str">
        <f>'Space Types'!CJ102</f>
        <v>MediumRough</v>
      </c>
      <c r="AT99">
        <f>'Space Types'!CK102</f>
        <v>8.0000000000000002E-3</v>
      </c>
      <c r="AU99">
        <f>'Space Types'!CL102</f>
        <v>3.09</v>
      </c>
      <c r="AV99">
        <f>'Space Types'!CM102</f>
        <v>855</v>
      </c>
      <c r="AW99">
        <f>'Space Types'!CN102</f>
        <v>1384</v>
      </c>
      <c r="AX99">
        <f>'Space Types'!CO102</f>
        <v>0.9</v>
      </c>
      <c r="AY99">
        <f>'Space Types'!CP102</f>
        <v>0.7</v>
      </c>
      <c r="AZ99">
        <f>'Space Types'!CQ102</f>
        <v>0.7</v>
      </c>
      <c r="BA99" t="str">
        <f>'Space Types'!CR102</f>
        <v>Mixed_Chapel_8mm</v>
      </c>
      <c r="BB99" t="str">
        <f>'Space Types'!CW102</f>
        <v>CalculatedEstimateChapelSeatingAndAltarFurnishingsMixed_Chapel_8mmInternalMassDef</v>
      </c>
    </row>
    <row r="100" spans="1:54" x14ac:dyDescent="0.35">
      <c r="A100" t="str">
        <f>'Space Types'!A103</f>
        <v>SS Assisted Living - Recreation Room</v>
      </c>
      <c r="B100" t="str">
        <f>'Space Types'!B103</f>
        <v>2025_AU_NCC</v>
      </c>
      <c r="C100" t="str">
        <f>'Space Types'!C103</f>
        <v>Assisted Living</v>
      </c>
      <c r="D100" t="str">
        <f>'Space Types'!D103</f>
        <v>Recreation Room</v>
      </c>
      <c r="E100">
        <f>'Space Types'!I103</f>
        <v>255</v>
      </c>
      <c r="F100">
        <f>'Space Types'!J103</f>
        <v>0</v>
      </c>
      <c r="G100">
        <f>'Space Types'!K103</f>
        <v>0</v>
      </c>
      <c r="H100" t="str">
        <f>'Space Types'!L103</f>
        <v>SS Assisted Living - Recreation Room_2025AUNCC</v>
      </c>
      <c r="I100" t="str">
        <f>'Space Types'!M103</f>
        <v>SS Assisted Living - Recreation Room_2025AUNCCScheduleSet</v>
      </c>
      <c r="J100">
        <f>'Space Types'!P103</f>
        <v>0.43055660200000001</v>
      </c>
      <c r="K100">
        <f>'Space Types'!U103</f>
        <v>0</v>
      </c>
      <c r="L100">
        <f>'Space Types'!V103</f>
        <v>0</v>
      </c>
      <c r="M100">
        <f>'Space Types'!W103</f>
        <v>130</v>
      </c>
      <c r="N100">
        <f>'Space Types'!X103</f>
        <v>0.57692307700000001</v>
      </c>
      <c r="O100" t="str">
        <f>'Space Types'!AC103</f>
        <v>NCC S35C2nOther applications (non-dining)PeopleDef</v>
      </c>
      <c r="P100" t="str">
        <f>'Space Types'!AD103</f>
        <v>NECB-B-Occupancy</v>
      </c>
      <c r="Q100" t="str">
        <f>'Space Types'!AE103</f>
        <v>SS Assisted Living - Recreation RoomActivity</v>
      </c>
      <c r="R100">
        <f>'Space Types'!AG103</f>
        <v>9.4384143463898066E-3</v>
      </c>
      <c r="S100">
        <f>'Space Types'!AI103</f>
        <v>3.0479999999999998E-4</v>
      </c>
      <c r="T100" t="str">
        <f>'Space Types'!AL103</f>
        <v/>
      </c>
      <c r="U100" t="str">
        <f>'Space Types'!AQ103</f>
        <v>Washington State Mechanical Code TABLE 403.3.1.1Sports and amusement - Health club/aerobics roomVent</v>
      </c>
      <c r="V100">
        <f>'Space Types'!AS103</f>
        <v>0</v>
      </c>
      <c r="W100">
        <f>'Space Types'!AT103</f>
        <v>0</v>
      </c>
      <c r="X100">
        <f>'Space Types'!AU103</f>
        <v>0.5</v>
      </c>
      <c r="Y100">
        <f>'Space Types'!AV103</f>
        <v>0</v>
      </c>
      <c r="Z100" t="str">
        <f>'Space Types'!AZ103</f>
        <v>NCC S35C2lClass 9c building: S35C2l's 160 W/room provision applies only to sole-occupancy resident rooms; a recreation room is a communal space so it defaults to 'Other applications - No load'; radiant/latent/lost fraction split retained from original WA/COMNET-REV9 source (AIRAH Technical Handbook does not publish this split)SS Assisted Living - Recreation RoomElectricalEquipDef</v>
      </c>
      <c r="AA100" t="str">
        <f>'Space Types'!BA103</f>
        <v>NECB-B-Electric-Equipment</v>
      </c>
      <c r="AB100">
        <f>'Space Types'!BC103</f>
        <v>4.5</v>
      </c>
      <c r="AC100">
        <f>'Space Types'!BD103</f>
        <v>0.37</v>
      </c>
      <c r="AD100">
        <f>'Space Types'!BE103</f>
        <v>0.2</v>
      </c>
      <c r="AE100" t="str">
        <f>'Space Types'!BI103</f>
        <v>NCC J7D3aLounge area for communal use in a Class 3 or 9c building (Class 9c aged care building - NCC 2025 Vol One Spec 35 Table S35C2k is the applicable occupancy profile table for future schedule work); radiant/latent/lost fraction split retained from original WA/COMNET-REV9 source (AIRAH Technical Handbook does not publish this split)LightingDef</v>
      </c>
      <c r="AF100" t="str">
        <f>'Space Types'!BJ103</f>
        <v>NECB-B-Lighting</v>
      </c>
      <c r="AG100" t="str">
        <f>'Space Types'!BM103</f>
        <v/>
      </c>
      <c r="AH100" t="str">
        <f>'Space Types'!BN103</f>
        <v/>
      </c>
      <c r="AI100" t="str">
        <f>'Space Types'!BO103</f>
        <v/>
      </c>
      <c r="AJ100" t="str">
        <f>'Space Types'!BP103</f>
        <v/>
      </c>
      <c r="AK100" t="str">
        <f>'Space Types'!BT103</f>
        <v/>
      </c>
      <c r="AL100" t="str">
        <f>'Space Types'!BU103</f>
        <v/>
      </c>
      <c r="AM100">
        <f>'Space Types'!BX103</f>
        <v>0</v>
      </c>
      <c r="AN100" t="str">
        <f>'Space Types'!CC103</f>
        <v>NCC S34C2(6)0.7 ACH assumed as design infiltration for periods without mechanical outdoor air supply; NCC also specifies 0.35 ACH when mechanical OA is operating (to be applied via infiltration schedule once developed)Space Function_Hospital - lounge/recreationInfil</v>
      </c>
      <c r="AO100" t="str">
        <f>'Space Types'!CD103</f>
        <v>Always On</v>
      </c>
      <c r="AP100">
        <f>'Space Types'!CG103</f>
        <v>0</v>
      </c>
      <c r="AQ100">
        <f>'Space Types'!CH103</f>
        <v>3.38</v>
      </c>
      <c r="AR100">
        <f>'Space Types'!CI103</f>
        <v>0</v>
      </c>
      <c r="AS100" t="str">
        <f>'Space Types'!CJ103</f>
        <v>MediumRough</v>
      </c>
      <c r="AT100">
        <f>'Space Types'!CK103</f>
        <v>3.8E-3</v>
      </c>
      <c r="AU100">
        <f>'Space Types'!CL103</f>
        <v>6.76</v>
      </c>
      <c r="AV100">
        <f>'Space Types'!CM103</f>
        <v>1572</v>
      </c>
      <c r="AW100">
        <f>'Space Types'!CN103</f>
        <v>1213</v>
      </c>
      <c r="AX100">
        <f>'Space Types'!CO103</f>
        <v>0.9</v>
      </c>
      <c r="AY100">
        <f>'Space Types'!CP103</f>
        <v>0.7</v>
      </c>
      <c r="AZ100">
        <f>'Space Types'!CQ103</f>
        <v>0.7</v>
      </c>
      <c r="BA100" t="str">
        <f>'Space Types'!CR103</f>
        <v>Mixed_Recreation_4mm</v>
      </c>
      <c r="BB100" t="str">
        <f>'Space Types'!CW103</f>
        <v>CalculatedEstimateRecreationRoomFurnitureAndGameTablesMixed_Recreation_4mmInternalMassDef</v>
      </c>
    </row>
    <row r="101" spans="1:54" x14ac:dyDescent="0.35">
      <c r="A101" t="str">
        <f>'Space Types'!A104</f>
        <v xml:space="preserve">SS Convention Center - Exhibit Space  </v>
      </c>
      <c r="B101" t="str">
        <f>'Space Types'!B104</f>
        <v>2025_AU_NCC</v>
      </c>
      <c r="C101" t="str">
        <f>'Space Types'!C104</f>
        <v>Convention Center</v>
      </c>
      <c r="D101" t="str">
        <f>'Space Types'!D104</f>
        <v>Exhibit Space</v>
      </c>
      <c r="E101">
        <f>'Space Types'!I104</f>
        <v>204</v>
      </c>
      <c r="F101">
        <f>'Space Types'!J104</f>
        <v>204</v>
      </c>
      <c r="G101">
        <f>'Space Types'!K104</f>
        <v>0</v>
      </c>
      <c r="H101" t="str">
        <f>'Space Types'!L104</f>
        <v>SS Convention Center - Exhibit Space  _2025AUNCC</v>
      </c>
      <c r="I101" t="str">
        <f>'Space Types'!M104</f>
        <v>SS Convention Center - Exhibit Space  _2025AUNCCScheduleSet</v>
      </c>
      <c r="J101">
        <f>'Space Types'!P104</f>
        <v>0.43055660200000001</v>
      </c>
      <c r="K101">
        <f>'Space Types'!U104</f>
        <v>0</v>
      </c>
      <c r="L101">
        <f>'Space Types'!V104</f>
        <v>0</v>
      </c>
      <c r="M101">
        <f>'Space Types'!W104</f>
        <v>130</v>
      </c>
      <c r="N101">
        <f>'Space Types'!X104</f>
        <v>0.57692307700000001</v>
      </c>
      <c r="O101" t="str">
        <f>'Space Types'!AC104</f>
        <v>NCC S35C2nOther applications (non-dining)PeopleDef</v>
      </c>
      <c r="P101" t="str">
        <f>'Space Types'!AD104</f>
        <v>NECB-C-Occupancy</v>
      </c>
      <c r="Q101" t="str">
        <f>'Space Types'!AE104</f>
        <v>SS Convention Center - Exhibit Space  Activity</v>
      </c>
      <c r="R101">
        <f>'Space Types'!AG104</f>
        <v>3.5394053798961773E-3</v>
      </c>
      <c r="S101">
        <f>'Space Types'!AI104</f>
        <v>3.0479999999999998E-4</v>
      </c>
      <c r="T101" t="str">
        <f>'Space Types'!AL104</f>
        <v/>
      </c>
      <c r="U101" t="str">
        <f>'Space Types'!AQ104</f>
        <v>Washington State Mechanical Code TABLE 403.3.1.1Public spaces - Museums/galleriesVent</v>
      </c>
      <c r="V101">
        <f>'Space Types'!AS104</f>
        <v>0</v>
      </c>
      <c r="W101">
        <f>'Space Types'!AT104</f>
        <v>0</v>
      </c>
      <c r="X101">
        <f>'Space Types'!AU104</f>
        <v>0.5</v>
      </c>
      <c r="Y101">
        <f>'Space Types'!AV104</f>
        <v>0</v>
      </c>
      <c r="Z101" t="str">
        <f>'Space Types'!AZ104</f>
        <v>NCC S35C2lClass 9b (Other applications) - no equipment load per S35C2l; radiant/latent/lost fraction split retained from original WA/COMNET-REV9 source (AIRAH Technical Handbook does not publish this split)SS Convention Center - Exhibit Space  ElectricalEquipDef</v>
      </c>
      <c r="AA101" t="str">
        <f>'Space Types'!BA104</f>
        <v>NECB-C-Electric-Equipment</v>
      </c>
      <c r="AB101">
        <f>'Space Types'!BC104</f>
        <v>5.3819499999999998</v>
      </c>
      <c r="AC101">
        <f>'Space Types'!BD104</f>
        <v>0.37</v>
      </c>
      <c r="AD101">
        <f>'Space Types'!BE104</f>
        <v>0.2</v>
      </c>
      <c r="AE101" t="str">
        <f>'Space Types'!BI104</f>
        <v>IECC Table C405.3.2(2)Convention Center - exhibit space; radiant/visible fraction split retained from original WA/COMNET-REV9 sourceLightingDef</v>
      </c>
      <c r="AF101" t="str">
        <f>'Space Types'!BJ104</f>
        <v>NECB-C-Lighting</v>
      </c>
      <c r="AG101" t="str">
        <f>'Space Types'!BM104</f>
        <v/>
      </c>
      <c r="AH101" t="str">
        <f>'Space Types'!BN104</f>
        <v/>
      </c>
      <c r="AI101" t="str">
        <f>'Space Types'!BO104</f>
        <v/>
      </c>
      <c r="AJ101" t="str">
        <f>'Space Types'!BP104</f>
        <v/>
      </c>
      <c r="AK101" t="str">
        <f>'Space Types'!BT104</f>
        <v/>
      </c>
      <c r="AL101" t="str">
        <f>'Space Types'!BU104</f>
        <v/>
      </c>
      <c r="AM101">
        <f>'Space Types'!BX104</f>
        <v>0</v>
      </c>
      <c r="AN101" t="str">
        <f>'Space Types'!CC104</f>
        <v>NCC S34C2(6)0.7 ACH assumed as design infiltration for periods without mechanical outdoor air supply; NCC also specifies 0.35 ACH when mechanical OA is operating (to be applied via infiltration schedule once developed)Space Function_Convention centre - exhibitInfil</v>
      </c>
      <c r="AO101" t="str">
        <f>'Space Types'!CD104</f>
        <v>Always On</v>
      </c>
      <c r="AP101">
        <f>'Space Types'!CG104</f>
        <v>0</v>
      </c>
      <c r="AQ101">
        <f>'Space Types'!CH104</f>
        <v>2</v>
      </c>
      <c r="AR101">
        <f>'Space Types'!CI104</f>
        <v>0</v>
      </c>
      <c r="AS101" t="str">
        <f>'Space Types'!CJ104</f>
        <v>MediumRough</v>
      </c>
      <c r="AT101">
        <f>'Space Types'!CK104</f>
        <v>1.6999999999999999E-3</v>
      </c>
      <c r="AU101">
        <f>'Space Types'!CL104</f>
        <v>7.9</v>
      </c>
      <c r="AV101">
        <f>'Space Types'!CM104</f>
        <v>1757</v>
      </c>
      <c r="AW101">
        <f>'Space Types'!CN104</f>
        <v>1092</v>
      </c>
      <c r="AX101">
        <f>'Space Types'!CO104</f>
        <v>0.9</v>
      </c>
      <c r="AY101">
        <f>'Space Types'!CP104</f>
        <v>0.7</v>
      </c>
      <c r="AZ101">
        <f>'Space Types'!CQ104</f>
        <v>0.7</v>
      </c>
      <c r="BA101" t="str">
        <f>'Space Types'!CR104</f>
        <v>Mixed_Exhibit_2mm</v>
      </c>
      <c r="BB101" t="str">
        <f>'Space Types'!CW104</f>
        <v>CalculatedEstimateConventionExhibitBoothsAndDisplaysMixed_Exhibit_2mmInternalMassDef</v>
      </c>
    </row>
    <row r="102" spans="1:54" x14ac:dyDescent="0.35">
      <c r="A102" t="str">
        <f>'Space Types'!A105</f>
        <v xml:space="preserve">SS Dormitory - Living Quarters  </v>
      </c>
      <c r="B102" t="str">
        <f>'Space Types'!B105</f>
        <v>2025_AU_NCC</v>
      </c>
      <c r="C102" t="str">
        <f>'Space Types'!C105</f>
        <v>Dormitory</v>
      </c>
      <c r="D102" t="str">
        <f>'Space Types'!D105</f>
        <v>Living Quarters</v>
      </c>
      <c r="E102">
        <f>'Space Types'!I105</f>
        <v>176</v>
      </c>
      <c r="F102">
        <f>'Space Types'!J105</f>
        <v>224</v>
      </c>
      <c r="G102">
        <f>'Space Types'!K105</f>
        <v>230</v>
      </c>
      <c r="H102" t="str">
        <f>'Space Types'!L105</f>
        <v>SS Dormitory - Living Quarters  _2025AUNCC</v>
      </c>
      <c r="I102" t="str">
        <f>'Space Types'!M105</f>
        <v>SS Dormitory - Living Quarters  _2025AUNCCScheduleSet</v>
      </c>
      <c r="J102">
        <f>'Space Types'!P105</f>
        <v>0.21527830100000001</v>
      </c>
      <c r="K102">
        <f>'Space Types'!U105</f>
        <v>0</v>
      </c>
      <c r="L102">
        <f>'Space Types'!V105</f>
        <v>0</v>
      </c>
      <c r="M102">
        <f>'Space Types'!W105</f>
        <v>130</v>
      </c>
      <c r="N102">
        <f>'Space Types'!X105</f>
        <v>0.57692307700000001</v>
      </c>
      <c r="O102" t="str">
        <f>'Space Types'!AC105</f>
        <v>NCC S35C2nOther applications (non-dining)PeopleDef</v>
      </c>
      <c r="P102" t="str">
        <f>'Space Types'!AD105</f>
        <v>NECB-G-Occupancy</v>
      </c>
      <c r="Q102" t="str">
        <f>'Space Types'!AE105</f>
        <v>SS Dormitory - Living Quarters  Activity</v>
      </c>
      <c r="R102">
        <f>'Space Types'!AG105</f>
        <v>2.3596035865974517E-3</v>
      </c>
      <c r="S102">
        <f>'Space Types'!AI105</f>
        <v>3.0479999999999998E-4</v>
      </c>
      <c r="T102" t="str">
        <f>'Space Types'!AL105</f>
        <v/>
      </c>
      <c r="U102" t="str">
        <f>'Space Types'!AQ105</f>
        <v>Washington State Mechanical Code TABLE 403.3.1.1Hotels, motels, resorts and dormitories - Dormitory sleeping areaVent</v>
      </c>
      <c r="V102">
        <f>'Space Types'!AS105</f>
        <v>0</v>
      </c>
      <c r="W102">
        <f>'Space Types'!AT105</f>
        <v>0</v>
      </c>
      <c r="X102">
        <f>'Space Types'!AU105</f>
        <v>0.5</v>
      </c>
      <c r="Y102">
        <f>'Space Types'!AV105</f>
        <v>0</v>
      </c>
      <c r="Z102" t="str">
        <f>'Space Types'!AZ105</f>
        <v>NCC S35C2lClass 3 dormitories - no load per S35C2l; radiant/latent/lost fraction split retained from original WA/COMNET-REV9 source (AIRAH Technical Handbook does not publish this split)SS Dormitory - Living Quarters  ElectricalEquipDef</v>
      </c>
      <c r="AA102" t="str">
        <f>'Space Types'!BA105</f>
        <v>NECB-G-Electric-Equipment</v>
      </c>
      <c r="AB102">
        <f>'Space Types'!BC105</f>
        <v>4</v>
      </c>
      <c r="AC102">
        <f>'Space Types'!BD105</f>
        <v>0.37</v>
      </c>
      <c r="AD102">
        <f>'Space Types'!BE105</f>
        <v>0.2</v>
      </c>
      <c r="AE102" t="str">
        <f>'Space Types'!BI105</f>
        <v>NCC J7D3aDormitory of a Class 3 building used for sleeping and study; radiant/visible fraction split retained from original WA/COMNET-REV9 source (AIRAH Technical Handbook does not publish this split)LightingDef</v>
      </c>
      <c r="AF102" t="str">
        <f>'Space Types'!BJ105</f>
        <v>NECB-G-Lighting</v>
      </c>
      <c r="AG102" t="str">
        <f>'Space Types'!BM105</f>
        <v/>
      </c>
      <c r="AH102" t="str">
        <f>'Space Types'!BN105</f>
        <v/>
      </c>
      <c r="AI102" t="str">
        <f>'Space Types'!BO105</f>
        <v/>
      </c>
      <c r="AJ102" t="str">
        <f>'Space Types'!BP105</f>
        <v/>
      </c>
      <c r="AK102" t="str">
        <f>'Space Types'!BT105</f>
        <v/>
      </c>
      <c r="AL102" t="str">
        <f>'Space Types'!BU105</f>
        <v/>
      </c>
      <c r="AM102">
        <f>'Space Types'!BX105</f>
        <v>0</v>
      </c>
      <c r="AN102" t="str">
        <f>'Space Types'!CC105</f>
        <v>NCC S34C2(6)0.7 ACH assumed as design infiltration for periods without mechanical outdoor air supply; NCC also specifies 0.35 ACH when mechanical OA is operating (to be applied via infiltration schedule once developed)Space Function_Dormitory - living quartersInfil</v>
      </c>
      <c r="AO102" t="str">
        <f>'Space Types'!CD105</f>
        <v>Always On</v>
      </c>
      <c r="AP102">
        <f>'Space Types'!CG105</f>
        <v>0</v>
      </c>
      <c r="AQ102">
        <f>'Space Types'!CH105</f>
        <v>4.1500000000000004</v>
      </c>
      <c r="AR102">
        <f>'Space Types'!CI105</f>
        <v>0</v>
      </c>
      <c r="AS102" t="str">
        <f>'Space Types'!CJ105</f>
        <v>MediumRough</v>
      </c>
      <c r="AT102">
        <f>'Space Types'!CK105</f>
        <v>4.8999999999999998E-3</v>
      </c>
      <c r="AU102">
        <f>'Space Types'!CL105</f>
        <v>6.7</v>
      </c>
      <c r="AV102">
        <f>'Space Types'!CM105</f>
        <v>1266</v>
      </c>
      <c r="AW102">
        <f>'Space Types'!CN105</f>
        <v>1256</v>
      </c>
      <c r="AX102">
        <f>'Space Types'!CO105</f>
        <v>0.9</v>
      </c>
      <c r="AY102">
        <f>'Space Types'!CP105</f>
        <v>0.7</v>
      </c>
      <c r="AZ102">
        <f>'Space Types'!CQ105</f>
        <v>0.7</v>
      </c>
      <c r="BA102" t="str">
        <f>'Space Types'!CR105</f>
        <v>Mixed_Dormitory_5mm</v>
      </c>
      <c r="BB102" t="str">
        <f>'Space Types'!CW105</f>
        <v>CalculatedEstimateDormitoryBedroomFurnitureMixed_Dormitory_5mmInternalMassDef</v>
      </c>
    </row>
    <row r="103" spans="1:54" x14ac:dyDescent="0.35">
      <c r="A103" t="str">
        <f>'Space Types'!A106</f>
        <v xml:space="preserve">SS Fire Station - Sleeping Quarters  </v>
      </c>
      <c r="B103" t="str">
        <f>'Space Types'!B106</f>
        <v>2025_AU_NCC</v>
      </c>
      <c r="C103" t="str">
        <f>'Space Types'!C106</f>
        <v>Fire Station</v>
      </c>
      <c r="D103" t="str">
        <f>'Space Types'!D106</f>
        <v>Sleeping Quarters</v>
      </c>
      <c r="E103">
        <f>'Space Types'!I106</f>
        <v>176</v>
      </c>
      <c r="F103">
        <f>'Space Types'!J106</f>
        <v>224</v>
      </c>
      <c r="G103">
        <f>'Space Types'!K106</f>
        <v>230</v>
      </c>
      <c r="H103" t="str">
        <f>'Space Types'!L106</f>
        <v>SS Fire Station - Sleeping Quarters  _2025AUNCC</v>
      </c>
      <c r="I103" t="str">
        <f>'Space Types'!M106</f>
        <v>SS Fire Station - Sleeping Quarters  _2025AUNCCScheduleSet</v>
      </c>
      <c r="J103">
        <f>'Space Types'!P106</f>
        <v>0.21527830100000001</v>
      </c>
      <c r="K103">
        <f>'Space Types'!U106</f>
        <v>0</v>
      </c>
      <c r="L103">
        <f>'Space Types'!V106</f>
        <v>0</v>
      </c>
      <c r="M103">
        <f>'Space Types'!W106</f>
        <v>130</v>
      </c>
      <c r="N103">
        <f>'Space Types'!X106</f>
        <v>0.57692307700000001</v>
      </c>
      <c r="O103" t="str">
        <f>'Space Types'!AC106</f>
        <v>NCC S35C2nOther applications (non-dining)PeopleDef</v>
      </c>
      <c r="P103" t="str">
        <f>'Space Types'!AD106</f>
        <v>NECB-G-Occupancy</v>
      </c>
      <c r="Q103" t="str">
        <f>'Space Types'!AE106</f>
        <v>SS Fire Station - Sleeping Quarters  Activity</v>
      </c>
      <c r="R103">
        <f>'Space Types'!AG106</f>
        <v>2.3596035865974517E-3</v>
      </c>
      <c r="S103">
        <f>'Space Types'!AI106</f>
        <v>3.0479999999999998E-4</v>
      </c>
      <c r="T103" t="str">
        <f>'Space Types'!AL106</f>
        <v/>
      </c>
      <c r="U103" t="str">
        <f>'Space Types'!AQ106</f>
        <v>Washington State Mechanical Code TABLE 403.3.1.1Hotels, motels, resorts and dormitories - Dormitory sleeping areaVent</v>
      </c>
      <c r="V103">
        <f>'Space Types'!AS106</f>
        <v>0</v>
      </c>
      <c r="W103">
        <f>'Space Types'!AT106</f>
        <v>0</v>
      </c>
      <c r="X103">
        <f>'Space Types'!AU106</f>
        <v>0.5</v>
      </c>
      <c r="Y103">
        <f>'Space Types'!AV106</f>
        <v>0</v>
      </c>
      <c r="Z103" t="str">
        <f>'Space Types'!AZ106</f>
        <v>NCC S35C2lClass 3 dormitories - no load per S35C2l (Fire Station sleeping quarters sub-space); radiant/latent/lost fraction split retained from original WA/COMNET-REV9 source (AIRAH Technical Handbook does not publish this split)SS Fire Station - Sleeping Quarters  ElectricalEquipDef</v>
      </c>
      <c r="AA103" t="str">
        <f>'Space Types'!BA106</f>
        <v>NECB-G-Electric-Equipment</v>
      </c>
      <c r="AB103">
        <f>'Space Types'!BC106</f>
        <v>3</v>
      </c>
      <c r="AC103">
        <f>'Space Types'!BD106</f>
        <v>0.37</v>
      </c>
      <c r="AD103">
        <f>'Space Types'!BE106</f>
        <v>0.2</v>
      </c>
      <c r="AE103" t="str">
        <f>'Space Types'!BI106</f>
        <v>NCC J7D3aDormitory of a Class 3 building used for sleeping only; radiant/visible fraction split retained from original WA/COMNET-REV9 source (AIRAH Technical Handbook does not publish this split)LightingDef</v>
      </c>
      <c r="AF103" t="str">
        <f>'Space Types'!BJ106</f>
        <v>NECB-G-Lighting</v>
      </c>
      <c r="AG103" t="str">
        <f>'Space Types'!BM106</f>
        <v/>
      </c>
      <c r="AH103" t="str">
        <f>'Space Types'!BN106</f>
        <v/>
      </c>
      <c r="AI103" t="str">
        <f>'Space Types'!BO106</f>
        <v/>
      </c>
      <c r="AJ103" t="str">
        <f>'Space Types'!BP106</f>
        <v/>
      </c>
      <c r="AK103" t="str">
        <f>'Space Types'!BT106</f>
        <v/>
      </c>
      <c r="AL103" t="str">
        <f>'Space Types'!BU106</f>
        <v/>
      </c>
      <c r="AM103">
        <f>'Space Types'!BX106</f>
        <v>0</v>
      </c>
      <c r="AN103" t="str">
        <f>'Space Types'!CC106</f>
        <v>NCC S34C2(6)0.7 ACH assumed as design infiltration for periods without mechanical outdoor air supply; NCC also specifies 0.35 ACH when mechanical OA is operating (to be applied via infiltration schedule once developed)Space Function_Fire station - quartersInfil</v>
      </c>
      <c r="AO103" t="str">
        <f>'Space Types'!CD106</f>
        <v>Always On</v>
      </c>
      <c r="AP103">
        <f>'Space Types'!CG106</f>
        <v>0</v>
      </c>
      <c r="AQ103">
        <f>'Space Types'!CH106</f>
        <v>2.0299999999999998</v>
      </c>
      <c r="AR103">
        <f>'Space Types'!CI106</f>
        <v>0</v>
      </c>
      <c r="AS103" t="str">
        <f>'Space Types'!CJ106</f>
        <v>Smooth</v>
      </c>
      <c r="AT103">
        <f>'Space Types'!CK106</f>
        <v>1.5E-3</v>
      </c>
      <c r="AU103">
        <f>'Space Types'!CL106</f>
        <v>28.4</v>
      </c>
      <c r="AV103">
        <f>'Space Types'!CM106</f>
        <v>3803</v>
      </c>
      <c r="AW103">
        <f>'Space Types'!CN106</f>
        <v>996</v>
      </c>
      <c r="AX103">
        <f>'Space Types'!CO106</f>
        <v>0.9</v>
      </c>
      <c r="AY103">
        <f>'Space Types'!CP106</f>
        <v>0.7</v>
      </c>
      <c r="AZ103">
        <f>'Space Types'!CQ106</f>
        <v>0.7</v>
      </c>
      <c r="BA103" t="str">
        <f>'Space Types'!CR106</f>
        <v>Steel_FireStation_2mm</v>
      </c>
      <c r="BB103" t="str">
        <f>'Space Types'!CW106</f>
        <v>CalculatedEstimateFireStationBunkAndLockerFurnitureSteel_FireStation_2mmInternalMassDef</v>
      </c>
    </row>
    <row r="104" spans="1:54" x14ac:dyDescent="0.35">
      <c r="A104" t="str">
        <f>'Space Types'!A107</f>
        <v xml:space="preserve">SS Gymnasium/Fitness Center - Exercise Area  </v>
      </c>
      <c r="B104" t="str">
        <f>'Space Types'!B107</f>
        <v>2025_AU_NCC</v>
      </c>
      <c r="C104" t="str">
        <f>'Space Types'!C107</f>
        <v>Gymnasium</v>
      </c>
      <c r="D104" t="str">
        <f>'Space Types'!D107</f>
        <v>Exercise Area</v>
      </c>
      <c r="E104">
        <f>'Space Types'!I107</f>
        <v>255</v>
      </c>
      <c r="F104">
        <f>'Space Types'!J107</f>
        <v>0</v>
      </c>
      <c r="G104">
        <f>'Space Types'!K107</f>
        <v>0</v>
      </c>
      <c r="H104" t="str">
        <f>'Space Types'!L107</f>
        <v>SS Gymnasium/Fitness Center - Exercise Area  _2025AUNCC</v>
      </c>
      <c r="I104" t="str">
        <f>'Space Types'!M107</f>
        <v>SS Gymnasium/Fitness Center - Exercise Area  _2025AUNCCScheduleSet</v>
      </c>
      <c r="J104">
        <f>'Space Types'!P107</f>
        <v>0.43055660200000001</v>
      </c>
      <c r="K104">
        <f>'Space Types'!U107</f>
        <v>0</v>
      </c>
      <c r="L104">
        <f>'Space Types'!V107</f>
        <v>0</v>
      </c>
      <c r="M104">
        <f>'Space Types'!W107</f>
        <v>130</v>
      </c>
      <c r="N104">
        <f>'Space Types'!X107</f>
        <v>0.57692307700000001</v>
      </c>
      <c r="O104" t="str">
        <f>'Space Types'!AC107</f>
        <v>NCC S35C2nOther applications (non-dining)PeopleDef</v>
      </c>
      <c r="P104" t="str">
        <f>'Space Types'!AD107</f>
        <v>NECB-B-Occupancy</v>
      </c>
      <c r="Q104" t="str">
        <f>'Space Types'!AE107</f>
        <v>SS Gymnasium/Fitness Center - Exercise Area  Activity</v>
      </c>
      <c r="R104">
        <f>'Space Types'!AG107</f>
        <v>9.4384143463898066E-3</v>
      </c>
      <c r="S104">
        <f>'Space Types'!AI107</f>
        <v>3.0479999999999998E-4</v>
      </c>
      <c r="T104" t="str">
        <f>'Space Types'!AL107</f>
        <v/>
      </c>
      <c r="U104" t="str">
        <f>'Space Types'!AQ107</f>
        <v>Washington State Mechanical Code TABLE 403.3.1.1Sports and amusement - Health club/aerobics roomVent</v>
      </c>
      <c r="V104">
        <f>'Space Types'!AS107</f>
        <v>0</v>
      </c>
      <c r="W104">
        <f>'Space Types'!AT107</f>
        <v>0</v>
      </c>
      <c r="X104">
        <f>'Space Types'!AU107</f>
        <v>0.5</v>
      </c>
      <c r="Y104">
        <f>'Space Types'!AV107</f>
        <v>0</v>
      </c>
      <c r="Z104" t="str">
        <f>'Space Types'!AZ107</f>
        <v>NCC S35C2lClass 9b (Other applications) - no equipment load per S35C2l; radiant/latent/lost fraction split retained from original WA/COMNET-REV9 source (AIRAH Technical Handbook does not publish this split)SS Gymnasium/Fitness Center - Exercise Area  ElectricalEquipDef</v>
      </c>
      <c r="AA104" t="str">
        <f>'Space Types'!BA107</f>
        <v>NECB-B-Electric-Equipment</v>
      </c>
      <c r="AB104">
        <f>'Space Types'!BC107</f>
        <v>8.8264099999999992</v>
      </c>
      <c r="AC104">
        <f>'Space Types'!BD107</f>
        <v>0.37</v>
      </c>
      <c r="AD104">
        <f>'Space Types'!BE107</f>
        <v>0.2</v>
      </c>
      <c r="AE104" t="str">
        <f>'Space Types'!BI107</f>
        <v>IECC Table C405.3.2(2)Gymnasium/fitness center - in an exercise area; radiant/visible fraction split retained from original WA/COMNET-REV9 sourceLightingDef</v>
      </c>
      <c r="AF104" t="str">
        <f>'Space Types'!BJ107</f>
        <v>NECB-B-Lighting</v>
      </c>
      <c r="AG104" t="str">
        <f>'Space Types'!BM107</f>
        <v/>
      </c>
      <c r="AH104" t="str">
        <f>'Space Types'!BN107</f>
        <v/>
      </c>
      <c r="AI104" t="str">
        <f>'Space Types'!BO107</f>
        <v/>
      </c>
      <c r="AJ104" t="str">
        <f>'Space Types'!BP107</f>
        <v/>
      </c>
      <c r="AK104" t="str">
        <f>'Space Types'!BT107</f>
        <v/>
      </c>
      <c r="AL104" t="str">
        <f>'Space Types'!BU107</f>
        <v/>
      </c>
      <c r="AM104">
        <f>'Space Types'!BX107</f>
        <v>0</v>
      </c>
      <c r="AN104" t="str">
        <f>'Space Types'!CC107</f>
        <v>NCC S34C2(6)0.7 ACH assumed as design infiltration for periods without mechanical outdoor air supply; NCC also specifies 0.35 ACH when mechanical OA is operating (to be applied via infiltration schedule once developed)Space Function_Gym - fitnessInfil</v>
      </c>
      <c r="AO104" t="str">
        <f>'Space Types'!CD107</f>
        <v>Always On</v>
      </c>
      <c r="AP104">
        <f>'Space Types'!CG107</f>
        <v>0</v>
      </c>
      <c r="AQ104">
        <f>'Space Types'!CH107</f>
        <v>1.79</v>
      </c>
      <c r="AR104">
        <f>'Space Types'!CI107</f>
        <v>0</v>
      </c>
      <c r="AS104" t="str">
        <f>'Space Types'!CJ107</f>
        <v>Smooth</v>
      </c>
      <c r="AT104">
        <f>'Space Types'!CK107</f>
        <v>2.3999999999999998E-3</v>
      </c>
      <c r="AU104">
        <f>'Space Types'!CL107</f>
        <v>50.2</v>
      </c>
      <c r="AV104">
        <f>'Space Types'!CM107</f>
        <v>6774</v>
      </c>
      <c r="AW104">
        <f>'Space Types'!CN107</f>
        <v>571</v>
      </c>
      <c r="AX104">
        <f>'Space Types'!CO107</f>
        <v>0.9</v>
      </c>
      <c r="AY104">
        <f>'Space Types'!CP107</f>
        <v>0.7</v>
      </c>
      <c r="AZ104">
        <f>'Space Types'!CQ107</f>
        <v>0.7</v>
      </c>
      <c r="BA104" t="str">
        <f>'Space Types'!CR107</f>
        <v>Steel_Iron_Gym_2mm</v>
      </c>
      <c r="BB104" t="str">
        <f>'Space Types'!CW107</f>
        <v>CalculatedEstimateFreeWeightsAndExerciseEquipmentSteel_Iron_Gym_2mmInternalMassDef</v>
      </c>
    </row>
    <row r="105" spans="1:54" x14ac:dyDescent="0.35">
      <c r="A105" t="str">
        <f>'Space Types'!A108</f>
        <v xml:space="preserve">SS Gymnasium/Fitness Center - Playing Area  </v>
      </c>
      <c r="B105" t="str">
        <f>'Space Types'!B108</f>
        <v>2025_AU_NCC</v>
      </c>
      <c r="C105" t="str">
        <f>'Space Types'!C108</f>
        <v>Gymnasium</v>
      </c>
      <c r="D105" t="str">
        <f>'Space Types'!D108</f>
        <v>Playing Area</v>
      </c>
      <c r="E105">
        <f>'Space Types'!I108</f>
        <v>255</v>
      </c>
      <c r="F105">
        <f>'Space Types'!J108</f>
        <v>0</v>
      </c>
      <c r="G105">
        <f>'Space Types'!K108</f>
        <v>0</v>
      </c>
      <c r="H105" t="str">
        <f>'Space Types'!L108</f>
        <v>SS Gymnasium/Fitness Center - Playing Area  _2025AUNCC</v>
      </c>
      <c r="I105" t="str">
        <f>'Space Types'!M108</f>
        <v>SS Gymnasium/Fitness Center - Playing Area  _2025AUNCCScheduleSet</v>
      </c>
      <c r="J105">
        <f>'Space Types'!P108</f>
        <v>7.5347405000000006E-2</v>
      </c>
      <c r="K105">
        <f>'Space Types'!U108</f>
        <v>0</v>
      </c>
      <c r="L105">
        <f>'Space Types'!V108</f>
        <v>0</v>
      </c>
      <c r="M105">
        <f>'Space Types'!W108</f>
        <v>130</v>
      </c>
      <c r="N105">
        <f>'Space Types'!X108</f>
        <v>0.57692307700000001</v>
      </c>
      <c r="O105" t="str">
        <f>'Space Types'!AC108</f>
        <v>NCC S35C2nOther applications (non-dining)PeopleDef</v>
      </c>
      <c r="P105" t="str">
        <f>'Space Types'!AD108</f>
        <v>NECB-B-Occupancy</v>
      </c>
      <c r="Q105" t="str">
        <f>'Space Types'!AE108</f>
        <v>SS Gymnasium/Fitness Center - Playing Area  Activity</v>
      </c>
      <c r="R105">
        <f>'Space Types'!AG108</f>
        <v>9.4384143463898066E-3</v>
      </c>
      <c r="S105">
        <f>'Space Types'!AI108</f>
        <v>9.144E-4</v>
      </c>
      <c r="T105" t="str">
        <f>'Space Types'!AL108</f>
        <v/>
      </c>
      <c r="U105" t="str">
        <f>'Space Types'!AQ108</f>
        <v>Washington State Mechanical Code TABLE 403.3.1.1Sports and amusement - Gym, stadium, arena (play area)Vent</v>
      </c>
      <c r="V105">
        <f>'Space Types'!AS108</f>
        <v>0</v>
      </c>
      <c r="W105">
        <f>'Space Types'!AT108</f>
        <v>0</v>
      </c>
      <c r="X105">
        <f>'Space Types'!AU108</f>
        <v>0.5</v>
      </c>
      <c r="Y105">
        <f>'Space Types'!AV108</f>
        <v>0</v>
      </c>
      <c r="Z105" t="str">
        <f>'Space Types'!AZ108</f>
        <v>NCC S35C2lClass 9b (Other applications) - no equipment load per S35C2l; radiant/latent/lost fraction split retained from original WA/COMNET-REV9 source (AIRAH Technical Handbook does not publish this split)SS Gymnasium/Fitness Center - Playing Area  ElectricalEquipDef</v>
      </c>
      <c r="AA105" t="str">
        <f>'Space Types'!BA108</f>
        <v>NECB-B-Electric-Equipment</v>
      </c>
      <c r="AB105">
        <f>'Space Types'!BC108</f>
        <v>8.8264099999999992</v>
      </c>
      <c r="AC105">
        <f>'Space Types'!BD108</f>
        <v>0.37</v>
      </c>
      <c r="AD105">
        <f>'Space Types'!BE108</f>
        <v>0.2</v>
      </c>
      <c r="AE105" t="str">
        <f>'Space Types'!BI108</f>
        <v>IECC Table C405.3.2(2)Gymnasium/fitness center - in a playing area; radiant/visible fraction split retained from original WA/COMNET-REV9 sourceLightingDef</v>
      </c>
      <c r="AF105" t="str">
        <f>'Space Types'!BJ108</f>
        <v>NECB-B-Lighting</v>
      </c>
      <c r="AG105" t="str">
        <f>'Space Types'!BM108</f>
        <v/>
      </c>
      <c r="AH105" t="str">
        <f>'Space Types'!BN108</f>
        <v/>
      </c>
      <c r="AI105" t="str">
        <f>'Space Types'!BO108</f>
        <v/>
      </c>
      <c r="AJ105" t="str">
        <f>'Space Types'!BP108</f>
        <v/>
      </c>
      <c r="AK105" t="str">
        <f>'Space Types'!BT108</f>
        <v/>
      </c>
      <c r="AL105" t="str">
        <f>'Space Types'!BU108</f>
        <v/>
      </c>
      <c r="AM105">
        <f>'Space Types'!BX108</f>
        <v>0</v>
      </c>
      <c r="AN105" t="str">
        <f>'Space Types'!CC108</f>
        <v>NCC S34C2(6)0.7 ACH assumed as design infiltration for periods without mechanical outdoor air supply; NCC also specifies 0.35 ACH when mechanical OA is operating (to be applied via infiltration schedule once developed)Space Function_Gym - fitnessInfil</v>
      </c>
      <c r="AO105" t="str">
        <f>'Space Types'!CD108</f>
        <v>Always On</v>
      </c>
      <c r="AP105">
        <f>'Space Types'!CG108</f>
        <v>0</v>
      </c>
      <c r="AQ105">
        <f>'Space Types'!CH108</f>
        <v>0.5</v>
      </c>
      <c r="AR105">
        <f>'Space Types'!CI108</f>
        <v>0</v>
      </c>
      <c r="AS105" t="str">
        <f>'Space Types'!CJ108</f>
        <v>Smooth</v>
      </c>
      <c r="AT105">
        <f>'Space Types'!CK108</f>
        <v>1.2999999999999999E-3</v>
      </c>
      <c r="AU105">
        <f>'Space Types'!CL108</f>
        <v>45.2</v>
      </c>
      <c r="AV105">
        <f>'Space Types'!CM108</f>
        <v>6107</v>
      </c>
      <c r="AW105">
        <f>'Space Types'!CN108</f>
        <v>662</v>
      </c>
      <c r="AX105">
        <f>'Space Types'!CO108</f>
        <v>0.9</v>
      </c>
      <c r="AY105">
        <f>'Space Types'!CP108</f>
        <v>0.7</v>
      </c>
      <c r="AZ105">
        <f>'Space Types'!CQ108</f>
        <v>0.7</v>
      </c>
      <c r="BA105" t="str">
        <f>'Space Types'!CR108</f>
        <v>Steel_Gym_1mm</v>
      </c>
      <c r="BB105" t="str">
        <f>'Space Types'!CW108</f>
        <v>CalculatedEstimateGymnasiumPlayingFloorEquipmentSteel_Gym_1mmInternalMassDef</v>
      </c>
    </row>
    <row r="106" spans="1:54" x14ac:dyDescent="0.35">
      <c r="A106" t="str">
        <f>'Space Types'!A109</f>
        <v>SS Healthcare - Emergency Room</v>
      </c>
      <c r="B106" t="str">
        <f>'Space Types'!B109</f>
        <v>2025_AU_NCC</v>
      </c>
      <c r="C106" t="str">
        <f>'Space Types'!C109</f>
        <v>Hospital</v>
      </c>
      <c r="D106" t="str">
        <f>'Space Types'!D109</f>
        <v>Emergency Room</v>
      </c>
      <c r="E106">
        <f>'Space Types'!I109</f>
        <v>255</v>
      </c>
      <c r="F106">
        <f>'Space Types'!J109</f>
        <v>215</v>
      </c>
      <c r="G106">
        <f>'Space Types'!K109</f>
        <v>0</v>
      </c>
      <c r="H106" t="str">
        <f>'Space Types'!L109</f>
        <v>SS Healthcare - Emergency Room_2025AUNCC</v>
      </c>
      <c r="I106" t="str">
        <f>'Space Types'!M109</f>
        <v>SS Healthcare - Emergency Room_2025AUNCCScheduleSet</v>
      </c>
      <c r="J106">
        <f>'Space Types'!P109</f>
        <v>0.21527830100000001</v>
      </c>
      <c r="K106">
        <f>'Space Types'!U109</f>
        <v>0</v>
      </c>
      <c r="L106">
        <f>'Space Types'!V109</f>
        <v>0</v>
      </c>
      <c r="M106">
        <f>'Space Types'!W109</f>
        <v>130</v>
      </c>
      <c r="N106">
        <f>'Space Types'!X109</f>
        <v>0.57692307700000001</v>
      </c>
      <c r="O106" t="str">
        <f>'Space Types'!AC109</f>
        <v>NCC S35C2nOther applications (non-dining)PeopleDef</v>
      </c>
      <c r="P106" t="str">
        <f>'Space Types'!AD109</f>
        <v>NECB-H-Occupancy</v>
      </c>
      <c r="Q106" t="str">
        <f>'Space Types'!AE109</f>
        <v>SS Healthcare - Emergency RoomActivity</v>
      </c>
      <c r="R106">
        <f>'Space Types'!AG109</f>
        <v>4.7192071731949033E-3</v>
      </c>
      <c r="S106">
        <f>'Space Types'!AI109</f>
        <v>9.144E-4</v>
      </c>
      <c r="T106" t="str">
        <f>'Space Types'!AL109</f>
        <v/>
      </c>
      <c r="U106" t="str">
        <f>'Space Types'!AQ109</f>
        <v>ASHRAE 62.1-2019Outpatient Health Care Facilities - Urgent care triage roomVent</v>
      </c>
      <c r="V106">
        <f>'Space Types'!AS109</f>
        <v>15</v>
      </c>
      <c r="W106">
        <f>'Space Types'!AT109</f>
        <v>0</v>
      </c>
      <c r="X106">
        <f>'Space Types'!AU109</f>
        <v>0.5</v>
      </c>
      <c r="Y106">
        <f>'Space Types'!AV109</f>
        <v>0</v>
      </c>
      <c r="Z106" t="str">
        <f>'Space Types'!AZ109</f>
        <v>NCC S35C2lClass 9a clinic/day surgery/procedure unit (equipment-intensive); radiant/latent/lost fraction split retained from original WA/COMNET-REV9 source (AIRAH Technical Handbook does not publish this split)SS Healthcare - Emergency RoomElectricalEquipDef</v>
      </c>
      <c r="AA106" t="str">
        <f>'Space Types'!BA109</f>
        <v>NECB-H-Electric-Equipment</v>
      </c>
      <c r="AB106">
        <f>'Space Types'!BC109</f>
        <v>4</v>
      </c>
      <c r="AC106">
        <f>'Space Types'!BD109</f>
        <v>0.37</v>
      </c>
      <c r="AD106">
        <f>'Space Types'!BE109</f>
        <v>0.2</v>
      </c>
      <c r="AE106" t="str">
        <f>'Space Types'!BI109</f>
        <v>NCC J7D3aHealth-care - infants' and children's wards and emergency department; radiant/visible fraction split retained from original WA/COMNET-REV9 source (AIRAH Technical Handbook does not publish this split)LightingDef</v>
      </c>
      <c r="AF106" t="str">
        <f>'Space Types'!BJ109</f>
        <v>NECB-H-Lighting</v>
      </c>
      <c r="AG106" t="str">
        <f>'Space Types'!BM109</f>
        <v/>
      </c>
      <c r="AH106" t="str">
        <f>'Space Types'!BN109</f>
        <v/>
      </c>
      <c r="AI106" t="str">
        <f>'Space Types'!BO109</f>
        <v/>
      </c>
      <c r="AJ106" t="str">
        <f>'Space Types'!BP109</f>
        <v/>
      </c>
      <c r="AK106" t="str">
        <f>'Space Types'!BT109</f>
        <v/>
      </c>
      <c r="AL106" t="str">
        <f>'Space Types'!BU109</f>
        <v/>
      </c>
      <c r="AM106">
        <f>'Space Types'!BX109</f>
        <v>0</v>
      </c>
      <c r="AN106" t="str">
        <f>'Space Types'!CC109</f>
        <v>NCC S34C2(6)0.7 ACH assumed as design infiltration for periods without mechanical outdoor air supply; NCC also specifies 0.35 ACH when mechanical OA is operating (to be applied via infiltration schedule once developed)Space Function_Hospital - emergencyInfil</v>
      </c>
      <c r="AO106" t="str">
        <f>'Space Types'!CD109</f>
        <v>Always On</v>
      </c>
      <c r="AP106">
        <f>'Space Types'!CG109</f>
        <v>0</v>
      </c>
      <c r="AQ106">
        <f>'Space Types'!CH109</f>
        <v>1.89</v>
      </c>
      <c r="AR106">
        <f>'Space Types'!CI109</f>
        <v>0</v>
      </c>
      <c r="AS106" t="str">
        <f>'Space Types'!CJ109</f>
        <v>Smooth</v>
      </c>
      <c r="AT106">
        <f>'Space Types'!CK109</f>
        <v>1.1000000000000001E-3</v>
      </c>
      <c r="AU106">
        <f>'Space Types'!CL109</f>
        <v>24.8</v>
      </c>
      <c r="AV106">
        <f>'Space Types'!CM109</f>
        <v>4004</v>
      </c>
      <c r="AW106">
        <f>'Space Types'!CN109</f>
        <v>914</v>
      </c>
      <c r="AX106">
        <f>'Space Types'!CO109</f>
        <v>0.9</v>
      </c>
      <c r="AY106">
        <f>'Space Types'!CP109</f>
        <v>0.7</v>
      </c>
      <c r="AZ106">
        <f>'Space Types'!CQ109</f>
        <v>0.7</v>
      </c>
      <c r="BA106" t="str">
        <f>'Space Types'!CR109</f>
        <v>Steel_Medical_1mm</v>
      </c>
      <c r="BB106" t="str">
        <f>'Space Types'!CW109</f>
        <v>CalculatedEstimateEmergencyRoomMedicalEquipmentSteel_Medical_1mmInternalMassDef</v>
      </c>
    </row>
    <row r="107" spans="1:54" x14ac:dyDescent="0.35">
      <c r="A107" t="str">
        <f>'Space Types'!A110</f>
        <v xml:space="preserve">SS Healthcare - Exam/Treatment  </v>
      </c>
      <c r="B107" t="str">
        <f>'Space Types'!B110</f>
        <v>2025_AU_NCC</v>
      </c>
      <c r="C107" t="str">
        <f>'Space Types'!C110</f>
        <v>Healthcare</v>
      </c>
      <c r="D107" t="str">
        <f>'Space Types'!D110</f>
        <v>Exam/Treatment</v>
      </c>
      <c r="E107">
        <f>'Space Types'!I110</f>
        <v>136</v>
      </c>
      <c r="F107">
        <f>'Space Types'!J110</f>
        <v>78</v>
      </c>
      <c r="G107">
        <f>'Space Types'!K110</f>
        <v>222</v>
      </c>
      <c r="H107" t="str">
        <f>'Space Types'!L110</f>
        <v>SS Healthcare - Exam/Treatment  _2025AUNCC</v>
      </c>
      <c r="I107" t="str">
        <f>'Space Types'!M110</f>
        <v>SS Healthcare - Exam/Treatment  _2025AUNCCScheduleSet</v>
      </c>
      <c r="J107">
        <f>'Space Types'!P110</f>
        <v>0.21527830100000001</v>
      </c>
      <c r="K107">
        <f>'Space Types'!U110</f>
        <v>0</v>
      </c>
      <c r="L107">
        <f>'Space Types'!V110</f>
        <v>0</v>
      </c>
      <c r="M107">
        <f>'Space Types'!W110</f>
        <v>130</v>
      </c>
      <c r="N107">
        <f>'Space Types'!X110</f>
        <v>0.57692307700000001</v>
      </c>
      <c r="O107" t="str">
        <f>'Space Types'!AC110</f>
        <v>NCC S35C2nOther applications (non-dining)PeopleDef</v>
      </c>
      <c r="P107" t="str">
        <f>'Space Types'!AD110</f>
        <v>OutPatientHealthCare BLDG_OCC_SCH</v>
      </c>
      <c r="Q107" t="str">
        <f>'Space Types'!AE110</f>
        <v>SS Healthcare - Exam/Treatment  Activity</v>
      </c>
      <c r="R107">
        <f>'Space Types'!AG110</f>
        <v>3.5394053798961773E-3</v>
      </c>
      <c r="S107">
        <f>'Space Types'!AI110</f>
        <v>9.144E-4</v>
      </c>
      <c r="T107" t="str">
        <f>'Space Types'!AL110</f>
        <v/>
      </c>
      <c r="U107" t="str">
        <f>'Space Types'!AQ110</f>
        <v>ASHRAE 62.1-2019Outpatient Health Care Facilities - Urgent care treatment roomVent</v>
      </c>
      <c r="V107">
        <f>'Space Types'!AS110</f>
        <v>15</v>
      </c>
      <c r="W107">
        <f>'Space Types'!AT110</f>
        <v>0</v>
      </c>
      <c r="X107">
        <f>'Space Types'!AU110</f>
        <v>0.5</v>
      </c>
      <c r="Y107">
        <f>'Space Types'!AV110</f>
        <v>0</v>
      </c>
      <c r="Z107" t="str">
        <f>'Space Types'!AZ110</f>
        <v>NCC S35C2lClass 9a clinic/day surgery/procedure unit; radiant/latent/lost fraction split retained from original WA/COMNET-REV9 source (AIRAH Technical Handbook does not publish this split)SS Healthcare - Exam/Treatment  ElectricalEquipDef</v>
      </c>
      <c r="AA107" t="str">
        <f>'Space Types'!BA110</f>
        <v>OutPatientHealthCare BLDG_EQUIP_SCH_BASE</v>
      </c>
      <c r="AB107">
        <f>'Space Types'!BC110</f>
        <v>4.5</v>
      </c>
      <c r="AC107">
        <f>'Space Types'!BD110</f>
        <v>0.37</v>
      </c>
      <c r="AD107">
        <f>'Space Types'!BE110</f>
        <v>0.2</v>
      </c>
      <c r="AE107" t="str">
        <f>'Space Types'!BI110</f>
        <v>NCC J7D3aHealth-care - examination room; radiant/visible fraction split retained from original WA/COMNET-REV9 source (AIRAH Technical Handbook does not publish this split)LightingDef</v>
      </c>
      <c r="AF107" t="str">
        <f>'Space Types'!BJ110</f>
        <v>OutPatientHealthCare BLDG_LIGHT_EXAM_SCH</v>
      </c>
      <c r="AG107" t="str">
        <f>'Space Types'!BM110</f>
        <v/>
      </c>
      <c r="AH107" t="str">
        <f>'Space Types'!BN110</f>
        <v/>
      </c>
      <c r="AI107" t="str">
        <f>'Space Types'!BO110</f>
        <v/>
      </c>
      <c r="AJ107" t="str">
        <f>'Space Types'!BP110</f>
        <v/>
      </c>
      <c r="AK107" t="str">
        <f>'Space Types'!BT110</f>
        <v/>
      </c>
      <c r="AL107" t="str">
        <f>'Space Types'!BU110</f>
        <v/>
      </c>
      <c r="AM107">
        <f>'Space Types'!BX110</f>
        <v>0</v>
      </c>
      <c r="AN107" t="str">
        <f>'Space Types'!CC110</f>
        <v>NCC S34C2(6)0.7 ACH assumed as design infiltration for periods without mechanical outdoor air supply; NCC also specifies 0.35 ACH when mechanical OA is operating (to be applied via infiltration schedule once developed)Outpatient_ExamInfil</v>
      </c>
      <c r="AO107" t="str">
        <f>'Space Types'!CD110</f>
        <v>OutPatientHealthCare INFIL_SCH</v>
      </c>
      <c r="AP107">
        <f>'Space Types'!CG110</f>
        <v>0</v>
      </c>
      <c r="AQ107">
        <f>'Space Types'!CH110</f>
        <v>2.2999999999999998</v>
      </c>
      <c r="AR107">
        <f>'Space Types'!CI110</f>
        <v>0</v>
      </c>
      <c r="AS107" t="str">
        <f>'Space Types'!CJ110</f>
        <v>Smooth</v>
      </c>
      <c r="AT107">
        <f>'Space Types'!CK110</f>
        <v>9.3999999999999997E-4</v>
      </c>
      <c r="AU107">
        <f>'Space Types'!CL110</f>
        <v>30.3</v>
      </c>
      <c r="AV107">
        <f>'Space Types'!CM110</f>
        <v>4812</v>
      </c>
      <c r="AW107">
        <f>'Space Types'!CN110</f>
        <v>902</v>
      </c>
      <c r="AX107">
        <f>'Space Types'!CO110</f>
        <v>0.9</v>
      </c>
      <c r="AY107">
        <f>'Space Types'!CP110</f>
        <v>0.7</v>
      </c>
      <c r="AZ107">
        <f>'Space Types'!CQ110</f>
        <v>0.7</v>
      </c>
      <c r="BA107" t="str">
        <f>'Space Types'!CR110</f>
        <v>Steel_MedExam_1mm</v>
      </c>
      <c r="BB107" t="str">
        <f>'Space Types'!CW110</f>
        <v>CalculatedEstimateExamTreatmentRoomEquipmentSteel_MedExam_1mmInternalMassDef</v>
      </c>
    </row>
    <row r="108" spans="1:54" x14ac:dyDescent="0.35">
      <c r="A108" t="str">
        <f>'Space Types'!A111</f>
        <v>SS Healthcare - Supply Room</v>
      </c>
      <c r="B108" t="str">
        <f>'Space Types'!B111</f>
        <v>2025_AU_NCC</v>
      </c>
      <c r="C108" t="str">
        <f>'Space Types'!C111</f>
        <v>Healthcare</v>
      </c>
      <c r="D108" t="str">
        <f>'Space Types'!D111</f>
        <v>Supply Room</v>
      </c>
      <c r="E108">
        <f>'Space Types'!I111</f>
        <v>0</v>
      </c>
      <c r="F108">
        <f>'Space Types'!J111</f>
        <v>128</v>
      </c>
      <c r="G108">
        <f>'Space Types'!K111</f>
        <v>128</v>
      </c>
      <c r="H108" t="str">
        <f>'Space Types'!L111</f>
        <v>SS Healthcare - Supply Room_2025AUNCC</v>
      </c>
      <c r="I108" t="str">
        <f>'Space Types'!M111</f>
        <v>SS Healthcare - Supply Room_2025AUNCCScheduleSet</v>
      </c>
      <c r="J108">
        <f>'Space Types'!P111</f>
        <v>0</v>
      </c>
      <c r="K108">
        <f>'Space Types'!U111</f>
        <v>0</v>
      </c>
      <c r="L108">
        <f>'Space Types'!V111</f>
        <v>0</v>
      </c>
      <c r="M108">
        <f>'Space Types'!W111</f>
        <v>130</v>
      </c>
      <c r="N108">
        <f>'Space Types'!X111</f>
        <v>0.57692307700000001</v>
      </c>
      <c r="O108" t="str">
        <f>'Space Types'!AC111</f>
        <v/>
      </c>
      <c r="P108" t="str">
        <f>'Space Types'!AD111</f>
        <v/>
      </c>
      <c r="Q108" t="str">
        <f>'Space Types'!AE111</f>
        <v/>
      </c>
      <c r="R108" t="str">
        <f>'Space Types'!AG111</f>
        <v/>
      </c>
      <c r="S108">
        <f>'Space Types'!AI111</f>
        <v>6.0959999999999996E-4</v>
      </c>
      <c r="T108" t="str">
        <f>'Space Types'!AL111</f>
        <v/>
      </c>
      <c r="U108" t="str">
        <f>'Space Types'!AQ111</f>
        <v>Washington State Mechanical Code TABLE 403.3.1.1Retail stores, sales floors, and showroom floors - Storage roomsVent</v>
      </c>
      <c r="V108">
        <f>'Space Types'!AS111</f>
        <v>0</v>
      </c>
      <c r="W108">
        <f>'Space Types'!AT111</f>
        <v>0</v>
      </c>
      <c r="X108">
        <f>'Space Types'!AU111</f>
        <v>0.5</v>
      </c>
      <c r="Y108">
        <f>'Space Types'!AV111</f>
        <v>0</v>
      </c>
      <c r="Z108" t="str">
        <f>'Space Types'!AZ111</f>
        <v>NCC S35C2lClass 9a storage (Other applications) - no equipment load per S35C2l; radiant/latent/lost fraction split retained from original WA/COMNET-REV9 source (AIRAH Technical Handbook does not publish this split)SS Healthcare - Supply RoomElectricalEquipDef</v>
      </c>
      <c r="AA108" t="str">
        <f>'Space Types'!BA111</f>
        <v>NECB-H-Electric-Equipment</v>
      </c>
      <c r="AB108">
        <f>'Space Types'!BC111</f>
        <v>1.5</v>
      </c>
      <c r="AC108">
        <f>'Space Types'!BD111</f>
        <v>0.37</v>
      </c>
      <c r="AD108">
        <f>'Space Types'!BE111</f>
        <v>0.2</v>
      </c>
      <c r="AE108" t="str">
        <f>'Space Types'!BI111</f>
        <v>NCC J7D3aStorage; radiant/visible fraction split retained from original WA/COMNET-REV9 source (AIRAH Technical Handbook does not publish this split)LightingDef</v>
      </c>
      <c r="AF108" t="str">
        <f>'Space Types'!BJ111</f>
        <v>NECB-H-Lighting</v>
      </c>
      <c r="AG108" t="str">
        <f>'Space Types'!BM111</f>
        <v/>
      </c>
      <c r="AH108" t="str">
        <f>'Space Types'!BN111</f>
        <v/>
      </c>
      <c r="AI108" t="str">
        <f>'Space Types'!BO111</f>
        <v/>
      </c>
      <c r="AJ108" t="str">
        <f>'Space Types'!BP111</f>
        <v/>
      </c>
      <c r="AK108" t="str">
        <f>'Space Types'!BT111</f>
        <v/>
      </c>
      <c r="AL108" t="str">
        <f>'Space Types'!BU111</f>
        <v/>
      </c>
      <c r="AM108">
        <f>'Space Types'!BX111</f>
        <v>0</v>
      </c>
      <c r="AN108" t="str">
        <f>'Space Types'!CC111</f>
        <v>NCC S34C2(6)0.7 ACH assumed as design infiltration for periods without mechanical outdoor air supply; NCC also specifies 0.35 ACH when mechanical OA is operating (to be applied via infiltration schedule once developed)Hospital_Hospital - medical supplyInfil</v>
      </c>
      <c r="AO108" t="str">
        <f>'Space Types'!CD111</f>
        <v>Always On</v>
      </c>
      <c r="AP108">
        <f>'Space Types'!CG111</f>
        <v>0</v>
      </c>
      <c r="AQ108">
        <f>'Space Types'!CH111</f>
        <v>5.95</v>
      </c>
      <c r="AR108">
        <f>'Space Types'!CI111</f>
        <v>0</v>
      </c>
      <c r="AS108" t="str">
        <f>'Space Types'!CJ111</f>
        <v>Smooth</v>
      </c>
      <c r="AT108">
        <f>'Space Types'!CK111</f>
        <v>1.6999999999999999E-3</v>
      </c>
      <c r="AU108">
        <f>'Space Types'!CL111</f>
        <v>29.9</v>
      </c>
      <c r="AV108">
        <f>'Space Types'!CM111</f>
        <v>4600</v>
      </c>
      <c r="AW108">
        <f>'Space Types'!CN111</f>
        <v>860</v>
      </c>
      <c r="AX108">
        <f>'Space Types'!CO111</f>
        <v>0.9</v>
      </c>
      <c r="AY108">
        <f>'Space Types'!CP111</f>
        <v>0.7</v>
      </c>
      <c r="AZ108">
        <f>'Space Types'!CQ111</f>
        <v>0.7</v>
      </c>
      <c r="BA108" t="str">
        <f>'Space Types'!CR111</f>
        <v>Steel_MedSupply_2mm</v>
      </c>
      <c r="BB108" t="str">
        <f>'Space Types'!CW111</f>
        <v>CalculatedEstimateMedicalSupplyShelvingAndCartsSteel_MedSupply_2mmInternalMassDef</v>
      </c>
    </row>
    <row r="109" spans="1:54" x14ac:dyDescent="0.35">
      <c r="A109" t="str">
        <f>'Space Types'!A112</f>
        <v xml:space="preserve">SS Healthcare - Nursery  </v>
      </c>
      <c r="B109" t="str">
        <f>'Space Types'!B112</f>
        <v>2025_AU_NCC</v>
      </c>
      <c r="C109" t="str">
        <f>'Space Types'!C112</f>
        <v>Healthcare</v>
      </c>
      <c r="D109" t="str">
        <f>'Space Types'!D112</f>
        <v>Nursery</v>
      </c>
      <c r="E109">
        <f>'Space Types'!I112</f>
        <v>78</v>
      </c>
      <c r="F109">
        <f>'Space Types'!J112</f>
        <v>167</v>
      </c>
      <c r="G109">
        <f>'Space Types'!K112</f>
        <v>222</v>
      </c>
      <c r="H109" t="str">
        <f>'Space Types'!L112</f>
        <v>SS Healthcare - Nursery  _2025AUNCC</v>
      </c>
      <c r="I109" t="str">
        <f>'Space Types'!M112</f>
        <v>SS Healthcare - Nursery  _2025AUNCCScheduleSet</v>
      </c>
      <c r="J109">
        <f>'Space Types'!P112</f>
        <v>0.21527830100000001</v>
      </c>
      <c r="K109">
        <f>'Space Types'!U112</f>
        <v>0</v>
      </c>
      <c r="L109">
        <f>'Space Types'!V112</f>
        <v>0</v>
      </c>
      <c r="M109">
        <f>'Space Types'!W112</f>
        <v>130</v>
      </c>
      <c r="N109">
        <f>'Space Types'!X112</f>
        <v>0.57692307700000001</v>
      </c>
      <c r="O109" t="str">
        <f>'Space Types'!AC112</f>
        <v>NCC S35C2nOther applications (non-dining)PeopleDef</v>
      </c>
      <c r="P109" t="str">
        <f>'Space Types'!AD112</f>
        <v>Hospital BLDG_OCC_EXTD_SCH</v>
      </c>
      <c r="Q109" t="str">
        <f>'Space Types'!AE112</f>
        <v>SS Healthcare - Nursery  Activity</v>
      </c>
      <c r="R109">
        <f>'Space Types'!AG112</f>
        <v>2.3596035865974517E-3</v>
      </c>
      <c r="S109">
        <f>'Space Types'!AI112</f>
        <v>3.0479999999999998E-4</v>
      </c>
      <c r="T109" t="str">
        <f>'Space Types'!AL112</f>
        <v/>
      </c>
      <c r="U109" t="str">
        <f>'Space Types'!AQ112</f>
        <v>ASHRAE 62.1-2019Outpatient Health Care Facilities - Urgent care observation roomVent</v>
      </c>
      <c r="V109">
        <f>'Space Types'!AS112</f>
        <v>5</v>
      </c>
      <c r="W109">
        <f>'Space Types'!AT112</f>
        <v>0</v>
      </c>
      <c r="X109">
        <f>'Space Types'!AU112</f>
        <v>0.5</v>
      </c>
      <c r="Y109">
        <f>'Space Types'!AV112</f>
        <v>0</v>
      </c>
      <c r="Z109" t="str">
        <f>'Space Types'!AZ112</f>
        <v>NCC S35C2lClass 9a ward area (nursery treated as infant ward); radiant/latent/lost fraction split retained from original WA/COMNET-REV9 source (AIRAH Technical Handbook does not publish this split)SS Healthcare - Nursery  ElectricalEquipDef</v>
      </c>
      <c r="AA109" t="str">
        <f>'Space Types'!BA112</f>
        <v>Hospital BLDG_EQUIP_EXTD_SCH</v>
      </c>
      <c r="AB109">
        <f>'Space Types'!BC112</f>
        <v>4</v>
      </c>
      <c r="AC109">
        <f>'Space Types'!BD112</f>
        <v>0.37</v>
      </c>
      <c r="AD109">
        <f>'Space Types'!BE112</f>
        <v>0.2</v>
      </c>
      <c r="AE109" t="str">
        <f>'Space Types'!BI112</f>
        <v>NCC J7D3aHealth-care - infants' and children's wards and emergency department; radiant/visible fraction split retained from original WA/COMNET-REV9 source (AIRAH Technical Handbook does not publish this split)LightingDef</v>
      </c>
      <c r="AF109" t="str">
        <f>'Space Types'!BJ112</f>
        <v>Hospital BLDG_LIGHT_EXTD_SCH</v>
      </c>
      <c r="AG109" t="str">
        <f>'Space Types'!BM112</f>
        <v/>
      </c>
      <c r="AH109" t="str">
        <f>'Space Types'!BN112</f>
        <v/>
      </c>
      <c r="AI109" t="str">
        <f>'Space Types'!BO112</f>
        <v/>
      </c>
      <c r="AJ109" t="str">
        <f>'Space Types'!BP112</f>
        <v/>
      </c>
      <c r="AK109" t="str">
        <f>'Space Types'!BT112</f>
        <v/>
      </c>
      <c r="AL109" t="str">
        <f>'Space Types'!BU112</f>
        <v/>
      </c>
      <c r="AM109">
        <f>'Space Types'!BX112</f>
        <v>0</v>
      </c>
      <c r="AN109" t="str">
        <f>'Space Types'!CC112</f>
        <v>NCC S34C2(6)0.7 ACH assumed as design infiltration for periods without mechanical outdoor air supply; NCC also specifies 0.35 ACH when mechanical OA is operating (to be applied via infiltration schedule once developed)Hospital_ICU_OpenInfil</v>
      </c>
      <c r="AO109" t="str">
        <f>'Space Types'!CD112</f>
        <v>Hospital INFIL_SCH_PNNL</v>
      </c>
      <c r="AP109">
        <f>'Space Types'!CG112</f>
        <v>0</v>
      </c>
      <c r="AQ109">
        <f>'Space Types'!CH112</f>
        <v>2.48</v>
      </c>
      <c r="AR109">
        <f>'Space Types'!CI112</f>
        <v>0</v>
      </c>
      <c r="AS109" t="str">
        <f>'Space Types'!CJ112</f>
        <v>Smooth</v>
      </c>
      <c r="AT109">
        <f>'Space Types'!CK112</f>
        <v>1.1999999999999999E-3</v>
      </c>
      <c r="AU109">
        <f>'Space Types'!CL112</f>
        <v>41.5</v>
      </c>
      <c r="AV109">
        <f>'Space Types'!CM112</f>
        <v>3996</v>
      </c>
      <c r="AW109">
        <f>'Space Types'!CN112</f>
        <v>921</v>
      </c>
      <c r="AX109">
        <f>'Space Types'!CO112</f>
        <v>0.9</v>
      </c>
      <c r="AY109">
        <f>'Space Types'!CP112</f>
        <v>0.7</v>
      </c>
      <c r="AZ109">
        <f>'Space Types'!CQ112</f>
        <v>0.7</v>
      </c>
      <c r="BA109" t="str">
        <f>'Space Types'!CR112</f>
        <v>Steel_Nursery_1mm</v>
      </c>
      <c r="BB109" t="str">
        <f>'Space Types'!CW112</f>
        <v>CalculatedEstimateNurseryBassinetsAndEquipmentSteel_Nursery_1mmInternalMassDef</v>
      </c>
    </row>
    <row r="110" spans="1:54" x14ac:dyDescent="0.35">
      <c r="A110" t="str">
        <f>'Space Types'!A113</f>
        <v xml:space="preserve">SS Healthcare - Nurses’ Station  </v>
      </c>
      <c r="B110" t="str">
        <f>'Space Types'!B113</f>
        <v>2025_AU_NCC</v>
      </c>
      <c r="C110" t="str">
        <f>'Space Types'!C113</f>
        <v>Healthcare</v>
      </c>
      <c r="D110" t="str">
        <f>'Space Types'!D113</f>
        <v>Nurses’ Station</v>
      </c>
      <c r="E110">
        <f>'Space Types'!I113</f>
        <v>31</v>
      </c>
      <c r="F110">
        <f>'Space Types'!J113</f>
        <v>162</v>
      </c>
      <c r="G110">
        <f>'Space Types'!K113</f>
        <v>169</v>
      </c>
      <c r="H110" t="str">
        <f>'Space Types'!L113</f>
        <v>SS Healthcare - Nurses’ Station  _2025AUNCC</v>
      </c>
      <c r="I110" t="str">
        <f>'Space Types'!M113</f>
        <v>SS Healthcare - Nurses’ Station  _2025AUNCCScheduleSet</v>
      </c>
      <c r="J110">
        <f>'Space Types'!P113</f>
        <v>0.64583490300000002</v>
      </c>
      <c r="K110">
        <f>'Space Types'!U113</f>
        <v>0</v>
      </c>
      <c r="L110">
        <f>'Space Types'!V113</f>
        <v>0</v>
      </c>
      <c r="M110">
        <f>'Space Types'!W113</f>
        <v>130</v>
      </c>
      <c r="N110">
        <f>'Space Types'!X113</f>
        <v>0.57692307700000001</v>
      </c>
      <c r="O110" t="str">
        <f>'Space Types'!AC113</f>
        <v>NCC S35C2nOther applications (non-dining)PeopleDef</v>
      </c>
      <c r="P110" t="str">
        <f>'Space Types'!AD113</f>
        <v>Hospital BLDG_OCC_SCH</v>
      </c>
      <c r="Q110" t="str">
        <f>'Space Types'!AE113</f>
        <v>SS Healthcare - Nurses’ Station  Activity</v>
      </c>
      <c r="R110">
        <f>'Space Types'!AG113</f>
        <v>2.3596035865974517E-3</v>
      </c>
      <c r="S110">
        <f>'Space Types'!AI113</f>
        <v>3.0479999999999998E-4</v>
      </c>
      <c r="T110" t="str">
        <f>'Space Types'!AL113</f>
        <v/>
      </c>
      <c r="U110" t="str">
        <f>'Space Types'!AQ113</f>
        <v>ASHRAE 62.1-2019Office Buildings - Telephone/data entryVent</v>
      </c>
      <c r="V110">
        <f>'Space Types'!AS113</f>
        <v>5</v>
      </c>
      <c r="W110">
        <f>'Space Types'!AT113</f>
        <v>0</v>
      </c>
      <c r="X110">
        <f>'Space Types'!AU113</f>
        <v>0.5</v>
      </c>
      <c r="Y110">
        <f>'Space Types'!AV113</f>
        <v>0</v>
      </c>
      <c r="Z110" t="str">
        <f>'Space Types'!AZ113</f>
        <v>NCC S35C2lClass 9a ward area (support default); radiant/latent/lost fraction split retained from original WA/COMNET-REV9 source (AIRAH Technical Handbook does not publish this split)SS Healthcare - Nurses’ Station  ElectricalEquipDef</v>
      </c>
      <c r="AA110" t="str">
        <f>'Space Types'!BA113</f>
        <v>Hospital BLDG_EQUIP_SCH</v>
      </c>
      <c r="AB110">
        <f>'Space Types'!BC113</f>
        <v>4.5</v>
      </c>
      <c r="AC110">
        <f>'Space Types'!BD113</f>
        <v>0.37</v>
      </c>
      <c r="AD110">
        <f>'Space Types'!BE113</f>
        <v>0.2</v>
      </c>
      <c r="AE110" t="str">
        <f>'Space Types'!BI113</f>
        <v>NCC J7D3aControl room, switch room and the like - constant monitoring / examination room (nurses station counter); radiant/visible fraction split retained from original WA/COMNET-REV9 source (AIRAH Technical Handbook does not publish this split)LightingDef</v>
      </c>
      <c r="AF110" t="str">
        <f>'Space Types'!BJ113</f>
        <v>Hospital BLDG_LIGHT_NURSEFLR234_SCH</v>
      </c>
      <c r="AG110" t="str">
        <f>'Space Types'!BM113</f>
        <v/>
      </c>
      <c r="AH110" t="str">
        <f>'Space Types'!BN113</f>
        <v/>
      </c>
      <c r="AI110" t="str">
        <f>'Space Types'!BO113</f>
        <v/>
      </c>
      <c r="AJ110" t="str">
        <f>'Space Types'!BP113</f>
        <v/>
      </c>
      <c r="AK110" t="str">
        <f>'Space Types'!BT113</f>
        <v/>
      </c>
      <c r="AL110" t="str">
        <f>'Space Types'!BU113</f>
        <v/>
      </c>
      <c r="AM110">
        <f>'Space Types'!BX113</f>
        <v>0</v>
      </c>
      <c r="AN110" t="str">
        <f>'Space Types'!CC113</f>
        <v>NCC S34C2(6)0.7 ACH assumed as design infiltration for periods without mechanical outdoor air supply; NCC also specifies 0.35 ACH when mechanical OA is operating (to be applied via infiltration schedule once developed)Hospital_Hospital NurseStnInfil</v>
      </c>
      <c r="AO110" t="str">
        <f>'Space Types'!CD113</f>
        <v>Hospital INFIL_SCH_PNNL</v>
      </c>
      <c r="AP110">
        <f>'Space Types'!CG113</f>
        <v>0</v>
      </c>
      <c r="AQ110">
        <f>'Space Types'!CH113</f>
        <v>3.71</v>
      </c>
      <c r="AR110">
        <f>'Space Types'!CI113</f>
        <v>0</v>
      </c>
      <c r="AS110" t="str">
        <f>'Space Types'!CJ113</f>
        <v>MediumRough</v>
      </c>
      <c r="AT110">
        <f>'Space Types'!CK113</f>
        <v>1.5E-3</v>
      </c>
      <c r="AU110">
        <f>'Space Types'!CL113</f>
        <v>20.2</v>
      </c>
      <c r="AV110">
        <f>'Space Types'!CM113</f>
        <v>3433</v>
      </c>
      <c r="AW110">
        <f>'Space Types'!CN113</f>
        <v>958</v>
      </c>
      <c r="AX110">
        <f>'Space Types'!CO113</f>
        <v>0.9</v>
      </c>
      <c r="AY110">
        <f>'Space Types'!CP113</f>
        <v>0.7</v>
      </c>
      <c r="AZ110">
        <f>'Space Types'!CQ113</f>
        <v>0.7</v>
      </c>
      <c r="BA110" t="str">
        <f>'Space Types'!CR113</f>
        <v>Mixed_NurseStation_2mm</v>
      </c>
      <c r="BB110" t="str">
        <f>'Space Types'!CW113</f>
        <v>CalculatedEstimateNursesStationDeskAndEquipmentMixed_NurseStation_2mmInternalMassDef</v>
      </c>
    </row>
    <row r="111" spans="1:54" x14ac:dyDescent="0.35">
      <c r="A111" t="str">
        <f>'Space Types'!A114</f>
        <v xml:space="preserve">SS Healthcare - Operating Room  </v>
      </c>
      <c r="B111" t="str">
        <f>'Space Types'!B114</f>
        <v>2025_AU_NCC</v>
      </c>
      <c r="C111" t="str">
        <f>'Space Types'!C114</f>
        <v>Healthcare</v>
      </c>
      <c r="D111" t="str">
        <f>'Space Types'!D114</f>
        <v>Operating Room</v>
      </c>
      <c r="E111">
        <f>'Space Types'!I114</f>
        <v>169</v>
      </c>
      <c r="F111">
        <f>'Space Types'!J114</f>
        <v>31</v>
      </c>
      <c r="G111">
        <f>'Space Types'!K114</f>
        <v>159</v>
      </c>
      <c r="H111" t="str">
        <f>'Space Types'!L114</f>
        <v>SS Healthcare - Operating Room  _2025AUNCC</v>
      </c>
      <c r="I111" t="str">
        <f>'Space Types'!M114</f>
        <v>SS Healthcare - Operating Room  _2025AUNCCScheduleSet</v>
      </c>
      <c r="J111">
        <f>'Space Types'!P114</f>
        <v>0.21527830100000001</v>
      </c>
      <c r="K111">
        <f>'Space Types'!U114</f>
        <v>0</v>
      </c>
      <c r="L111">
        <f>'Space Types'!V114</f>
        <v>0</v>
      </c>
      <c r="M111">
        <f>'Space Types'!W114</f>
        <v>130</v>
      </c>
      <c r="N111">
        <f>'Space Types'!X114</f>
        <v>0.57692307700000001</v>
      </c>
      <c r="O111" t="str">
        <f>'Space Types'!AC114</f>
        <v>NCC S35C2nOther applications (non-dining)PeopleDef</v>
      </c>
      <c r="P111" t="str">
        <f>'Space Types'!AD114</f>
        <v>Hospital BLDG_OCC_EXTD_SCH</v>
      </c>
      <c r="Q111" t="str">
        <f>'Space Types'!AE114</f>
        <v>SS Healthcare - Operating Room  Activity</v>
      </c>
      <c r="R111">
        <f>'Space Types'!AG114</f>
        <v>4.7192071731949033E-3</v>
      </c>
      <c r="S111">
        <f>'Space Types'!AI114</f>
        <v>9.144E-4</v>
      </c>
      <c r="T111" t="str">
        <f>'Space Types'!AL114</f>
        <v/>
      </c>
      <c r="U111" t="str">
        <f>'Space Types'!AQ114</f>
        <v>ASHRAE 62.1-2019Outpatient Health Care Facilities - Dental operatoryVent</v>
      </c>
      <c r="V111">
        <f>'Space Types'!AS114</f>
        <v>15</v>
      </c>
      <c r="W111">
        <f>'Space Types'!AT114</f>
        <v>0</v>
      </c>
      <c r="X111">
        <f>'Space Types'!AU114</f>
        <v>0.5</v>
      </c>
      <c r="Y111">
        <f>'Space Types'!AV114</f>
        <v>0</v>
      </c>
      <c r="Z111" t="str">
        <f>'Space Types'!AZ114</f>
        <v>NCC S35C2lClass 9a clinic/day surgery/procedure unit; radiant/latent/lost fraction split retained from original WA/COMNET-REV9 source (AIRAH Technical Handbook does not publish this split)SS Healthcare - Operating Room  ElectricalEquipDef</v>
      </c>
      <c r="AA111" t="str">
        <f>'Space Types'!BA114</f>
        <v>Hospital BLDG_EQUIP_EXTD_SCH</v>
      </c>
      <c r="AB111">
        <f>'Space Types'!BC114</f>
        <v>6</v>
      </c>
      <c r="AC111">
        <f>'Space Types'!BD114</f>
        <v>0.37</v>
      </c>
      <c r="AD111">
        <f>'Space Types'!BE114</f>
        <v>0.2</v>
      </c>
      <c r="AE111" t="str">
        <f>'Space Types'!BI114</f>
        <v>NCC J7D3aHealth-care - examination room in intensive care and high dependency ward (nearest for OR); radiant/visible fraction split retained from original WA/COMNET-REV9 source (AIRAH Technical Handbook does not publish this split)LightingDef</v>
      </c>
      <c r="AF111" t="str">
        <f>'Space Types'!BJ114</f>
        <v>Hospital BLDG_LIGHT_EXTD_SCH</v>
      </c>
      <c r="AG111" t="str">
        <f>'Space Types'!BM114</f>
        <v/>
      </c>
      <c r="AH111" t="str">
        <f>'Space Types'!BN114</f>
        <v/>
      </c>
      <c r="AI111" t="str">
        <f>'Space Types'!BO114</f>
        <v/>
      </c>
      <c r="AJ111" t="str">
        <f>'Space Types'!BP114</f>
        <v/>
      </c>
      <c r="AK111" t="str">
        <f>'Space Types'!BT114</f>
        <v/>
      </c>
      <c r="AL111" t="str">
        <f>'Space Types'!BU114</f>
        <v/>
      </c>
      <c r="AM111">
        <f>'Space Types'!BX114</f>
        <v>0</v>
      </c>
      <c r="AN111" t="str">
        <f>'Space Types'!CC114</f>
        <v>NCC S34C2(6)0.7 ACH assumed as design infiltration for periods without mechanical outdoor air supply; NCC also specifies 0.35 ACH when mechanical OA is operating (to be applied via infiltration schedule once developed)Hospital_Hospital ORInfil</v>
      </c>
      <c r="AO111" t="str">
        <f>'Space Types'!CD114</f>
        <v>Hospital INFIL_SCH_PNNL</v>
      </c>
      <c r="AP111">
        <f>'Space Types'!CG114</f>
        <v>0</v>
      </c>
      <c r="AQ111">
        <f>'Space Types'!CH114</f>
        <v>2.81</v>
      </c>
      <c r="AR111">
        <f>'Space Types'!CI114</f>
        <v>0</v>
      </c>
      <c r="AS111" t="str">
        <f>'Space Types'!CJ114</f>
        <v>Smooth</v>
      </c>
      <c r="AT111">
        <f>'Space Types'!CK114</f>
        <v>1.5E-3</v>
      </c>
      <c r="AU111">
        <f>'Space Types'!CL114</f>
        <v>62.4</v>
      </c>
      <c r="AV111">
        <f>'Space Types'!CM114</f>
        <v>6305</v>
      </c>
      <c r="AW111">
        <f>'Space Types'!CN114</f>
        <v>596</v>
      </c>
      <c r="AX111">
        <f>'Space Types'!CO114</f>
        <v>0.9</v>
      </c>
      <c r="AY111">
        <f>'Space Types'!CP114</f>
        <v>0.7</v>
      </c>
      <c r="AZ111">
        <f>'Space Types'!CQ114</f>
        <v>0.7</v>
      </c>
      <c r="BA111" t="str">
        <f>'Space Types'!CR114</f>
        <v>Steel_Aluminum_OR_2mm</v>
      </c>
      <c r="BB111" t="str">
        <f>'Space Types'!CW114</f>
        <v>CalculatedEstimateOperatingRoomStainlessEquipmentSteel_Aluminum_OR_2mmInternalMassDef</v>
      </c>
    </row>
    <row r="112" spans="1:54" x14ac:dyDescent="0.35">
      <c r="A112" t="str">
        <f>'Space Types'!A115</f>
        <v xml:space="preserve">SS Healthcare - Patient Room  </v>
      </c>
      <c r="B112" t="str">
        <f>'Space Types'!B115</f>
        <v>2025_AU_NCC</v>
      </c>
      <c r="C112" t="str">
        <f>'Space Types'!C115</f>
        <v>Healthcare</v>
      </c>
      <c r="D112" t="str">
        <f>'Space Types'!D115</f>
        <v>Patient Room</v>
      </c>
      <c r="E112">
        <f>'Space Types'!I115</f>
        <v>78</v>
      </c>
      <c r="F112">
        <f>'Space Types'!J115</f>
        <v>167</v>
      </c>
      <c r="G112">
        <f>'Space Types'!K115</f>
        <v>222</v>
      </c>
      <c r="H112" t="str">
        <f>'Space Types'!L115</f>
        <v>SS Healthcare - Patient Room  _2025AUNCC</v>
      </c>
      <c r="I112" t="str">
        <f>'Space Types'!M115</f>
        <v>SS Healthcare - Patient Room  _2025AUNCCScheduleSet</v>
      </c>
      <c r="J112">
        <f>'Space Types'!P115</f>
        <v>0.21527830100000001</v>
      </c>
      <c r="K112">
        <f>'Space Types'!U115</f>
        <v>0</v>
      </c>
      <c r="L112">
        <f>'Space Types'!V115</f>
        <v>0</v>
      </c>
      <c r="M112">
        <f>'Space Types'!W115</f>
        <v>130</v>
      </c>
      <c r="N112">
        <f>'Space Types'!X115</f>
        <v>0.57692307700000001</v>
      </c>
      <c r="O112" t="str">
        <f>'Space Types'!AC115</f>
        <v>NCC S35C2nOther applications (non-dining)PeopleDef</v>
      </c>
      <c r="P112" t="str">
        <f>'Space Types'!AD115</f>
        <v>Hospital BLDG_OCC_EXTD_SCH</v>
      </c>
      <c r="Q112" t="str">
        <f>'Space Types'!AE115</f>
        <v>SS Healthcare - Patient Room  Activity</v>
      </c>
      <c r="R112">
        <f>'Space Types'!AG115</f>
        <v>2.3596035865974517E-3</v>
      </c>
      <c r="S112">
        <f>'Space Types'!AI115</f>
        <v>3.0479999999999998E-4</v>
      </c>
      <c r="T112" t="str">
        <f>'Space Types'!AL115</f>
        <v/>
      </c>
      <c r="U112" t="str">
        <f>'Space Types'!AQ115</f>
        <v>ASHRAE 62.1-2019Outpatient Health Care Facilities - Urgent care observation roomVent</v>
      </c>
      <c r="V112">
        <f>'Space Types'!AS115</f>
        <v>5</v>
      </c>
      <c r="W112">
        <f>'Space Types'!AT115</f>
        <v>0</v>
      </c>
      <c r="X112">
        <f>'Space Types'!AU115</f>
        <v>0.5</v>
      </c>
      <c r="Y112">
        <f>'Space Types'!AV115</f>
        <v>0</v>
      </c>
      <c r="Z112" t="str">
        <f>'Space Types'!AZ115</f>
        <v>NCC S35C2lClass 9a ward area; radiant/latent/lost fraction split retained from original WA/COMNET-REV9 source (AIRAH Technical Handbook does not publish this split)SS Healthcare - Patient Room  ElectricalEquipDef</v>
      </c>
      <c r="AA112" t="str">
        <f>'Space Types'!BA115</f>
        <v>Hospital BLDG_EQUIP_SCH</v>
      </c>
      <c r="AB112">
        <f>'Space Types'!BC115</f>
        <v>2.5</v>
      </c>
      <c r="AC112">
        <f>'Space Types'!BD115</f>
        <v>0.37</v>
      </c>
      <c r="AD112">
        <f>'Space Types'!BE115</f>
        <v>0.2</v>
      </c>
      <c r="AE112" t="str">
        <f>'Space Types'!BI115</f>
        <v>NCC J7D3aHealth-care - all other patient care areas including wards and corridors; radiant/visible fraction split retained from original WA/COMNET-REV9 source (AIRAH Technical Handbook does not publish this split)LightingDef</v>
      </c>
      <c r="AF112" t="str">
        <f>'Space Types'!BJ115</f>
        <v>Hospital BLDG_LIGHT_SCH</v>
      </c>
      <c r="AG112" t="str">
        <f>'Space Types'!BM115</f>
        <v/>
      </c>
      <c r="AH112" t="str">
        <f>'Space Types'!BN115</f>
        <v/>
      </c>
      <c r="AI112" t="str">
        <f>'Space Types'!BO115</f>
        <v/>
      </c>
      <c r="AJ112" t="str">
        <f>'Space Types'!BP115</f>
        <v/>
      </c>
      <c r="AK112" t="str">
        <f>'Space Types'!BT115</f>
        <v/>
      </c>
      <c r="AL112" t="str">
        <f>'Space Types'!BU115</f>
        <v/>
      </c>
      <c r="AM112">
        <f>'Space Types'!BX115</f>
        <v>0</v>
      </c>
      <c r="AN112" t="str">
        <f>'Space Types'!CC115</f>
        <v>NCC S34C2(6)0.7 ACH assumed as design infiltration for periods without mechanical outdoor air supply; NCC also specifies 0.35 ACH when mechanical OA is operating (to be applied via infiltration schedule once developed)Hospital_Hospital PatRoomInfil</v>
      </c>
      <c r="AO112" t="str">
        <f>'Space Types'!CD115</f>
        <v>Hospital INFIL_SCH_PNNL</v>
      </c>
      <c r="AP112">
        <f>'Space Types'!CG115</f>
        <v>0</v>
      </c>
      <c r="AQ112">
        <f>'Space Types'!CH115</f>
        <v>1.22</v>
      </c>
      <c r="AR112">
        <f>'Space Types'!CI115</f>
        <v>0</v>
      </c>
      <c r="AS112" t="str">
        <f>'Space Types'!CJ115</f>
        <v>MediumRough</v>
      </c>
      <c r="AT112">
        <f>'Space Types'!CK115</f>
        <v>2.5399999999999999E-2</v>
      </c>
      <c r="AU112">
        <f>'Space Types'!CL115</f>
        <v>1.3</v>
      </c>
      <c r="AV112">
        <f>'Space Types'!CM115</f>
        <v>309</v>
      </c>
      <c r="AW112">
        <f>'Space Types'!CN115</f>
        <v>718</v>
      </c>
      <c r="AX112">
        <f>'Space Types'!CO115</f>
        <v>0.9</v>
      </c>
      <c r="AY112">
        <f>'Space Types'!CP115</f>
        <v>0.7</v>
      </c>
      <c r="AZ112">
        <f>'Space Types'!CQ115</f>
        <v>0.7</v>
      </c>
      <c r="BA112" t="str">
        <f>'Space Types'!CR115</f>
        <v>Mixed_Healthcare_PatientRoom_25mm</v>
      </c>
      <c r="BB112" t="str">
        <f>'Space Types'!CW115</f>
        <v>CalculatedEstimatePatientRoomBedAndFurnishingsMixed_Healthcare_PatientRoom_25mmInternalMassDef</v>
      </c>
    </row>
    <row r="113" spans="1:54" x14ac:dyDescent="0.35">
      <c r="A113" t="str">
        <f>'Space Types'!A116</f>
        <v xml:space="preserve">SS Healthcare - Physical Therapy  </v>
      </c>
      <c r="B113" t="str">
        <f>'Space Types'!B116</f>
        <v>2025_AU_NCC</v>
      </c>
      <c r="C113" t="str">
        <f>'Space Types'!C116</f>
        <v>Healthcare</v>
      </c>
      <c r="D113" t="str">
        <f>'Space Types'!D116</f>
        <v>Physical Therapy</v>
      </c>
      <c r="E113">
        <f>'Space Types'!I116</f>
        <v>154</v>
      </c>
      <c r="F113">
        <f>'Space Types'!J116</f>
        <v>230</v>
      </c>
      <c r="G113">
        <f>'Space Types'!K116</f>
        <v>120</v>
      </c>
      <c r="H113" t="str">
        <f>'Space Types'!L116</f>
        <v>SS Healthcare - Physical Therapy  _2025AUNCC</v>
      </c>
      <c r="I113" t="str">
        <f>'Space Types'!M116</f>
        <v>SS Healthcare - Physical Therapy  _2025AUNCCScheduleSet</v>
      </c>
      <c r="J113">
        <f>'Space Types'!P116</f>
        <v>7.5347405000000006E-2</v>
      </c>
      <c r="K113">
        <f>'Space Types'!U116</f>
        <v>0</v>
      </c>
      <c r="L113">
        <f>'Space Types'!V116</f>
        <v>0</v>
      </c>
      <c r="M113">
        <f>'Space Types'!W116</f>
        <v>130</v>
      </c>
      <c r="N113">
        <f>'Space Types'!X116</f>
        <v>0.57692307700000001</v>
      </c>
      <c r="O113" t="str">
        <f>'Space Types'!AC116</f>
        <v>NCC S35C2nOther applications (non-dining)PeopleDef</v>
      </c>
      <c r="P113" t="str">
        <f>'Space Types'!AD116</f>
        <v>Hospital BLDG_OCC_SCH</v>
      </c>
      <c r="Q113" t="str">
        <f>'Space Types'!AE116</f>
        <v>SS Healthcare - Physical Therapy  Activity</v>
      </c>
      <c r="R113">
        <f>'Space Types'!AG116</f>
        <v>9.4384143463898066E-3</v>
      </c>
      <c r="S113">
        <f>'Space Types'!AI116</f>
        <v>9.144E-4</v>
      </c>
      <c r="T113" t="str">
        <f>'Space Types'!AL116</f>
        <v/>
      </c>
      <c r="U113" t="str">
        <f>'Space Types'!AQ116</f>
        <v>ASHRAE 62.1-2019Outpatient Health Care Facilities - Physical therapy exercise areaVent</v>
      </c>
      <c r="V113">
        <f>'Space Types'!AS116</f>
        <v>15</v>
      </c>
      <c r="W113">
        <f>'Space Types'!AT116</f>
        <v>0</v>
      </c>
      <c r="X113">
        <f>'Space Types'!AU116</f>
        <v>0.5</v>
      </c>
      <c r="Y113">
        <f>'Space Types'!AV116</f>
        <v>0</v>
      </c>
      <c r="Z113" t="str">
        <f>'Space Types'!AZ116</f>
        <v>NCC S35C2lClass 9a clinic/day surgery/procedure unit; radiant/latent/lost fraction split retained from original WA/COMNET-REV9 source (AIRAH Technical Handbook does not publish this split)SS Healthcare - Physical Therapy  ElectricalEquipDef</v>
      </c>
      <c r="AA113" t="str">
        <f>'Space Types'!BA116</f>
        <v>Hospital BLDG_EQUIP_SCH</v>
      </c>
      <c r="AB113">
        <f>'Space Types'!BC116</f>
        <v>4.5</v>
      </c>
      <c r="AC113">
        <f>'Space Types'!BD116</f>
        <v>0.37</v>
      </c>
      <c r="AD113">
        <f>'Space Types'!BE116</f>
        <v>0.2</v>
      </c>
      <c r="AE113" t="str">
        <f>'Space Types'!BI116</f>
        <v>NCC J7D3aHealth-care - examination room; radiant/visible fraction split retained from original WA/COMNET-REV9 source (AIRAH Technical Handbook does not publish this split)LightingDef</v>
      </c>
      <c r="AF113" t="str">
        <f>'Space Types'!BJ116</f>
        <v>Hospital BLDG_LIGHT_SCH</v>
      </c>
      <c r="AG113" t="str">
        <f>'Space Types'!BM116</f>
        <v/>
      </c>
      <c r="AH113" t="str">
        <f>'Space Types'!BN116</f>
        <v/>
      </c>
      <c r="AI113" t="str">
        <f>'Space Types'!BO116</f>
        <v/>
      </c>
      <c r="AJ113" t="str">
        <f>'Space Types'!BP116</f>
        <v/>
      </c>
      <c r="AK113" t="str">
        <f>'Space Types'!BT116</f>
        <v/>
      </c>
      <c r="AL113" t="str">
        <f>'Space Types'!BU116</f>
        <v/>
      </c>
      <c r="AM113">
        <f>'Space Types'!BX116</f>
        <v>0</v>
      </c>
      <c r="AN113" t="str">
        <f>'Space Types'!CC116</f>
        <v>NCC S34C2(6)0.7 ACH assumed as design infiltration for periods without mechanical outdoor air supply; NCC also specifies 0.35 ACH when mechanical OA is operating (to be applied via infiltration schedule once developed)Hospital_Hospital PhysTherapyInfil</v>
      </c>
      <c r="AO113" t="str">
        <f>'Space Types'!CD116</f>
        <v>Hospital INFIL_SCH_PNNL</v>
      </c>
      <c r="AP113">
        <f>'Space Types'!CG116</f>
        <v>0</v>
      </c>
      <c r="AQ113">
        <f>'Space Types'!CH116</f>
        <v>0.89</v>
      </c>
      <c r="AR113">
        <f>'Space Types'!CI116</f>
        <v>0</v>
      </c>
      <c r="AS113" t="str">
        <f>'Space Types'!CJ116</f>
        <v>MediumRough</v>
      </c>
      <c r="AT113">
        <f>'Space Types'!CK116</f>
        <v>1.66E-2</v>
      </c>
      <c r="AU113">
        <f>'Space Types'!CL116</f>
        <v>4.21</v>
      </c>
      <c r="AV113">
        <f>'Space Types'!CM116</f>
        <v>847</v>
      </c>
      <c r="AW113">
        <f>'Space Types'!CN116</f>
        <v>581</v>
      </c>
      <c r="AX113">
        <f>'Space Types'!CO116</f>
        <v>0.9</v>
      </c>
      <c r="AY113">
        <f>'Space Types'!CP116</f>
        <v>0.7</v>
      </c>
      <c r="AZ113">
        <f>'Space Types'!CQ116</f>
        <v>0.7</v>
      </c>
      <c r="BA113" t="str">
        <f>'Space Types'!CR116</f>
        <v>Mixed_Healthcare_PhysicalTherapy_17mm</v>
      </c>
      <c r="BB113" t="str">
        <f>'Space Types'!CW116</f>
        <v>CalculatedEstimatePhysicalTherapyEquipmentAndMatsMixed_Healthcare_PhysicalTherapy_17mmInternalMassDef</v>
      </c>
    </row>
    <row r="114" spans="1:54" x14ac:dyDescent="0.35">
      <c r="A114" t="str">
        <f>'Space Types'!A117</f>
        <v>SS Healthcare - Recovery Room</v>
      </c>
      <c r="B114" t="str">
        <f>'Space Types'!B117</f>
        <v>2025_AU_NCC</v>
      </c>
      <c r="C114" t="str">
        <f>'Space Types'!C117</f>
        <v>Healthcare</v>
      </c>
      <c r="D114" t="str">
        <f>'Space Types'!D117</f>
        <v>Recovery Room</v>
      </c>
      <c r="E114">
        <f>'Space Types'!I117</f>
        <v>169</v>
      </c>
      <c r="F114">
        <f>'Space Types'!J117</f>
        <v>31</v>
      </c>
      <c r="G114">
        <f>'Space Types'!K117</f>
        <v>159</v>
      </c>
      <c r="H114" t="str">
        <f>'Space Types'!L117</f>
        <v>SS Healthcare - Recovery Room_2025AUNCC</v>
      </c>
      <c r="I114" t="str">
        <f>'Space Types'!M117</f>
        <v>SS Healthcare - Recovery Room_2025AUNCCScheduleSet</v>
      </c>
      <c r="J114">
        <f>'Space Types'!P117</f>
        <v>0.21527830100000001</v>
      </c>
      <c r="K114">
        <f>'Space Types'!U117</f>
        <v>0</v>
      </c>
      <c r="L114">
        <f>'Space Types'!V117</f>
        <v>0</v>
      </c>
      <c r="M114">
        <f>'Space Types'!W117</f>
        <v>130</v>
      </c>
      <c r="N114">
        <f>'Space Types'!X117</f>
        <v>0.57692307700000001</v>
      </c>
      <c r="O114" t="str">
        <f>'Space Types'!AC117</f>
        <v>NCC S35C2nOther applications (non-dining)PeopleDef</v>
      </c>
      <c r="P114" t="str">
        <f>'Space Types'!AD117</f>
        <v>OutPatientHealthCare BLDG_OCC_SCH</v>
      </c>
      <c r="Q114" t="str">
        <f>'Space Types'!AE117</f>
        <v>SS Healthcare - Recovery RoomActivity</v>
      </c>
      <c r="R114">
        <f>'Space Types'!AG117</f>
        <v>2.3596035865974517E-3</v>
      </c>
      <c r="S114">
        <f>'Space Types'!AI117</f>
        <v>3.0479999999999998E-4</v>
      </c>
      <c r="T114" t="str">
        <f>'Space Types'!AL117</f>
        <v/>
      </c>
      <c r="U114" t="str">
        <f>'Space Types'!AQ117</f>
        <v>ASHRAE 62.1-2019Outpatient Health Care Facilities - Urgent care observation roomVent</v>
      </c>
      <c r="V114">
        <f>'Space Types'!AS117</f>
        <v>5</v>
      </c>
      <c r="W114">
        <f>'Space Types'!AT117</f>
        <v>0</v>
      </c>
      <c r="X114">
        <f>'Space Types'!AU117</f>
        <v>0.5</v>
      </c>
      <c r="Y114">
        <f>'Space Types'!AV117</f>
        <v>0</v>
      </c>
      <c r="Z114" t="str">
        <f>'Space Types'!AZ117</f>
        <v>NCC S35C2lClass 9a ward area (recovery, nearest); radiant/latent/lost fraction split retained from original WA/COMNET-REV9 source (AIRAH Technical Handbook does not publish this split)SS Healthcare - Recovery RoomElectricalEquipDef</v>
      </c>
      <c r="AA114" t="str">
        <f>'Space Types'!BA117</f>
        <v>OutPatientHealthCare BLDG_EQUIP_SCH_BASE</v>
      </c>
      <c r="AB114">
        <f>'Space Types'!BC117</f>
        <v>6</v>
      </c>
      <c r="AC114">
        <f>'Space Types'!BD117</f>
        <v>0.37</v>
      </c>
      <c r="AD114">
        <f>'Space Types'!BE117</f>
        <v>0.2</v>
      </c>
      <c r="AE114" t="str">
        <f>'Space Types'!BI117</f>
        <v>NCC J7D3aHealth-care - examination room in intensive care and high dependency ward; radiant/visible fraction split retained from original WA/COMNET-REV9 source (AIRAH Technical Handbook does not publish this split)LightingDef</v>
      </c>
      <c r="AF114" t="str">
        <f>'Space Types'!BJ117</f>
        <v>OutPatientHealthCare BLDG_LIGHT_EXAM_SCH</v>
      </c>
      <c r="AG114" t="str">
        <f>'Space Types'!BM117</f>
        <v/>
      </c>
      <c r="AH114" t="str">
        <f>'Space Types'!BN117</f>
        <v/>
      </c>
      <c r="AI114" t="str">
        <f>'Space Types'!BO117</f>
        <v/>
      </c>
      <c r="AJ114" t="str">
        <f>'Space Types'!BP117</f>
        <v/>
      </c>
      <c r="AK114" t="str">
        <f>'Space Types'!BT117</f>
        <v/>
      </c>
      <c r="AL114" t="str">
        <f>'Space Types'!BU117</f>
        <v/>
      </c>
      <c r="AM114">
        <f>'Space Types'!BX117</f>
        <v>0</v>
      </c>
      <c r="AN114" t="str">
        <f>'Space Types'!CC117</f>
        <v>NCC S34C2(6)0.7 ACH assumed as design infiltration for periods without mechanical outdoor air supply; NCC also specifies 0.35 ACH when mechanical OA is operating (to be applied via infiltration schedule once developed)Hospital_Outpatient PACUInfil</v>
      </c>
      <c r="AO114" t="str">
        <f>'Space Types'!CD117</f>
        <v>OutPatientHealthCare INFIL_SCH</v>
      </c>
      <c r="AP114">
        <f>'Space Types'!CG117</f>
        <v>0</v>
      </c>
      <c r="AQ114">
        <f>'Space Types'!CH117</f>
        <v>1.0900000000000001</v>
      </c>
      <c r="AR114">
        <f>'Space Types'!CI117</f>
        <v>0</v>
      </c>
      <c r="AS114" t="str">
        <f>'Space Types'!CJ117</f>
        <v>MediumRough</v>
      </c>
      <c r="AT114">
        <f>'Space Types'!CK117</f>
        <v>1.09E-2</v>
      </c>
      <c r="AU114">
        <f>'Space Types'!CL117</f>
        <v>4.21</v>
      </c>
      <c r="AV114">
        <f>'Space Types'!CM117</f>
        <v>957</v>
      </c>
      <c r="AW114">
        <f>'Space Types'!CN117</f>
        <v>661</v>
      </c>
      <c r="AX114">
        <f>'Space Types'!CO117</f>
        <v>0.9</v>
      </c>
      <c r="AY114">
        <f>'Space Types'!CP117</f>
        <v>0.7</v>
      </c>
      <c r="AZ114">
        <f>'Space Types'!CQ117</f>
        <v>0.7</v>
      </c>
      <c r="BA114" t="str">
        <f>'Space Types'!CR117</f>
        <v>Mixed_Healthcare_RecoveryRoom_11mm</v>
      </c>
      <c r="BB114" t="str">
        <f>'Space Types'!CW117</f>
        <v>CalculatedEstimateRecoveryRoomBedAndMonitoringEquipmentMixed_Healthcare_RecoveryRoom_11mmInternalMassDef</v>
      </c>
    </row>
    <row r="115" spans="1:54" x14ac:dyDescent="0.35">
      <c r="A115" t="str">
        <f>'Space Types'!A118</f>
        <v xml:space="preserve">SS Library - Reading Area  </v>
      </c>
      <c r="B115" t="str">
        <f>'Space Types'!B118</f>
        <v>2025_AU_NCC</v>
      </c>
      <c r="C115" t="str">
        <f>'Space Types'!C118</f>
        <v>Library</v>
      </c>
      <c r="D115" t="str">
        <f>'Space Types'!D118</f>
        <v>Reading Area</v>
      </c>
      <c r="E115">
        <f>'Space Types'!I118</f>
        <v>240</v>
      </c>
      <c r="F115">
        <f>'Space Types'!J118</f>
        <v>230</v>
      </c>
      <c r="G115">
        <f>'Space Types'!K118</f>
        <v>140</v>
      </c>
      <c r="H115" t="str">
        <f>'Space Types'!L118</f>
        <v>SS Library - Reading Area  _2025AUNCC</v>
      </c>
      <c r="I115" t="str">
        <f>'Space Types'!M118</f>
        <v>SS Library - Reading Area  _2025AUNCCScheduleSet</v>
      </c>
      <c r="J115">
        <f>'Space Types'!P118</f>
        <v>0.107639151</v>
      </c>
      <c r="K115">
        <f>'Space Types'!U118</f>
        <v>0</v>
      </c>
      <c r="L115">
        <f>'Space Types'!V118</f>
        <v>0</v>
      </c>
      <c r="M115">
        <f>'Space Types'!W118</f>
        <v>130</v>
      </c>
      <c r="N115">
        <f>'Space Types'!X118</f>
        <v>0.57692307700000001</v>
      </c>
      <c r="O115" t="str">
        <f>'Space Types'!AC118</f>
        <v>NCC S35C2nOther applications (non-dining)PeopleDef</v>
      </c>
      <c r="P115" t="str">
        <f>'Space Types'!AD118</f>
        <v>NECB-C-Occupancy</v>
      </c>
      <c r="Q115" t="str">
        <f>'Space Types'!AE118</f>
        <v>SS Library - Reading Area  Activity</v>
      </c>
      <c r="R115">
        <f>'Space Types'!AG118</f>
        <v>2.3596035865974517E-3</v>
      </c>
      <c r="S115">
        <f>'Space Types'!AI118</f>
        <v>6.0959999999999996E-4</v>
      </c>
      <c r="T115" t="str">
        <f>'Space Types'!AL118</f>
        <v/>
      </c>
      <c r="U115" t="str">
        <f>'Space Types'!AQ118</f>
        <v>Washington State Mechanical Code TABLE 403.3.1.1Public spaces - LibrariesVent</v>
      </c>
      <c r="V115">
        <f>'Space Types'!AS118</f>
        <v>0</v>
      </c>
      <c r="W115">
        <f>'Space Types'!AT118</f>
        <v>0</v>
      </c>
      <c r="X115">
        <f>'Space Types'!AU118</f>
        <v>0.5</v>
      </c>
      <c r="Y115">
        <f>'Space Types'!AV118</f>
        <v>0</v>
      </c>
      <c r="Z115" t="str">
        <f>'Space Types'!AZ118</f>
        <v>NCC S35C2lClass 9b (Other applications) - no equipment load per S35C2l; radiant/latent/lost fraction split retained from original WA/COMNET-REV9 source (AIRAH Technical Handbook does not publish this split)SS Library - Reading Area  ElectricalEquipDef</v>
      </c>
      <c r="AA115" t="str">
        <f>'Space Types'!BA118</f>
        <v>NECB-C-Electric-Equipment</v>
      </c>
      <c r="AB115">
        <f>'Space Types'!BC118</f>
        <v>4.5</v>
      </c>
      <c r="AC115">
        <f>'Space Types'!BD118</f>
        <v>0.37</v>
      </c>
      <c r="AD115">
        <f>'Space Types'!BE118</f>
        <v>0.2</v>
      </c>
      <c r="AE115" t="str">
        <f>'Space Types'!BI118</f>
        <v>NCC J7D3aLibrary - reading room and general areas; radiant/visible fraction split retained from original WA/COMNET-REV9 source (AIRAH Technical Handbook does not publish this split)LightingDef</v>
      </c>
      <c r="AF115" t="str">
        <f>'Space Types'!BJ118</f>
        <v>NECB-C-Lighting</v>
      </c>
      <c r="AG115" t="str">
        <f>'Space Types'!BM118</f>
        <v/>
      </c>
      <c r="AH115" t="str">
        <f>'Space Types'!BN118</f>
        <v/>
      </c>
      <c r="AI115" t="str">
        <f>'Space Types'!BO118</f>
        <v/>
      </c>
      <c r="AJ115" t="str">
        <f>'Space Types'!BP118</f>
        <v/>
      </c>
      <c r="AK115" t="str">
        <f>'Space Types'!BT118</f>
        <v/>
      </c>
      <c r="AL115" t="str">
        <f>'Space Types'!BU118</f>
        <v/>
      </c>
      <c r="AM115">
        <f>'Space Types'!BX118</f>
        <v>0</v>
      </c>
      <c r="AN115" t="str">
        <f>'Space Types'!CC118</f>
        <v>NCC S34C2(6)0.7 ACH assumed as design infiltration for periods without mechanical outdoor air supply; NCC also specifies 0.35 ACH when mechanical OA is operating (to be applied via infiltration schedule once developed)Space Function_Library - readingInfil</v>
      </c>
      <c r="AO115" t="str">
        <f>'Space Types'!CD118</f>
        <v>Always On</v>
      </c>
      <c r="AP115">
        <f>'Space Types'!CG118</f>
        <v>0</v>
      </c>
      <c r="AQ115">
        <f>'Space Types'!CH118</f>
        <v>1.54</v>
      </c>
      <c r="AR115">
        <f>'Space Types'!CI118</f>
        <v>0</v>
      </c>
      <c r="AS115" t="str">
        <f>'Space Types'!CJ118</f>
        <v>MediumRough</v>
      </c>
      <c r="AT115">
        <f>'Space Types'!CK118</f>
        <v>2.2100000000000002E-2</v>
      </c>
      <c r="AU115">
        <f>'Space Types'!CL118</f>
        <v>0.18</v>
      </c>
      <c r="AV115">
        <f>'Space Types'!CM118</f>
        <v>344</v>
      </c>
      <c r="AW115">
        <f>'Space Types'!CN118</f>
        <v>1399</v>
      </c>
      <c r="AX115">
        <f>'Space Types'!CO118</f>
        <v>0.9</v>
      </c>
      <c r="AY115">
        <f>'Space Types'!CP118</f>
        <v>0.7</v>
      </c>
      <c r="AZ115">
        <f>'Space Types'!CQ118</f>
        <v>0.7</v>
      </c>
      <c r="BA115" t="str">
        <f>'Space Types'!CR118</f>
        <v>Mixed_Library_ReadingArea_22mm</v>
      </c>
      <c r="BB115" t="str">
        <f>'Space Types'!CW118</f>
        <v>CalculatedEstimateWoodTablesCarrelsAndSeatingMixed_Library_ReadingArea_22mmInternalMassDef</v>
      </c>
    </row>
    <row r="116" spans="1:54" x14ac:dyDescent="0.35">
      <c r="A116" t="str">
        <f>'Space Types'!A119</f>
        <v xml:space="preserve">SS Library - Stacks  </v>
      </c>
      <c r="B116" t="str">
        <f>'Space Types'!B119</f>
        <v>2025_AU_NCC</v>
      </c>
      <c r="C116" t="str">
        <f>'Space Types'!C119</f>
        <v>Library</v>
      </c>
      <c r="D116" t="str">
        <f>'Space Types'!D119</f>
        <v>Stacks</v>
      </c>
      <c r="E116">
        <f>'Space Types'!I119</f>
        <v>218</v>
      </c>
      <c r="F116">
        <f>'Space Types'!J119</f>
        <v>165</v>
      </c>
      <c r="G116">
        <f>'Space Types'!K119</f>
        <v>32</v>
      </c>
      <c r="H116" t="str">
        <f>'Space Types'!L119</f>
        <v>SS Library - Stacks  _2025AUNCC</v>
      </c>
      <c r="I116" t="str">
        <f>'Space Types'!M119</f>
        <v>SS Library - Stacks  _2025AUNCCScheduleSet</v>
      </c>
      <c r="J116">
        <f>'Space Types'!P119</f>
        <v>0.107639151</v>
      </c>
      <c r="K116">
        <f>'Space Types'!U119</f>
        <v>0</v>
      </c>
      <c r="L116">
        <f>'Space Types'!V119</f>
        <v>0</v>
      </c>
      <c r="M116">
        <f>'Space Types'!W119</f>
        <v>130</v>
      </c>
      <c r="N116">
        <f>'Space Types'!X119</f>
        <v>0.57692307700000001</v>
      </c>
      <c r="O116" t="str">
        <f>'Space Types'!AC119</f>
        <v>NCC S35C2nOther applications (non-dining)PeopleDef</v>
      </c>
      <c r="P116" t="str">
        <f>'Space Types'!AD119</f>
        <v>NECB-C-Occupancy</v>
      </c>
      <c r="Q116" t="str">
        <f>'Space Types'!AE119</f>
        <v>SS Library - Stacks  Activity</v>
      </c>
      <c r="R116">
        <f>'Space Types'!AG119</f>
        <v>2.3596035865974517E-3</v>
      </c>
      <c r="S116">
        <f>'Space Types'!AI119</f>
        <v>6.0959999999999996E-4</v>
      </c>
      <c r="T116" t="str">
        <f>'Space Types'!AL119</f>
        <v/>
      </c>
      <c r="U116" t="str">
        <f>'Space Types'!AQ119</f>
        <v>Washington State Mechanical Code TABLE 403.3.1.1Public spaces - LibrariesVent</v>
      </c>
      <c r="V116">
        <f>'Space Types'!AS119</f>
        <v>0</v>
      </c>
      <c r="W116">
        <f>'Space Types'!AT119</f>
        <v>0</v>
      </c>
      <c r="X116">
        <f>'Space Types'!AU119</f>
        <v>0.5</v>
      </c>
      <c r="Y116">
        <f>'Space Types'!AV119</f>
        <v>0</v>
      </c>
      <c r="Z116" t="str">
        <f>'Space Types'!AZ119</f>
        <v>NCC S35C2lClass 9b (Other applications) - no equipment load per S35C2l; radiant/latent/lost fraction split retained from original WA/COMNET-REV9 source (AIRAH Technical Handbook does not publish this split)SS Library - Stacks  ElectricalEquipDef</v>
      </c>
      <c r="AA116" t="str">
        <f>'Space Types'!BA119</f>
        <v>NECB-C-Electric-Equipment</v>
      </c>
      <c r="AB116">
        <f>'Space Types'!BC119</f>
        <v>2.5</v>
      </c>
      <c r="AC116">
        <f>'Space Types'!BD119</f>
        <v>0.37</v>
      </c>
      <c r="AD116">
        <f>'Space Types'!BE119</f>
        <v>0.2</v>
      </c>
      <c r="AE116" t="str">
        <f>'Space Types'!BI119</f>
        <v>NCC J7D3aLibrary - stack and shelving area; radiant/visible fraction split retained from original WA/COMNET-REV9 source (AIRAH Technical Handbook does not publish this split)LightingDef</v>
      </c>
      <c r="AF116" t="str">
        <f>'Space Types'!BJ119</f>
        <v>NECB-C-Lighting</v>
      </c>
      <c r="AG116" t="str">
        <f>'Space Types'!BM119</f>
        <v/>
      </c>
      <c r="AH116" t="str">
        <f>'Space Types'!BN119</f>
        <v/>
      </c>
      <c r="AI116" t="str">
        <f>'Space Types'!BO119</f>
        <v/>
      </c>
      <c r="AJ116" t="str">
        <f>'Space Types'!BP119</f>
        <v/>
      </c>
      <c r="AK116" t="str">
        <f>'Space Types'!BT119</f>
        <v/>
      </c>
      <c r="AL116" t="str">
        <f>'Space Types'!BU119</f>
        <v/>
      </c>
      <c r="AM116">
        <f>'Space Types'!BX119</f>
        <v>0</v>
      </c>
      <c r="AN116" t="str">
        <f>'Space Types'!CC119</f>
        <v>NCC S34C2(6)0.7 ACH assumed as design infiltration for periods without mechanical outdoor air supply; NCC also specifies 0.35 ACH when mechanical OA is operating (to be applied via infiltration schedule once developed)Space Function_Library - stacksInfil</v>
      </c>
      <c r="AO116" t="str">
        <f>'Space Types'!CD119</f>
        <v>Always On</v>
      </c>
      <c r="AP116">
        <f>'Space Types'!CG119</f>
        <v>0</v>
      </c>
      <c r="AQ116">
        <f>'Space Types'!CH119</f>
        <v>8.85</v>
      </c>
      <c r="AR116">
        <f>'Space Types'!CI119</f>
        <v>0</v>
      </c>
      <c r="AS116" t="str">
        <f>'Space Types'!CJ119</f>
        <v>MediumRough</v>
      </c>
      <c r="AT116">
        <f>'Space Types'!CK119</f>
        <v>1.2200000000000001E-2</v>
      </c>
      <c r="AU116">
        <f>'Space Types'!CL119</f>
        <v>1.7070000000000001</v>
      </c>
      <c r="AV116">
        <f>'Space Types'!CM119</f>
        <v>1346</v>
      </c>
      <c r="AW116">
        <f>'Space Types'!CN119</f>
        <v>1140</v>
      </c>
      <c r="AX116">
        <f>'Space Types'!CO119</f>
        <v>0.9</v>
      </c>
      <c r="AY116">
        <f>'Space Types'!CP119</f>
        <v>0.7</v>
      </c>
      <c r="AZ116">
        <f>'Space Types'!CQ119</f>
        <v>0.7</v>
      </c>
      <c r="BA116" t="str">
        <f>'Space Types'!CR119</f>
        <v>Mixed_Library_Stacks_12mm</v>
      </c>
      <c r="BB116" t="str">
        <f>'Space Types'!CW119</f>
        <v>CalculatedEstimateSteelShelvingWithBooksMixed_Library_Stacks_12mmInternalMassDef</v>
      </c>
    </row>
    <row r="117" spans="1:54" x14ac:dyDescent="0.35">
      <c r="A117" t="str">
        <f>'Space Types'!A120</f>
        <v xml:space="preserve">SS Manufacturing Facility - Detailed Manufacturing  </v>
      </c>
      <c r="B117" t="str">
        <f>'Space Types'!B120</f>
        <v>2025_AU_NCC</v>
      </c>
      <c r="C117" t="str">
        <f>'Space Types'!C120</f>
        <v>Manufacturing Facility</v>
      </c>
      <c r="D117" t="str">
        <f>'Space Types'!D120</f>
        <v>Detailed Manufacturing</v>
      </c>
      <c r="E117">
        <f>'Space Types'!I120</f>
        <v>127</v>
      </c>
      <c r="F117">
        <f>'Space Types'!J120</f>
        <v>0</v>
      </c>
      <c r="G117">
        <f>'Space Types'!K120</f>
        <v>255</v>
      </c>
      <c r="H117" t="str">
        <f>'Space Types'!L120</f>
        <v>SS Manufacturing Facility - Detailed Manufacturing  _2025AUNCC</v>
      </c>
      <c r="I117" t="str">
        <f>'Space Types'!M120</f>
        <v>SS Manufacturing Facility - Detailed Manufacturing  _2025AUNCCScheduleSet</v>
      </c>
      <c r="J117">
        <f>'Space Types'!P120</f>
        <v>7.5347405000000006E-2</v>
      </c>
      <c r="K117">
        <f>'Space Types'!U120</f>
        <v>0</v>
      </c>
      <c r="L117">
        <f>'Space Types'!V120</f>
        <v>0</v>
      </c>
      <c r="M117">
        <f>'Space Types'!W120</f>
        <v>130</v>
      </c>
      <c r="N117">
        <f>'Space Types'!X120</f>
        <v>0.57692307700000001</v>
      </c>
      <c r="O117" t="str">
        <f>'Space Types'!AC120</f>
        <v>NCC S35C2nOther applications (non-dining)PeopleDef</v>
      </c>
      <c r="P117" t="str">
        <f>'Space Types'!AD120</f>
        <v>NECB-A-Occupancy</v>
      </c>
      <c r="Q117" t="str">
        <f>'Space Types'!AE120</f>
        <v>SS Manufacturing Facility - Detailed Manufacturing  Activity</v>
      </c>
      <c r="R117">
        <f>'Space Types'!AG120</f>
        <v>4.7192071731949033E-3</v>
      </c>
      <c r="S117">
        <f>'Space Types'!AI120</f>
        <v>9.144E-4</v>
      </c>
      <c r="T117" t="str">
        <f>'Space Types'!AL120</f>
        <v/>
      </c>
      <c r="U117" t="str">
        <f>'Space Types'!AQ120</f>
        <v>ASHRAE 62.1-2019Miscellaneous Spaces - Manufacturing where hazardous materials are not usedVent</v>
      </c>
      <c r="V117">
        <f>'Space Types'!AS120</f>
        <v>0</v>
      </c>
      <c r="W117">
        <f>'Space Types'!AT120</f>
        <v>0.1</v>
      </c>
      <c r="X117">
        <f>'Space Types'!AU120</f>
        <v>0.5</v>
      </c>
      <c r="Y117">
        <f>'Space Types'!AV120</f>
        <v>0.1</v>
      </c>
      <c r="Z117" t="str">
        <f>'Space Types'!AZ120</f>
        <v>NCC S35C2lClass 8 (Other applications) - no equipment load per S35C2l; radiant/latent/lost fraction split retained from original WA/COMNET-REV9 source (AIRAH Technical Handbook does not publish this split)SS Manufacturing Facility - Detailed Manufacturing  ElectricalEquipDef</v>
      </c>
      <c r="AA117" t="str">
        <f>'Space Types'!BA120</f>
        <v>NECB-A-Electric-Equipment</v>
      </c>
      <c r="AB117">
        <f>'Space Types'!BC120</f>
        <v>8.0729299999999995</v>
      </c>
      <c r="AC117">
        <f>'Space Types'!BD120</f>
        <v>0.37</v>
      </c>
      <c r="AD117">
        <f>'Space Types'!BE120</f>
        <v>0.2</v>
      </c>
      <c r="AE117" t="str">
        <f>'Space Types'!BI120</f>
        <v>IECC Table C405.3.2(2)Manufacturing facility - in a detailed manufacturing area; radiant/visible fraction split retained from original WA/COMNET-REV9 sourceLightingDef</v>
      </c>
      <c r="AF117" t="str">
        <f>'Space Types'!BJ120</f>
        <v>NECB-A-Lighting</v>
      </c>
      <c r="AG117" t="str">
        <f>'Space Types'!BM120</f>
        <v/>
      </c>
      <c r="AH117" t="str">
        <f>'Space Types'!BN120</f>
        <v/>
      </c>
      <c r="AI117" t="str">
        <f>'Space Types'!BO120</f>
        <v/>
      </c>
      <c r="AJ117" t="str">
        <f>'Space Types'!BP120</f>
        <v/>
      </c>
      <c r="AK117" t="str">
        <f>'Space Types'!BT120</f>
        <v/>
      </c>
      <c r="AL117" t="str">
        <f>'Space Types'!BU120</f>
        <v/>
      </c>
      <c r="AM117">
        <f>'Space Types'!BX120</f>
        <v>0</v>
      </c>
      <c r="AN117" t="str">
        <f>'Space Types'!CC120</f>
        <v>NCC S34C2(6)0.7 ACH assumed as design infiltration for periods without mechanical outdoor air supply; NCC also specifies 0.35 ACH when mechanical OA is operating (to be applied via infiltration schedule once developed)Space Function_Mfg - detailedInfil</v>
      </c>
      <c r="AO117" t="str">
        <f>'Space Types'!CD120</f>
        <v>Always On</v>
      </c>
      <c r="AP117">
        <f>'Space Types'!CG120</f>
        <v>0</v>
      </c>
      <c r="AQ117">
        <f>'Space Types'!CH120</f>
        <v>1.04</v>
      </c>
      <c r="AR117">
        <f>'Space Types'!CI120</f>
        <v>0</v>
      </c>
      <c r="AS117" t="str">
        <f>'Space Types'!CJ120</f>
        <v>MediumRough</v>
      </c>
      <c r="AT117">
        <f>'Space Types'!CK120</f>
        <v>1.1599999999999999E-2</v>
      </c>
      <c r="AU117">
        <f>'Space Types'!CL120</f>
        <v>40.35</v>
      </c>
      <c r="AV117">
        <f>'Space Types'!CM120</f>
        <v>6074</v>
      </c>
      <c r="AW117">
        <f>'Space Types'!CN120</f>
        <v>483</v>
      </c>
      <c r="AX117">
        <f>'Space Types'!CO120</f>
        <v>0.9</v>
      </c>
      <c r="AY117">
        <f>'Space Types'!CP120</f>
        <v>0.7</v>
      </c>
      <c r="AZ117">
        <f>'Space Types'!CQ120</f>
        <v>0.7</v>
      </c>
      <c r="BA117" t="str">
        <f>'Space Types'!CR120</f>
        <v>Mixed_Manufacturing_Detailed_12mm</v>
      </c>
      <c r="BB117" t="str">
        <f>'Space Types'!CW120</f>
        <v>CalculatedEstimateCNCMachineToolsAndWorkbenchesMixed_Manufacturing_Detailed_12mmInternalMassDef</v>
      </c>
    </row>
    <row r="118" spans="1:54" x14ac:dyDescent="0.35">
      <c r="A118" t="str">
        <f>'Space Types'!A121</f>
        <v xml:space="preserve">SS Manufacturing Facility - Equipment Room  </v>
      </c>
      <c r="B118" t="str">
        <f>'Space Types'!B121</f>
        <v>2025_AU_NCC</v>
      </c>
      <c r="C118" t="str">
        <f>'Space Types'!C121</f>
        <v>Manufacturing Facility</v>
      </c>
      <c r="D118" t="str">
        <f>'Space Types'!D121</f>
        <v>Equipment Room</v>
      </c>
      <c r="E118">
        <f>'Space Types'!I121</f>
        <v>41</v>
      </c>
      <c r="F118">
        <f>'Space Types'!J121</f>
        <v>31</v>
      </c>
      <c r="G118">
        <f>'Space Types'!K121</f>
        <v>175</v>
      </c>
      <c r="H118" t="str">
        <f>'Space Types'!L121</f>
        <v>SS Manufacturing Facility - Equipment Room  _2025AUNCC</v>
      </c>
      <c r="I118" t="str">
        <f>'Space Types'!M121</f>
        <v>SS Manufacturing Facility - Equipment Room  _2025AUNCCScheduleSet</v>
      </c>
      <c r="J118">
        <f>'Space Types'!P121</f>
        <v>7.5347405000000006E-2</v>
      </c>
      <c r="K118">
        <f>'Space Types'!U121</f>
        <v>0</v>
      </c>
      <c r="L118">
        <f>'Space Types'!V121</f>
        <v>0</v>
      </c>
      <c r="M118">
        <f>'Space Types'!W121</f>
        <v>130</v>
      </c>
      <c r="N118">
        <f>'Space Types'!X121</f>
        <v>0.57692307700000001</v>
      </c>
      <c r="O118" t="str">
        <f>'Space Types'!AC121</f>
        <v>NCC S35C2nOther applications (non-dining)PeopleDef</v>
      </c>
      <c r="P118" t="str">
        <f>'Space Types'!AD121</f>
        <v>NECB-A-Occupancy</v>
      </c>
      <c r="Q118" t="str">
        <f>'Space Types'!AE121</f>
        <v>SS Manufacturing Facility - Equipment Room  Activity</v>
      </c>
      <c r="R118" t="str">
        <f>'Space Types'!AG121</f>
        <v/>
      </c>
      <c r="S118" t="str">
        <f>'Space Types'!AI121</f>
        <v/>
      </c>
      <c r="T118">
        <f>'Space Types'!AL121</f>
        <v>6</v>
      </c>
      <c r="U118" t="str">
        <f>'Space Types'!AQ121</f>
        <v>Rule of ThumbRequires engineering analysis per Section 403.3.1.1Vent</v>
      </c>
      <c r="V118">
        <f>'Space Types'!AS121</f>
        <v>0</v>
      </c>
      <c r="W118">
        <f>'Space Types'!AT121</f>
        <v>0</v>
      </c>
      <c r="X118">
        <f>'Space Types'!AU121</f>
        <v>0.5</v>
      </c>
      <c r="Y118">
        <f>'Space Types'!AV121</f>
        <v>0</v>
      </c>
      <c r="Z118" t="str">
        <f>'Space Types'!AZ121</f>
        <v>NCC S35C2lPlant/equipment room (Other applications) - no equipment load per S35C2l; radiant/latent/lost fraction split retained from original WA/COMNET-REV9 source (AIRAH Technical Handbook does not publish this split)SS Manufacturing Facility - Equipment Room  ElectricalEquipDef</v>
      </c>
      <c r="AA118" t="str">
        <f>'Space Types'!BA121</f>
        <v>NECB-A-Electric-Equipment</v>
      </c>
      <c r="AB118">
        <f>'Space Types'!BC121</f>
        <v>2</v>
      </c>
      <c r="AC118">
        <f>'Space Types'!BD121</f>
        <v>0.37</v>
      </c>
      <c r="AD118">
        <f>'Space Types'!BE121</f>
        <v>0.2</v>
      </c>
      <c r="AE118" t="str">
        <f>'Space Types'!BI121</f>
        <v>NCC J7D3aPlant rooms with a horizontal illuminance target of 80 lx; radiant/visible fraction split retained from original WA/COMNET-REV9 source (AIRAH Technical Handbook does not publish this split)LightingDef</v>
      </c>
      <c r="AF118" t="str">
        <f>'Space Types'!BJ121</f>
        <v>NECB-A-Lighting</v>
      </c>
      <c r="AG118" t="str">
        <f>'Space Types'!BM121</f>
        <v/>
      </c>
      <c r="AH118" t="str">
        <f>'Space Types'!BN121</f>
        <v/>
      </c>
      <c r="AI118" t="str">
        <f>'Space Types'!BO121</f>
        <v/>
      </c>
      <c r="AJ118" t="str">
        <f>'Space Types'!BP121</f>
        <v/>
      </c>
      <c r="AK118" t="str">
        <f>'Space Types'!BT121</f>
        <v/>
      </c>
      <c r="AL118" t="str">
        <f>'Space Types'!BU121</f>
        <v/>
      </c>
      <c r="AM118">
        <f>'Space Types'!BX121</f>
        <v>0</v>
      </c>
      <c r="AN118" t="str">
        <f>'Space Types'!CC121</f>
        <v>NCC S34C2(6)0.7 ACH assumed as design infiltration for periods without mechanical outdoor air supply; NCC also specifies 0.35 ACH when mechanical OA is operating (to be applied via infiltration schedule once developed)Space Function_Mfg - equipmentInfil</v>
      </c>
      <c r="AO118" t="str">
        <f>'Space Types'!CD121</f>
        <v>Always On</v>
      </c>
      <c r="AP118">
        <f>'Space Types'!CG121</f>
        <v>0</v>
      </c>
      <c r="AQ118">
        <f>'Space Types'!CH121</f>
        <v>0.76</v>
      </c>
      <c r="AR118">
        <f>'Space Types'!CI121</f>
        <v>0</v>
      </c>
      <c r="AS118" t="str">
        <f>'Space Types'!CJ121</f>
        <v>MediumRough</v>
      </c>
      <c r="AT118">
        <f>'Space Types'!CK121</f>
        <v>6.8999999999999999E-3</v>
      </c>
      <c r="AU118">
        <f>'Space Types'!CL121</f>
        <v>40.549999999999997</v>
      </c>
      <c r="AV118">
        <f>'Space Types'!CM121</f>
        <v>4978</v>
      </c>
      <c r="AW118">
        <f>'Space Types'!CN121</f>
        <v>548</v>
      </c>
      <c r="AX118">
        <f>'Space Types'!CO121</f>
        <v>0.9</v>
      </c>
      <c r="AY118">
        <f>'Space Types'!CP121</f>
        <v>0.7</v>
      </c>
      <c r="AZ118">
        <f>'Space Types'!CQ121</f>
        <v>0.7</v>
      </c>
      <c r="BA118" t="str">
        <f>'Space Types'!CR121</f>
        <v>Mixed_Manufacturing_EquipRoom_7mm</v>
      </c>
      <c r="BB118" t="str">
        <f>'Space Types'!CW121</f>
        <v>CalculatedEstimateCompressorsHPUsAndElectricalPanelsMixed_Manufacturing_EquipRoom_7mmInternalMassDef</v>
      </c>
    </row>
    <row r="119" spans="1:54" x14ac:dyDescent="0.35">
      <c r="A119" t="str">
        <f>'Space Types'!A122</f>
        <v xml:space="preserve">SS Manufacturing Facility - Extra High Bay (&gt;50 ft Floor to Ceiling Height)  </v>
      </c>
      <c r="B119" t="str">
        <f>'Space Types'!B122</f>
        <v>2025_AU_NCC</v>
      </c>
      <c r="C119" t="str">
        <f>'Space Types'!C122</f>
        <v>Manufacturing Facility</v>
      </c>
      <c r="D119" t="str">
        <f>'Space Types'!D122</f>
        <v>Extra High Bay (&gt;50 ft Floor to Ceiling Height)</v>
      </c>
      <c r="E119">
        <f>'Space Types'!I122</f>
        <v>102</v>
      </c>
      <c r="F119">
        <f>'Space Types'!J122</f>
        <v>0</v>
      </c>
      <c r="G119">
        <f>'Space Types'!K122</f>
        <v>204</v>
      </c>
      <c r="H119" t="str">
        <f>'Space Types'!L122</f>
        <v>SS Manufacturing Facility - Extra High Bay (&gt;50 ft Floor to Ceiling Height)  _2025AUNCC</v>
      </c>
      <c r="I119" t="str">
        <f>'Space Types'!M122</f>
        <v>SS Manufacturing Facility - Extra High Bay (&gt;50 ft Floor to Ceiling Height)  _2025AUNCCScheduleSet</v>
      </c>
      <c r="J119">
        <f>'Space Types'!P122</f>
        <v>7.5347405000000006E-2</v>
      </c>
      <c r="K119">
        <f>'Space Types'!U122</f>
        <v>0</v>
      </c>
      <c r="L119">
        <f>'Space Types'!V122</f>
        <v>0</v>
      </c>
      <c r="M119">
        <f>'Space Types'!W122</f>
        <v>130</v>
      </c>
      <c r="N119">
        <f>'Space Types'!X122</f>
        <v>0.57692307700000001</v>
      </c>
      <c r="O119" t="str">
        <f>'Space Types'!AC122</f>
        <v>NCC S35C2nOther applications (non-dining)PeopleDef</v>
      </c>
      <c r="P119" t="str">
        <f>'Space Types'!AD122</f>
        <v>NECB-A-Occupancy</v>
      </c>
      <c r="Q119" t="str">
        <f>'Space Types'!AE122</f>
        <v>SS Manufacturing Facility - Extra High Bay (&gt;50 ft Floor to Ceiling Height)  Activity</v>
      </c>
      <c r="R119" t="str">
        <f>'Space Types'!AG122</f>
        <v/>
      </c>
      <c r="S119" t="str">
        <f>'Space Types'!AI122</f>
        <v/>
      </c>
      <c r="T119">
        <f>'Space Types'!AL122</f>
        <v>0.09</v>
      </c>
      <c r="U119" t="str">
        <f>'Space Types'!AQ122</f>
        <v>ASHRAE 62.1-2019Miscellaneous Spaces - Manufacturing where hazardous materials are not usedACHVent</v>
      </c>
      <c r="V119">
        <f>'Space Types'!AS122</f>
        <v>0</v>
      </c>
      <c r="W119">
        <f>'Space Types'!AT122</f>
        <v>0.1</v>
      </c>
      <c r="X119">
        <f>'Space Types'!AU122</f>
        <v>0.5</v>
      </c>
      <c r="Y119">
        <f>'Space Types'!AV122</f>
        <v>0.1</v>
      </c>
      <c r="Z119" t="str">
        <f>'Space Types'!AZ122</f>
        <v>NCC S35C2lClass 8 (Other applications) - no equipment load per S35C2l; radiant/latent/lost fraction split retained from original WA/COMNET-REV9 source (AIRAH Technical Handbook does not publish this split)SS Manufacturing Facility - Extra High Bay (&gt;50 ft Floor to Ceiling Height)  ElectricalEquipDef</v>
      </c>
      <c r="AA119" t="str">
        <f>'Space Types'!BA122</f>
        <v>NECB-A-Electric-Equipment</v>
      </c>
      <c r="AB119">
        <f>'Space Types'!BC122</f>
        <v>14.638920000000001</v>
      </c>
      <c r="AC119">
        <f>'Space Types'!BD122</f>
        <v>0.37</v>
      </c>
      <c r="AD119">
        <f>'Space Types'!BE122</f>
        <v>0.2</v>
      </c>
      <c r="AE119" t="str">
        <f>'Space Types'!BI122</f>
        <v>IECC Table C405.3.2(2)Manufacturing facility - in an extra-high-bay area (greater than 50 feet floor-to-ceiling height); radiant/visible fraction split retained from original WA/COMNET-REV9 sourceLightingDef</v>
      </c>
      <c r="AF119" t="str">
        <f>'Space Types'!BJ122</f>
        <v>NECB-A-Lighting</v>
      </c>
      <c r="AG119" t="str">
        <f>'Space Types'!BM122</f>
        <v/>
      </c>
      <c r="AH119" t="str">
        <f>'Space Types'!BN122</f>
        <v/>
      </c>
      <c r="AI119" t="str">
        <f>'Space Types'!BO122</f>
        <v/>
      </c>
      <c r="AJ119" t="str">
        <f>'Space Types'!BP122</f>
        <v/>
      </c>
      <c r="AK119" t="str">
        <f>'Space Types'!BT122</f>
        <v/>
      </c>
      <c r="AL119" t="str">
        <f>'Space Types'!BU122</f>
        <v/>
      </c>
      <c r="AM119">
        <f>'Space Types'!BX122</f>
        <v>0</v>
      </c>
      <c r="AN119" t="str">
        <f>'Space Types'!CC122</f>
        <v>NCC S34C2(6)0.7 ACH assumed as design infiltration for periods without mechanical outdoor air supply; NCC also specifies 0.35 ACH when mechanical OA is operating (to be applied via infiltration schedule once developed)Space Function_Mfg - bay H &gt; 15mInfil</v>
      </c>
      <c r="AO119" t="str">
        <f>'Space Types'!CD122</f>
        <v>Always On</v>
      </c>
      <c r="AP119">
        <f>'Space Types'!CG122</f>
        <v>0</v>
      </c>
      <c r="AQ119">
        <f>'Space Types'!CH122</f>
        <v>0.67</v>
      </c>
      <c r="AR119">
        <f>'Space Types'!CI122</f>
        <v>0</v>
      </c>
      <c r="AS119" t="str">
        <f>'Space Types'!CJ122</f>
        <v>MediumRough</v>
      </c>
      <c r="AT119">
        <f>'Space Types'!CK122</f>
        <v>2.9000000000000001E-2</v>
      </c>
      <c r="AU119">
        <f>'Space Types'!CL122</f>
        <v>48.41</v>
      </c>
      <c r="AV119">
        <f>'Space Types'!CM122</f>
        <v>7474</v>
      </c>
      <c r="AW119">
        <f>'Space Types'!CN122</f>
        <v>463</v>
      </c>
      <c r="AX119">
        <f>'Space Types'!CO122</f>
        <v>0.9</v>
      </c>
      <c r="AY119">
        <f>'Space Types'!CP122</f>
        <v>0.7</v>
      </c>
      <c r="AZ119">
        <f>'Space Types'!CQ122</f>
        <v>0.7</v>
      </c>
      <c r="BA119" t="str">
        <f>'Space Types'!CR122</f>
        <v>Mixed_Manufacturing_ExtraHighBay_29mm</v>
      </c>
      <c r="BB119" t="str">
        <f>'Space Types'!CW122</f>
        <v>CalculatedEstimateOverheadCranesAndHeavyPressesMixed_Manufacturing_ExtraHighBay_29mmInternalMassDef</v>
      </c>
    </row>
    <row r="120" spans="1:54" x14ac:dyDescent="0.35">
      <c r="A120" t="str">
        <f>'Space Types'!A123</f>
        <v xml:space="preserve">SS Manufacturing Facility - High Bay  (25–50 ft Floor to Ceiling  Height)  </v>
      </c>
      <c r="B120" t="str">
        <f>'Space Types'!B123</f>
        <v>2025_AU_NCC</v>
      </c>
      <c r="C120" t="str">
        <f>'Space Types'!C123</f>
        <v>Manufacturing Facility</v>
      </c>
      <c r="D120" t="str">
        <f>'Space Types'!D123</f>
        <v>High Bay  (25–50 ft Floor to Ceiling  Height)</v>
      </c>
      <c r="E120">
        <f>'Space Types'!I123</f>
        <v>216</v>
      </c>
      <c r="F120">
        <f>'Space Types'!J123</f>
        <v>191</v>
      </c>
      <c r="G120">
        <f>'Space Types'!K123</f>
        <v>216</v>
      </c>
      <c r="H120" t="str">
        <f>'Space Types'!L123</f>
        <v>SS Manufacturing Facility - High Bay  (25–50 ft Floor to Ceiling  Height)  _2025AUNCC</v>
      </c>
      <c r="I120" t="str">
        <f>'Space Types'!M123</f>
        <v>SS Manufacturing Facility - High Bay  (25–50 ft Floor to Ceiling  Height)  _2025AUNCCScheduleSet</v>
      </c>
      <c r="J120">
        <f>'Space Types'!P123</f>
        <v>7.5347405000000006E-2</v>
      </c>
      <c r="K120">
        <f>'Space Types'!U123</f>
        <v>0</v>
      </c>
      <c r="L120">
        <f>'Space Types'!V123</f>
        <v>0</v>
      </c>
      <c r="M120">
        <f>'Space Types'!W123</f>
        <v>130</v>
      </c>
      <c r="N120">
        <f>'Space Types'!X123</f>
        <v>0.57692307700000001</v>
      </c>
      <c r="O120" t="str">
        <f>'Space Types'!AC123</f>
        <v>NCC S35C2nOther applications (non-dining)PeopleDef</v>
      </c>
      <c r="P120" t="str">
        <f>'Space Types'!AD123</f>
        <v>NECB-A-Occupancy</v>
      </c>
      <c r="Q120" t="str">
        <f>'Space Types'!AE123</f>
        <v>SS Manufacturing Facility - High Bay  (25–50 ft Floor to Ceiling  Height)  Activity</v>
      </c>
      <c r="R120" t="str">
        <f>'Space Types'!AG123</f>
        <v/>
      </c>
      <c r="S120" t="str">
        <f>'Space Types'!AI123</f>
        <v/>
      </c>
      <c r="T120">
        <f>'Space Types'!AL123</f>
        <v>0.09</v>
      </c>
      <c r="U120" t="str">
        <f>'Space Types'!AQ123</f>
        <v>ASHRAE 62.1-2019Miscellaneous Spaces - Manufacturing where hazardous materials are not usedACHVent</v>
      </c>
      <c r="V120">
        <f>'Space Types'!AS123</f>
        <v>0</v>
      </c>
      <c r="W120">
        <f>'Space Types'!AT123</f>
        <v>0.1</v>
      </c>
      <c r="X120">
        <f>'Space Types'!AU123</f>
        <v>0.5</v>
      </c>
      <c r="Y120">
        <f>'Space Types'!AV123</f>
        <v>0.1</v>
      </c>
      <c r="Z120" t="str">
        <f>'Space Types'!AZ123</f>
        <v>NCC S35C2lClass 8 (Other applications) - no equipment load per S35C2l; radiant/latent/lost fraction split retained from original WA/COMNET-REV9 source (AIRAH Technical Handbook does not publish this split)SS Manufacturing Facility - High Bay  (25–50 ft Floor to Ceiling  Height)  ElectricalEquipDef</v>
      </c>
      <c r="AA120" t="str">
        <f>'Space Types'!BA123</f>
        <v>NECB-A-Electric-Equipment</v>
      </c>
      <c r="AB120">
        <f>'Space Types'!BC123</f>
        <v>13.347250000000001</v>
      </c>
      <c r="AC120">
        <f>'Space Types'!BD123</f>
        <v>0.37</v>
      </c>
      <c r="AD120">
        <f>'Space Types'!BE123</f>
        <v>0.2</v>
      </c>
      <c r="AE120" t="str">
        <f>'Space Types'!BI123</f>
        <v>IECC Table C405.3.2(2)Manufacturing facility - in a high-bay area (25-50 feet floor-to-ceiling height); radiant/visible fraction split retained from original WA/COMNET-REV9 sourceLightingDef</v>
      </c>
      <c r="AF120" t="str">
        <f>'Space Types'!BJ123</f>
        <v>NECB-A-Lighting</v>
      </c>
      <c r="AG120" t="str">
        <f>'Space Types'!BM123</f>
        <v/>
      </c>
      <c r="AH120" t="str">
        <f>'Space Types'!BN123</f>
        <v/>
      </c>
      <c r="AI120" t="str">
        <f>'Space Types'!BO123</f>
        <v/>
      </c>
      <c r="AJ120" t="str">
        <f>'Space Types'!BP123</f>
        <v/>
      </c>
      <c r="AK120" t="str">
        <f>'Space Types'!BT123</f>
        <v/>
      </c>
      <c r="AL120" t="str">
        <f>'Space Types'!BU123</f>
        <v/>
      </c>
      <c r="AM120">
        <f>'Space Types'!BX123</f>
        <v>0</v>
      </c>
      <c r="AN120" t="str">
        <f>'Space Types'!CC123</f>
        <v>NCC S34C2(6)0.7 ACH assumed as design infiltration for periods without mechanical outdoor air supply; NCC also specifies 0.35 ACH when mechanical OA is operating (to be applied via infiltration schedule once developed)Space Function_Mfg - 7.5 &lt;= bay H &lt;= 15mInfil</v>
      </c>
      <c r="AO120" t="str">
        <f>'Space Types'!CD123</f>
        <v>Always On</v>
      </c>
      <c r="AP120">
        <f>'Space Types'!CG123</f>
        <v>0</v>
      </c>
      <c r="AQ120">
        <f>'Space Types'!CH123</f>
        <v>0.93</v>
      </c>
      <c r="AR120">
        <f>'Space Types'!CI123</f>
        <v>0</v>
      </c>
      <c r="AS120" t="str">
        <f>'Space Types'!CJ123</f>
        <v>MediumRough</v>
      </c>
      <c r="AT120">
        <f>'Space Types'!CK123</f>
        <v>1.5800000000000002E-2</v>
      </c>
      <c r="AU120">
        <f>'Space Types'!CL123</f>
        <v>35.21</v>
      </c>
      <c r="AV120">
        <f>'Space Types'!CM123</f>
        <v>6079</v>
      </c>
      <c r="AW120">
        <f>'Space Types'!CN123</f>
        <v>611</v>
      </c>
      <c r="AX120">
        <f>'Space Types'!CO123</f>
        <v>0.9</v>
      </c>
      <c r="AY120">
        <f>'Space Types'!CP123</f>
        <v>0.7</v>
      </c>
      <c r="AZ120">
        <f>'Space Types'!CQ123</f>
        <v>0.7</v>
      </c>
      <c r="BA120" t="str">
        <f>'Space Types'!CR123</f>
        <v>Mixed_Manufacturing_HighBay_16mm</v>
      </c>
      <c r="BB120" t="str">
        <f>'Space Types'!CW123</f>
        <v>CalculatedEstimateCranesCuttingTablesAndStorageRacksMixed_Manufacturing_HighBay_16mmInternalMassDef</v>
      </c>
    </row>
    <row r="121" spans="1:54" x14ac:dyDescent="0.35">
      <c r="A121" t="str">
        <f>'Space Types'!A124</f>
        <v xml:space="preserve">SS Manufacturing Facility - Low Bay (&lt;25 ft Floor to Ceiling Height)  </v>
      </c>
      <c r="B121" t="str">
        <f>'Space Types'!B124</f>
        <v>2025_AU_NCC</v>
      </c>
      <c r="C121" t="str">
        <f>'Space Types'!C124</f>
        <v>Manufacturing Facility</v>
      </c>
      <c r="D121" t="str">
        <f>'Space Types'!D124</f>
        <v>Low Bay (&lt;25 ft Floor to Ceiling Height)</v>
      </c>
      <c r="E121">
        <f>'Space Types'!I124</f>
        <v>221</v>
      </c>
      <c r="F121">
        <f>'Space Types'!J124</f>
        <v>160</v>
      </c>
      <c r="G121">
        <f>'Space Types'!K124</f>
        <v>221</v>
      </c>
      <c r="H121" t="str">
        <f>'Space Types'!L124</f>
        <v>SS Manufacturing Facility - Low Bay (&lt;25 ft Floor to Ceiling Height)  _2025AUNCC</v>
      </c>
      <c r="I121" t="str">
        <f>'Space Types'!M124</f>
        <v>SS Manufacturing Facility - Low Bay (&lt;25 ft Floor to Ceiling Height)  _2025AUNCCScheduleSet</v>
      </c>
      <c r="J121">
        <f>'Space Types'!P124</f>
        <v>7.5347405000000006E-2</v>
      </c>
      <c r="K121">
        <f>'Space Types'!U124</f>
        <v>0</v>
      </c>
      <c r="L121">
        <f>'Space Types'!V124</f>
        <v>0</v>
      </c>
      <c r="M121">
        <f>'Space Types'!W124</f>
        <v>130</v>
      </c>
      <c r="N121">
        <f>'Space Types'!X124</f>
        <v>0.57692307700000001</v>
      </c>
      <c r="O121" t="str">
        <f>'Space Types'!AC124</f>
        <v>NCC S35C2nOther applications (non-dining)PeopleDef</v>
      </c>
      <c r="P121" t="str">
        <f>'Space Types'!AD124</f>
        <v>NECB-A-Occupancy</v>
      </c>
      <c r="Q121" t="str">
        <f>'Space Types'!AE124</f>
        <v>SS Manufacturing Facility - Low Bay (&lt;25 ft Floor to Ceiling Height)  Activity</v>
      </c>
      <c r="R121" t="str">
        <f>'Space Types'!AG124</f>
        <v/>
      </c>
      <c r="S121" t="str">
        <f>'Space Types'!AI124</f>
        <v/>
      </c>
      <c r="T121">
        <f>'Space Types'!AL124</f>
        <v>0.09</v>
      </c>
      <c r="U121" t="str">
        <f>'Space Types'!AQ124</f>
        <v>ASHRAE 62.1-2019Miscellaneous Spaces - Manufacturing where hazardous materials are not usedACHVent</v>
      </c>
      <c r="V121">
        <f>'Space Types'!AS124</f>
        <v>0</v>
      </c>
      <c r="W121">
        <f>'Space Types'!AT124</f>
        <v>0.1</v>
      </c>
      <c r="X121">
        <f>'Space Types'!AU124</f>
        <v>0.5</v>
      </c>
      <c r="Y121">
        <f>'Space Types'!AV124</f>
        <v>0.1</v>
      </c>
      <c r="Z121" t="str">
        <f>'Space Types'!AZ124</f>
        <v>NCC S35C2lClass 8 (Other applications) - no equipment load per S35C2l; radiant/latent/lost fraction split retained from original WA/COMNET-REV9 source (AIRAH Technical Handbook does not publish this split)SS Manufacturing Facility - Low Bay (&lt;25 ft Floor to Ceiling Height)  ElectricalEquipDef</v>
      </c>
      <c r="AA121" t="str">
        <f>'Space Types'!BA124</f>
        <v>NECB-A-Electric-Equipment</v>
      </c>
      <c r="AB121">
        <f>'Space Types'!BC124</f>
        <v>9.2569599999999994</v>
      </c>
      <c r="AC121">
        <f>'Space Types'!BD124</f>
        <v>0.37</v>
      </c>
      <c r="AD121">
        <f>'Space Types'!BE124</f>
        <v>0.2</v>
      </c>
      <c r="AE121" t="str">
        <f>'Space Types'!BI124</f>
        <v>IECC Table C405.3.2(2)Manufacturing facility - in a low-bay area (less than 25 feet floor-to-ceiling height); radiant/visible fraction split retained from original WA/COMNET-REV9 sourceLightingDef</v>
      </c>
      <c r="AF121" t="str">
        <f>'Space Types'!BJ124</f>
        <v>NECB-A-Lighting</v>
      </c>
      <c r="AG121" t="str">
        <f>'Space Types'!BM124</f>
        <v/>
      </c>
      <c r="AH121" t="str">
        <f>'Space Types'!BN124</f>
        <v/>
      </c>
      <c r="AI121" t="str">
        <f>'Space Types'!BO124</f>
        <v/>
      </c>
      <c r="AJ121" t="str">
        <f>'Space Types'!BP124</f>
        <v/>
      </c>
      <c r="AK121" t="str">
        <f>'Space Types'!BT124</f>
        <v/>
      </c>
      <c r="AL121" t="str">
        <f>'Space Types'!BU124</f>
        <v/>
      </c>
      <c r="AM121">
        <f>'Space Types'!BX124</f>
        <v>0</v>
      </c>
      <c r="AN121" t="str">
        <f>'Space Types'!CC124</f>
        <v>NCC S34C2(6)0.7 ACH assumed as design infiltration for periods without mechanical outdoor air supply; NCC also specifies 0.35 ACH when mechanical OA is operating (to be applied via infiltration schedule once developed)Space Function_Mfg - bay H &lt; 7.5mInfil</v>
      </c>
      <c r="AO121" t="str">
        <f>'Space Types'!CD124</f>
        <v>Always On</v>
      </c>
      <c r="AP121">
        <f>'Space Types'!CG124</f>
        <v>0</v>
      </c>
      <c r="AQ121">
        <f>'Space Types'!CH124</f>
        <v>1.21</v>
      </c>
      <c r="AR121">
        <f>'Space Types'!CI124</f>
        <v>0</v>
      </c>
      <c r="AS121" t="str">
        <f>'Space Types'!CJ124</f>
        <v>MediumRough</v>
      </c>
      <c r="AT121">
        <f>'Space Types'!CK124</f>
        <v>1.21E-2</v>
      </c>
      <c r="AU121">
        <f>'Space Types'!CL124</f>
        <v>41.22</v>
      </c>
      <c r="AV121">
        <f>'Space Types'!CM124</f>
        <v>5929</v>
      </c>
      <c r="AW121">
        <f>'Space Types'!CN124</f>
        <v>485</v>
      </c>
      <c r="AX121">
        <f>'Space Types'!CO124</f>
        <v>0.9</v>
      </c>
      <c r="AY121">
        <f>'Space Types'!CP124</f>
        <v>0.7</v>
      </c>
      <c r="AZ121">
        <f>'Space Types'!CQ124</f>
        <v>0.7</v>
      </c>
      <c r="BA121" t="str">
        <f>'Space Types'!CR124</f>
        <v>Mixed_Manufacturing_LowBay_12mm</v>
      </c>
      <c r="BB121" t="str">
        <f>'Space Types'!CW124</f>
        <v>CalculatedEstimateStampingPressesAndInjectionMoldersMixed_Manufacturing_LowBay_12mmInternalMassDef</v>
      </c>
    </row>
    <row r="122" spans="1:54" x14ac:dyDescent="0.35">
      <c r="A122" t="str">
        <f>'Space Types'!A125</f>
        <v xml:space="preserve">SS Museum - General Exhibition  </v>
      </c>
      <c r="B122" t="str">
        <f>'Space Types'!B125</f>
        <v>2025_AU_NCC</v>
      </c>
      <c r="C122" t="str">
        <f>'Space Types'!C125</f>
        <v>Museum</v>
      </c>
      <c r="D122" t="str">
        <f>'Space Types'!D125</f>
        <v>General Exhibition</v>
      </c>
      <c r="E122">
        <f>'Space Types'!I125</f>
        <v>204</v>
      </c>
      <c r="F122">
        <f>'Space Types'!J125</f>
        <v>204</v>
      </c>
      <c r="G122">
        <f>'Space Types'!K125</f>
        <v>0</v>
      </c>
      <c r="H122" t="str">
        <f>'Space Types'!L125</f>
        <v>SS Museum - General Exhibition  _2025AUNCC</v>
      </c>
      <c r="I122" t="str">
        <f>'Space Types'!M125</f>
        <v>SS Museum - General Exhibition  _2025AUNCCScheduleSet</v>
      </c>
      <c r="J122">
        <f>'Space Types'!P125</f>
        <v>0.43055660200000001</v>
      </c>
      <c r="K122">
        <f>'Space Types'!U125</f>
        <v>0</v>
      </c>
      <c r="L122">
        <f>'Space Types'!V125</f>
        <v>0</v>
      </c>
      <c r="M122">
        <f>'Space Types'!W125</f>
        <v>130</v>
      </c>
      <c r="N122">
        <f>'Space Types'!X125</f>
        <v>0.57692307700000001</v>
      </c>
      <c r="O122" t="str">
        <f>'Space Types'!AC125</f>
        <v>NCC S35C2nOther applications (non-dining)PeopleDef</v>
      </c>
      <c r="P122" t="str">
        <f>'Space Types'!AD125</f>
        <v>NECB-C-Occupancy</v>
      </c>
      <c r="Q122" t="str">
        <f>'Space Types'!AE125</f>
        <v>SS Museum - General Exhibition  Activity</v>
      </c>
      <c r="R122">
        <f>'Space Types'!AG125</f>
        <v>3.5394053798961773E-3</v>
      </c>
      <c r="S122">
        <f>'Space Types'!AI125</f>
        <v>3.0479999999999998E-4</v>
      </c>
      <c r="T122" t="str">
        <f>'Space Types'!AL125</f>
        <v/>
      </c>
      <c r="U122" t="str">
        <f>'Space Types'!AQ125</f>
        <v>Washington State Mechanical Code TABLE 403.3.1.1Public spaces - Museums/galleriesVent</v>
      </c>
      <c r="V122">
        <f>'Space Types'!AS125</f>
        <v>0</v>
      </c>
      <c r="W122">
        <f>'Space Types'!AT125</f>
        <v>0</v>
      </c>
      <c r="X122">
        <f>'Space Types'!AU125</f>
        <v>0.5</v>
      </c>
      <c r="Y122">
        <f>'Space Types'!AV125</f>
        <v>0</v>
      </c>
      <c r="Z122" t="str">
        <f>'Space Types'!AZ125</f>
        <v>NCC S35C2lClass 9b (Other applications) - no equipment load per S35C2l; radiant/latent/lost fraction split retained from original WA/COMNET-REV9 source (AIRAH Technical Handbook does not publish this split)SS Museum - General Exhibition  ElectricalEquipDef</v>
      </c>
      <c r="AA122" t="str">
        <f>'Space Types'!BA125</f>
        <v>NECB-C-Electric-Equipment</v>
      </c>
      <c r="AB122">
        <f>'Space Types'!BC125</f>
        <v>3.3368099999999998</v>
      </c>
      <c r="AC122">
        <f>'Space Types'!BD125</f>
        <v>0.37</v>
      </c>
      <c r="AD122">
        <f>'Space Types'!BE125</f>
        <v>0.2</v>
      </c>
      <c r="AE122" t="str">
        <f>'Space Types'!BI125</f>
        <v>IECC Table C405.3.2(2)Museum - in a general exhibition area; radiant/visible fraction split retained from original WA/COMNET-REV9 sourceLightingDef</v>
      </c>
      <c r="AF122" t="str">
        <f>'Space Types'!BJ125</f>
        <v>NECB-C-Lighting</v>
      </c>
      <c r="AG122" t="str">
        <f>'Space Types'!BM125</f>
        <v/>
      </c>
      <c r="AH122" t="str">
        <f>'Space Types'!BN125</f>
        <v/>
      </c>
      <c r="AI122" t="str">
        <f>'Space Types'!BO125</f>
        <v/>
      </c>
      <c r="AJ122" t="str">
        <f>'Space Types'!BP125</f>
        <v/>
      </c>
      <c r="AK122" t="str">
        <f>'Space Types'!BT125</f>
        <v/>
      </c>
      <c r="AL122" t="str">
        <f>'Space Types'!BU125</f>
        <v/>
      </c>
      <c r="AM122">
        <f>'Space Types'!BX125</f>
        <v>0</v>
      </c>
      <c r="AN122" t="str">
        <f>'Space Types'!CC125</f>
        <v>NCC S34C2(6)0.7 ACH assumed as design infiltration for periods without mechanical outdoor air supply; NCC also specifies 0.35 ACH when mechanical OA is operating (to be applied via infiltration schedule once developed)Space Function_Museum - exhibitionInfil</v>
      </c>
      <c r="AO122" t="str">
        <f>'Space Types'!CD125</f>
        <v>Always On</v>
      </c>
      <c r="AP122">
        <f>'Space Types'!CG125</f>
        <v>0</v>
      </c>
      <c r="AQ122">
        <f>'Space Types'!CH125</f>
        <v>1.18</v>
      </c>
      <c r="AR122">
        <f>'Space Types'!CI125</f>
        <v>0</v>
      </c>
      <c r="AS122" t="str">
        <f>'Space Types'!CJ125</f>
        <v>MediumRough</v>
      </c>
      <c r="AT122">
        <f>'Space Types'!CK125</f>
        <v>1.3299999999999999E-2</v>
      </c>
      <c r="AU122">
        <f>'Space Types'!CL125</f>
        <v>5.26</v>
      </c>
      <c r="AV122">
        <f>'Space Types'!CM125</f>
        <v>846</v>
      </c>
      <c r="AW122">
        <f>'Space Types'!CN125</f>
        <v>1136</v>
      </c>
      <c r="AX122">
        <f>'Space Types'!CO125</f>
        <v>0.9</v>
      </c>
      <c r="AY122">
        <f>'Space Types'!CP125</f>
        <v>0.7</v>
      </c>
      <c r="AZ122">
        <f>'Space Types'!CQ125</f>
        <v>0.7</v>
      </c>
      <c r="BA122" t="str">
        <f>'Space Types'!CR125</f>
        <v>Mixed_Museum_Exhibition_13mm</v>
      </c>
      <c r="BB122" t="str">
        <f>'Space Types'!CW125</f>
        <v>CalculatedEstimateDisplayCasesAndPedestalsMixed_Museum_Exhibition_13mmInternalMassDef</v>
      </c>
    </row>
    <row r="123" spans="1:54" x14ac:dyDescent="0.35">
      <c r="A123" t="str">
        <f>'Space Types'!A126</f>
        <v xml:space="preserve">SS Museum - Restoration  </v>
      </c>
      <c r="B123" t="str">
        <f>'Space Types'!B126</f>
        <v>2025_AU_NCC</v>
      </c>
      <c r="C123" t="str">
        <f>'Space Types'!C126</f>
        <v>Museum</v>
      </c>
      <c r="D123" t="str">
        <f>'Space Types'!D126</f>
        <v>Restoration</v>
      </c>
      <c r="E123">
        <f>'Space Types'!I126</f>
        <v>160</v>
      </c>
      <c r="F123">
        <f>'Space Types'!J126</f>
        <v>160</v>
      </c>
      <c r="G123">
        <f>'Space Types'!K126</f>
        <v>160</v>
      </c>
      <c r="H123" t="str">
        <f>'Space Types'!L126</f>
        <v>SS Museum - Restoration  _2025AUNCC</v>
      </c>
      <c r="I123" t="str">
        <f>'Space Types'!M126</f>
        <v>SS Museum - Restoration  _2025AUNCCScheduleSet</v>
      </c>
      <c r="J123">
        <f>'Space Types'!P126</f>
        <v>0.43055660200000001</v>
      </c>
      <c r="K123">
        <f>'Space Types'!U126</f>
        <v>0</v>
      </c>
      <c r="L123">
        <f>'Space Types'!V126</f>
        <v>0</v>
      </c>
      <c r="M123">
        <f>'Space Types'!W126</f>
        <v>130</v>
      </c>
      <c r="N123">
        <f>'Space Types'!X126</f>
        <v>0.57692307700000001</v>
      </c>
      <c r="O123" t="str">
        <f>'Space Types'!AC126</f>
        <v>NCC S35C2nOther applications (non-dining)PeopleDef</v>
      </c>
      <c r="P123" t="str">
        <f>'Space Types'!AD126</f>
        <v>NECB-A-Occupancy</v>
      </c>
      <c r="Q123" t="str">
        <f>'Space Types'!AE126</f>
        <v>SS Museum - Restoration  Activity</v>
      </c>
      <c r="R123">
        <f>'Space Types'!AG126</f>
        <v>3.5394053798961773E-3</v>
      </c>
      <c r="S123">
        <f>'Space Types'!AI126</f>
        <v>6.0959999999999996E-4</v>
      </c>
      <c r="T123" t="str">
        <f>'Space Types'!AL126</f>
        <v/>
      </c>
      <c r="U123" t="str">
        <f>'Space Types'!AQ126</f>
        <v>ASHRAE 62.1-2019Public Assembly Spaces - Museums (children’s)Vent</v>
      </c>
      <c r="V123">
        <f>'Space Types'!AS126</f>
        <v>15</v>
      </c>
      <c r="W123">
        <f>'Space Types'!AT126</f>
        <v>0</v>
      </c>
      <c r="X123">
        <f>'Space Types'!AU126</f>
        <v>0.5</v>
      </c>
      <c r="Y123">
        <f>'Space Types'!AV126</f>
        <v>0</v>
      </c>
      <c r="Z123" t="str">
        <f>'Space Types'!AZ126</f>
        <v>NCC S35C2lClass 8 laboratory (conservation/restoration workshop treated as lab); radiant/latent/lost fraction split retained from original WA/COMNET-REV9 source (AIRAH Technical Handbook does not publish this split)SS Museum - Restoration  ElectricalEquipDef</v>
      </c>
      <c r="AA123" t="str">
        <f>'Space Types'!BA126</f>
        <v>NECB-A-Electric-Equipment</v>
      </c>
      <c r="AB123">
        <f>'Space Types'!BC126</f>
        <v>6</v>
      </c>
      <c r="AC123">
        <f>'Space Types'!BD126</f>
        <v>0.37</v>
      </c>
      <c r="AD123">
        <f>'Space Types'!BE126</f>
        <v>0.2</v>
      </c>
      <c r="AE123" t="str">
        <f>'Space Types'!BI126</f>
        <v>NCC J7D3aLaboratory - artificially lit to an ambient level of 400 lx or more; radiant/visible fraction split retained from original WA/COMNET-REV9 source (AIRAH Technical Handbook does not publish this split)LightingDef</v>
      </c>
      <c r="AF123" t="str">
        <f>'Space Types'!BJ126</f>
        <v>NECB-A-Lighting</v>
      </c>
      <c r="AG123" t="str">
        <f>'Space Types'!BM126</f>
        <v/>
      </c>
      <c r="AH123" t="str">
        <f>'Space Types'!BN126</f>
        <v/>
      </c>
      <c r="AI123" t="str">
        <f>'Space Types'!BO126</f>
        <v/>
      </c>
      <c r="AJ123" t="str">
        <f>'Space Types'!BP126</f>
        <v/>
      </c>
      <c r="AK123" t="str">
        <f>'Space Types'!BT126</f>
        <v/>
      </c>
      <c r="AL123" t="str">
        <f>'Space Types'!BU126</f>
        <v/>
      </c>
      <c r="AM123">
        <f>'Space Types'!BX126</f>
        <v>0</v>
      </c>
      <c r="AN123" t="str">
        <f>'Space Types'!CC126</f>
        <v>NCC S34C2(6)0.7 ACH assumed as design infiltration for periods without mechanical outdoor air supply; NCC also specifies 0.35 ACH when mechanical OA is operating (to be applied via infiltration schedule once developed)Space Function_Museum - restorationInfil</v>
      </c>
      <c r="AO123" t="str">
        <f>'Space Types'!CD126</f>
        <v>Always On</v>
      </c>
      <c r="AP123">
        <f>'Space Types'!CG126</f>
        <v>0</v>
      </c>
      <c r="AQ123">
        <f>'Space Types'!CH126</f>
        <v>1.65</v>
      </c>
      <c r="AR123">
        <f>'Space Types'!CI126</f>
        <v>0</v>
      </c>
      <c r="AS123" t="str">
        <f>'Space Types'!CJ126</f>
        <v>MediumRough</v>
      </c>
      <c r="AT123">
        <f>'Space Types'!CK126</f>
        <v>5.7999999999999996E-3</v>
      </c>
      <c r="AU123">
        <f>'Space Types'!CL126</f>
        <v>12.26</v>
      </c>
      <c r="AV123">
        <f>'Space Types'!CM126</f>
        <v>2395</v>
      </c>
      <c r="AW123">
        <f>'Space Types'!CN126</f>
        <v>642</v>
      </c>
      <c r="AX123">
        <f>'Space Types'!CO126</f>
        <v>0.9</v>
      </c>
      <c r="AY123">
        <f>'Space Types'!CP126</f>
        <v>0.6</v>
      </c>
      <c r="AZ123">
        <f>'Space Types'!CQ126</f>
        <v>0.6</v>
      </c>
      <c r="BA123" t="str">
        <f>'Space Types'!CR126</f>
        <v>Mixed_Museum_Restoration_6mm</v>
      </c>
      <c r="BB123" t="str">
        <f>'Space Types'!CW126</f>
        <v>CalculatedEstimateSteelCaseworkHoodsAndHardwoodBenchesMixed_Museum_Restoration_6mmInternalMassDef</v>
      </c>
    </row>
    <row r="124" spans="1:54" x14ac:dyDescent="0.35">
      <c r="A124" t="str">
        <f>'Space Types'!A127</f>
        <v xml:space="preserve">SS Post Office - Sorting Area  </v>
      </c>
      <c r="B124" t="str">
        <f>'Space Types'!B127</f>
        <v>2025_AU_NCC</v>
      </c>
      <c r="C124" t="str">
        <f>'Space Types'!C127</f>
        <v>Post Office</v>
      </c>
      <c r="D124" t="str">
        <f>'Space Types'!D127</f>
        <v>Sorting Area</v>
      </c>
      <c r="E124">
        <f>'Space Types'!I127</f>
        <v>245</v>
      </c>
      <c r="F124">
        <f>'Space Types'!J127</f>
        <v>245</v>
      </c>
      <c r="G124">
        <f>'Space Types'!K127</f>
        <v>220</v>
      </c>
      <c r="H124" t="str">
        <f>'Space Types'!L127</f>
        <v>SS Post Office - Sorting Area  _2025AUNCC</v>
      </c>
      <c r="I124" t="str">
        <f>'Space Types'!M127</f>
        <v>SS Post Office - Sorting Area  _2025AUNCCScheduleSet</v>
      </c>
      <c r="J124">
        <f>'Space Types'!P127</f>
        <v>7.5347405000000006E-2</v>
      </c>
      <c r="K124">
        <f>'Space Types'!U127</f>
        <v>0</v>
      </c>
      <c r="L124">
        <f>'Space Types'!V127</f>
        <v>0</v>
      </c>
      <c r="M124">
        <f>'Space Types'!W127</f>
        <v>130</v>
      </c>
      <c r="N124">
        <f>'Space Types'!X127</f>
        <v>0.57692307700000001</v>
      </c>
      <c r="O124" t="str">
        <f>'Space Types'!AC127</f>
        <v>NCC S35C2nOther applications (non-dining)PeopleDef</v>
      </c>
      <c r="P124" t="str">
        <f>'Space Types'!AD127</f>
        <v>NECB-A-Occupancy</v>
      </c>
      <c r="Q124" t="str">
        <f>'Space Types'!AE127</f>
        <v>SS Post Office - Sorting Area  Activity</v>
      </c>
      <c r="R124">
        <f>'Space Types'!AG127</f>
        <v>3.5394053798961773E-3</v>
      </c>
      <c r="S124">
        <f>'Space Types'!AI127</f>
        <v>6.0959999999999996E-4</v>
      </c>
      <c r="T124" t="str">
        <f>'Space Types'!AL127</f>
        <v/>
      </c>
      <c r="U124" t="str">
        <f>'Space Types'!AQ127</f>
        <v>ASHRAE 62.1-2019Miscellaneous Spaces - Sorting, packing, light assemblyVent</v>
      </c>
      <c r="V124">
        <f>'Space Types'!AS127</f>
        <v>0</v>
      </c>
      <c r="W124">
        <f>'Space Types'!AT127</f>
        <v>0</v>
      </c>
      <c r="X124">
        <f>'Space Types'!AU127</f>
        <v>0.5</v>
      </c>
      <c r="Y124">
        <f>'Space Types'!AV127</f>
        <v>0</v>
      </c>
      <c r="Z124" t="str">
        <f>'Space Types'!AZ127</f>
        <v>NCC S35C2lClass 8 (Other applications) - no equipment load per S35C2l; radiant/latent/lost fraction split retained from original WA/COMNET-REV9 source (AIRAH Technical Handbook does not publish this split)SS Post Office - Sorting Area  ElectricalEquipDef</v>
      </c>
      <c r="AA124" t="str">
        <f>'Space Types'!BA127</f>
        <v>NECB-A-Electric-Equipment</v>
      </c>
      <c r="AB124">
        <f>'Space Types'!BC127</f>
        <v>4</v>
      </c>
      <c r="AC124">
        <f>'Space Types'!BD127</f>
        <v>0.37</v>
      </c>
      <c r="AD124">
        <f>'Space Types'!BE127</f>
        <v>0.2</v>
      </c>
      <c r="AE124" t="str">
        <f>'Space Types'!BI127</f>
        <v>NCC J7D3aWholesale storage area with a vertical illuminance target of 160 lx (sorting/logistics floor); radiant/visible fraction split retained from original WA/COMNET-REV9 source (AIRAH Technical Handbook does not publish this split)LightingDef</v>
      </c>
      <c r="AF124" t="str">
        <f>'Space Types'!BJ127</f>
        <v>NECB-A-Lighting</v>
      </c>
      <c r="AG124" t="str">
        <f>'Space Types'!BM127</f>
        <v/>
      </c>
      <c r="AH124" t="str">
        <f>'Space Types'!BN127</f>
        <v/>
      </c>
      <c r="AI124" t="str">
        <f>'Space Types'!BO127</f>
        <v/>
      </c>
      <c r="AJ124" t="str">
        <f>'Space Types'!BP127</f>
        <v/>
      </c>
      <c r="AK124" t="str">
        <f>'Space Types'!BT127</f>
        <v/>
      </c>
      <c r="AL124" t="str">
        <f>'Space Types'!BU127</f>
        <v/>
      </c>
      <c r="AM124">
        <f>'Space Types'!BX127</f>
        <v>0</v>
      </c>
      <c r="AN124" t="str">
        <f>'Space Types'!CC127</f>
        <v>NCC S34C2(6)0.7 ACH assumed as design infiltration for periods without mechanical outdoor air supply; NCC also specifies 0.35 ACH when mechanical OA is operating (to be applied via infiltration schedule once developed)Space Function_Post office sortingInfil</v>
      </c>
      <c r="AO124" t="str">
        <f>'Space Types'!CD127</f>
        <v>Always On</v>
      </c>
      <c r="AP124">
        <f>'Space Types'!CG127</f>
        <v>0</v>
      </c>
      <c r="AQ124">
        <f>'Space Types'!CH127</f>
        <v>3.09</v>
      </c>
      <c r="AR124">
        <f>'Space Types'!CI127</f>
        <v>0</v>
      </c>
      <c r="AS124" t="str">
        <f>'Space Types'!CJ127</f>
        <v>MediumRough</v>
      </c>
      <c r="AT124">
        <f>'Space Types'!CK127</f>
        <v>1.6000000000000001E-3</v>
      </c>
      <c r="AU124">
        <f>'Space Types'!CL127</f>
        <v>42.18</v>
      </c>
      <c r="AV124">
        <f>'Space Types'!CM127</f>
        <v>6314</v>
      </c>
      <c r="AW124">
        <f>'Space Types'!CN127</f>
        <v>491</v>
      </c>
      <c r="AX124">
        <f>'Space Types'!CO127</f>
        <v>0.9</v>
      </c>
      <c r="AY124">
        <f>'Space Types'!CP127</f>
        <v>0.7</v>
      </c>
      <c r="AZ124">
        <f>'Space Types'!CQ127</f>
        <v>0.7</v>
      </c>
      <c r="BA124" t="str">
        <f>'Space Types'!CR127</f>
        <v>Mixed_PostOffice_SortingArea_2mm</v>
      </c>
      <c r="BB124" t="str">
        <f>'Space Types'!CW127</f>
        <v>CalculatedEstimateFlatSortCasesAndMailHampersMixed_PostOffice_SortingArea_2mmInternalMassDef</v>
      </c>
    </row>
    <row r="125" spans="1:54" x14ac:dyDescent="0.35">
      <c r="A125" t="str">
        <f>'Space Types'!A128</f>
        <v>SS Religious Building - Fellowship Hall</v>
      </c>
      <c r="B125" t="str">
        <f>'Space Types'!B128</f>
        <v>2025_AU_NCC</v>
      </c>
      <c r="C125" t="str">
        <f>'Space Types'!C128</f>
        <v>Religious</v>
      </c>
      <c r="D125" t="str">
        <f>'Space Types'!D128</f>
        <v>Fellowship Hall</v>
      </c>
      <c r="E125">
        <f>'Space Types'!I128</f>
        <v>255</v>
      </c>
      <c r="F125">
        <f>'Space Types'!J128</f>
        <v>153</v>
      </c>
      <c r="G125">
        <f>'Space Types'!K128</f>
        <v>255</v>
      </c>
      <c r="H125" t="str">
        <f>'Space Types'!L128</f>
        <v>SS Religious Building - Fellowship Hall_2025AUNCC</v>
      </c>
      <c r="I125" t="str">
        <f>'Space Types'!M128</f>
        <v>SS Religious Building - Fellowship Hall_2025AUNCCScheduleSet</v>
      </c>
      <c r="J125">
        <f>'Space Types'!P128</f>
        <v>1.291669806</v>
      </c>
      <c r="K125">
        <f>'Space Types'!U128</f>
        <v>0</v>
      </c>
      <c r="L125">
        <f>'Space Types'!V128</f>
        <v>0</v>
      </c>
      <c r="M125">
        <f>'Space Types'!W128</f>
        <v>130</v>
      </c>
      <c r="N125">
        <f>'Space Types'!X128</f>
        <v>0.57692307700000001</v>
      </c>
      <c r="O125" t="str">
        <f>'Space Types'!AC128</f>
        <v>NCC S35C2nOther applications (non-dining)PeopleDef</v>
      </c>
      <c r="P125" t="str">
        <f>'Space Types'!AD128</f>
        <v>NECB-C-Occupancy</v>
      </c>
      <c r="Q125" t="str">
        <f>'Space Types'!AE128</f>
        <v>SS Religious Building - Fellowship HallActivity</v>
      </c>
      <c r="R125">
        <f>'Space Types'!AG128</f>
        <v>2.3596035865974517E-3</v>
      </c>
      <c r="S125">
        <f>'Space Types'!AI128</f>
        <v>3.0479999999999998E-4</v>
      </c>
      <c r="T125" t="str">
        <f>'Space Types'!AL128</f>
        <v/>
      </c>
      <c r="U125" t="str">
        <f>'Space Types'!AQ128</f>
        <v>Washington State Mechanical Code TABLE 403.3.1.1Public spaces - Places of religious worshipVent</v>
      </c>
      <c r="V125">
        <f>'Space Types'!AS128</f>
        <v>0</v>
      </c>
      <c r="W125">
        <f>'Space Types'!AT128</f>
        <v>0</v>
      </c>
      <c r="X125">
        <f>'Space Types'!AU128</f>
        <v>0.5</v>
      </c>
      <c r="Y125">
        <f>'Space Types'!AV128</f>
        <v>0</v>
      </c>
      <c r="Z125" t="str">
        <f>'Space Types'!AZ128</f>
        <v>NCC S35C2lClass 9b (Other applications) - no equipment load per S35C2l; radiant/latent/lost fraction split retained from original WA/COMNET-REV9 source (AIRAH Technical Handbook does not publish this split)SS Religious Building - Fellowship HallElectricalEquipDef</v>
      </c>
      <c r="AA125" t="str">
        <f>'Space Types'!BA128</f>
        <v>NECB-C-Electric-Equipment</v>
      </c>
      <c r="AB125">
        <f>'Space Types'!BC128</f>
        <v>8</v>
      </c>
      <c r="AC125">
        <f>'Space Types'!BD128</f>
        <v>0.37</v>
      </c>
      <c r="AD125">
        <f>'Space Types'!BE128</f>
        <v>0.2</v>
      </c>
      <c r="AE125" t="str">
        <f>'Space Types'!BI128</f>
        <v>NCC J7D3aAuditorium, church and public hall; radiant/visible fraction split retained from original WA/COMNET-REV9 source (AIRAH Technical Handbook does not publish this split)LightingDef</v>
      </c>
      <c r="AF125" t="str">
        <f>'Space Types'!BJ128</f>
        <v>NECB-C-Lighting</v>
      </c>
      <c r="AG125" t="str">
        <f>'Space Types'!BM128</f>
        <v/>
      </c>
      <c r="AH125" t="str">
        <f>'Space Types'!BN128</f>
        <v/>
      </c>
      <c r="AI125" t="str">
        <f>'Space Types'!BO128</f>
        <v/>
      </c>
      <c r="AJ125" t="str">
        <f>'Space Types'!BP128</f>
        <v/>
      </c>
      <c r="AK125" t="str">
        <f>'Space Types'!BT128</f>
        <v/>
      </c>
      <c r="AL125" t="str">
        <f>'Space Types'!BU128</f>
        <v/>
      </c>
      <c r="AM125">
        <f>'Space Types'!BX128</f>
        <v>0</v>
      </c>
      <c r="AN125" t="str">
        <f>'Space Types'!CC128</f>
        <v>NCC S34C2(6)0.7 ACH assumed as design infiltration for periods without mechanical outdoor air supply; NCC also specifies 0.35 ACH when mechanical OA is operating (to be applied via infiltration schedule once developed)Space Function_Religious - fellowship hallInfil</v>
      </c>
      <c r="AO125" t="str">
        <f>'Space Types'!CD128</f>
        <v>Always On</v>
      </c>
      <c r="AP125">
        <f>'Space Types'!CG128</f>
        <v>0</v>
      </c>
      <c r="AQ125">
        <f>'Space Types'!CH128</f>
        <v>1.1499999999999999</v>
      </c>
      <c r="AR125">
        <f>'Space Types'!CI128</f>
        <v>0</v>
      </c>
      <c r="AS125" t="str">
        <f>'Space Types'!CJ128</f>
        <v>MediumRough</v>
      </c>
      <c r="AT125">
        <f>'Space Types'!CK128</f>
        <v>7.3000000000000001E-3</v>
      </c>
      <c r="AU125">
        <f>'Space Types'!CL128</f>
        <v>2.6139999999999999</v>
      </c>
      <c r="AV125">
        <f>'Space Types'!CM128</f>
        <v>902</v>
      </c>
      <c r="AW125">
        <f>'Space Types'!CN128</f>
        <v>1157</v>
      </c>
      <c r="AX125">
        <f>'Space Types'!CO128</f>
        <v>0.9</v>
      </c>
      <c r="AY125">
        <f>'Space Types'!CP128</f>
        <v>0.7</v>
      </c>
      <c r="AZ125">
        <f>'Space Types'!CQ128</f>
        <v>0.7</v>
      </c>
      <c r="BA125" t="str">
        <f>'Space Types'!CR128</f>
        <v>Mixed_ReligiousBuilding_FellowshipHall_7mm</v>
      </c>
      <c r="BB125" t="str">
        <f>'Space Types'!CW128</f>
        <v>CalculatedEstimateFoldingTablesAndStackableChairsMixed_ReligiousBuilding_FellowshipHall_7mmInternalMassDef</v>
      </c>
    </row>
    <row r="126" spans="1:54" x14ac:dyDescent="0.35">
      <c r="A126" t="str">
        <f>'Space Types'!A129</f>
        <v>SS Religious Building - Worship/Pulpit/Choir</v>
      </c>
      <c r="B126" t="str">
        <f>'Space Types'!B129</f>
        <v>2025_AU_NCC</v>
      </c>
      <c r="C126" t="str">
        <f>'Space Types'!C129</f>
        <v>Religious</v>
      </c>
      <c r="D126" t="str">
        <f>'Space Types'!D129</f>
        <v>Worship/Pulpit/Choir</v>
      </c>
      <c r="E126">
        <f>'Space Types'!I129</f>
        <v>255</v>
      </c>
      <c r="F126">
        <f>'Space Types'!J129</f>
        <v>153</v>
      </c>
      <c r="G126">
        <f>'Space Types'!K129</f>
        <v>255</v>
      </c>
      <c r="H126" t="str">
        <f>'Space Types'!L129</f>
        <v>SS Religious Building - Worship/Pulpit/Choir_2025AUNCC</v>
      </c>
      <c r="I126" t="str">
        <f>'Space Types'!M129</f>
        <v>SS Religious Building - Worship/Pulpit/Choir_2025AUNCCScheduleSet</v>
      </c>
      <c r="J126">
        <f>'Space Types'!P129</f>
        <v>1.291669806</v>
      </c>
      <c r="K126">
        <f>'Space Types'!U129</f>
        <v>0</v>
      </c>
      <c r="L126">
        <f>'Space Types'!V129</f>
        <v>0</v>
      </c>
      <c r="M126">
        <f>'Space Types'!W129</f>
        <v>130</v>
      </c>
      <c r="N126">
        <f>'Space Types'!X129</f>
        <v>0.57692307700000001</v>
      </c>
      <c r="O126" t="str">
        <f>'Space Types'!AC129</f>
        <v>NCC S35C2nOther applications (non-dining)PeopleDef</v>
      </c>
      <c r="P126" t="str">
        <f>'Space Types'!AD129</f>
        <v>NECB-I-Occupancy</v>
      </c>
      <c r="Q126" t="str">
        <f>'Space Types'!AE129</f>
        <v>SS Religious Building - Worship/Pulpit/ChoirActivity</v>
      </c>
      <c r="R126">
        <f>'Space Types'!AG129</f>
        <v>2.3596035865974517E-3</v>
      </c>
      <c r="S126">
        <f>'Space Types'!AI129</f>
        <v>3.0479999999999998E-4</v>
      </c>
      <c r="T126" t="str">
        <f>'Space Types'!AL129</f>
        <v/>
      </c>
      <c r="U126" t="str">
        <f>'Space Types'!AQ129</f>
        <v>Washington State Mechanical Code TABLE 403.3.1.1Public spaces - Places of religious worshipVent</v>
      </c>
      <c r="V126">
        <f>'Space Types'!AS129</f>
        <v>0</v>
      </c>
      <c r="W126">
        <f>'Space Types'!AT129</f>
        <v>0</v>
      </c>
      <c r="X126">
        <f>'Space Types'!AU129</f>
        <v>0.5</v>
      </c>
      <c r="Y126">
        <f>'Space Types'!AV129</f>
        <v>0</v>
      </c>
      <c r="Z126" t="str">
        <f>'Space Types'!AZ129</f>
        <v>NCC S35C2lClass 9b (Other applications) - no equipment load per S35C2l; radiant/latent/lost fraction split retained from original WA/COMNET-REV9 source (AIRAH Technical Handbook does not publish this split)SS Religious Building - Worship/Pulpit/ChoirElectricalEquipDef</v>
      </c>
      <c r="AA126" t="str">
        <f>'Space Types'!BA129</f>
        <v>NECB-I-Electric-Equipment</v>
      </c>
      <c r="AB126">
        <f>'Space Types'!BC129</f>
        <v>8</v>
      </c>
      <c r="AC126">
        <f>'Space Types'!BD129</f>
        <v>0.37</v>
      </c>
      <c r="AD126">
        <f>'Space Types'!BE129</f>
        <v>0.2</v>
      </c>
      <c r="AE126" t="str">
        <f>'Space Types'!BI129</f>
        <v>NCC J7D3aAuditorium, church and public hall; radiant/visible fraction split retained from original WA/COMNET-REV9 source (AIRAH Technical Handbook does not publish this split)LightingDef</v>
      </c>
      <c r="AF126" t="str">
        <f>'Space Types'!BJ129</f>
        <v>NECB-I-Lighting</v>
      </c>
      <c r="AG126" t="str">
        <f>'Space Types'!BM129</f>
        <v/>
      </c>
      <c r="AH126" t="str">
        <f>'Space Types'!BN129</f>
        <v/>
      </c>
      <c r="AI126" t="str">
        <f>'Space Types'!BO129</f>
        <v/>
      </c>
      <c r="AJ126" t="str">
        <f>'Space Types'!BP129</f>
        <v/>
      </c>
      <c r="AK126" t="str">
        <f>'Space Types'!BT129</f>
        <v/>
      </c>
      <c r="AL126" t="str">
        <f>'Space Types'!BU129</f>
        <v/>
      </c>
      <c r="AM126">
        <f>'Space Types'!BX129</f>
        <v>0</v>
      </c>
      <c r="AN126" t="str">
        <f>'Space Types'!CC129</f>
        <v>NCC S34C2(6)0.7 ACH assumed as design infiltration for periods without mechanical outdoor air supply; NCC also specifies 0.35 ACH when mechanical OA is operating (to be applied via infiltration schedule once developed)Space Function_Religious - pulpit/choirInfil</v>
      </c>
      <c r="AO126" t="str">
        <f>'Space Types'!CD129</f>
        <v>Always On</v>
      </c>
      <c r="AP126">
        <f>'Space Types'!CG129</f>
        <v>0</v>
      </c>
      <c r="AQ126">
        <f>'Space Types'!CH129</f>
        <v>0.88</v>
      </c>
      <c r="AR126">
        <f>'Space Types'!CI129</f>
        <v>0</v>
      </c>
      <c r="AS126" t="str">
        <f>'Space Types'!CJ129</f>
        <v>MediumRough</v>
      </c>
      <c r="AT126">
        <f>'Space Types'!CK129</f>
        <v>2.0799999999999999E-2</v>
      </c>
      <c r="AU126">
        <f>'Space Types'!CL129</f>
        <v>0.251</v>
      </c>
      <c r="AV126">
        <f>'Space Types'!CM129</f>
        <v>721</v>
      </c>
      <c r="AW126">
        <f>'Space Types'!CN129</f>
        <v>1568</v>
      </c>
      <c r="AX126">
        <f>'Space Types'!CO129</f>
        <v>0.9</v>
      </c>
      <c r="AY126">
        <f>'Space Types'!CP129</f>
        <v>0.7</v>
      </c>
      <c r="AZ126">
        <f>'Space Types'!CQ129</f>
        <v>0.7</v>
      </c>
      <c r="BA126" t="str">
        <f>'Space Types'!CR129</f>
        <v>Mixed_ReligiousBuilding_WorshipChoir_21mm</v>
      </c>
      <c r="BB126" t="str">
        <f>'Space Types'!CW129</f>
        <v>CalculatedEstimateSolidHardwoodPewsAndPulpitMixed_ReligiousBuilding_WorshipChoir_21mmInternalMassDef</v>
      </c>
    </row>
    <row r="127" spans="1:54" x14ac:dyDescent="0.35">
      <c r="A127" t="str">
        <f>'Space Types'!A130</f>
        <v xml:space="preserve">SS Retail - Dressing/Fitting Room  </v>
      </c>
      <c r="B127" t="str">
        <f>'Space Types'!B130</f>
        <v>2025_AU_NCC</v>
      </c>
      <c r="C127" t="str">
        <f>'Space Types'!C130</f>
        <v>Retail</v>
      </c>
      <c r="D127" t="str">
        <f>'Space Types'!D130</f>
        <v>Dressing/Fitting Room</v>
      </c>
      <c r="E127">
        <f>'Space Types'!I130</f>
        <v>230</v>
      </c>
      <c r="F127">
        <f>'Space Types'!J130</f>
        <v>230</v>
      </c>
      <c r="G127">
        <f>'Space Types'!K130</f>
        <v>250</v>
      </c>
      <c r="H127" t="str">
        <f>'Space Types'!L130</f>
        <v>SS Retail - Dressing/Fitting Room  _2025AUNCC</v>
      </c>
      <c r="I127" t="str">
        <f>'Space Types'!M130</f>
        <v>SS Retail - Dressing/Fitting Room  _2025AUNCCScheduleSet</v>
      </c>
      <c r="J127">
        <f>'Space Types'!P130</f>
        <v>0</v>
      </c>
      <c r="K127">
        <f>'Space Types'!U130</f>
        <v>0</v>
      </c>
      <c r="L127">
        <f>'Space Types'!V130</f>
        <v>0</v>
      </c>
      <c r="M127">
        <f>'Space Types'!W130</f>
        <v>130</v>
      </c>
      <c r="N127">
        <f>'Space Types'!X130</f>
        <v>0.57692307700000001</v>
      </c>
      <c r="O127" t="str">
        <f>'Space Types'!AC130</f>
        <v/>
      </c>
      <c r="P127" t="str">
        <f>'Space Types'!AD130</f>
        <v/>
      </c>
      <c r="Q127" t="str">
        <f>'Space Types'!AE130</f>
        <v/>
      </c>
      <c r="R127" t="str">
        <f>'Space Types'!AG130</f>
        <v/>
      </c>
      <c r="S127" t="str">
        <f>'Space Types'!AI130</f>
        <v/>
      </c>
      <c r="T127" t="str">
        <f>'Space Types'!AL130</f>
        <v/>
      </c>
      <c r="U127" t="str">
        <f>'Space Types'!AQ130</f>
        <v>Washington State Mechanical Code TABLE 403.3.1.1Retail stores, sales floors, and showroom floors - Dressing roomsVent</v>
      </c>
      <c r="V127">
        <f>'Space Types'!AS130</f>
        <v>5</v>
      </c>
      <c r="W127">
        <f>'Space Types'!AT130</f>
        <v>0</v>
      </c>
      <c r="X127">
        <f>'Space Types'!AU130</f>
        <v>0.5</v>
      </c>
      <c r="Y127">
        <f>'Space Types'!AV130</f>
        <v>0</v>
      </c>
      <c r="Z127" t="str">
        <f>'Space Types'!AZ130</f>
        <v>NCC S35C2lClass 6 shop/shopping centre (reduced); radiant/latent/lost fraction split retained from original WA/COMNET-REV9 source (AIRAH Technical Handbook does not publish this split)SS Retail - Dressing/Fitting Room  ElectricalEquipDef</v>
      </c>
      <c r="AA127" t="str">
        <f>'Space Types'!BA130</f>
        <v>NECB-C-Electric-Equipment</v>
      </c>
      <c r="AB127">
        <f>'Space Types'!BC130</f>
        <v>14</v>
      </c>
      <c r="AC127">
        <f>'Space Types'!BD130</f>
        <v>0.37</v>
      </c>
      <c r="AD127">
        <f>'Space Types'!BE130</f>
        <v>0.2</v>
      </c>
      <c r="AE127" t="str">
        <f>'Space Types'!BI130</f>
        <v>NCC J7D3aRetail space including a museum and gallery whose purpose is the sale of objects; radiant/visible fraction split retained from original WA/COMNET-REV9 source (AIRAH Technical Handbook does not publish this split)LightingDef</v>
      </c>
      <c r="AF127" t="str">
        <f>'Space Types'!BJ130</f>
        <v>NECB-C-Lighting</v>
      </c>
      <c r="AG127" t="str">
        <f>'Space Types'!BM130</f>
        <v/>
      </c>
      <c r="AH127" t="str">
        <f>'Space Types'!BN130</f>
        <v/>
      </c>
      <c r="AI127" t="str">
        <f>'Space Types'!BO130</f>
        <v/>
      </c>
      <c r="AJ127" t="str">
        <f>'Space Types'!BP130</f>
        <v/>
      </c>
      <c r="AK127" t="str">
        <f>'Space Types'!BT130</f>
        <v/>
      </c>
      <c r="AL127" t="str">
        <f>'Space Types'!BU130</f>
        <v/>
      </c>
      <c r="AM127">
        <f>'Space Types'!BX130</f>
        <v>0</v>
      </c>
      <c r="AN127" t="str">
        <f>'Space Types'!CC130</f>
        <v>NCC S34C2(6)0.7 ACH assumed as design infiltration for periods without mechanical outdoor air supply; NCC also specifies 0.35 ACH when mechanical OA is operating (to be applied via infiltration schedule once developed)Space Function_Retail - dressing/fittingInfil</v>
      </c>
      <c r="AO127" t="str">
        <f>'Space Types'!CD130</f>
        <v>Always On</v>
      </c>
      <c r="AP127">
        <f>'Space Types'!CG130</f>
        <v>0</v>
      </c>
      <c r="AQ127">
        <f>'Space Types'!CH130</f>
        <v>3.91</v>
      </c>
      <c r="AR127">
        <f>'Space Types'!CI130</f>
        <v>0</v>
      </c>
      <c r="AS127" t="str">
        <f>'Space Types'!CJ130</f>
        <v>MediumRough</v>
      </c>
      <c r="AT127">
        <f>'Space Types'!CK130</f>
        <v>9.1999999999999998E-3</v>
      </c>
      <c r="AU127">
        <f>'Space Types'!CL130</f>
        <v>0.66800000000000004</v>
      </c>
      <c r="AV127">
        <f>'Space Types'!CM130</f>
        <v>773</v>
      </c>
      <c r="AW127">
        <f>'Space Types'!CN130</f>
        <v>1222</v>
      </c>
      <c r="AX127">
        <f>'Space Types'!CO130</f>
        <v>0.9</v>
      </c>
      <c r="AY127">
        <f>'Space Types'!CP130</f>
        <v>0.7</v>
      </c>
      <c r="AZ127">
        <f>'Space Types'!CQ130</f>
        <v>0.7</v>
      </c>
      <c r="BA127" t="str">
        <f>'Space Types'!CR130</f>
        <v>Mixed_Retail_DressingRoom_9mm</v>
      </c>
      <c r="BB127" t="str">
        <f>'Space Types'!CW130</f>
        <v>CalculatedEstimateMDFStallPartitionsAndMirrorsMixed_Retail_DressingRoom_9mmInternalMassDef</v>
      </c>
    </row>
    <row r="128" spans="1:54" x14ac:dyDescent="0.35">
      <c r="A128" t="str">
        <f>'Space Types'!A131</f>
        <v xml:space="preserve">SS Retail - Mall Concourse  </v>
      </c>
      <c r="B128" t="str">
        <f>'Space Types'!B131</f>
        <v>2025_AU_NCC</v>
      </c>
      <c r="C128" t="str">
        <f>'Space Types'!C131</f>
        <v>Retail</v>
      </c>
      <c r="D128" t="str">
        <f>'Space Types'!D131</f>
        <v>Mall Concourse</v>
      </c>
      <c r="E128">
        <f>'Space Types'!I131</f>
        <v>176</v>
      </c>
      <c r="F128">
        <f>'Space Types'!J131</f>
        <v>196</v>
      </c>
      <c r="G128">
        <f>'Space Types'!K131</f>
        <v>222</v>
      </c>
      <c r="H128" t="str">
        <f>'Space Types'!L131</f>
        <v>SS Retail - Mall Concourse  _2025AUNCC</v>
      </c>
      <c r="I128" t="str">
        <f>'Space Types'!M131</f>
        <v>SS Retail - Mall Concourse  _2025AUNCCScheduleSet</v>
      </c>
      <c r="J128">
        <f>'Space Types'!P131</f>
        <v>0.43055660200000001</v>
      </c>
      <c r="K128">
        <f>'Space Types'!U131</f>
        <v>0</v>
      </c>
      <c r="L128">
        <f>'Space Types'!V131</f>
        <v>0</v>
      </c>
      <c r="M128">
        <f>'Space Types'!W131</f>
        <v>130</v>
      </c>
      <c r="N128">
        <f>'Space Types'!X131</f>
        <v>0.57692307700000001</v>
      </c>
      <c r="O128" t="str">
        <f>'Space Types'!AC131</f>
        <v>NCC S35C2nOther applications (non-dining)PeopleDef</v>
      </c>
      <c r="P128" t="str">
        <f>'Space Types'!AD131</f>
        <v>NECB-C-Occupancy</v>
      </c>
      <c r="Q128" t="str">
        <f>'Space Types'!AE131</f>
        <v>SS Retail - Mall Concourse  Activity</v>
      </c>
      <c r="R128">
        <f>'Space Types'!AG131</f>
        <v>3.5394053798961773E-3</v>
      </c>
      <c r="S128">
        <f>'Space Types'!AI131</f>
        <v>3.0479999999999998E-4</v>
      </c>
      <c r="T128" t="str">
        <f>'Space Types'!AL131</f>
        <v/>
      </c>
      <c r="U128" t="str">
        <f>'Space Types'!AQ131</f>
        <v>Washington State Mechanical Code TABLE 403.3.1.1Retail stores, sales floors, and showroom floors - Mall common areasVent</v>
      </c>
      <c r="V128">
        <f>'Space Types'!AS131</f>
        <v>5</v>
      </c>
      <c r="W128">
        <f>'Space Types'!AT131</f>
        <v>0</v>
      </c>
      <c r="X128">
        <f>'Space Types'!AU131</f>
        <v>0.5</v>
      </c>
      <c r="Y128">
        <f>'Space Types'!AV131</f>
        <v>0</v>
      </c>
      <c r="Z128" t="str">
        <f>'Space Types'!AZ131</f>
        <v>NCC S35C2lClass 6 shop/shopping centre; radiant/latent/lost fraction split retained from original WA/COMNET-REV9 source (AIRAH Technical Handbook does not publish this split)SS Retail - Mall Concourse  ElectricalEquipDef</v>
      </c>
      <c r="AA128" t="str">
        <f>'Space Types'!BA131</f>
        <v>NECB-C-Electric-Equipment</v>
      </c>
      <c r="AB128">
        <f>'Space Types'!BC131</f>
        <v>5</v>
      </c>
      <c r="AC128">
        <f>'Space Types'!BD131</f>
        <v>0.37</v>
      </c>
      <c r="AD128">
        <f>'Space Types'!BE131</f>
        <v>0.2</v>
      </c>
      <c r="AE128" t="str">
        <f>'Space Types'!BI131</f>
        <v>NCC J7D3aCorridors (circulation concourse, not merchandising floor); radiant/visible fraction split retained from original WA/COMNET-REV9 source (AIRAH Technical Handbook does not publish this split)LightingDef</v>
      </c>
      <c r="AF128" t="str">
        <f>'Space Types'!BJ131</f>
        <v>NECB-C-Lighting</v>
      </c>
      <c r="AG128" t="str">
        <f>'Space Types'!BM131</f>
        <v/>
      </c>
      <c r="AH128" t="str">
        <f>'Space Types'!BN131</f>
        <v/>
      </c>
      <c r="AI128" t="str">
        <f>'Space Types'!BO131</f>
        <v/>
      </c>
      <c r="AJ128" t="str">
        <f>'Space Types'!BP131</f>
        <v/>
      </c>
      <c r="AK128" t="str">
        <f>'Space Types'!BT131</f>
        <v/>
      </c>
      <c r="AL128" t="str">
        <f>'Space Types'!BU131</f>
        <v/>
      </c>
      <c r="AM128">
        <f>'Space Types'!BX131</f>
        <v>0</v>
      </c>
      <c r="AN128" t="str">
        <f>'Space Types'!CC131</f>
        <v>NCC S34C2(6)0.7 ACH assumed as design infiltration for periods without mechanical outdoor air supply; NCC also specifies 0.35 ACH when mechanical OA is operating (to be applied via infiltration schedule once developed)Space Function_Retail - mall concourseInfil</v>
      </c>
      <c r="AO128" t="str">
        <f>'Space Types'!CD131</f>
        <v>Always On</v>
      </c>
      <c r="AP128">
        <f>'Space Types'!CG131</f>
        <v>0</v>
      </c>
      <c r="AQ128">
        <f>'Space Types'!CH131</f>
        <v>0.4</v>
      </c>
      <c r="AR128">
        <f>'Space Types'!CI131</f>
        <v>0</v>
      </c>
      <c r="AS128" t="str">
        <f>'Space Types'!CJ131</f>
        <v>MediumRough</v>
      </c>
      <c r="AT128">
        <f>'Space Types'!CK131</f>
        <v>1.9199999999999998E-2</v>
      </c>
      <c r="AU128">
        <f>'Space Types'!CL131</f>
        <v>5.444</v>
      </c>
      <c r="AV128">
        <f>'Space Types'!CM131</f>
        <v>1338</v>
      </c>
      <c r="AW128">
        <f>'Space Types'!CN131</f>
        <v>1154</v>
      </c>
      <c r="AX128">
        <f>'Space Types'!CO131</f>
        <v>0.9</v>
      </c>
      <c r="AY128">
        <f>'Space Types'!CP131</f>
        <v>0.7</v>
      </c>
      <c r="AZ128">
        <f>'Space Types'!CQ131</f>
        <v>0.7</v>
      </c>
      <c r="BA128" t="str">
        <f>'Space Types'!CR131</f>
        <v>Mixed_Retail_MallConcourse_19mm</v>
      </c>
      <c r="BB128" t="str">
        <f>'Space Types'!CW131</f>
        <v>CalculatedEstimateKiosksBenchesAndConcretePlantersMixed_Retail_MallConcourse_19mmInternalMassDef</v>
      </c>
    </row>
    <row r="129" spans="1:54" x14ac:dyDescent="0.35">
      <c r="A129" t="str">
        <f>'Space Types'!A132</f>
        <v xml:space="preserve">SS Sports Arena Playing Area - Class I </v>
      </c>
      <c r="B129" t="str">
        <f>'Space Types'!B132</f>
        <v>2025_AU_NCC</v>
      </c>
      <c r="C129" t="str">
        <f>'Space Types'!C132</f>
        <v>Sports Arena</v>
      </c>
      <c r="D129" t="str">
        <f>'Space Types'!D132</f>
        <v>Playing Area - Class I</v>
      </c>
      <c r="E129">
        <f>'Space Types'!I132</f>
        <v>127</v>
      </c>
      <c r="F129">
        <f>'Space Types'!J132</f>
        <v>255</v>
      </c>
      <c r="G129">
        <f>'Space Types'!K132</f>
        <v>212</v>
      </c>
      <c r="H129" t="str">
        <f>'Space Types'!L132</f>
        <v>SS Sports Arena Playing Area - Class I _2025AUNCC</v>
      </c>
      <c r="I129" t="str">
        <f>'Space Types'!M132</f>
        <v>SS Sports Arena Playing Area - Class I _2025AUNCCScheduleSet</v>
      </c>
      <c r="J129">
        <f>'Space Types'!P132</f>
        <v>1.614587258</v>
      </c>
      <c r="K129">
        <f>'Space Types'!U132</f>
        <v>0</v>
      </c>
      <c r="L129">
        <f>'Space Types'!V132</f>
        <v>0</v>
      </c>
      <c r="M129">
        <f>'Space Types'!W132</f>
        <v>130</v>
      </c>
      <c r="N129">
        <f>'Space Types'!X132</f>
        <v>0.57692307700000001</v>
      </c>
      <c r="O129" t="str">
        <f>'Space Types'!AC132</f>
        <v>NCC S35C2nOther applications (non-dining)PeopleDef</v>
      </c>
      <c r="P129" t="str">
        <f>'Space Types'!AD132</f>
        <v>NECB-B-Occupancy</v>
      </c>
      <c r="Q129" t="str">
        <f>'Space Types'!AE132</f>
        <v>SS Sports Arena Playing Area - Class I Activity</v>
      </c>
      <c r="R129">
        <f>'Space Types'!AG132</f>
        <v>3.5394053798961773E-3</v>
      </c>
      <c r="S129">
        <f>'Space Types'!AI132</f>
        <v>3.0479999999999998E-4</v>
      </c>
      <c r="T129" t="str">
        <f>'Space Types'!AL132</f>
        <v/>
      </c>
      <c r="U129" t="str">
        <f>'Space Types'!AQ132</f>
        <v>Washington State Mechanical Code TABLE 403.3.1.1Sports and amusement - Spectator areasVent</v>
      </c>
      <c r="V129">
        <f>'Space Types'!AS132</f>
        <v>0</v>
      </c>
      <c r="W129">
        <f>'Space Types'!AT132</f>
        <v>0</v>
      </c>
      <c r="X129">
        <f>'Space Types'!AU132</f>
        <v>0.5</v>
      </c>
      <c r="Y129">
        <f>'Space Types'!AV132</f>
        <v>0</v>
      </c>
      <c r="Z129" t="str">
        <f>'Space Types'!AZ132</f>
        <v>NCC S35C2lClass 9b (Other applications) - no equipment load per S35C2l; radiant/latent/lost fraction split retained from original WA/COMNET-REV9 source (AIRAH Technical Handbook does not publish this split)SS Sports Arena Playing Area - Class I ElectricalEquipDef</v>
      </c>
      <c r="AA129" t="str">
        <f>'Space Types'!BA132</f>
        <v>NECB-B-Electric-Equipment</v>
      </c>
      <c r="AB129">
        <f>'Space Types'!BC132</f>
        <v>30.784780000000001</v>
      </c>
      <c r="AC129">
        <f>'Space Types'!BD132</f>
        <v>0.37</v>
      </c>
      <c r="AD129">
        <f>'Space Types'!BE132</f>
        <v>0.2</v>
      </c>
      <c r="AE129" t="str">
        <f>'Space Types'!BI132</f>
        <v>IECC Table C405.3.2(2)Sports arena - playing area, Class I facility; radiant/visible fraction split retained from original WA/COMNET-REV9 sourceLightingDef</v>
      </c>
      <c r="AF129" t="str">
        <f>'Space Types'!BJ132</f>
        <v>NECB-B-Lighting</v>
      </c>
      <c r="AG129" t="str">
        <f>'Space Types'!BM132</f>
        <v/>
      </c>
      <c r="AH129" t="str">
        <f>'Space Types'!BN132</f>
        <v/>
      </c>
      <c r="AI129" t="str">
        <f>'Space Types'!BO132</f>
        <v/>
      </c>
      <c r="AJ129" t="str">
        <f>'Space Types'!BP132</f>
        <v/>
      </c>
      <c r="AK129" t="str">
        <f>'Space Types'!BT132</f>
        <v/>
      </c>
      <c r="AL129" t="str">
        <f>'Space Types'!BU132</f>
        <v/>
      </c>
      <c r="AM129">
        <f>'Space Types'!BX132</f>
        <v>0</v>
      </c>
      <c r="AN129" t="str">
        <f>'Space Types'!CC132</f>
        <v>NCC S34C2(6)0.7 ACH assumed as design infiltration for periods without mechanical outdoor air supply; NCC also specifies 0.35 ACH when mechanical OA is operating (to be applied via infiltration schedule once developed)Space Function_Sports arena - court c1Infil</v>
      </c>
      <c r="AO129" t="str">
        <f>'Space Types'!CD132</f>
        <v>Always On</v>
      </c>
      <c r="AP129">
        <f>'Space Types'!CG132</f>
        <v>0</v>
      </c>
      <c r="AQ129">
        <f>'Space Types'!CH132</f>
        <v>0.23</v>
      </c>
      <c r="AR129">
        <f>'Space Types'!CI132</f>
        <v>0</v>
      </c>
      <c r="AS129" t="str">
        <f>'Space Types'!CJ132</f>
        <v>MediumRough</v>
      </c>
      <c r="AT129">
        <f>'Space Types'!CK132</f>
        <v>2.1600000000000001E-2</v>
      </c>
      <c r="AU129">
        <f>'Space Types'!CL132</f>
        <v>3.077</v>
      </c>
      <c r="AV129">
        <f>'Space Types'!CM132</f>
        <v>438</v>
      </c>
      <c r="AW129">
        <f>'Space Types'!CN132</f>
        <v>1165</v>
      </c>
      <c r="AX129">
        <f>'Space Types'!CO132</f>
        <v>0.9</v>
      </c>
      <c r="AY129">
        <f>'Space Types'!CP132</f>
        <v>0.7</v>
      </c>
      <c r="AZ129">
        <f>'Space Types'!CQ132</f>
        <v>0.7</v>
      </c>
      <c r="BA129" t="str">
        <f>'Space Types'!CR132</f>
        <v>Mixed_SportsArena_PlayingArea_22mm</v>
      </c>
      <c r="BB129" t="str">
        <f>'Space Types'!CW132</f>
        <v>CalculatedEstimatePortableGoalsAndBenchesClassIMixed_SportsArena_PlayingArea_22mmInternalMassDef</v>
      </c>
    </row>
    <row r="130" spans="1:54" x14ac:dyDescent="0.35">
      <c r="A130" t="str">
        <f>'Space Types'!A133</f>
        <v xml:space="preserve">SS Sports Arena Playing Area - Class II </v>
      </c>
      <c r="B130" t="str">
        <f>'Space Types'!B133</f>
        <v>2025_AU_NCC</v>
      </c>
      <c r="C130" t="str">
        <f>'Space Types'!C133</f>
        <v>Sports Arena</v>
      </c>
      <c r="D130" t="str">
        <f>'Space Types'!D133</f>
        <v>Playing Area - Class II</v>
      </c>
      <c r="E130">
        <f>'Space Types'!I133</f>
        <v>176</v>
      </c>
      <c r="F130">
        <f>'Space Types'!J133</f>
        <v>224</v>
      </c>
      <c r="G130">
        <f>'Space Types'!K133</f>
        <v>230</v>
      </c>
      <c r="H130" t="str">
        <f>'Space Types'!L133</f>
        <v>SS Sports Arena Playing Area - Class II _2025AUNCC</v>
      </c>
      <c r="I130" t="str">
        <f>'Space Types'!M133</f>
        <v>SS Sports Arena Playing Area - Class II _2025AUNCCScheduleSet</v>
      </c>
      <c r="J130">
        <f>'Space Types'!P133</f>
        <v>1.614587258</v>
      </c>
      <c r="K130">
        <f>'Space Types'!U133</f>
        <v>0</v>
      </c>
      <c r="L130">
        <f>'Space Types'!V133</f>
        <v>0</v>
      </c>
      <c r="M130">
        <f>'Space Types'!W133</f>
        <v>130</v>
      </c>
      <c r="N130">
        <f>'Space Types'!X133</f>
        <v>0.57692307700000001</v>
      </c>
      <c r="O130" t="str">
        <f>'Space Types'!AC133</f>
        <v>NCC S35C2nOther applications (non-dining)PeopleDef</v>
      </c>
      <c r="P130" t="str">
        <f>'Space Types'!AD133</f>
        <v>NECB-B-Occupancy</v>
      </c>
      <c r="Q130" t="str">
        <f>'Space Types'!AE133</f>
        <v>SS Sports Arena Playing Area - Class II Activity</v>
      </c>
      <c r="R130">
        <f>'Space Types'!AG133</f>
        <v>3.5394053798961773E-3</v>
      </c>
      <c r="S130">
        <f>'Space Types'!AI133</f>
        <v>3.0479999999999998E-4</v>
      </c>
      <c r="T130" t="str">
        <f>'Space Types'!AL133</f>
        <v/>
      </c>
      <c r="U130" t="str">
        <f>'Space Types'!AQ133</f>
        <v>Washington State Mechanical Code TABLE 403.3.1.1Sports and amusement - Spectator areasVent</v>
      </c>
      <c r="V130">
        <f>'Space Types'!AS133</f>
        <v>0</v>
      </c>
      <c r="W130">
        <f>'Space Types'!AT133</f>
        <v>0</v>
      </c>
      <c r="X130">
        <f>'Space Types'!AU133</f>
        <v>0.5</v>
      </c>
      <c r="Y130">
        <f>'Space Types'!AV133</f>
        <v>0</v>
      </c>
      <c r="Z130" t="str">
        <f>'Space Types'!AZ133</f>
        <v>NCC S35C2lClass 9b (Other applications) - no equipment load per S35C2l; radiant/latent/lost fraction split retained from original WA/COMNET-REV9 source (AIRAH Technical Handbook does not publish this split)SS Sports Arena Playing Area - Class II ElectricalEquipDef</v>
      </c>
      <c r="AA130" t="str">
        <f>'Space Types'!BA133</f>
        <v>NECB-B-Electric-Equipment</v>
      </c>
      <c r="AB130">
        <f>'Space Types'!BC133</f>
        <v>21.312539999999998</v>
      </c>
      <c r="AC130">
        <f>'Space Types'!BD133</f>
        <v>0.37</v>
      </c>
      <c r="AD130">
        <f>'Space Types'!BE133</f>
        <v>0.2</v>
      </c>
      <c r="AE130" t="str">
        <f>'Space Types'!BI133</f>
        <v>IECC Table C405.3.2(2)Sports arena - playing area, Class II facility; radiant/visible fraction split retained from original WA/COMNET-REV9 sourceLightingDef</v>
      </c>
      <c r="AF130" t="str">
        <f>'Space Types'!BJ133</f>
        <v>NECB-B-Lighting</v>
      </c>
      <c r="AG130" t="str">
        <f>'Space Types'!BM133</f>
        <v/>
      </c>
      <c r="AH130" t="str">
        <f>'Space Types'!BN133</f>
        <v/>
      </c>
      <c r="AI130" t="str">
        <f>'Space Types'!BO133</f>
        <v/>
      </c>
      <c r="AJ130" t="str">
        <f>'Space Types'!BP133</f>
        <v/>
      </c>
      <c r="AK130" t="str">
        <f>'Space Types'!BT133</f>
        <v/>
      </c>
      <c r="AL130" t="str">
        <f>'Space Types'!BU133</f>
        <v/>
      </c>
      <c r="AM130">
        <f>'Space Types'!BX133</f>
        <v>0</v>
      </c>
      <c r="AN130" t="str">
        <f>'Space Types'!CC133</f>
        <v>NCC S34C2(6)0.7 ACH assumed as design infiltration for periods without mechanical outdoor air supply; NCC also specifies 0.35 ACH when mechanical OA is operating (to be applied via infiltration schedule once developed)Space Function_Sports arena - court c2Infil</v>
      </c>
      <c r="AO130" t="str">
        <f>'Space Types'!CD133</f>
        <v>Always On</v>
      </c>
      <c r="AP130">
        <f>'Space Types'!CG133</f>
        <v>0</v>
      </c>
      <c r="AQ130">
        <f>'Space Types'!CH133</f>
        <v>0.23</v>
      </c>
      <c r="AR130">
        <f>'Space Types'!CI133</f>
        <v>0</v>
      </c>
      <c r="AS130" t="str">
        <f>'Space Types'!CJ133</f>
        <v>MediumRough</v>
      </c>
      <c r="AT130">
        <f>'Space Types'!CK133</f>
        <v>2.1600000000000001E-2</v>
      </c>
      <c r="AU130">
        <f>'Space Types'!CL133</f>
        <v>3.077</v>
      </c>
      <c r="AV130">
        <f>'Space Types'!CM133</f>
        <v>438</v>
      </c>
      <c r="AW130">
        <f>'Space Types'!CN133</f>
        <v>1165</v>
      </c>
      <c r="AX130">
        <f>'Space Types'!CO133</f>
        <v>0.9</v>
      </c>
      <c r="AY130">
        <f>'Space Types'!CP133</f>
        <v>0.7</v>
      </c>
      <c r="AZ130">
        <f>'Space Types'!CQ133</f>
        <v>0.7</v>
      </c>
      <c r="BA130" t="str">
        <f>'Space Types'!CR133</f>
        <v>Mixed_SportsArena_PlayingArea_22mm</v>
      </c>
      <c r="BB130" t="str">
        <f>'Space Types'!CW133</f>
        <v>CalculatedEstimatePortableGoalsAndBenchesClassIIMixed_SportsArena_PlayingArea_22mmInternalMassDef</v>
      </c>
    </row>
    <row r="131" spans="1:54" x14ac:dyDescent="0.35">
      <c r="A131" t="str">
        <f>'Space Types'!A134</f>
        <v xml:space="preserve">SS Sports Arena Playing Area - Class III </v>
      </c>
      <c r="B131" t="str">
        <f>'Space Types'!B134</f>
        <v>2025_AU_NCC</v>
      </c>
      <c r="C131" t="str">
        <f>'Space Types'!C134</f>
        <v>Sports Arena</v>
      </c>
      <c r="D131" t="str">
        <f>'Space Types'!D134</f>
        <v>Playing Area - Class III</v>
      </c>
      <c r="E131">
        <f>'Space Types'!I134</f>
        <v>70</v>
      </c>
      <c r="F131">
        <f>'Space Types'!J134</f>
        <v>130</v>
      </c>
      <c r="G131">
        <f>'Space Types'!K134</f>
        <v>180</v>
      </c>
      <c r="H131" t="str">
        <f>'Space Types'!L134</f>
        <v>SS Sports Arena Playing Area - Class III _2025AUNCC</v>
      </c>
      <c r="I131" t="str">
        <f>'Space Types'!M134</f>
        <v>SS Sports Arena Playing Area - Class III _2025AUNCCScheduleSet</v>
      </c>
      <c r="J131">
        <f>'Space Types'!P134</f>
        <v>1.614587258</v>
      </c>
      <c r="K131">
        <f>'Space Types'!U134</f>
        <v>0</v>
      </c>
      <c r="L131">
        <f>'Space Types'!V134</f>
        <v>0</v>
      </c>
      <c r="M131">
        <f>'Space Types'!W134</f>
        <v>130</v>
      </c>
      <c r="N131">
        <f>'Space Types'!X134</f>
        <v>0.57692307700000001</v>
      </c>
      <c r="O131" t="str">
        <f>'Space Types'!AC134</f>
        <v>NCC S35C2nOther applications (non-dining)PeopleDef</v>
      </c>
      <c r="P131" t="str">
        <f>'Space Types'!AD134</f>
        <v>NECB-B-Occupancy</v>
      </c>
      <c r="Q131" t="str">
        <f>'Space Types'!AE134</f>
        <v>SS Sports Arena Playing Area - Class III Activity</v>
      </c>
      <c r="R131">
        <f>'Space Types'!AG134</f>
        <v>3.5394053798961773E-3</v>
      </c>
      <c r="S131">
        <f>'Space Types'!AI134</f>
        <v>3.0479999999999998E-4</v>
      </c>
      <c r="T131" t="str">
        <f>'Space Types'!AL134</f>
        <v/>
      </c>
      <c r="U131" t="str">
        <f>'Space Types'!AQ134</f>
        <v>Washington State Mechanical Code TABLE 403.3.1.1Sports and amusement - Spectator areasVent</v>
      </c>
      <c r="V131">
        <f>'Space Types'!AS134</f>
        <v>0</v>
      </c>
      <c r="W131">
        <f>'Space Types'!AT134</f>
        <v>0</v>
      </c>
      <c r="X131">
        <f>'Space Types'!AU134</f>
        <v>0.5</v>
      </c>
      <c r="Y131">
        <f>'Space Types'!AV134</f>
        <v>0</v>
      </c>
      <c r="Z131" t="str">
        <f>'Space Types'!AZ134</f>
        <v>NCC S35C2lClass 9b (Other applications) - no equipment load per S35C2l; radiant/latent/lost fraction split retained from original WA/COMNET-REV9 source (AIRAH Technical Handbook does not publish this split)SS Sports Arena Playing Area - Class III ElectricalEquipDef</v>
      </c>
      <c r="AA131" t="str">
        <f>'Space Types'!BA134</f>
        <v>NECB-B-Electric-Equipment</v>
      </c>
      <c r="AB131">
        <f>'Space Types'!BC134</f>
        <v>13.885439999999999</v>
      </c>
      <c r="AC131">
        <f>'Space Types'!BD134</f>
        <v>0.37</v>
      </c>
      <c r="AD131">
        <f>'Space Types'!BE134</f>
        <v>0.2</v>
      </c>
      <c r="AE131" t="str">
        <f>'Space Types'!BI134</f>
        <v>IECC Table C405.3.2(2)Sports arena - playing area, Class III facility; radiant/visible fraction split retained from original WA/COMNET-REV9 sourceLightingDef</v>
      </c>
      <c r="AF131" t="str">
        <f>'Space Types'!BJ134</f>
        <v>NECB-B-Lighting</v>
      </c>
      <c r="AG131" t="str">
        <f>'Space Types'!BM134</f>
        <v/>
      </c>
      <c r="AH131" t="str">
        <f>'Space Types'!BN134</f>
        <v/>
      </c>
      <c r="AI131" t="str">
        <f>'Space Types'!BO134</f>
        <v/>
      </c>
      <c r="AJ131" t="str">
        <f>'Space Types'!BP134</f>
        <v/>
      </c>
      <c r="AK131" t="str">
        <f>'Space Types'!BT134</f>
        <v/>
      </c>
      <c r="AL131" t="str">
        <f>'Space Types'!BU134</f>
        <v/>
      </c>
      <c r="AM131">
        <f>'Space Types'!BX134</f>
        <v>0</v>
      </c>
      <c r="AN131" t="str">
        <f>'Space Types'!CC134</f>
        <v>NCC S34C2(6)0.7 ACH assumed as design infiltration for periods without mechanical outdoor air supply; NCC also specifies 0.35 ACH when mechanical OA is operating (to be applied via infiltration schedule once developed)Space Function_Sports arena - court c3Infil</v>
      </c>
      <c r="AO131" t="str">
        <f>'Space Types'!CD134</f>
        <v>Always On</v>
      </c>
      <c r="AP131">
        <f>'Space Types'!CG134</f>
        <v>0</v>
      </c>
      <c r="AQ131">
        <f>'Space Types'!CH134</f>
        <v>0.23</v>
      </c>
      <c r="AR131">
        <f>'Space Types'!CI134</f>
        <v>0</v>
      </c>
      <c r="AS131" t="str">
        <f>'Space Types'!CJ134</f>
        <v>MediumRough</v>
      </c>
      <c r="AT131">
        <f>'Space Types'!CK134</f>
        <v>2.1600000000000001E-2</v>
      </c>
      <c r="AU131">
        <f>'Space Types'!CL134</f>
        <v>3.077</v>
      </c>
      <c r="AV131">
        <f>'Space Types'!CM134</f>
        <v>438</v>
      </c>
      <c r="AW131">
        <f>'Space Types'!CN134</f>
        <v>1165</v>
      </c>
      <c r="AX131">
        <f>'Space Types'!CO134</f>
        <v>0.9</v>
      </c>
      <c r="AY131">
        <f>'Space Types'!CP134</f>
        <v>0.7</v>
      </c>
      <c r="AZ131">
        <f>'Space Types'!CQ134</f>
        <v>0.7</v>
      </c>
      <c r="BA131" t="str">
        <f>'Space Types'!CR134</f>
        <v>Mixed_SportsArena_PlayingArea_22mm</v>
      </c>
      <c r="BB131" t="str">
        <f>'Space Types'!CW134</f>
        <v>CalculatedEstimatePortableGoalsAndBenchesClassIIIMixed_SportsArena_PlayingArea_22mmInternalMassDef</v>
      </c>
    </row>
    <row r="132" spans="1:54" x14ac:dyDescent="0.35">
      <c r="A132" t="str">
        <f>'Space Types'!A135</f>
        <v>SS Sports Arena Playing Area - Class IV</v>
      </c>
      <c r="B132" t="str">
        <f>'Space Types'!B135</f>
        <v>2025_AU_NCC</v>
      </c>
      <c r="C132" t="str">
        <f>'Space Types'!C135</f>
        <v>Sports Arena</v>
      </c>
      <c r="D132" t="str">
        <f>'Space Types'!D135</f>
        <v>Playing Area - Class IV</v>
      </c>
      <c r="E132">
        <f>'Space Types'!I135</f>
        <v>0</v>
      </c>
      <c r="F132">
        <f>'Space Types'!J135</f>
        <v>191</v>
      </c>
      <c r="G132">
        <f>'Space Types'!K135</f>
        <v>255</v>
      </c>
      <c r="H132" t="str">
        <f>'Space Types'!L135</f>
        <v>SS Sports Arena Playing Area - Class IV_2025AUNCC</v>
      </c>
      <c r="I132" t="str">
        <f>'Space Types'!M135</f>
        <v>SS Sports Arena Playing Area - Class IV_2025AUNCCScheduleSet</v>
      </c>
      <c r="J132">
        <f>'Space Types'!P135</f>
        <v>1.614587258</v>
      </c>
      <c r="K132">
        <f>'Space Types'!U135</f>
        <v>0</v>
      </c>
      <c r="L132">
        <f>'Space Types'!V135</f>
        <v>0</v>
      </c>
      <c r="M132">
        <f>'Space Types'!W135</f>
        <v>130</v>
      </c>
      <c r="N132">
        <f>'Space Types'!X135</f>
        <v>0.57692307700000001</v>
      </c>
      <c r="O132" t="str">
        <f>'Space Types'!AC135</f>
        <v>NCC S35C2nOther applications (non-dining)PeopleDef</v>
      </c>
      <c r="P132" t="str">
        <f>'Space Types'!AD135</f>
        <v>NECB-B-Occupancy</v>
      </c>
      <c r="Q132" t="str">
        <f>'Space Types'!AE135</f>
        <v>SS Sports Arena Playing Area - Class IVActivity</v>
      </c>
      <c r="R132">
        <f>'Space Types'!AG135</f>
        <v>3.5394053798961773E-3</v>
      </c>
      <c r="S132">
        <f>'Space Types'!AI135</f>
        <v>3.0479999999999998E-4</v>
      </c>
      <c r="T132" t="str">
        <f>'Space Types'!AL135</f>
        <v/>
      </c>
      <c r="U132" t="str">
        <f>'Space Types'!AQ135</f>
        <v>Washington State Mechanical Code TABLE 403.3.1.1Sports and amusement - Spectator areasVent</v>
      </c>
      <c r="V132">
        <f>'Space Types'!AS135</f>
        <v>0</v>
      </c>
      <c r="W132">
        <f>'Space Types'!AT135</f>
        <v>0</v>
      </c>
      <c r="X132">
        <f>'Space Types'!AU135</f>
        <v>0.5</v>
      </c>
      <c r="Y132">
        <f>'Space Types'!AV135</f>
        <v>0</v>
      </c>
      <c r="Z132" t="str">
        <f>'Space Types'!AZ135</f>
        <v>NCC S35C2lClass 9b (Other applications) - no equipment load per S35C2l; radiant/latent/lost fraction split retained from original WA/COMNET-REV9 source (AIRAH Technical Handbook does not publish this split)SS Sports Arena Playing Area - Class IVElectricalEquipDef</v>
      </c>
      <c r="AA132" t="str">
        <f>'Space Types'!BA135</f>
        <v>NECB-B-Electric-Equipment</v>
      </c>
      <c r="AB132">
        <f>'Space Types'!BC135</f>
        <v>9.2569599999999994</v>
      </c>
      <c r="AC132">
        <f>'Space Types'!BD135</f>
        <v>0.37</v>
      </c>
      <c r="AD132">
        <f>'Space Types'!BE135</f>
        <v>0.2</v>
      </c>
      <c r="AE132" t="str">
        <f>'Space Types'!BI135</f>
        <v>IECC Table C405.3.2(2)Sports arena - playing area, Class IV facility; radiant/visible fraction split retained from original WA/COMNET-REV9 sourceLightingDef</v>
      </c>
      <c r="AF132" t="str">
        <f>'Space Types'!BJ135</f>
        <v>NECB-B-Lighting</v>
      </c>
      <c r="AG132" t="str">
        <f>'Space Types'!BM135</f>
        <v/>
      </c>
      <c r="AH132" t="str">
        <f>'Space Types'!BN135</f>
        <v/>
      </c>
      <c r="AI132" t="str">
        <f>'Space Types'!BO135</f>
        <v/>
      </c>
      <c r="AJ132" t="str">
        <f>'Space Types'!BP135</f>
        <v/>
      </c>
      <c r="AK132" t="str">
        <f>'Space Types'!BT135</f>
        <v/>
      </c>
      <c r="AL132" t="str">
        <f>'Space Types'!BU135</f>
        <v/>
      </c>
      <c r="AM132">
        <f>'Space Types'!BX135</f>
        <v>0</v>
      </c>
      <c r="AN132" t="str">
        <f>'Space Types'!CC135</f>
        <v>NCC S34C2(6)0.7 ACH assumed as design infiltration for periods without mechanical outdoor air supply; NCC also specifies 0.35 ACH when mechanical OA is operating (to be applied via infiltration schedule once developed)Space Function_Sports arena - court c4Infil</v>
      </c>
      <c r="AO132" t="str">
        <f>'Space Types'!CD135</f>
        <v>Always On</v>
      </c>
      <c r="AP132">
        <f>'Space Types'!CG135</f>
        <v>0</v>
      </c>
      <c r="AQ132">
        <f>'Space Types'!CH135</f>
        <v>0.23</v>
      </c>
      <c r="AR132">
        <f>'Space Types'!CI135</f>
        <v>0</v>
      </c>
      <c r="AS132" t="str">
        <f>'Space Types'!CJ135</f>
        <v>MediumRough</v>
      </c>
      <c r="AT132">
        <f>'Space Types'!CK135</f>
        <v>2.1600000000000001E-2</v>
      </c>
      <c r="AU132">
        <f>'Space Types'!CL135</f>
        <v>3.077</v>
      </c>
      <c r="AV132">
        <f>'Space Types'!CM135</f>
        <v>438</v>
      </c>
      <c r="AW132">
        <f>'Space Types'!CN135</f>
        <v>1165</v>
      </c>
      <c r="AX132">
        <f>'Space Types'!CO135</f>
        <v>0.9</v>
      </c>
      <c r="AY132">
        <f>'Space Types'!CP135</f>
        <v>0.7</v>
      </c>
      <c r="AZ132">
        <f>'Space Types'!CQ135</f>
        <v>0.7</v>
      </c>
      <c r="BA132" t="str">
        <f>'Space Types'!CR135</f>
        <v>Mixed_SportsArena_PlayingArea_22mm</v>
      </c>
      <c r="BB132" t="str">
        <f>'Space Types'!CW135</f>
        <v>CalculatedEstimatePortableGoalsAndBenchesClassIVMixed_SportsArena_PlayingArea_22mmInternalMassDef</v>
      </c>
    </row>
    <row r="133" spans="1:54" x14ac:dyDescent="0.35">
      <c r="A133" t="str">
        <f>'Space Types'!A136</f>
        <v xml:space="preserve">SS Transportation - Baggage/Carousel Area  </v>
      </c>
      <c r="B133" t="str">
        <f>'Space Types'!B136</f>
        <v>2025_AU_NCC</v>
      </c>
      <c r="C133" t="str">
        <f>'Space Types'!C136</f>
        <v>Transportation Facility</v>
      </c>
      <c r="D133" t="str">
        <f>'Space Types'!D136</f>
        <v>Baggage/Carousel Area</v>
      </c>
      <c r="E133">
        <f>'Space Types'!I136</f>
        <v>135</v>
      </c>
      <c r="F133">
        <f>'Space Types'!J136</f>
        <v>206</v>
      </c>
      <c r="G133">
        <f>'Space Types'!K136</f>
        <v>250</v>
      </c>
      <c r="H133" t="str">
        <f>'Space Types'!L136</f>
        <v>SS Transportation - Baggage/Carousel Area  _2025AUNCC</v>
      </c>
      <c r="I133" t="str">
        <f>'Space Types'!M136</f>
        <v>SS Transportation - Baggage/Carousel Area  _2025AUNCCScheduleSet</v>
      </c>
      <c r="J133">
        <f>'Space Types'!P136</f>
        <v>1.0763915049999999</v>
      </c>
      <c r="K133">
        <f>'Space Types'!U136</f>
        <v>0</v>
      </c>
      <c r="L133">
        <f>'Space Types'!V136</f>
        <v>0</v>
      </c>
      <c r="M133">
        <f>'Space Types'!W136</f>
        <v>130</v>
      </c>
      <c r="N133">
        <f>'Space Types'!X136</f>
        <v>0.57692307700000001</v>
      </c>
      <c r="O133" t="str">
        <f>'Space Types'!AC136</f>
        <v>NCC S35C2nOther applications (non-dining)PeopleDef</v>
      </c>
      <c r="P133" t="str">
        <f>'Space Types'!AD136</f>
        <v>NECB-H-Occupancy</v>
      </c>
      <c r="Q133" t="str">
        <f>'Space Types'!AE136</f>
        <v>SS Transportation - Baggage/Carousel Area  Activity</v>
      </c>
      <c r="R133">
        <f>'Space Types'!AG136</f>
        <v>3.5394053798961773E-3</v>
      </c>
      <c r="S133">
        <f>'Space Types'!AI136</f>
        <v>3.0479999999999998E-4</v>
      </c>
      <c r="T133" t="str">
        <f>'Space Types'!AL136</f>
        <v/>
      </c>
      <c r="U133" t="str">
        <f>'Space Types'!AQ136</f>
        <v>Washington State Mechanical Code TABLE 403.3.1.1Transportation - Transportation waitingVent</v>
      </c>
      <c r="V133">
        <f>'Space Types'!AS136</f>
        <v>0</v>
      </c>
      <c r="W133">
        <f>'Space Types'!AT136</f>
        <v>0</v>
      </c>
      <c r="X133">
        <f>'Space Types'!AU136</f>
        <v>0.5</v>
      </c>
      <c r="Y133">
        <f>'Space Types'!AV136</f>
        <v>0</v>
      </c>
      <c r="Z133" t="str">
        <f>'Space Types'!AZ136</f>
        <v>NCC S35C2lClass 9b (Other applications) - no equipment load per S35C2l; radiant/latent/lost fraction split retained from original WA/COMNET-REV9 source (AIRAH Technical Handbook does not publish this split)SS Transportation - Baggage/Carousel Area  ElectricalEquipDef</v>
      </c>
      <c r="AA133" t="str">
        <f>'Space Types'!BA136</f>
        <v>NECB-H-Electric-Equipment</v>
      </c>
      <c r="AB133">
        <f>'Space Types'!BC136</f>
        <v>3.01389</v>
      </c>
      <c r="AC133">
        <f>'Space Types'!BD136</f>
        <v>0.37</v>
      </c>
      <c r="AD133">
        <f>'Space Types'!BE136</f>
        <v>0.2</v>
      </c>
      <c r="AE133" t="str">
        <f>'Space Types'!BI136</f>
        <v>IECC Table C405.3.2(2)Transportation facility - in a baggage/carousel area; radiant/visible fraction split retained from original WA/COMNET-REV9 sourceLightingDef</v>
      </c>
      <c r="AF133" t="str">
        <f>'Space Types'!BJ136</f>
        <v>NECB-H-Lighting</v>
      </c>
      <c r="AG133" t="str">
        <f>'Space Types'!BM136</f>
        <v/>
      </c>
      <c r="AH133" t="str">
        <f>'Space Types'!BN136</f>
        <v/>
      </c>
      <c r="AI133" t="str">
        <f>'Space Types'!BO136</f>
        <v/>
      </c>
      <c r="AJ133" t="str">
        <f>'Space Types'!BP136</f>
        <v/>
      </c>
      <c r="AK133" t="str">
        <f>'Space Types'!BT136</f>
        <v/>
      </c>
      <c r="AL133" t="str">
        <f>'Space Types'!BU136</f>
        <v/>
      </c>
      <c r="AM133">
        <f>'Space Types'!BX136</f>
        <v>0</v>
      </c>
      <c r="AN133" t="str">
        <f>'Space Types'!CC136</f>
        <v>NCC S34C2(6)0.7 ACH assumed as design infiltration for periods without mechanical outdoor air supply; NCC also specifies 0.35 ACH when mechanical OA is operating (to be applied via infiltration schedule once developed)Space Function_Transp. baggageInfil</v>
      </c>
      <c r="AO133" t="str">
        <f>'Space Types'!CD136</f>
        <v>Always On</v>
      </c>
      <c r="AP133">
        <f>'Space Types'!CG136</f>
        <v>0</v>
      </c>
      <c r="AQ133">
        <f>'Space Types'!CH136</f>
        <v>0.98</v>
      </c>
      <c r="AR133">
        <f>'Space Types'!CI136</f>
        <v>0</v>
      </c>
      <c r="AS133" t="str">
        <f>'Space Types'!CJ136</f>
        <v>MediumRough</v>
      </c>
      <c r="AT133">
        <f>'Space Types'!CK136</f>
        <v>4.4999999999999997E-3</v>
      </c>
      <c r="AU133">
        <f>'Space Types'!CL136</f>
        <v>37.619999999999997</v>
      </c>
      <c r="AV133">
        <f>'Space Types'!CM136</f>
        <v>3363</v>
      </c>
      <c r="AW133">
        <f>'Space Types'!CN136</f>
        <v>670</v>
      </c>
      <c r="AX133">
        <f>'Space Types'!CO136</f>
        <v>0.9</v>
      </c>
      <c r="AY133">
        <f>'Space Types'!CP136</f>
        <v>0.7</v>
      </c>
      <c r="AZ133">
        <f>'Space Types'!CQ136</f>
        <v>0.7</v>
      </c>
      <c r="BA133" t="str">
        <f>'Space Types'!CR136</f>
        <v>Mixed_Transportation_BaggageCarousel_5mm</v>
      </c>
      <c r="BB133" t="str">
        <f>'Space Types'!CW136</f>
        <v>CalculatedEstimateCarouselsAndBaggageCartsMixed_Transportation_BaggageCarousel_5mmInternalMassDef</v>
      </c>
    </row>
    <row r="134" spans="1:54" x14ac:dyDescent="0.35">
      <c r="A134" t="str">
        <f>'Space Types'!A137</f>
        <v>SS Transportation - Concourse</v>
      </c>
      <c r="B134" t="str">
        <f>'Space Types'!B137</f>
        <v>2025_AU_NCC</v>
      </c>
      <c r="C134" t="str">
        <f>'Space Types'!C137</f>
        <v>Transportation Facility</v>
      </c>
      <c r="D134" t="str">
        <f>'Space Types'!D137</f>
        <v>Concourse</v>
      </c>
      <c r="E134">
        <f>'Space Types'!I137</f>
        <v>138</v>
      </c>
      <c r="F134">
        <f>'Space Types'!J137</f>
        <v>43</v>
      </c>
      <c r="G134">
        <f>'Space Types'!K137</f>
        <v>226</v>
      </c>
      <c r="H134" t="str">
        <f>'Space Types'!L137</f>
        <v>SS Transportation - Concourse_2025AUNCC</v>
      </c>
      <c r="I134" t="str">
        <f>'Space Types'!M137</f>
        <v>SS Transportation - Concourse_2025AUNCCScheduleSet</v>
      </c>
      <c r="J134">
        <f>'Space Types'!P137</f>
        <v>1.0763915049999999</v>
      </c>
      <c r="K134">
        <f>'Space Types'!U137</f>
        <v>0</v>
      </c>
      <c r="L134">
        <f>'Space Types'!V137</f>
        <v>0</v>
      </c>
      <c r="M134">
        <f>'Space Types'!W137</f>
        <v>130</v>
      </c>
      <c r="N134">
        <f>'Space Types'!X137</f>
        <v>0.57692307700000001</v>
      </c>
      <c r="O134" t="str">
        <f>'Space Types'!AC137</f>
        <v>NCC S35C2nOther applications (non-dining)PeopleDef</v>
      </c>
      <c r="P134" t="str">
        <f>'Space Types'!AD137</f>
        <v>NECB-H-Occupancy</v>
      </c>
      <c r="Q134" t="str">
        <f>'Space Types'!AE137</f>
        <v>SS Transportation - ConcourseActivity</v>
      </c>
      <c r="R134">
        <f>'Space Types'!AG137</f>
        <v>3.5394053798961773E-3</v>
      </c>
      <c r="S134">
        <f>'Space Types'!AI137</f>
        <v>3.0479999999999998E-4</v>
      </c>
      <c r="T134" t="str">
        <f>'Space Types'!AL137</f>
        <v/>
      </c>
      <c r="U134" t="str">
        <f>'Space Types'!AQ137</f>
        <v>Washington State Mechanical Code TABLE 403.3.1.1Transportation - Transportation waitingVent</v>
      </c>
      <c r="V134">
        <f>'Space Types'!AS137</f>
        <v>0</v>
      </c>
      <c r="W134">
        <f>'Space Types'!AT137</f>
        <v>0</v>
      </c>
      <c r="X134">
        <f>'Space Types'!AU137</f>
        <v>0.5</v>
      </c>
      <c r="Y134">
        <f>'Space Types'!AV137</f>
        <v>0</v>
      </c>
      <c r="Z134" t="str">
        <f>'Space Types'!AZ137</f>
        <v>NCC S35C2lClass 9b (Other applications) - no equipment load per S35C2l; radiant/latent/lost fraction split retained from original WA/COMNET-REV9 source (AIRAH Technical Handbook does not publish this split)SS Transportation - ConcourseElectricalEquipDef</v>
      </c>
      <c r="AA134" t="str">
        <f>'Space Types'!BA137</f>
        <v>NECB-H-Electric-Equipment</v>
      </c>
      <c r="AB134">
        <f>'Space Types'!BC137</f>
        <v>5</v>
      </c>
      <c r="AC134">
        <f>'Space Types'!BD137</f>
        <v>0.37</v>
      </c>
      <c r="AD134">
        <f>'Space Types'!BE137</f>
        <v>0.2</v>
      </c>
      <c r="AE134" t="str">
        <f>'Space Types'!BI137</f>
        <v>NCC J7D3aCorridors (concourse circulation); radiant/visible fraction split retained from original WA/COMNET-REV9 source (AIRAH Technical Handbook does not publish this split)LightingDef</v>
      </c>
      <c r="AF134" t="str">
        <f>'Space Types'!BJ137</f>
        <v>NECB-H-Lighting</v>
      </c>
      <c r="AG134" t="str">
        <f>'Space Types'!BM137</f>
        <v/>
      </c>
      <c r="AH134" t="str">
        <f>'Space Types'!BN137</f>
        <v/>
      </c>
      <c r="AI134" t="str">
        <f>'Space Types'!BO137</f>
        <v/>
      </c>
      <c r="AJ134" t="str">
        <f>'Space Types'!BP137</f>
        <v/>
      </c>
      <c r="AK134" t="str">
        <f>'Space Types'!BT137</f>
        <v/>
      </c>
      <c r="AL134" t="str">
        <f>'Space Types'!BU137</f>
        <v/>
      </c>
      <c r="AM134">
        <f>'Space Types'!BX137</f>
        <v>0</v>
      </c>
      <c r="AN134" t="str">
        <f>'Space Types'!CC137</f>
        <v>NCC S34C2(6)0.7 ACH assumed as design infiltration for periods without mechanical outdoor air supply; NCC also specifies 0.35 ACH when mechanical OA is operating (to be applied via infiltration schedule once developed)Space Function_Transp. concourseInfil</v>
      </c>
      <c r="AO134" t="str">
        <f>'Space Types'!CD137</f>
        <v>Always On</v>
      </c>
      <c r="AP134">
        <f>'Space Types'!CG137</f>
        <v>0</v>
      </c>
      <c r="AQ134">
        <f>'Space Types'!CH137</f>
        <v>0.37</v>
      </c>
      <c r="AR134">
        <f>'Space Types'!CI137</f>
        <v>0</v>
      </c>
      <c r="AS134" t="str">
        <f>'Space Types'!CJ137</f>
        <v>MediumRough</v>
      </c>
      <c r="AT134">
        <f>'Space Types'!CK137</f>
        <v>5.0000000000000001E-3</v>
      </c>
      <c r="AU134">
        <f>'Space Types'!CL137</f>
        <v>35.72</v>
      </c>
      <c r="AV134">
        <f>'Space Types'!CM137</f>
        <v>2081</v>
      </c>
      <c r="AW134">
        <f>'Space Types'!CN137</f>
        <v>857</v>
      </c>
      <c r="AX134">
        <f>'Space Types'!CO137</f>
        <v>0.9</v>
      </c>
      <c r="AY134">
        <f>'Space Types'!CP137</f>
        <v>0.7</v>
      </c>
      <c r="AZ134">
        <f>'Space Types'!CQ137</f>
        <v>0.7</v>
      </c>
      <c r="BA134" t="str">
        <f>'Space Types'!CR137</f>
        <v>Mixed_Transportation_Concourse_5mm</v>
      </c>
      <c r="BB134" t="str">
        <f>'Space Types'!CW137</f>
        <v>CalculatedEstimateGateSeatingKiosksAndWalkwayMixed_Transportation_Concourse_5mmInternalMassDef</v>
      </c>
    </row>
    <row r="135" spans="1:54" x14ac:dyDescent="0.35">
      <c r="A135" t="str">
        <f>'Space Types'!A138</f>
        <v>SS Transportation - Ticket Counter</v>
      </c>
      <c r="B135" t="str">
        <f>'Space Types'!B138</f>
        <v>2025_AU_NCC</v>
      </c>
      <c r="C135" t="str">
        <f>'Space Types'!C138</f>
        <v>Transportation Facility</v>
      </c>
      <c r="D135" t="str">
        <f>'Space Types'!D138</f>
        <v>Ticket Counter</v>
      </c>
      <c r="E135">
        <f>'Space Types'!I138</f>
        <v>32</v>
      </c>
      <c r="F135">
        <f>'Space Types'!J138</f>
        <v>178</v>
      </c>
      <c r="G135">
        <f>'Space Types'!K138</f>
        <v>170</v>
      </c>
      <c r="H135" t="str">
        <f>'Space Types'!L138</f>
        <v>SS Transportation - Ticket Counter_2025AUNCC</v>
      </c>
      <c r="I135" t="str">
        <f>'Space Types'!M138</f>
        <v>SS Transportation - Ticket Counter_2025AUNCCScheduleSet</v>
      </c>
      <c r="J135">
        <f>'Space Types'!P138</f>
        <v>0.64583490300000002</v>
      </c>
      <c r="K135">
        <f>'Space Types'!U138</f>
        <v>0</v>
      </c>
      <c r="L135">
        <f>'Space Types'!V138</f>
        <v>0</v>
      </c>
      <c r="M135">
        <f>'Space Types'!W138</f>
        <v>130</v>
      </c>
      <c r="N135">
        <f>'Space Types'!X138</f>
        <v>0.57692307700000001</v>
      </c>
      <c r="O135" t="str">
        <f>'Space Types'!AC138</f>
        <v>NCC S35C2nOther applications (non-dining)PeopleDef</v>
      </c>
      <c r="P135" t="str">
        <f>'Space Types'!AD138</f>
        <v>NECB-H-Occupancy</v>
      </c>
      <c r="Q135" t="str">
        <f>'Space Types'!AE138</f>
        <v>SS Transportation - Ticket CounterActivity</v>
      </c>
      <c r="R135">
        <f>'Space Types'!AG138</f>
        <v>2.3596035865974517E-3</v>
      </c>
      <c r="S135">
        <f>'Space Types'!AI138</f>
        <v>3.0479999999999998E-4</v>
      </c>
      <c r="T135" t="str">
        <f>'Space Types'!AL138</f>
        <v/>
      </c>
      <c r="U135" t="str">
        <f>'Space Types'!AQ138</f>
        <v>Washington State Mechanical Code TABLE 403.3.1.1Theaters - Ticket boothsVent</v>
      </c>
      <c r="V135">
        <f>'Space Types'!AS138</f>
        <v>0</v>
      </c>
      <c r="W135">
        <f>'Space Types'!AT138</f>
        <v>0</v>
      </c>
      <c r="X135">
        <f>'Space Types'!AU138</f>
        <v>0.5</v>
      </c>
      <c r="Y135">
        <f>'Space Types'!AV138</f>
        <v>0</v>
      </c>
      <c r="Z135" t="str">
        <f>'Space Types'!AZ138</f>
        <v>NCC S35C2lClass 9b (Other applications) - no equipment load per S35C2l; radiant/latent/lost fraction split retained from original WA/COMNET-REV9 source (AIRAH Technical Handbook does not publish this split)SS Transportation - Ticket CounterElectricalEquipDef</v>
      </c>
      <c r="AA135" t="str">
        <f>'Space Types'!BA138</f>
        <v>NECB-H-Electric-Equipment</v>
      </c>
      <c r="AB135">
        <f>'Space Types'!BC138</f>
        <v>4.5</v>
      </c>
      <c r="AC135">
        <f>'Space Types'!BD138</f>
        <v>0.37</v>
      </c>
      <c r="AD135">
        <f>'Space Types'!BE138</f>
        <v>0.2</v>
      </c>
      <c r="AE135" t="str">
        <f>'Space Types'!BI138</f>
        <v>NCC J7D3aOffice - artificially lit to &gt;= 200 lux (counter fit); radiant/visible fraction split retained from original WA/COMNET-REV9 source (AIRAH Technical Handbook does not publish this split)LightingDef</v>
      </c>
      <c r="AF135" t="str">
        <f>'Space Types'!BJ138</f>
        <v>NECB-H-Lighting</v>
      </c>
      <c r="AG135" t="str">
        <f>'Space Types'!BM138</f>
        <v/>
      </c>
      <c r="AH135" t="str">
        <f>'Space Types'!BN138</f>
        <v/>
      </c>
      <c r="AI135" t="str">
        <f>'Space Types'!BO138</f>
        <v/>
      </c>
      <c r="AJ135" t="str">
        <f>'Space Types'!BP138</f>
        <v/>
      </c>
      <c r="AK135" t="str">
        <f>'Space Types'!BT138</f>
        <v/>
      </c>
      <c r="AL135" t="str">
        <f>'Space Types'!BU138</f>
        <v/>
      </c>
      <c r="AM135">
        <f>'Space Types'!BX138</f>
        <v>0</v>
      </c>
      <c r="AN135" t="str">
        <f>'Space Types'!CC138</f>
        <v>NCC S34C2(6)0.7 ACH assumed as design infiltration for periods without mechanical outdoor air supply; NCC also specifies 0.35 ACH when mechanical OA is operating (to be applied via infiltration schedule once developed)Space Function_Transp. counterInfil</v>
      </c>
      <c r="AO135" t="str">
        <f>'Space Types'!CD138</f>
        <v>Always On</v>
      </c>
      <c r="AP135">
        <f>'Space Types'!CG138</f>
        <v>0</v>
      </c>
      <c r="AQ135">
        <f>'Space Types'!CH138</f>
        <v>1.07</v>
      </c>
      <c r="AR135">
        <f>'Space Types'!CI138</f>
        <v>0</v>
      </c>
      <c r="AS135" t="str">
        <f>'Space Types'!CJ138</f>
        <v>MediumRough</v>
      </c>
      <c r="AT135">
        <f>'Space Types'!CK138</f>
        <v>1.0500000000000001E-2</v>
      </c>
      <c r="AU135">
        <f>'Space Types'!CL138</f>
        <v>5.1719999999999997</v>
      </c>
      <c r="AV135">
        <f>'Space Types'!CM138</f>
        <v>1374</v>
      </c>
      <c r="AW135">
        <f>'Space Types'!CN138</f>
        <v>952</v>
      </c>
      <c r="AX135">
        <f>'Space Types'!CO138</f>
        <v>0.9</v>
      </c>
      <c r="AY135">
        <f>'Space Types'!CP138</f>
        <v>0.7</v>
      </c>
      <c r="AZ135">
        <f>'Space Types'!CQ138</f>
        <v>0.7</v>
      </c>
      <c r="BA135" t="str">
        <f>'Space Types'!CR138</f>
        <v>Mixed_Transportation_TicketCounter_11mm</v>
      </c>
      <c r="BB135" t="str">
        <f>'Space Types'!CW138</f>
        <v>CalculatedEstimateGraniteCountersAndQueueStanchionsMixed_Transportation_TicketCounter_11mmInternalMassDef</v>
      </c>
    </row>
    <row r="136" spans="1:54" x14ac:dyDescent="0.35">
      <c r="A136" t="str">
        <f>'Space Types'!A139</f>
        <v>SS Warehouse - Medium/Bulky Items on Pallets</v>
      </c>
      <c r="B136" t="str">
        <f>'Space Types'!B139</f>
        <v>2025_AU_NCC</v>
      </c>
      <c r="C136" t="str">
        <f>'Space Types'!C139</f>
        <v>Warehouse</v>
      </c>
      <c r="D136" t="str">
        <f>'Space Types'!D139</f>
        <v>Medium/Bulky Items on Pallets</v>
      </c>
      <c r="E136">
        <f>'Space Types'!I139</f>
        <v>220</v>
      </c>
      <c r="F136">
        <f>'Space Types'!J139</f>
        <v>20</v>
      </c>
      <c r="G136">
        <f>'Space Types'!K139</f>
        <v>60</v>
      </c>
      <c r="H136" t="str">
        <f>'Space Types'!L139</f>
        <v>SS Warehouse - Medium/Bulky Items on Pallets_2025AUNCC</v>
      </c>
      <c r="I136" t="str">
        <f>'Space Types'!M139</f>
        <v>SS Warehouse - Medium/Bulky Items on Pallets_2025AUNCCScheduleSet</v>
      </c>
      <c r="J136">
        <f>'Space Types'!P139</f>
        <v>0</v>
      </c>
      <c r="K136">
        <f>'Space Types'!U139</f>
        <v>0</v>
      </c>
      <c r="L136">
        <f>'Space Types'!V139</f>
        <v>0</v>
      </c>
      <c r="M136">
        <f>'Space Types'!W139</f>
        <v>130</v>
      </c>
      <c r="N136">
        <f>'Space Types'!X139</f>
        <v>0.57692307700000001</v>
      </c>
      <c r="O136" t="str">
        <f>'Space Types'!AC139</f>
        <v/>
      </c>
      <c r="P136" t="str">
        <f>'Space Types'!AD139</f>
        <v/>
      </c>
      <c r="Q136" t="str">
        <f>'Space Types'!AE139</f>
        <v/>
      </c>
      <c r="R136">
        <f>'Space Types'!AG139</f>
        <v>4.7192071731949033E-3</v>
      </c>
      <c r="S136">
        <f>'Space Types'!AI139</f>
        <v>3.0479999999999998E-4</v>
      </c>
      <c r="T136" t="str">
        <f>'Space Types'!AL139</f>
        <v/>
      </c>
      <c r="U136" t="str">
        <f>'Space Types'!AQ139</f>
        <v>Washington State Mechanical Code TABLE 403.3.1.1Retail stores, sales floors, and showroom floors - Warehouses (see Storage)Vent</v>
      </c>
      <c r="V136">
        <f>'Space Types'!AS139</f>
        <v>0</v>
      </c>
      <c r="W136">
        <f>'Space Types'!AT139</f>
        <v>0</v>
      </c>
      <c r="X136">
        <f>'Space Types'!AU139</f>
        <v>0.5</v>
      </c>
      <c r="Y136">
        <f>'Space Types'!AV139</f>
        <v>0</v>
      </c>
      <c r="Z136" t="str">
        <f>'Space Types'!AZ139</f>
        <v>NCC S35C2lClass 7b (Other applications) - no equipment load per S35C2l; radiant/latent/lost fraction split retained from original WA/COMNET-REV9 source (AIRAH Technical Handbook does not publish this split)SS Warehouse - Medium/Bulky Items on PalletsElectricalEquipDef</v>
      </c>
      <c r="AA136" t="str">
        <f>'Space Types'!BA139</f>
        <v>NECB-A-Electric-Equipment</v>
      </c>
      <c r="AB136">
        <f>'Space Types'!BC139</f>
        <v>4</v>
      </c>
      <c r="AC136">
        <f>'Space Types'!BD139</f>
        <v>0.37</v>
      </c>
      <c r="AD136">
        <f>'Space Types'!BE139</f>
        <v>0.2</v>
      </c>
      <c r="AE136" t="str">
        <f>'Space Types'!BI139</f>
        <v>NCC J7D3aWholesale storage area with a vertical illuminance target of 160 lx; radiant/visible fraction split retained from original WA/COMNET-REV9 source (AIRAH Technical Handbook does not publish this split)LightingDef</v>
      </c>
      <c r="AF136" t="str">
        <f>'Space Types'!BJ139</f>
        <v>NECB-A-Lighting</v>
      </c>
      <c r="AG136" t="str">
        <f>'Space Types'!BM139</f>
        <v/>
      </c>
      <c r="AH136" t="str">
        <f>'Space Types'!BN139</f>
        <v/>
      </c>
      <c r="AI136" t="str">
        <f>'Space Types'!BO139</f>
        <v/>
      </c>
      <c r="AJ136" t="str">
        <f>'Space Types'!BP139</f>
        <v/>
      </c>
      <c r="AK136" t="str">
        <f>'Space Types'!BT139</f>
        <v/>
      </c>
      <c r="AL136" t="str">
        <f>'Space Types'!BU139</f>
        <v/>
      </c>
      <c r="AM136">
        <f>'Space Types'!BX139</f>
        <v>0</v>
      </c>
      <c r="AN136" t="str">
        <f>'Space Types'!CC139</f>
        <v>NCC S34C2(6)0.7 ACH assumed as design infiltration for periods without mechanical outdoor air supply; NCC also specifies 0.35 ACH when mechanical OA is operating (to be applied via infiltration schedule once developed)Space Function_Warehouse - med/blkInfil</v>
      </c>
      <c r="AO136" t="str">
        <f>'Space Types'!CD139</f>
        <v>Always On</v>
      </c>
      <c r="AP136">
        <f>'Space Types'!CG139</f>
        <v>0</v>
      </c>
      <c r="AQ136">
        <f>'Space Types'!CH139</f>
        <v>1.1499999999999999</v>
      </c>
      <c r="AR136">
        <f>'Space Types'!CI139</f>
        <v>0</v>
      </c>
      <c r="AS136" t="str">
        <f>'Space Types'!CJ139</f>
        <v>MediumRough</v>
      </c>
      <c r="AT136">
        <f>'Space Types'!CK139</f>
        <v>4.6399999999999997E-2</v>
      </c>
      <c r="AU136">
        <f>'Space Types'!CL139</f>
        <v>2.7890000000000001</v>
      </c>
      <c r="AV136">
        <f>'Space Types'!CM139</f>
        <v>1088</v>
      </c>
      <c r="AW136">
        <f>'Space Types'!CN139</f>
        <v>1158</v>
      </c>
      <c r="AX136">
        <f>'Space Types'!CO139</f>
        <v>0.9</v>
      </c>
      <c r="AY136">
        <f>'Space Types'!CP139</f>
        <v>0.7</v>
      </c>
      <c r="AZ136">
        <f>'Space Types'!CQ139</f>
        <v>0.7</v>
      </c>
      <c r="BA136" t="str">
        <f>'Space Types'!CR139</f>
        <v>Mixed_Warehouse_PalletItems_46mm</v>
      </c>
      <c r="BB136" t="str">
        <f>'Space Types'!CW139</f>
        <v>CalculatedEstimatePalletRackingAndStoredGoodsMixed_Warehouse_PalletItems_46mmInternalMassDef</v>
      </c>
    </row>
    <row r="137" spans="1:54" x14ac:dyDescent="0.35">
      <c r="A137" t="str">
        <f>'Space Types'!A140</f>
        <v>SS Warehouse - Smaller Hand Carried Items</v>
      </c>
      <c r="B137" t="str">
        <f>'Space Types'!B140</f>
        <v>2025_AU_NCC</v>
      </c>
      <c r="C137" t="str">
        <f>'Space Types'!C140</f>
        <v>Warehouse</v>
      </c>
      <c r="D137" t="str">
        <f>'Space Types'!D140</f>
        <v>Smaller Hand Carried Items</v>
      </c>
      <c r="E137">
        <f>'Space Types'!I140</f>
        <v>255</v>
      </c>
      <c r="F137">
        <f>'Space Types'!J140</f>
        <v>160</v>
      </c>
      <c r="G137">
        <f>'Space Types'!K140</f>
        <v>122</v>
      </c>
      <c r="H137" t="str">
        <f>'Space Types'!L140</f>
        <v>SS Warehouse - Smaller Hand Carried Items_2025AUNCC</v>
      </c>
      <c r="I137" t="str">
        <f>'Space Types'!M140</f>
        <v>SS Warehouse - Smaller Hand Carried Items_2025AUNCCScheduleSet</v>
      </c>
      <c r="J137">
        <f>'Space Types'!P140</f>
        <v>0</v>
      </c>
      <c r="K137">
        <f>'Space Types'!U140</f>
        <v>0</v>
      </c>
      <c r="L137">
        <f>'Space Types'!V140</f>
        <v>0</v>
      </c>
      <c r="M137">
        <f>'Space Types'!W140</f>
        <v>130</v>
      </c>
      <c r="N137">
        <f>'Space Types'!X140</f>
        <v>0.57692307700000001</v>
      </c>
      <c r="O137" t="str">
        <f>'Space Types'!AC140</f>
        <v/>
      </c>
      <c r="P137" t="str">
        <f>'Space Types'!AD140</f>
        <v/>
      </c>
      <c r="Q137" t="str">
        <f>'Space Types'!AE140</f>
        <v/>
      </c>
      <c r="R137">
        <f>'Space Types'!AG140</f>
        <v>4.7192071731949033E-3</v>
      </c>
      <c r="S137">
        <f>'Space Types'!AI140</f>
        <v>3.0479999999999998E-4</v>
      </c>
      <c r="T137" t="str">
        <f>'Space Types'!AL140</f>
        <v/>
      </c>
      <c r="U137" t="str">
        <f>'Space Types'!AQ140</f>
        <v>Washington State Mechanical Code TABLE 403.3.1.1Retail stores, sales floors, and showroom floors - Warehouses (see Storage)Vent</v>
      </c>
      <c r="V137">
        <f>'Space Types'!AS140</f>
        <v>0</v>
      </c>
      <c r="W137">
        <f>'Space Types'!AT140</f>
        <v>0</v>
      </c>
      <c r="X137">
        <f>'Space Types'!AU140</f>
        <v>0.5</v>
      </c>
      <c r="Y137">
        <f>'Space Types'!AV140</f>
        <v>0</v>
      </c>
      <c r="Z137" t="str">
        <f>'Space Types'!AZ140</f>
        <v>NCC S35C2lClass 7b (Other applications) - no equipment load per S35C2l; radiant/latent/lost fraction split retained from original WA/COMNET-REV9 source (AIRAH Technical Handbook does not publish this split)SS Warehouse - Smaller Hand Carried ItemsElectricalEquipDef</v>
      </c>
      <c r="AA137" t="str">
        <f>'Space Types'!BA140</f>
        <v>NECB-A-Electric-Equipment</v>
      </c>
      <c r="AB137">
        <f>'Space Types'!BC140</f>
        <v>4</v>
      </c>
      <c r="AC137">
        <f>'Space Types'!BD140</f>
        <v>0.37</v>
      </c>
      <c r="AD137">
        <f>'Space Types'!BE140</f>
        <v>0.2</v>
      </c>
      <c r="AE137" t="str">
        <f>'Space Types'!BI140</f>
        <v>NCC J7D3aWholesale storage area with a vertical illuminance target of 160 lx; radiant/visible fraction split retained from original WA/COMNET-REV9 source (AIRAH Technical Handbook does not publish this split)LightingDef</v>
      </c>
      <c r="AF137" t="str">
        <f>'Space Types'!BJ140</f>
        <v>NECB-A-Lighting</v>
      </c>
      <c r="AG137" t="str">
        <f>'Space Types'!BM140</f>
        <v/>
      </c>
      <c r="AH137" t="str">
        <f>'Space Types'!BN140</f>
        <v/>
      </c>
      <c r="AI137" t="str">
        <f>'Space Types'!BO140</f>
        <v/>
      </c>
      <c r="AJ137" t="str">
        <f>'Space Types'!BP140</f>
        <v/>
      </c>
      <c r="AK137" t="str">
        <f>'Space Types'!BT140</f>
        <v/>
      </c>
      <c r="AL137" t="str">
        <f>'Space Types'!BU140</f>
        <v/>
      </c>
      <c r="AM137">
        <f>'Space Types'!BX140</f>
        <v>0</v>
      </c>
      <c r="AN137" t="str">
        <f>'Space Types'!CC140</f>
        <v>NCC S34C2(6)0.7 ACH assumed as design infiltration for periods without mechanical outdoor air supply; NCC also specifies 0.35 ACH when mechanical OA is operating (to be applied via infiltration schedule once developed)Space Function_Warehouse - fineInfil</v>
      </c>
      <c r="AO137" t="str">
        <f>'Space Types'!CD140</f>
        <v>Always On</v>
      </c>
      <c r="AP137">
        <f>'Space Types'!CG140</f>
        <v>0</v>
      </c>
      <c r="AQ137">
        <f>'Space Types'!CH140</f>
        <v>1.92</v>
      </c>
      <c r="AR137">
        <f>'Space Types'!CI140</f>
        <v>0</v>
      </c>
      <c r="AS137" t="str">
        <f>'Space Types'!CJ140</f>
        <v>MediumRough</v>
      </c>
      <c r="AT137">
        <f>'Space Types'!CK140</f>
        <v>1.01E-2</v>
      </c>
      <c r="AU137">
        <f>'Space Types'!CL140</f>
        <v>4.0730000000000004</v>
      </c>
      <c r="AV137">
        <f>'Space Types'!CM140</f>
        <v>1303</v>
      </c>
      <c r="AW137">
        <f>'Space Types'!CN140</f>
        <v>1027</v>
      </c>
      <c r="AX137">
        <f>'Space Types'!CO140</f>
        <v>0.9</v>
      </c>
      <c r="AY137">
        <f>'Space Types'!CP140</f>
        <v>0.7</v>
      </c>
      <c r="AZ137">
        <f>'Space Types'!CQ140</f>
        <v>0.7</v>
      </c>
      <c r="BA137" t="str">
        <f>'Space Types'!CR140</f>
        <v>Mixed_Warehouse_HandCarryItems_10mm</v>
      </c>
      <c r="BB137" t="str">
        <f>'Space Types'!CW140</f>
        <v>CalculatedEstimateBoltlessShelvingAndBinStorageMixed_Warehouse_HandCarryItems_10mmInternalMassDef</v>
      </c>
    </row>
    <row r="138" spans="1:54" x14ac:dyDescent="0.35">
      <c r="A138" t="str">
        <f>'Space Types'!A141</f>
        <v>CS Food Preparation - Electric Cooking</v>
      </c>
      <c r="B138" t="str">
        <f>'Space Types'!B141</f>
        <v>2025_AU_NCC</v>
      </c>
      <c r="C138" t="str">
        <f>'Space Types'!C141</f>
        <v>Commercial Kitchen</v>
      </c>
      <c r="D138" t="str">
        <f>'Space Types'!D141</f>
        <v>Food Preparation - Electric Cooking</v>
      </c>
      <c r="E138">
        <f>'Space Types'!I141</f>
        <v>255</v>
      </c>
      <c r="F138">
        <f>'Space Types'!J141</f>
        <v>178</v>
      </c>
      <c r="G138">
        <f>'Space Types'!K141</f>
        <v>102</v>
      </c>
      <c r="H138" t="str">
        <f>'Space Types'!L141</f>
        <v>CS Food Preparation - Electric Cooking_2025AUNCC</v>
      </c>
      <c r="I138" t="str">
        <f>'Space Types'!M141</f>
        <v>CS Food Preparation - Electric Cooking_2025AUNCCScheduleSet</v>
      </c>
      <c r="J138">
        <f>'Space Types'!P141</f>
        <v>0.21527830100000001</v>
      </c>
      <c r="K138">
        <f>'Space Types'!U141</f>
        <v>0</v>
      </c>
      <c r="L138">
        <f>'Space Types'!V141</f>
        <v>0</v>
      </c>
      <c r="M138">
        <f>'Space Types'!W141</f>
        <v>130</v>
      </c>
      <c r="N138">
        <f>'Space Types'!X141</f>
        <v>0.57692307700000001</v>
      </c>
      <c r="O138" t="str">
        <f>'Space Types'!AC141</f>
        <v>NCC S35C2nOther applications (non-dining)PeopleDef</v>
      </c>
      <c r="P138" t="str">
        <f>'Space Types'!AD141</f>
        <v>NECB-B-Occupancy</v>
      </c>
      <c r="Q138" t="str">
        <f>'Space Types'!AE141</f>
        <v>CS Food Preparation - Electric CookingActivity</v>
      </c>
      <c r="R138">
        <f>'Space Types'!AG141</f>
        <v>3.5394053798961773E-3</v>
      </c>
      <c r="S138">
        <f>'Space Types'!AI141</f>
        <v>6.0959999999999996E-4</v>
      </c>
      <c r="T138" t="str">
        <f>'Space Types'!AL141</f>
        <v/>
      </c>
      <c r="U138" t="str">
        <f>'Space Types'!AQ141</f>
        <v>Washington State Mechanical Code TABLE 403.3.1.1Food and beverage service_Kitchens (cooking)Vent</v>
      </c>
      <c r="V138">
        <f>'Space Types'!AS141</f>
        <v>110.6324182</v>
      </c>
      <c r="W138">
        <f>'Space Types'!AT141</f>
        <v>0.25</v>
      </c>
      <c r="X138">
        <f>'Space Types'!AU141</f>
        <v>0.3</v>
      </c>
      <c r="Y138">
        <f>'Space Types'!AV141</f>
        <v>0.2</v>
      </c>
      <c r="Z138" t="str">
        <f>'Space Types'!AZ141</f>
        <v>COMNET-REV9California Commercial End-Use Survey (CEUS)DOEPrototypeCS Food Preparation - Electric CookingElectricalEquipDef</v>
      </c>
      <c r="AA138" t="str">
        <f>'Space Types'!BA141</f>
        <v>NECB-B-Electric-Equipment</v>
      </c>
      <c r="AB138">
        <f>'Space Types'!BC141</f>
        <v>4</v>
      </c>
      <c r="AC138">
        <f>'Space Types'!BD141</f>
        <v>0.37</v>
      </c>
      <c r="AD138">
        <f>'Space Types'!BE141</f>
        <v>0.2</v>
      </c>
      <c r="AE138" t="str">
        <f>'Space Types'!BI141</f>
        <v>NCC J7D3aKitchen and food preparation area; radiant/visible fraction split retained from original WA/COMNET-REV9 source (AIRAH Technical Handbook does not publish this split)LightingDef</v>
      </c>
      <c r="AF138" t="str">
        <f>'Space Types'!BJ141</f>
        <v>NECB-B-Lighting</v>
      </c>
      <c r="AG138" t="str">
        <f>'Space Types'!BM141</f>
        <v/>
      </c>
      <c r="AH138" t="str">
        <f>'Space Types'!BN141</f>
        <v/>
      </c>
      <c r="AI138" t="str">
        <f>'Space Types'!BO141</f>
        <v/>
      </c>
      <c r="AJ138" t="str">
        <f>'Space Types'!BP141</f>
        <v/>
      </c>
      <c r="AK138" t="str">
        <f>'Space Types'!BT141</f>
        <v/>
      </c>
      <c r="AL138" t="str">
        <f>'Space Types'!BU141</f>
        <v/>
      </c>
      <c r="AM138">
        <f>'Space Types'!BX141</f>
        <v>0</v>
      </c>
      <c r="AN138" t="str">
        <f>'Space Types'!CC141</f>
        <v>NCC S34C2(6)0.7 ACH assumed as design infiltration for periods without mechanical outdoor air supply; NCC also specifies 0.35 ACH when mechanical OA is operating (to be applied via infiltration schedule once developed)Space Function_Food preparationInfil</v>
      </c>
      <c r="AO138" t="str">
        <f>'Space Types'!CD141</f>
        <v>Always On</v>
      </c>
      <c r="AP138">
        <f>'Space Types'!CG141</f>
        <v>0</v>
      </c>
      <c r="AQ138">
        <f>'Space Types'!CH141</f>
        <v>1.6</v>
      </c>
      <c r="AR138">
        <f>'Space Types'!CI141</f>
        <v>0</v>
      </c>
      <c r="AS138" t="str">
        <f>'Space Types'!CJ141</f>
        <v>MediumRough</v>
      </c>
      <c r="AT138">
        <f>'Space Types'!CK141</f>
        <v>6.3E-3</v>
      </c>
      <c r="AU138">
        <f>'Space Types'!CL141</f>
        <v>16.8</v>
      </c>
      <c r="AV138">
        <f>'Space Types'!CM141</f>
        <v>2640</v>
      </c>
      <c r="AW138">
        <f>'Space Types'!CN141</f>
        <v>512</v>
      </c>
      <c r="AX138">
        <f>'Space Types'!CO141</f>
        <v>0.9</v>
      </c>
      <c r="AY138">
        <f>'Space Types'!CP141</f>
        <v>0.7</v>
      </c>
      <c r="AZ138">
        <f>'Space Types'!CQ141</f>
        <v>0.7</v>
      </c>
      <c r="BA138" t="str">
        <f>'Space Types'!CR141</f>
        <v>Mixed_FoodPrep_ElectricCooking_6mm</v>
      </c>
      <c r="BB138" t="str">
        <f>'Space Types'!CW141</f>
        <v>CalculatedEstimateCommercialKitchenEquipmentSameAsGasCookingMixed_FoodPrep_ElectricCooking_6mmInternalMassDef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592C-76AB-4192-9F77-B62491CDF03E}">
  <dimension ref="A1:AF3505"/>
  <sheetViews>
    <sheetView topLeftCell="O1" workbookViewId="0">
      <pane ySplit="3" topLeftCell="A2821" activePane="bottomLeft" state="frozen"/>
      <selection pane="bottomLeft" activeCell="P2825" sqref="A1:AF3505"/>
    </sheetView>
  </sheetViews>
  <sheetFormatPr defaultColWidth="15.08984375" defaultRowHeight="15" customHeight="1" x14ac:dyDescent="0.35"/>
  <cols>
    <col min="1" max="1" width="75.36328125" style="9" customWidth="1"/>
    <col min="2" max="2" width="30.7265625" style="9" customWidth="1"/>
    <col min="3" max="3" width="5.90625" style="9" customWidth="1"/>
    <col min="4" max="4" width="26.36328125" style="9" customWidth="1"/>
    <col min="5" max="5" width="8.36328125" style="9" customWidth="1"/>
    <col min="6" max="6" width="7.453125" style="9" customWidth="1"/>
    <col min="7" max="7" width="7.36328125" style="9" customWidth="1"/>
    <col min="8" max="8" width="11.26953125" style="9" customWidth="1"/>
    <col min="9" max="12" width="10.36328125" style="9" customWidth="1"/>
    <col min="13" max="29" width="11.26953125" style="9" customWidth="1"/>
    <col min="30" max="31" width="12.26953125" style="9" customWidth="1"/>
    <col min="32" max="32" width="30.26953125" style="9" customWidth="1"/>
    <col min="33" max="16384" width="15.08984375" style="9"/>
  </cols>
  <sheetData>
    <row r="1" spans="1:32" ht="14.25" customHeight="1" x14ac:dyDescent="0.35">
      <c r="A1" s="9" t="s">
        <v>373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2" ht="14.25" customHeight="1" x14ac:dyDescent="0.35">
      <c r="D2" s="9" t="s">
        <v>374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2" ht="35.25" customHeight="1" x14ac:dyDescent="0.35">
      <c r="A3" s="11" t="s">
        <v>375</v>
      </c>
      <c r="B3" s="11" t="s">
        <v>376</v>
      </c>
      <c r="C3" s="11" t="s">
        <v>377</v>
      </c>
      <c r="D3" s="11" t="s">
        <v>378</v>
      </c>
      <c r="E3" s="11" t="s">
        <v>379</v>
      </c>
      <c r="F3" s="11" t="s">
        <v>380</v>
      </c>
      <c r="G3" s="11" t="s">
        <v>381</v>
      </c>
      <c r="H3" s="12" t="s">
        <v>382</v>
      </c>
      <c r="I3" s="12" t="s">
        <v>383</v>
      </c>
      <c r="J3" s="12" t="s">
        <v>384</v>
      </c>
      <c r="K3" s="12" t="s">
        <v>385</v>
      </c>
      <c r="L3" s="12" t="s">
        <v>386</v>
      </c>
      <c r="M3" s="12" t="s">
        <v>387</v>
      </c>
      <c r="N3" s="12" t="s">
        <v>388</v>
      </c>
      <c r="O3" s="12" t="s">
        <v>389</v>
      </c>
      <c r="P3" s="12" t="s">
        <v>390</v>
      </c>
      <c r="Q3" s="12" t="s">
        <v>391</v>
      </c>
      <c r="R3" s="12" t="s">
        <v>392</v>
      </c>
      <c r="S3" s="12" t="s">
        <v>393</v>
      </c>
      <c r="T3" s="12" t="s">
        <v>394</v>
      </c>
      <c r="U3" s="12" t="s">
        <v>395</v>
      </c>
      <c r="V3" s="12" t="s">
        <v>396</v>
      </c>
      <c r="W3" s="12" t="s">
        <v>397</v>
      </c>
      <c r="X3" s="12" t="s">
        <v>398</v>
      </c>
      <c r="Y3" s="12" t="s">
        <v>399</v>
      </c>
      <c r="Z3" s="12" t="s">
        <v>400</v>
      </c>
      <c r="AA3" s="12" t="s">
        <v>401</v>
      </c>
      <c r="AB3" s="12" t="s">
        <v>402</v>
      </c>
      <c r="AC3" s="12" t="s">
        <v>403</v>
      </c>
      <c r="AD3" s="12" t="s">
        <v>404</v>
      </c>
      <c r="AE3" s="12" t="s">
        <v>405</v>
      </c>
      <c r="AF3" s="13" t="s">
        <v>406</v>
      </c>
    </row>
    <row r="4" spans="1:32" ht="14.25" customHeight="1" x14ac:dyDescent="0.35">
      <c r="A4" s="14" t="s">
        <v>407</v>
      </c>
      <c r="B4" s="16" t="s">
        <v>416</v>
      </c>
      <c r="C4" s="16"/>
      <c r="D4" s="16" t="s">
        <v>417</v>
      </c>
      <c r="E4" s="17">
        <v>41640</v>
      </c>
      <c r="F4" s="17">
        <v>42004</v>
      </c>
      <c r="G4" s="16" t="s">
        <v>415</v>
      </c>
      <c r="H4" s="16">
        <v>0.05</v>
      </c>
      <c r="I4" s="16">
        <v>0.05</v>
      </c>
      <c r="J4" s="16">
        <v>0.05</v>
      </c>
      <c r="K4" s="16">
        <v>0.05</v>
      </c>
      <c r="L4" s="16">
        <v>0.1</v>
      </c>
      <c r="M4" s="16">
        <v>0.2</v>
      </c>
      <c r="N4" s="16">
        <v>0.4</v>
      </c>
      <c r="O4" s="16">
        <v>0.5</v>
      </c>
      <c r="P4" s="16">
        <v>0.5</v>
      </c>
      <c r="Q4" s="16">
        <v>0.35</v>
      </c>
      <c r="R4" s="16">
        <v>0.15</v>
      </c>
      <c r="S4" s="16">
        <v>0.15</v>
      </c>
      <c r="T4" s="16">
        <v>0.15</v>
      </c>
      <c r="U4" s="16">
        <v>0.15</v>
      </c>
      <c r="V4" s="16">
        <v>0.15</v>
      </c>
      <c r="W4" s="16">
        <v>0.15</v>
      </c>
      <c r="X4" s="16">
        <v>0.35</v>
      </c>
      <c r="Y4" s="16">
        <v>0.5</v>
      </c>
      <c r="Z4" s="16">
        <v>0.5</v>
      </c>
      <c r="AA4" s="16">
        <v>0.4</v>
      </c>
      <c r="AB4" s="16">
        <v>0.4</v>
      </c>
      <c r="AC4" s="16">
        <v>0.3</v>
      </c>
      <c r="AD4" s="16">
        <v>0.2</v>
      </c>
      <c r="AE4" s="16">
        <v>0.1</v>
      </c>
      <c r="AF4" s="16" t="s">
        <v>413</v>
      </c>
    </row>
    <row r="5" spans="1:32" ht="14.25" customHeight="1" x14ac:dyDescent="0.35">
      <c r="A5" s="14" t="s">
        <v>407</v>
      </c>
      <c r="B5" s="16" t="s">
        <v>416</v>
      </c>
      <c r="C5" s="16"/>
      <c r="D5" s="16" t="s">
        <v>419</v>
      </c>
      <c r="E5" s="17">
        <v>41640</v>
      </c>
      <c r="F5" s="17">
        <v>42004</v>
      </c>
      <c r="G5" s="16" t="s">
        <v>410</v>
      </c>
      <c r="H5" s="16">
        <v>0.5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 t="s">
        <v>413</v>
      </c>
    </row>
    <row r="6" spans="1:32" ht="14.25" customHeight="1" x14ac:dyDescent="0.35">
      <c r="A6" s="14" t="s">
        <v>407</v>
      </c>
      <c r="B6" s="14" t="s">
        <v>416</v>
      </c>
      <c r="C6" s="14"/>
      <c r="D6" s="14" t="s">
        <v>418</v>
      </c>
      <c r="E6" s="15">
        <v>41640</v>
      </c>
      <c r="F6" s="15">
        <v>42004</v>
      </c>
      <c r="G6" s="14" t="s">
        <v>410</v>
      </c>
      <c r="H6" s="14">
        <v>0.05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 t="s">
        <v>413</v>
      </c>
    </row>
    <row r="7" spans="1:32" ht="14.25" customHeight="1" x14ac:dyDescent="0.35">
      <c r="A7" s="14" t="s">
        <v>407</v>
      </c>
      <c r="B7" s="14" t="s">
        <v>420</v>
      </c>
      <c r="C7" s="14" t="s">
        <v>414</v>
      </c>
      <c r="D7" s="14" t="s">
        <v>417</v>
      </c>
      <c r="E7" s="15">
        <v>41640</v>
      </c>
      <c r="F7" s="15">
        <v>42004</v>
      </c>
      <c r="G7" s="14" t="s">
        <v>410</v>
      </c>
      <c r="H7" s="14">
        <v>29.4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 t="s">
        <v>413</v>
      </c>
    </row>
    <row r="8" spans="1:32" ht="14.25" customHeight="1" x14ac:dyDescent="0.35">
      <c r="A8" s="14" t="s">
        <v>407</v>
      </c>
      <c r="B8" s="14" t="s">
        <v>420</v>
      </c>
      <c r="C8" s="14" t="s">
        <v>414</v>
      </c>
      <c r="D8" s="14" t="s">
        <v>417</v>
      </c>
      <c r="E8" s="15">
        <v>41640</v>
      </c>
      <c r="F8" s="15">
        <v>42004</v>
      </c>
      <c r="G8" s="14" t="s">
        <v>410</v>
      </c>
      <c r="H8" s="14">
        <v>23.9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 t="s">
        <v>413</v>
      </c>
    </row>
    <row r="9" spans="1:32" ht="14.25" customHeight="1" x14ac:dyDescent="0.35">
      <c r="A9" s="14" t="s">
        <v>407</v>
      </c>
      <c r="B9" s="14" t="s">
        <v>420</v>
      </c>
      <c r="C9" s="14" t="s">
        <v>414</v>
      </c>
      <c r="D9" s="14" t="s">
        <v>417</v>
      </c>
      <c r="E9" s="15">
        <v>41640</v>
      </c>
      <c r="F9" s="15">
        <v>42004</v>
      </c>
      <c r="G9" s="14" t="s">
        <v>410</v>
      </c>
      <c r="H9" s="14">
        <v>29.4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 t="s">
        <v>413</v>
      </c>
    </row>
    <row r="10" spans="1:32" ht="14.25" customHeight="1" x14ac:dyDescent="0.35">
      <c r="A10" s="14" t="s">
        <v>407</v>
      </c>
      <c r="B10" s="14" t="s">
        <v>420</v>
      </c>
      <c r="C10" s="14" t="s">
        <v>414</v>
      </c>
      <c r="D10" s="14" t="s">
        <v>417</v>
      </c>
      <c r="E10" s="15">
        <v>41640</v>
      </c>
      <c r="F10" s="15">
        <v>42004</v>
      </c>
      <c r="G10" s="14" t="s">
        <v>410</v>
      </c>
      <c r="H10" s="14">
        <v>29.4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 t="s">
        <v>413</v>
      </c>
    </row>
    <row r="11" spans="1:32" ht="14.25" customHeight="1" x14ac:dyDescent="0.35">
      <c r="A11" s="14" t="s">
        <v>407</v>
      </c>
      <c r="B11" s="14" t="s">
        <v>420</v>
      </c>
      <c r="C11" s="14" t="s">
        <v>414</v>
      </c>
      <c r="D11" s="14" t="s">
        <v>409</v>
      </c>
      <c r="E11" s="15">
        <v>41640</v>
      </c>
      <c r="F11" s="15">
        <v>42004</v>
      </c>
      <c r="G11" s="14" t="s">
        <v>410</v>
      </c>
      <c r="H11" s="14">
        <v>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 t="s">
        <v>413</v>
      </c>
    </row>
    <row r="12" spans="1:32" ht="14.25" customHeight="1" x14ac:dyDescent="0.35">
      <c r="A12" s="14" t="s">
        <v>407</v>
      </c>
      <c r="B12" s="16" t="s">
        <v>420</v>
      </c>
      <c r="C12" s="16" t="s">
        <v>414</v>
      </c>
      <c r="D12" s="16" t="s">
        <v>409</v>
      </c>
      <c r="E12" s="17">
        <v>41640</v>
      </c>
      <c r="F12" s="17">
        <v>42004</v>
      </c>
      <c r="G12" s="16" t="s">
        <v>410</v>
      </c>
      <c r="H12" s="16">
        <v>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 t="s">
        <v>413</v>
      </c>
    </row>
    <row r="13" spans="1:32" ht="14.25" customHeight="1" x14ac:dyDescent="0.35">
      <c r="A13" s="14" t="s">
        <v>407</v>
      </c>
      <c r="B13" s="16" t="s">
        <v>420</v>
      </c>
      <c r="C13" s="16" t="s">
        <v>414</v>
      </c>
      <c r="D13" s="16" t="s">
        <v>421</v>
      </c>
      <c r="E13" s="17">
        <v>41640</v>
      </c>
      <c r="F13" s="17">
        <v>42004</v>
      </c>
      <c r="G13" s="16" t="s">
        <v>415</v>
      </c>
      <c r="H13" s="16">
        <v>29.4</v>
      </c>
      <c r="I13" s="16">
        <v>29.4</v>
      </c>
      <c r="J13" s="16">
        <v>29.4</v>
      </c>
      <c r="K13" s="16">
        <v>29.4</v>
      </c>
      <c r="L13" s="16">
        <v>29.4</v>
      </c>
      <c r="M13" s="16">
        <v>29.4</v>
      </c>
      <c r="N13" s="16">
        <v>29.4</v>
      </c>
      <c r="O13" s="16">
        <v>26.7</v>
      </c>
      <c r="P13" s="16">
        <v>23.9</v>
      </c>
      <c r="Q13" s="16">
        <v>23.9</v>
      </c>
      <c r="R13" s="16">
        <v>23.9</v>
      </c>
      <c r="S13" s="16">
        <v>23.9</v>
      </c>
      <c r="T13" s="16">
        <v>23.9</v>
      </c>
      <c r="U13" s="16">
        <v>23.9</v>
      </c>
      <c r="V13" s="16">
        <v>23.9</v>
      </c>
      <c r="W13" s="16">
        <v>23.9</v>
      </c>
      <c r="X13" s="16">
        <v>23.9</v>
      </c>
      <c r="Y13" s="16">
        <v>26.7</v>
      </c>
      <c r="Z13" s="16">
        <v>29.4</v>
      </c>
      <c r="AA13" s="16">
        <v>29.4</v>
      </c>
      <c r="AB13" s="16">
        <v>29.4</v>
      </c>
      <c r="AC13" s="16">
        <v>29.4</v>
      </c>
      <c r="AD13" s="16">
        <v>29.4</v>
      </c>
      <c r="AE13" s="16">
        <v>29.4</v>
      </c>
      <c r="AF13" s="16" t="s">
        <v>413</v>
      </c>
    </row>
    <row r="14" spans="1:32" ht="14.25" customHeight="1" x14ac:dyDescent="0.35">
      <c r="A14" s="14" t="s">
        <v>407</v>
      </c>
      <c r="B14" s="16" t="s">
        <v>420</v>
      </c>
      <c r="C14" s="16" t="s">
        <v>414</v>
      </c>
      <c r="D14" s="16" t="s">
        <v>421</v>
      </c>
      <c r="E14" s="17">
        <v>41640</v>
      </c>
      <c r="F14" s="17">
        <v>42004</v>
      </c>
      <c r="G14" s="16" t="s">
        <v>415</v>
      </c>
      <c r="H14" s="16">
        <v>29.4</v>
      </c>
      <c r="I14" s="16">
        <v>29.4</v>
      </c>
      <c r="J14" s="16">
        <v>29.4</v>
      </c>
      <c r="K14" s="16">
        <v>29.4</v>
      </c>
      <c r="L14" s="16">
        <v>29.4</v>
      </c>
      <c r="M14" s="16">
        <v>29.4</v>
      </c>
      <c r="N14" s="16">
        <v>29.4</v>
      </c>
      <c r="O14" s="16">
        <v>26.7</v>
      </c>
      <c r="P14" s="16">
        <v>23.9</v>
      </c>
      <c r="Q14" s="16">
        <v>23.9</v>
      </c>
      <c r="R14" s="16">
        <v>23.9</v>
      </c>
      <c r="S14" s="16">
        <v>23.9</v>
      </c>
      <c r="T14" s="16">
        <v>23.9</v>
      </c>
      <c r="U14" s="16">
        <v>23.9</v>
      </c>
      <c r="V14" s="16">
        <v>23.9</v>
      </c>
      <c r="W14" s="16">
        <v>23.9</v>
      </c>
      <c r="X14" s="16">
        <v>23.9</v>
      </c>
      <c r="Y14" s="16">
        <v>26.7</v>
      </c>
      <c r="Z14" s="16">
        <v>29.4</v>
      </c>
      <c r="AA14" s="16">
        <v>29.4</v>
      </c>
      <c r="AB14" s="16">
        <v>29.4</v>
      </c>
      <c r="AC14" s="16">
        <v>29.4</v>
      </c>
      <c r="AD14" s="16">
        <v>29.4</v>
      </c>
      <c r="AE14" s="16">
        <v>29.4</v>
      </c>
      <c r="AF14" s="16" t="s">
        <v>413</v>
      </c>
    </row>
    <row r="15" spans="1:32" ht="14.25" customHeight="1" x14ac:dyDescent="0.35">
      <c r="A15" s="14" t="s">
        <v>407</v>
      </c>
      <c r="B15" s="16" t="s">
        <v>420</v>
      </c>
      <c r="C15" s="16" t="s">
        <v>414</v>
      </c>
      <c r="D15" s="16" t="s">
        <v>421</v>
      </c>
      <c r="E15" s="17">
        <v>41640</v>
      </c>
      <c r="F15" s="17">
        <v>42004</v>
      </c>
      <c r="G15" s="16" t="s">
        <v>415</v>
      </c>
      <c r="H15" s="16">
        <v>29.4</v>
      </c>
      <c r="I15" s="16">
        <v>29.4</v>
      </c>
      <c r="J15" s="16">
        <v>29.4</v>
      </c>
      <c r="K15" s="16">
        <v>29.4</v>
      </c>
      <c r="L15" s="16">
        <v>29.4</v>
      </c>
      <c r="M15" s="16">
        <v>29.4</v>
      </c>
      <c r="N15" s="16">
        <v>29.4</v>
      </c>
      <c r="O15" s="16">
        <v>26.7</v>
      </c>
      <c r="P15" s="16">
        <v>23.9</v>
      </c>
      <c r="Q15" s="16">
        <v>23.9</v>
      </c>
      <c r="R15" s="16">
        <v>23.9</v>
      </c>
      <c r="S15" s="16">
        <v>23.9</v>
      </c>
      <c r="T15" s="16">
        <v>23.9</v>
      </c>
      <c r="U15" s="16">
        <v>23.9</v>
      </c>
      <c r="V15" s="16">
        <v>23.9</v>
      </c>
      <c r="W15" s="16">
        <v>23.9</v>
      </c>
      <c r="X15" s="16">
        <v>23.9</v>
      </c>
      <c r="Y15" s="16">
        <v>26.7</v>
      </c>
      <c r="Z15" s="16">
        <v>29.4</v>
      </c>
      <c r="AA15" s="16">
        <v>29.4</v>
      </c>
      <c r="AB15" s="16">
        <v>29.4</v>
      </c>
      <c r="AC15" s="16">
        <v>29.4</v>
      </c>
      <c r="AD15" s="16">
        <v>29.4</v>
      </c>
      <c r="AE15" s="16">
        <v>29.4</v>
      </c>
      <c r="AF15" s="16" t="s">
        <v>413</v>
      </c>
    </row>
    <row r="16" spans="1:32" ht="14.25" customHeight="1" x14ac:dyDescent="0.35">
      <c r="A16" s="14" t="s">
        <v>407</v>
      </c>
      <c r="B16" s="16" t="s">
        <v>420</v>
      </c>
      <c r="C16" s="16" t="s">
        <v>414</v>
      </c>
      <c r="D16" s="16" t="s">
        <v>421</v>
      </c>
      <c r="E16" s="17">
        <v>41640</v>
      </c>
      <c r="F16" s="17">
        <v>42004</v>
      </c>
      <c r="G16" s="16" t="s">
        <v>415</v>
      </c>
      <c r="H16" s="16">
        <v>29.4</v>
      </c>
      <c r="I16" s="16">
        <v>29.4</v>
      </c>
      <c r="J16" s="16">
        <v>29.4</v>
      </c>
      <c r="K16" s="16">
        <v>29.4</v>
      </c>
      <c r="L16" s="16">
        <v>29.4</v>
      </c>
      <c r="M16" s="16">
        <v>29.4</v>
      </c>
      <c r="N16" s="16">
        <v>29.4</v>
      </c>
      <c r="O16" s="16">
        <v>26.7</v>
      </c>
      <c r="P16" s="16">
        <v>23.9</v>
      </c>
      <c r="Q16" s="16">
        <v>23.9</v>
      </c>
      <c r="R16" s="16">
        <v>23.9</v>
      </c>
      <c r="S16" s="16">
        <v>23.9</v>
      </c>
      <c r="T16" s="16">
        <v>23.9</v>
      </c>
      <c r="U16" s="16">
        <v>23.9</v>
      </c>
      <c r="V16" s="16">
        <v>23.9</v>
      </c>
      <c r="W16" s="16">
        <v>23.9</v>
      </c>
      <c r="X16" s="16">
        <v>23.9</v>
      </c>
      <c r="Y16" s="16">
        <v>26.7</v>
      </c>
      <c r="Z16" s="16">
        <v>29.4</v>
      </c>
      <c r="AA16" s="16">
        <v>29.4</v>
      </c>
      <c r="AB16" s="16">
        <v>29.4</v>
      </c>
      <c r="AC16" s="16">
        <v>29.4</v>
      </c>
      <c r="AD16" s="16">
        <v>29.4</v>
      </c>
      <c r="AE16" s="16">
        <v>29.4</v>
      </c>
      <c r="AF16" s="16" t="s">
        <v>413</v>
      </c>
    </row>
    <row r="17" spans="1:32" ht="14.25" customHeight="1" x14ac:dyDescent="0.35">
      <c r="A17" s="14" t="s">
        <v>407</v>
      </c>
      <c r="B17" s="14" t="s">
        <v>408</v>
      </c>
      <c r="C17" s="14"/>
      <c r="D17" s="14" t="s">
        <v>409</v>
      </c>
      <c r="E17" s="15">
        <v>41640</v>
      </c>
      <c r="F17" s="15">
        <v>42004</v>
      </c>
      <c r="G17" s="14" t="s">
        <v>410</v>
      </c>
      <c r="H17" s="14">
        <v>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 t="s">
        <v>411</v>
      </c>
    </row>
    <row r="18" spans="1:32" ht="14.25" customHeight="1" x14ac:dyDescent="0.35">
      <c r="A18" s="14" t="s">
        <v>407</v>
      </c>
      <c r="B18" s="16" t="s">
        <v>408</v>
      </c>
      <c r="C18" s="16"/>
      <c r="D18" s="16" t="s">
        <v>409</v>
      </c>
      <c r="E18" s="17">
        <v>41640</v>
      </c>
      <c r="F18" s="17">
        <v>42004</v>
      </c>
      <c r="G18" s="16" t="s">
        <v>410</v>
      </c>
      <c r="H18" s="16">
        <v>1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 t="s">
        <v>411</v>
      </c>
    </row>
    <row r="19" spans="1:32" ht="14.25" customHeight="1" x14ac:dyDescent="0.35">
      <c r="A19" s="14" t="s">
        <v>407</v>
      </c>
      <c r="B19" s="14" t="s">
        <v>408</v>
      </c>
      <c r="C19" s="14"/>
      <c r="D19" s="14" t="s">
        <v>409</v>
      </c>
      <c r="E19" s="15">
        <v>41640</v>
      </c>
      <c r="F19" s="15">
        <v>42004</v>
      </c>
      <c r="G19" s="14" t="s">
        <v>410</v>
      </c>
      <c r="H19" s="14">
        <v>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 t="s">
        <v>413</v>
      </c>
    </row>
    <row r="20" spans="1:32" ht="14.25" customHeight="1" x14ac:dyDescent="0.35">
      <c r="A20" s="14" t="s">
        <v>407</v>
      </c>
      <c r="B20" s="16" t="s">
        <v>408</v>
      </c>
      <c r="C20" s="16"/>
      <c r="D20" s="16" t="s">
        <v>409</v>
      </c>
      <c r="E20" s="17">
        <v>41640</v>
      </c>
      <c r="F20" s="17">
        <v>42004</v>
      </c>
      <c r="G20" s="16" t="s">
        <v>410</v>
      </c>
      <c r="H20" s="16">
        <v>1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 t="s">
        <v>413</v>
      </c>
    </row>
    <row r="21" spans="1:32" ht="14.25" customHeight="1" x14ac:dyDescent="0.35">
      <c r="A21" s="14" t="s">
        <v>407</v>
      </c>
      <c r="B21" s="14" t="s">
        <v>408</v>
      </c>
      <c r="C21" s="14"/>
      <c r="D21" s="14" t="s">
        <v>409</v>
      </c>
      <c r="E21" s="15">
        <v>41640</v>
      </c>
      <c r="F21" s="15">
        <v>42004</v>
      </c>
      <c r="G21" s="14" t="s">
        <v>410</v>
      </c>
      <c r="H21" s="14">
        <v>1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 t="s">
        <v>413</v>
      </c>
    </row>
    <row r="22" spans="1:32" ht="14.25" customHeight="1" x14ac:dyDescent="0.35">
      <c r="A22" s="14" t="s">
        <v>407</v>
      </c>
      <c r="B22" s="16" t="s">
        <v>408</v>
      </c>
      <c r="C22" s="16" t="s">
        <v>414</v>
      </c>
      <c r="D22" s="16" t="s">
        <v>409</v>
      </c>
      <c r="E22" s="17">
        <v>41640</v>
      </c>
      <c r="F22" s="17">
        <v>42004</v>
      </c>
      <c r="G22" s="16" t="s">
        <v>410</v>
      </c>
      <c r="H22" s="16">
        <v>22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 t="s">
        <v>413</v>
      </c>
    </row>
    <row r="23" spans="1:32" ht="14.25" customHeight="1" x14ac:dyDescent="0.35">
      <c r="A23" s="14" t="s">
        <v>407</v>
      </c>
      <c r="B23" s="14" t="s">
        <v>408</v>
      </c>
      <c r="C23" s="14"/>
      <c r="D23" s="14" t="s">
        <v>409</v>
      </c>
      <c r="E23" s="15">
        <v>41640</v>
      </c>
      <c r="F23" s="15">
        <v>42004</v>
      </c>
      <c r="G23" s="14" t="s">
        <v>415</v>
      </c>
      <c r="H23" s="14">
        <v>0.08</v>
      </c>
      <c r="I23" s="14">
        <v>0.04</v>
      </c>
      <c r="J23" s="14">
        <v>0.01</v>
      </c>
      <c r="K23" s="14">
        <v>0.01</v>
      </c>
      <c r="L23" s="14">
        <v>0.04</v>
      </c>
      <c r="M23" s="14">
        <v>0.27</v>
      </c>
      <c r="N23" s="14">
        <v>0.94</v>
      </c>
      <c r="O23" s="14">
        <v>1</v>
      </c>
      <c r="P23" s="14">
        <v>0.96</v>
      </c>
      <c r="Q23" s="14">
        <v>0.84</v>
      </c>
      <c r="R23" s="14">
        <v>0.76</v>
      </c>
      <c r="S23" s="14">
        <v>0.61</v>
      </c>
      <c r="T23" s="14">
        <v>0.53</v>
      </c>
      <c r="U23" s="14">
        <v>0.47</v>
      </c>
      <c r="V23" s="14">
        <v>0.41</v>
      </c>
      <c r="W23" s="14">
        <v>0.47</v>
      </c>
      <c r="X23" s="14">
        <v>0.55000000000000004</v>
      </c>
      <c r="Y23" s="14">
        <v>0.73</v>
      </c>
      <c r="Z23" s="14">
        <v>0.86</v>
      </c>
      <c r="AA23" s="14">
        <v>0.82</v>
      </c>
      <c r="AB23" s="14">
        <v>0.75</v>
      </c>
      <c r="AC23" s="14">
        <v>0.61</v>
      </c>
      <c r="AD23" s="14">
        <v>0.53</v>
      </c>
      <c r="AE23" s="14">
        <v>0.28999999999999998</v>
      </c>
      <c r="AF23" s="14" t="s">
        <v>413</v>
      </c>
    </row>
    <row r="24" spans="1:32" ht="14.25" customHeight="1" x14ac:dyDescent="0.35">
      <c r="A24" s="14" t="s">
        <v>407</v>
      </c>
      <c r="B24" s="14" t="s">
        <v>408</v>
      </c>
      <c r="C24" s="14"/>
      <c r="D24" s="14" t="s">
        <v>409</v>
      </c>
      <c r="E24" s="15">
        <v>41640</v>
      </c>
      <c r="F24" s="15">
        <v>42004</v>
      </c>
      <c r="G24" s="14" t="s">
        <v>410</v>
      </c>
      <c r="H24" s="14">
        <v>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 t="s">
        <v>413</v>
      </c>
    </row>
    <row r="25" spans="1:32" ht="14.25" customHeight="1" x14ac:dyDescent="0.35">
      <c r="A25" s="14" t="s">
        <v>407</v>
      </c>
      <c r="B25" s="16" t="s">
        <v>408</v>
      </c>
      <c r="C25" s="16"/>
      <c r="D25" s="16" t="s">
        <v>409</v>
      </c>
      <c r="E25" s="17">
        <v>41640</v>
      </c>
      <c r="F25" s="17">
        <v>42004</v>
      </c>
      <c r="G25" s="16" t="s">
        <v>410</v>
      </c>
      <c r="H25" s="16">
        <v>1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 t="s">
        <v>413</v>
      </c>
    </row>
    <row r="26" spans="1:32" ht="14.25" customHeight="1" x14ac:dyDescent="0.35">
      <c r="A26" s="14" t="s">
        <v>266</v>
      </c>
      <c r="B26" s="14" t="s">
        <v>408</v>
      </c>
      <c r="C26" s="14"/>
      <c r="D26" s="14" t="s">
        <v>417</v>
      </c>
      <c r="E26" s="17">
        <v>41640</v>
      </c>
      <c r="F26" s="17">
        <v>42004</v>
      </c>
      <c r="G26" s="16" t="s">
        <v>410</v>
      </c>
      <c r="H26" s="16">
        <v>1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ht="14.25" customHeight="1" x14ac:dyDescent="0.35">
      <c r="A27" s="14" t="s">
        <v>422</v>
      </c>
      <c r="B27" s="14" t="s">
        <v>408</v>
      </c>
      <c r="C27" s="14"/>
      <c r="D27" s="14" t="s">
        <v>409</v>
      </c>
      <c r="E27" s="15">
        <v>41640</v>
      </c>
      <c r="F27" s="15">
        <v>42004</v>
      </c>
      <c r="G27" s="14" t="s">
        <v>410</v>
      </c>
      <c r="H27" s="14">
        <v>4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 t="s">
        <v>413</v>
      </c>
    </row>
    <row r="28" spans="1:32" ht="14.25" customHeight="1" x14ac:dyDescent="0.35">
      <c r="A28" s="16" t="s">
        <v>423</v>
      </c>
      <c r="B28" s="16" t="s">
        <v>424</v>
      </c>
      <c r="C28" s="16"/>
      <c r="D28" s="16" t="s">
        <v>409</v>
      </c>
      <c r="E28" s="17">
        <v>41640</v>
      </c>
      <c r="F28" s="17">
        <v>42004</v>
      </c>
      <c r="G28" s="16" t="s">
        <v>410</v>
      </c>
      <c r="H28" s="16">
        <v>1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 t="s">
        <v>413</v>
      </c>
    </row>
    <row r="29" spans="1:32" ht="14.25" customHeight="1" x14ac:dyDescent="0.35">
      <c r="A29" s="14" t="s">
        <v>425</v>
      </c>
      <c r="B29" s="14" t="s">
        <v>424</v>
      </c>
      <c r="C29" s="14"/>
      <c r="D29" s="14" t="s">
        <v>417</v>
      </c>
      <c r="E29" s="15">
        <v>41640</v>
      </c>
      <c r="F29" s="15">
        <v>42004</v>
      </c>
      <c r="G29" s="14" t="s">
        <v>415</v>
      </c>
      <c r="H29" s="14">
        <v>0.05</v>
      </c>
      <c r="I29" s="14">
        <v>0.05</v>
      </c>
      <c r="J29" s="14">
        <v>0.05</v>
      </c>
      <c r="K29" s="14">
        <v>0.05</v>
      </c>
      <c r="L29" s="14">
        <v>0.1</v>
      </c>
      <c r="M29" s="14">
        <v>0.2</v>
      </c>
      <c r="N29" s="14">
        <v>0.4</v>
      </c>
      <c r="O29" s="14">
        <v>0.5</v>
      </c>
      <c r="P29" s="14">
        <v>0.5</v>
      </c>
      <c r="Q29" s="14">
        <v>0.35</v>
      </c>
      <c r="R29" s="14">
        <v>0.15</v>
      </c>
      <c r="S29" s="14">
        <v>0.15</v>
      </c>
      <c r="T29" s="14">
        <v>0.15</v>
      </c>
      <c r="U29" s="14">
        <v>0.15</v>
      </c>
      <c r="V29" s="14">
        <v>0.15</v>
      </c>
      <c r="W29" s="14">
        <v>0.15</v>
      </c>
      <c r="X29" s="14">
        <v>0.35</v>
      </c>
      <c r="Y29" s="14">
        <v>0.5</v>
      </c>
      <c r="Z29" s="14">
        <v>0.5</v>
      </c>
      <c r="AA29" s="14">
        <v>0.4</v>
      </c>
      <c r="AB29" s="14">
        <v>0.4</v>
      </c>
      <c r="AC29" s="14">
        <v>0.3</v>
      </c>
      <c r="AD29" s="14">
        <v>0.2</v>
      </c>
      <c r="AE29" s="14">
        <v>0.1</v>
      </c>
      <c r="AF29" s="14" t="s">
        <v>413</v>
      </c>
    </row>
    <row r="30" spans="1:32" ht="14.25" customHeight="1" x14ac:dyDescent="0.35">
      <c r="A30" s="14" t="s">
        <v>425</v>
      </c>
      <c r="B30" s="14" t="s">
        <v>424</v>
      </c>
      <c r="C30" s="14"/>
      <c r="D30" s="14" t="s">
        <v>419</v>
      </c>
      <c r="E30" s="15">
        <v>41640</v>
      </c>
      <c r="F30" s="15">
        <v>42004</v>
      </c>
      <c r="G30" s="14" t="s">
        <v>410</v>
      </c>
      <c r="H30" s="14">
        <v>0.5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 t="s">
        <v>413</v>
      </c>
    </row>
    <row r="31" spans="1:32" ht="14.25" customHeight="1" x14ac:dyDescent="0.35">
      <c r="A31" s="16" t="s">
        <v>425</v>
      </c>
      <c r="B31" s="16" t="s">
        <v>424</v>
      </c>
      <c r="C31" s="16"/>
      <c r="D31" s="16" t="s">
        <v>418</v>
      </c>
      <c r="E31" s="17">
        <v>41640</v>
      </c>
      <c r="F31" s="17">
        <v>42004</v>
      </c>
      <c r="G31" s="16" t="s">
        <v>410</v>
      </c>
      <c r="H31" s="16">
        <v>0.05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 t="s">
        <v>413</v>
      </c>
    </row>
    <row r="32" spans="1:32" ht="14.25" customHeight="1" x14ac:dyDescent="0.35">
      <c r="A32" s="16" t="s">
        <v>426</v>
      </c>
      <c r="B32" s="16" t="s">
        <v>427</v>
      </c>
      <c r="C32" s="16"/>
      <c r="D32" s="16" t="s">
        <v>409</v>
      </c>
      <c r="E32" s="17">
        <v>41640</v>
      </c>
      <c r="F32" s="17">
        <v>42004</v>
      </c>
      <c r="G32" s="16" t="s">
        <v>415</v>
      </c>
      <c r="H32" s="16">
        <v>0.45</v>
      </c>
      <c r="I32" s="16">
        <v>0.41</v>
      </c>
      <c r="J32" s="16">
        <v>0.39</v>
      </c>
      <c r="K32" s="16">
        <v>0.38</v>
      </c>
      <c r="L32" s="16">
        <v>0.38</v>
      </c>
      <c r="M32" s="16">
        <v>0.43</v>
      </c>
      <c r="N32" s="16">
        <v>0.54</v>
      </c>
      <c r="O32" s="16">
        <v>0.65</v>
      </c>
      <c r="P32" s="16">
        <v>0.66</v>
      </c>
      <c r="Q32" s="16">
        <v>0.67</v>
      </c>
      <c r="R32" s="16">
        <v>0.69</v>
      </c>
      <c r="S32" s="16">
        <v>0.7</v>
      </c>
      <c r="T32" s="16">
        <v>0.69</v>
      </c>
      <c r="U32" s="16">
        <v>0.66</v>
      </c>
      <c r="V32" s="16">
        <v>0.65</v>
      </c>
      <c r="W32" s="16">
        <v>0.68</v>
      </c>
      <c r="X32" s="16">
        <v>0.8</v>
      </c>
      <c r="Y32" s="16">
        <v>1</v>
      </c>
      <c r="Z32" s="16">
        <v>1</v>
      </c>
      <c r="AA32" s="16">
        <v>0.93</v>
      </c>
      <c r="AB32" s="16">
        <v>0.89</v>
      </c>
      <c r="AC32" s="16">
        <v>0.85</v>
      </c>
      <c r="AD32" s="16">
        <v>0.71</v>
      </c>
      <c r="AE32" s="16">
        <v>0.57999999999999996</v>
      </c>
      <c r="AF32" s="16" t="s">
        <v>413</v>
      </c>
    </row>
    <row r="33" spans="1:32" ht="14.25" customHeight="1" x14ac:dyDescent="0.35">
      <c r="A33" s="14" t="s">
        <v>428</v>
      </c>
      <c r="B33" s="14" t="s">
        <v>427</v>
      </c>
      <c r="C33" s="14"/>
      <c r="D33" s="14" t="s">
        <v>409</v>
      </c>
      <c r="E33" s="15">
        <v>41640</v>
      </c>
      <c r="F33" s="15">
        <v>42004</v>
      </c>
      <c r="G33" s="14" t="s">
        <v>410</v>
      </c>
      <c r="H33" s="14">
        <v>0.33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 t="s">
        <v>413</v>
      </c>
    </row>
    <row r="34" spans="1:32" ht="14.25" customHeight="1" x14ac:dyDescent="0.35">
      <c r="A34" s="16" t="s">
        <v>428</v>
      </c>
      <c r="B34" s="16" t="s">
        <v>427</v>
      </c>
      <c r="C34" s="16"/>
      <c r="D34" s="16" t="s">
        <v>429</v>
      </c>
      <c r="E34" s="17">
        <v>41640</v>
      </c>
      <c r="F34" s="17">
        <v>42004</v>
      </c>
      <c r="G34" s="16" t="s">
        <v>415</v>
      </c>
      <c r="H34" s="16">
        <v>0.33</v>
      </c>
      <c r="I34" s="16">
        <v>0.33</v>
      </c>
      <c r="J34" s="16">
        <v>0.33</v>
      </c>
      <c r="K34" s="16">
        <v>0.33</v>
      </c>
      <c r="L34" s="16">
        <v>0.33</v>
      </c>
      <c r="M34" s="16">
        <v>0.33</v>
      </c>
      <c r="N34" s="16">
        <v>0.33</v>
      </c>
      <c r="O34" s="16">
        <v>0.5</v>
      </c>
      <c r="P34" s="16">
        <v>1</v>
      </c>
      <c r="Q34" s="16">
        <v>1</v>
      </c>
      <c r="R34" s="16">
        <v>1</v>
      </c>
      <c r="S34" s="16">
        <v>1</v>
      </c>
      <c r="T34" s="16">
        <v>0.94</v>
      </c>
      <c r="U34" s="16">
        <v>1</v>
      </c>
      <c r="V34" s="16">
        <v>1</v>
      </c>
      <c r="W34" s="16">
        <v>1</v>
      </c>
      <c r="X34" s="16">
        <v>1</v>
      </c>
      <c r="Y34" s="16">
        <v>0.5</v>
      </c>
      <c r="Z34" s="16">
        <v>0.33</v>
      </c>
      <c r="AA34" s="16">
        <v>0.33</v>
      </c>
      <c r="AB34" s="16">
        <v>0.33</v>
      </c>
      <c r="AC34" s="16">
        <v>0.33</v>
      </c>
      <c r="AD34" s="16">
        <v>0.33</v>
      </c>
      <c r="AE34" s="16">
        <v>0.33</v>
      </c>
      <c r="AF34" s="16" t="s">
        <v>413</v>
      </c>
    </row>
    <row r="35" spans="1:32" ht="14.25" customHeight="1" x14ac:dyDescent="0.35">
      <c r="A35" s="14" t="s">
        <v>430</v>
      </c>
      <c r="B35" s="14" t="s">
        <v>408</v>
      </c>
      <c r="C35" s="14"/>
      <c r="D35" s="14" t="s">
        <v>409</v>
      </c>
      <c r="E35" s="15">
        <v>41640</v>
      </c>
      <c r="F35" s="15">
        <v>42004</v>
      </c>
      <c r="G35" s="14" t="s">
        <v>410</v>
      </c>
      <c r="H35" s="14">
        <v>1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 t="s">
        <v>413</v>
      </c>
    </row>
    <row r="36" spans="1:32" ht="14.25" customHeight="1" x14ac:dyDescent="0.35">
      <c r="A36" s="16" t="s">
        <v>431</v>
      </c>
      <c r="B36" s="16" t="s">
        <v>408</v>
      </c>
      <c r="C36" s="16"/>
      <c r="D36" s="16" t="s">
        <v>409</v>
      </c>
      <c r="E36" s="17">
        <v>41640</v>
      </c>
      <c r="F36" s="17">
        <v>42004</v>
      </c>
      <c r="G36" s="16" t="s">
        <v>415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 t="s">
        <v>413</v>
      </c>
    </row>
    <row r="37" spans="1:32" ht="14.25" customHeight="1" x14ac:dyDescent="0.35">
      <c r="A37" s="14" t="s">
        <v>432</v>
      </c>
      <c r="B37" s="14" t="s">
        <v>420</v>
      </c>
      <c r="C37" s="14" t="s">
        <v>414</v>
      </c>
      <c r="D37" s="14" t="s">
        <v>409</v>
      </c>
      <c r="E37" s="15">
        <v>41640</v>
      </c>
      <c r="F37" s="15">
        <v>42004</v>
      </c>
      <c r="G37" s="14" t="s">
        <v>410</v>
      </c>
      <c r="H37" s="14">
        <v>0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 t="s">
        <v>413</v>
      </c>
    </row>
    <row r="38" spans="1:32" ht="14.25" customHeight="1" x14ac:dyDescent="0.35">
      <c r="A38" s="16" t="s">
        <v>433</v>
      </c>
      <c r="B38" s="16" t="s">
        <v>420</v>
      </c>
      <c r="C38" s="16" t="s">
        <v>414</v>
      </c>
      <c r="D38" s="16" t="s">
        <v>409</v>
      </c>
      <c r="E38" s="17">
        <v>41640</v>
      </c>
      <c r="F38" s="17">
        <v>42004</v>
      </c>
      <c r="G38" s="16" t="s">
        <v>410</v>
      </c>
      <c r="H38" s="16">
        <v>0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 t="s">
        <v>413</v>
      </c>
    </row>
    <row r="39" spans="1:32" ht="14.25" customHeight="1" x14ac:dyDescent="0.35">
      <c r="A39" s="14" t="s">
        <v>434</v>
      </c>
      <c r="B39" s="14" t="s">
        <v>420</v>
      </c>
      <c r="C39" s="14" t="s">
        <v>414</v>
      </c>
      <c r="D39" s="14" t="s">
        <v>417</v>
      </c>
      <c r="E39" s="15">
        <v>41640</v>
      </c>
      <c r="F39" s="15">
        <v>42004</v>
      </c>
      <c r="G39" s="14" t="s">
        <v>410</v>
      </c>
      <c r="H39" s="14">
        <v>15.6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 t="s">
        <v>413</v>
      </c>
    </row>
    <row r="40" spans="1:32" ht="14.25" customHeight="1" x14ac:dyDescent="0.35">
      <c r="A40" s="16" t="s">
        <v>434</v>
      </c>
      <c r="B40" s="16" t="s">
        <v>420</v>
      </c>
      <c r="C40" s="16" t="s">
        <v>414</v>
      </c>
      <c r="D40" s="16" t="s">
        <v>421</v>
      </c>
      <c r="E40" s="17">
        <v>41640</v>
      </c>
      <c r="F40" s="17">
        <v>42004</v>
      </c>
      <c r="G40" s="16" t="s">
        <v>415</v>
      </c>
      <c r="H40" s="16">
        <v>15.6</v>
      </c>
      <c r="I40" s="16">
        <v>15.6</v>
      </c>
      <c r="J40" s="16">
        <v>15.6</v>
      </c>
      <c r="K40" s="16">
        <v>15.6</v>
      </c>
      <c r="L40" s="16">
        <v>15.6</v>
      </c>
      <c r="M40" s="16">
        <v>15.6</v>
      </c>
      <c r="N40" s="16">
        <v>15.6</v>
      </c>
      <c r="O40" s="16">
        <v>18.3</v>
      </c>
      <c r="P40" s="16">
        <v>21.1</v>
      </c>
      <c r="Q40" s="16">
        <v>21.1</v>
      </c>
      <c r="R40" s="16">
        <v>21.1</v>
      </c>
      <c r="S40" s="16">
        <v>21.1</v>
      </c>
      <c r="T40" s="16">
        <v>21.1</v>
      </c>
      <c r="U40" s="16">
        <v>21.1</v>
      </c>
      <c r="V40" s="16">
        <v>21.1</v>
      </c>
      <c r="W40" s="16">
        <v>21.1</v>
      </c>
      <c r="X40" s="16">
        <v>21.1</v>
      </c>
      <c r="Y40" s="16">
        <v>18.3</v>
      </c>
      <c r="Z40" s="16">
        <v>15.6</v>
      </c>
      <c r="AA40" s="16">
        <v>15.6</v>
      </c>
      <c r="AB40" s="16">
        <v>15.6</v>
      </c>
      <c r="AC40" s="16">
        <v>15.6</v>
      </c>
      <c r="AD40" s="16">
        <v>15.6</v>
      </c>
      <c r="AE40" s="16">
        <v>15.6</v>
      </c>
      <c r="AF40" s="16" t="s">
        <v>413</v>
      </c>
    </row>
    <row r="41" spans="1:32" ht="14.25" customHeight="1" x14ac:dyDescent="0.35">
      <c r="A41" s="14" t="s">
        <v>435</v>
      </c>
      <c r="B41" s="14" t="s">
        <v>420</v>
      </c>
      <c r="C41" s="14" t="s">
        <v>414</v>
      </c>
      <c r="D41" s="14" t="s">
        <v>417</v>
      </c>
      <c r="E41" s="15">
        <v>41640</v>
      </c>
      <c r="F41" s="15">
        <v>42004</v>
      </c>
      <c r="G41" s="14" t="s">
        <v>410</v>
      </c>
      <c r="H41" s="14">
        <v>15.6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 t="s">
        <v>413</v>
      </c>
    </row>
    <row r="42" spans="1:32" ht="14.25" customHeight="1" x14ac:dyDescent="0.35">
      <c r="A42" s="16" t="s">
        <v>435</v>
      </c>
      <c r="B42" s="16" t="s">
        <v>420</v>
      </c>
      <c r="C42" s="16" t="s">
        <v>414</v>
      </c>
      <c r="D42" s="16" t="s">
        <v>421</v>
      </c>
      <c r="E42" s="17">
        <v>41640</v>
      </c>
      <c r="F42" s="17">
        <v>42004</v>
      </c>
      <c r="G42" s="16" t="s">
        <v>415</v>
      </c>
      <c r="H42" s="16">
        <v>15.6</v>
      </c>
      <c r="I42" s="16">
        <v>15.6</v>
      </c>
      <c r="J42" s="16">
        <v>15.6</v>
      </c>
      <c r="K42" s="16">
        <v>15.6</v>
      </c>
      <c r="L42" s="16">
        <v>15.6</v>
      </c>
      <c r="M42" s="16">
        <v>15.6</v>
      </c>
      <c r="N42" s="16">
        <v>15.6</v>
      </c>
      <c r="O42" s="16">
        <v>18.3</v>
      </c>
      <c r="P42" s="16">
        <v>21.1</v>
      </c>
      <c r="Q42" s="16">
        <v>21.1</v>
      </c>
      <c r="R42" s="16">
        <v>21.1</v>
      </c>
      <c r="S42" s="16">
        <v>21.1</v>
      </c>
      <c r="T42" s="16">
        <v>21.1</v>
      </c>
      <c r="U42" s="16">
        <v>21.1</v>
      </c>
      <c r="V42" s="16">
        <v>21.1</v>
      </c>
      <c r="W42" s="16">
        <v>21.1</v>
      </c>
      <c r="X42" s="16">
        <v>21.1</v>
      </c>
      <c r="Y42" s="16">
        <v>18.3</v>
      </c>
      <c r="Z42" s="16">
        <v>15.6</v>
      </c>
      <c r="AA42" s="16">
        <v>15.6</v>
      </c>
      <c r="AB42" s="16">
        <v>15.6</v>
      </c>
      <c r="AC42" s="16">
        <v>15.6</v>
      </c>
      <c r="AD42" s="16">
        <v>15.6</v>
      </c>
      <c r="AE42" s="16">
        <v>15.6</v>
      </c>
      <c r="AF42" s="16" t="s">
        <v>413</v>
      </c>
    </row>
    <row r="43" spans="1:32" ht="14.25" customHeight="1" x14ac:dyDescent="0.35">
      <c r="A43" s="14" t="s">
        <v>436</v>
      </c>
      <c r="B43" s="14" t="s">
        <v>420</v>
      </c>
      <c r="C43" s="14" t="s">
        <v>414</v>
      </c>
      <c r="D43" s="14" t="s">
        <v>417</v>
      </c>
      <c r="E43" s="15">
        <v>41640</v>
      </c>
      <c r="F43" s="15">
        <v>42004</v>
      </c>
      <c r="G43" s="14" t="s">
        <v>410</v>
      </c>
      <c r="H43" s="14">
        <v>15.6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 t="s">
        <v>413</v>
      </c>
    </row>
    <row r="44" spans="1:32" ht="14.25" customHeight="1" x14ac:dyDescent="0.35">
      <c r="A44" s="16" t="s">
        <v>436</v>
      </c>
      <c r="B44" s="16" t="s">
        <v>420</v>
      </c>
      <c r="C44" s="16" t="s">
        <v>414</v>
      </c>
      <c r="D44" s="16" t="s">
        <v>421</v>
      </c>
      <c r="E44" s="17">
        <v>41640</v>
      </c>
      <c r="F44" s="17">
        <v>42004</v>
      </c>
      <c r="G44" s="16" t="s">
        <v>415</v>
      </c>
      <c r="H44" s="16">
        <v>15.6</v>
      </c>
      <c r="I44" s="16">
        <v>15.6</v>
      </c>
      <c r="J44" s="16">
        <v>15.6</v>
      </c>
      <c r="K44" s="16">
        <v>15.6</v>
      </c>
      <c r="L44" s="16">
        <v>15.6</v>
      </c>
      <c r="M44" s="16">
        <v>15.6</v>
      </c>
      <c r="N44" s="16">
        <v>15.6</v>
      </c>
      <c r="O44" s="16">
        <v>18.3</v>
      </c>
      <c r="P44" s="16">
        <v>21.1</v>
      </c>
      <c r="Q44" s="16">
        <v>21.1</v>
      </c>
      <c r="R44" s="16">
        <v>21.1</v>
      </c>
      <c r="S44" s="16">
        <v>21.1</v>
      </c>
      <c r="T44" s="16">
        <v>21.1</v>
      </c>
      <c r="U44" s="16">
        <v>21.1</v>
      </c>
      <c r="V44" s="16">
        <v>21.1</v>
      </c>
      <c r="W44" s="16">
        <v>21.1</v>
      </c>
      <c r="X44" s="16">
        <v>21.1</v>
      </c>
      <c r="Y44" s="16">
        <v>18.3</v>
      </c>
      <c r="Z44" s="16">
        <v>15.6</v>
      </c>
      <c r="AA44" s="16">
        <v>15.6</v>
      </c>
      <c r="AB44" s="16">
        <v>15.6</v>
      </c>
      <c r="AC44" s="16">
        <v>15.6</v>
      </c>
      <c r="AD44" s="16">
        <v>15.6</v>
      </c>
      <c r="AE44" s="16">
        <v>15.6</v>
      </c>
      <c r="AF44" s="16" t="s">
        <v>413</v>
      </c>
    </row>
    <row r="45" spans="1:32" ht="14.25" customHeight="1" x14ac:dyDescent="0.35">
      <c r="A45" s="16" t="s">
        <v>437</v>
      </c>
      <c r="B45" s="16" t="s">
        <v>408</v>
      </c>
      <c r="C45" s="16"/>
      <c r="D45" s="16" t="s">
        <v>409</v>
      </c>
      <c r="E45" s="17">
        <v>41640</v>
      </c>
      <c r="F45" s="17">
        <v>42004</v>
      </c>
      <c r="G45" s="16" t="s">
        <v>410</v>
      </c>
      <c r="H45" s="16">
        <v>1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 t="s">
        <v>413</v>
      </c>
    </row>
    <row r="46" spans="1:32" ht="14.25" customHeight="1" x14ac:dyDescent="0.35">
      <c r="A46" s="14" t="s">
        <v>438</v>
      </c>
      <c r="B46" s="14" t="s">
        <v>408</v>
      </c>
      <c r="C46" s="14"/>
      <c r="D46" s="14" t="s">
        <v>409</v>
      </c>
      <c r="E46" s="15">
        <v>41640</v>
      </c>
      <c r="F46" s="15">
        <v>42004</v>
      </c>
      <c r="G46" s="14" t="s">
        <v>410</v>
      </c>
      <c r="H46" s="14">
        <v>1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 t="s">
        <v>413</v>
      </c>
    </row>
    <row r="47" spans="1:32" ht="14.25" customHeight="1" x14ac:dyDescent="0.35">
      <c r="A47" s="16" t="s">
        <v>439</v>
      </c>
      <c r="B47" s="16" t="s">
        <v>408</v>
      </c>
      <c r="C47" s="16"/>
      <c r="D47" s="16" t="s">
        <v>409</v>
      </c>
      <c r="E47" s="17">
        <v>41640</v>
      </c>
      <c r="F47" s="17">
        <v>42004</v>
      </c>
      <c r="G47" s="16" t="s">
        <v>410</v>
      </c>
      <c r="H47" s="16">
        <v>1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 t="s">
        <v>413</v>
      </c>
    </row>
    <row r="48" spans="1:32" ht="14.25" customHeight="1" x14ac:dyDescent="0.35">
      <c r="A48" s="14" t="s">
        <v>440</v>
      </c>
      <c r="B48" s="14" t="s">
        <v>441</v>
      </c>
      <c r="C48" s="14"/>
      <c r="D48" s="14" t="s">
        <v>409</v>
      </c>
      <c r="E48" s="15">
        <v>41640</v>
      </c>
      <c r="F48" s="15">
        <v>42004</v>
      </c>
      <c r="G48" s="14" t="s">
        <v>415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0.14399999999999999</v>
      </c>
      <c r="O48" s="14">
        <v>1</v>
      </c>
      <c r="P48" s="14">
        <v>0.14399999999999999</v>
      </c>
      <c r="Q48" s="14">
        <v>0.14399999999999999</v>
      </c>
      <c r="R48" s="14">
        <v>0.14399999999999999</v>
      </c>
      <c r="S48" s="14">
        <v>0.14399999999999999</v>
      </c>
      <c r="T48" s="14">
        <v>0.14399999999999999</v>
      </c>
      <c r="U48" s="14">
        <v>0.14399999999999999</v>
      </c>
      <c r="V48" s="14">
        <v>0.14399999999999999</v>
      </c>
      <c r="W48" s="14">
        <v>0.14399999999999999</v>
      </c>
      <c r="X48" s="14">
        <v>0.14399999999999999</v>
      </c>
      <c r="Y48" s="14">
        <v>1</v>
      </c>
      <c r="Z48" s="14">
        <v>0.14399999999999999</v>
      </c>
      <c r="AA48" s="14">
        <v>0.14399999999999999</v>
      </c>
      <c r="AB48" s="14">
        <v>0.14399999999999999</v>
      </c>
      <c r="AC48" s="14">
        <v>0.14399999999999999</v>
      </c>
      <c r="AD48" s="14">
        <v>0</v>
      </c>
      <c r="AE48" s="14">
        <v>0</v>
      </c>
      <c r="AF48" s="14" t="s">
        <v>413</v>
      </c>
    </row>
    <row r="49" spans="1:32" ht="14.25" customHeight="1" x14ac:dyDescent="0.35">
      <c r="A49" s="14" t="s">
        <v>442</v>
      </c>
      <c r="B49" s="14" t="s">
        <v>408</v>
      </c>
      <c r="C49" s="14"/>
      <c r="D49" s="14" t="s">
        <v>409</v>
      </c>
      <c r="E49" s="15">
        <v>41640</v>
      </c>
      <c r="F49" s="15">
        <v>42004</v>
      </c>
      <c r="G49" s="14" t="s">
        <v>415</v>
      </c>
      <c r="H49" s="14">
        <v>0.02</v>
      </c>
      <c r="I49" s="14">
        <v>0.02</v>
      </c>
      <c r="J49" s="14">
        <v>0.02</v>
      </c>
      <c r="K49" s="14">
        <v>0.02</v>
      </c>
      <c r="L49" s="14">
        <v>0.06</v>
      </c>
      <c r="M49" s="14">
        <v>0.13</v>
      </c>
      <c r="N49" s="14">
        <v>0.14000000000000001</v>
      </c>
      <c r="O49" s="14">
        <v>0.13</v>
      </c>
      <c r="P49" s="14">
        <v>0.06</v>
      </c>
      <c r="Q49" s="14">
        <v>0.04</v>
      </c>
      <c r="R49" s="14">
        <v>0.04</v>
      </c>
      <c r="S49" s="14">
        <v>0.04</v>
      </c>
      <c r="T49" s="14">
        <v>0.04</v>
      </c>
      <c r="U49" s="14">
        <v>0.04</v>
      </c>
      <c r="V49" s="14">
        <v>0.04</v>
      </c>
      <c r="W49" s="14">
        <v>7.0000000000000007E-2</v>
      </c>
      <c r="X49" s="14">
        <v>0.14000000000000001</v>
      </c>
      <c r="Y49" s="14">
        <v>0.2</v>
      </c>
      <c r="Z49" s="14">
        <v>0.27</v>
      </c>
      <c r="AA49" s="14">
        <v>0.32</v>
      </c>
      <c r="AB49" s="14">
        <v>0.32</v>
      </c>
      <c r="AC49" s="14">
        <v>0.22</v>
      </c>
      <c r="AD49" s="14">
        <v>0.12</v>
      </c>
      <c r="AE49" s="14">
        <v>0.05</v>
      </c>
      <c r="AF49" s="14" t="s">
        <v>413</v>
      </c>
    </row>
    <row r="50" spans="1:32" ht="14.25" customHeight="1" x14ac:dyDescent="0.35">
      <c r="A50" s="16" t="s">
        <v>443</v>
      </c>
      <c r="B50" s="16" t="s">
        <v>408</v>
      </c>
      <c r="C50" s="16"/>
      <c r="D50" s="16" t="s">
        <v>409</v>
      </c>
      <c r="E50" s="17">
        <v>41640</v>
      </c>
      <c r="F50" s="17">
        <v>42004</v>
      </c>
      <c r="G50" s="16" t="s">
        <v>410</v>
      </c>
      <c r="H50" s="16">
        <v>1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 t="s">
        <v>413</v>
      </c>
    </row>
    <row r="51" spans="1:32" ht="14.25" customHeight="1" x14ac:dyDescent="0.35">
      <c r="A51" s="14" t="s">
        <v>444</v>
      </c>
      <c r="B51" s="14" t="s">
        <v>408</v>
      </c>
      <c r="C51" s="14"/>
      <c r="D51" s="14" t="s">
        <v>417</v>
      </c>
      <c r="E51" s="15">
        <v>41640</v>
      </c>
      <c r="F51" s="15">
        <v>42004</v>
      </c>
      <c r="G51" s="14" t="s">
        <v>410</v>
      </c>
      <c r="H51" s="14">
        <v>0.18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 t="s">
        <v>413</v>
      </c>
    </row>
    <row r="52" spans="1:32" ht="14.25" customHeight="1" x14ac:dyDescent="0.35">
      <c r="A52" s="14" t="s">
        <v>444</v>
      </c>
      <c r="B52" s="14" t="s">
        <v>408</v>
      </c>
      <c r="C52" s="14"/>
      <c r="D52" s="14" t="s">
        <v>419</v>
      </c>
      <c r="E52" s="15">
        <v>41640</v>
      </c>
      <c r="F52" s="15">
        <v>42004</v>
      </c>
      <c r="G52" s="14" t="s">
        <v>410</v>
      </c>
      <c r="H52" s="14">
        <v>1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 t="s">
        <v>413</v>
      </c>
    </row>
    <row r="53" spans="1:32" ht="14.25" customHeight="1" x14ac:dyDescent="0.35">
      <c r="A53" s="16" t="s">
        <v>444</v>
      </c>
      <c r="B53" s="16" t="s">
        <v>408</v>
      </c>
      <c r="C53" s="16"/>
      <c r="D53" s="16" t="s">
        <v>429</v>
      </c>
      <c r="E53" s="17">
        <v>41640</v>
      </c>
      <c r="F53" s="17">
        <v>42004</v>
      </c>
      <c r="G53" s="16" t="s">
        <v>415</v>
      </c>
      <c r="H53" s="16">
        <v>0.18</v>
      </c>
      <c r="I53" s="16">
        <v>0.18</v>
      </c>
      <c r="J53" s="16">
        <v>0.18</v>
      </c>
      <c r="K53" s="16">
        <v>0.18</v>
      </c>
      <c r="L53" s="16">
        <v>0.18</v>
      </c>
      <c r="M53" s="16">
        <v>0.18</v>
      </c>
      <c r="N53" s="16">
        <v>0.18</v>
      </c>
      <c r="O53" s="16">
        <v>0.18</v>
      </c>
      <c r="P53" s="16">
        <v>0.9</v>
      </c>
      <c r="Q53" s="16">
        <v>0.9</v>
      </c>
      <c r="R53" s="16">
        <v>0.9</v>
      </c>
      <c r="S53" s="16">
        <v>0.9</v>
      </c>
      <c r="T53" s="16">
        <v>0.8</v>
      </c>
      <c r="U53" s="16">
        <v>0.9</v>
      </c>
      <c r="V53" s="16">
        <v>0.9</v>
      </c>
      <c r="W53" s="16">
        <v>0.9</v>
      </c>
      <c r="X53" s="16">
        <v>0.9</v>
      </c>
      <c r="Y53" s="16">
        <v>0.18</v>
      </c>
      <c r="Z53" s="16">
        <v>0.18</v>
      </c>
      <c r="AA53" s="16">
        <v>0.18</v>
      </c>
      <c r="AB53" s="16">
        <v>0.18</v>
      </c>
      <c r="AC53" s="16">
        <v>0.18</v>
      </c>
      <c r="AD53" s="16">
        <v>0.18</v>
      </c>
      <c r="AE53" s="16">
        <v>0.18</v>
      </c>
      <c r="AF53" s="16" t="s">
        <v>413</v>
      </c>
    </row>
    <row r="54" spans="1:32" ht="14.25" customHeight="1" x14ac:dyDescent="0.35">
      <c r="A54" s="16" t="s">
        <v>444</v>
      </c>
      <c r="B54" s="16" t="s">
        <v>408</v>
      </c>
      <c r="C54" s="16"/>
      <c r="D54" s="16" t="s">
        <v>418</v>
      </c>
      <c r="E54" s="17">
        <v>41640</v>
      </c>
      <c r="F54" s="17">
        <v>42004</v>
      </c>
      <c r="G54" s="16" t="s">
        <v>410</v>
      </c>
      <c r="H54" s="16">
        <v>0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 t="s">
        <v>413</v>
      </c>
    </row>
    <row r="55" spans="1:32" ht="14.25" customHeight="1" x14ac:dyDescent="0.35">
      <c r="A55" s="14" t="s">
        <v>445</v>
      </c>
      <c r="B55" s="14" t="s">
        <v>420</v>
      </c>
      <c r="C55" s="14" t="s">
        <v>414</v>
      </c>
      <c r="D55" s="14" t="s">
        <v>409</v>
      </c>
      <c r="E55" s="15">
        <v>41640</v>
      </c>
      <c r="F55" s="15">
        <v>42004</v>
      </c>
      <c r="G55" s="14" t="s">
        <v>410</v>
      </c>
      <c r="H55" s="14">
        <v>0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 t="s">
        <v>413</v>
      </c>
    </row>
    <row r="56" spans="1:32" ht="14.25" customHeight="1" x14ac:dyDescent="0.35">
      <c r="A56" s="16" t="s">
        <v>446</v>
      </c>
      <c r="B56" s="16" t="s">
        <v>420</v>
      </c>
      <c r="C56" s="16" t="s">
        <v>414</v>
      </c>
      <c r="D56" s="16" t="s">
        <v>409</v>
      </c>
      <c r="E56" s="17">
        <v>41640</v>
      </c>
      <c r="F56" s="17">
        <v>42004</v>
      </c>
      <c r="G56" s="16" t="s">
        <v>410</v>
      </c>
      <c r="H56" s="16">
        <v>0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 t="s">
        <v>413</v>
      </c>
    </row>
    <row r="57" spans="1:32" ht="14.25" customHeight="1" x14ac:dyDescent="0.35">
      <c r="A57" s="14" t="s">
        <v>447</v>
      </c>
      <c r="B57" s="14" t="s">
        <v>448</v>
      </c>
      <c r="C57" s="14"/>
      <c r="D57" s="14" t="s">
        <v>409</v>
      </c>
      <c r="E57" s="15">
        <v>41640</v>
      </c>
      <c r="F57" s="15">
        <v>42004</v>
      </c>
      <c r="G57" s="14" t="s">
        <v>415</v>
      </c>
      <c r="H57" s="14">
        <v>1</v>
      </c>
      <c r="I57" s="14">
        <v>1</v>
      </c>
      <c r="J57" s="14">
        <v>1</v>
      </c>
      <c r="K57" s="14">
        <v>1</v>
      </c>
      <c r="L57" s="14">
        <v>1</v>
      </c>
      <c r="M57" s="14">
        <v>1</v>
      </c>
      <c r="N57" s="14">
        <v>1</v>
      </c>
      <c r="O57" s="14">
        <v>0.85</v>
      </c>
      <c r="P57" s="14">
        <v>0.39</v>
      </c>
      <c r="Q57" s="14">
        <v>0.25</v>
      </c>
      <c r="R57" s="14">
        <v>0.25</v>
      </c>
      <c r="S57" s="14">
        <v>0.25</v>
      </c>
      <c r="T57" s="14">
        <v>0.25</v>
      </c>
      <c r="U57" s="14">
        <v>0.25</v>
      </c>
      <c r="V57" s="14">
        <v>0.25</v>
      </c>
      <c r="W57" s="14">
        <v>0.25</v>
      </c>
      <c r="X57" s="14">
        <v>0.3</v>
      </c>
      <c r="Y57" s="14">
        <v>0.52</v>
      </c>
      <c r="Z57" s="14">
        <v>0.87</v>
      </c>
      <c r="AA57" s="14">
        <v>0.87</v>
      </c>
      <c r="AB57" s="14">
        <v>0.87</v>
      </c>
      <c r="AC57" s="14">
        <v>1</v>
      </c>
      <c r="AD57" s="14">
        <v>1</v>
      </c>
      <c r="AE57" s="14">
        <v>1</v>
      </c>
      <c r="AF57" s="14" t="s">
        <v>413</v>
      </c>
    </row>
    <row r="58" spans="1:32" ht="14.25" customHeight="1" x14ac:dyDescent="0.35">
      <c r="A58" s="16" t="s">
        <v>449</v>
      </c>
      <c r="B58" s="16" t="s">
        <v>448</v>
      </c>
      <c r="C58" s="16"/>
      <c r="D58" s="16" t="s">
        <v>409</v>
      </c>
      <c r="E58" s="17">
        <v>41640</v>
      </c>
      <c r="F58" s="17">
        <v>42004</v>
      </c>
      <c r="G58" s="16" t="s">
        <v>410</v>
      </c>
      <c r="H58" s="16">
        <v>0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 t="s">
        <v>413</v>
      </c>
    </row>
    <row r="59" spans="1:32" ht="14.25" customHeight="1" x14ac:dyDescent="0.35">
      <c r="A59" s="14" t="s">
        <v>449</v>
      </c>
      <c r="B59" s="14" t="s">
        <v>448</v>
      </c>
      <c r="C59" s="14"/>
      <c r="D59" s="14" t="s">
        <v>429</v>
      </c>
      <c r="E59" s="15">
        <v>41640</v>
      </c>
      <c r="F59" s="15">
        <v>42004</v>
      </c>
      <c r="G59" s="14" t="s">
        <v>415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1</v>
      </c>
      <c r="Q59" s="14">
        <v>1</v>
      </c>
      <c r="R59" s="14">
        <v>1</v>
      </c>
      <c r="S59" s="14">
        <v>1</v>
      </c>
      <c r="T59" s="14">
        <v>0.5</v>
      </c>
      <c r="U59" s="14">
        <v>1</v>
      </c>
      <c r="V59" s="14">
        <v>1</v>
      </c>
      <c r="W59" s="14">
        <v>1</v>
      </c>
      <c r="X59" s="14">
        <v>1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 t="s">
        <v>413</v>
      </c>
    </row>
    <row r="60" spans="1:32" ht="14.25" customHeight="1" x14ac:dyDescent="0.35">
      <c r="A60" s="16" t="s">
        <v>450</v>
      </c>
      <c r="B60" s="16" t="s">
        <v>408</v>
      </c>
      <c r="C60" s="16" t="s">
        <v>414</v>
      </c>
      <c r="D60" s="16" t="s">
        <v>409</v>
      </c>
      <c r="E60" s="17">
        <v>41640</v>
      </c>
      <c r="F60" s="17">
        <v>42004</v>
      </c>
      <c r="G60" s="16" t="s">
        <v>410</v>
      </c>
      <c r="H60" s="16">
        <v>30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 t="s">
        <v>413</v>
      </c>
    </row>
    <row r="61" spans="1:32" ht="14.25" customHeight="1" x14ac:dyDescent="0.35">
      <c r="A61" s="14" t="s">
        <v>451</v>
      </c>
      <c r="B61" s="14" t="s">
        <v>408</v>
      </c>
      <c r="C61" s="14" t="s">
        <v>414</v>
      </c>
      <c r="D61" s="14" t="s">
        <v>409</v>
      </c>
      <c r="E61" s="15">
        <v>41640</v>
      </c>
      <c r="F61" s="15">
        <v>42004</v>
      </c>
      <c r="G61" s="14" t="s">
        <v>410</v>
      </c>
      <c r="H61" s="14">
        <v>20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 t="s">
        <v>413</v>
      </c>
    </row>
    <row r="62" spans="1:32" ht="14.25" customHeight="1" x14ac:dyDescent="0.35">
      <c r="A62" s="16" t="s">
        <v>452</v>
      </c>
      <c r="B62" s="16" t="s">
        <v>408</v>
      </c>
      <c r="C62" s="16"/>
      <c r="D62" s="16" t="s">
        <v>453</v>
      </c>
      <c r="E62" s="17">
        <v>41640</v>
      </c>
      <c r="F62" s="17">
        <v>42004</v>
      </c>
      <c r="G62" s="16" t="s">
        <v>410</v>
      </c>
      <c r="H62" s="16">
        <v>1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 t="s">
        <v>413</v>
      </c>
    </row>
    <row r="63" spans="1:32" ht="14.25" customHeight="1" x14ac:dyDescent="0.35">
      <c r="A63" s="16" t="s">
        <v>452</v>
      </c>
      <c r="B63" s="16" t="s">
        <v>408</v>
      </c>
      <c r="C63" s="16"/>
      <c r="D63" s="16" t="s">
        <v>454</v>
      </c>
      <c r="E63" s="17">
        <v>41930</v>
      </c>
      <c r="F63" s="17">
        <v>42004</v>
      </c>
      <c r="G63" s="16" t="s">
        <v>410</v>
      </c>
      <c r="H63" s="16">
        <v>0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 t="s">
        <v>413</v>
      </c>
    </row>
    <row r="64" spans="1:32" ht="14.25" customHeight="1" x14ac:dyDescent="0.35">
      <c r="A64" s="14" t="s">
        <v>452</v>
      </c>
      <c r="B64" s="14" t="s">
        <v>408</v>
      </c>
      <c r="C64" s="14"/>
      <c r="D64" s="14" t="s">
        <v>454</v>
      </c>
      <c r="E64" s="15">
        <v>41640</v>
      </c>
      <c r="F64" s="15">
        <v>41767</v>
      </c>
      <c r="G64" s="14" t="s">
        <v>410</v>
      </c>
      <c r="H64" s="14">
        <v>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 t="s">
        <v>413</v>
      </c>
    </row>
    <row r="65" spans="1:32" ht="14.25" customHeight="1" x14ac:dyDescent="0.35">
      <c r="A65" s="14" t="s">
        <v>452</v>
      </c>
      <c r="B65" s="14" t="s">
        <v>408</v>
      </c>
      <c r="C65" s="14"/>
      <c r="D65" s="14" t="s">
        <v>418</v>
      </c>
      <c r="E65" s="15">
        <v>41640</v>
      </c>
      <c r="F65" s="15">
        <v>42004</v>
      </c>
      <c r="G65" s="14" t="s">
        <v>410</v>
      </c>
      <c r="H65" s="14">
        <v>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 t="s">
        <v>413</v>
      </c>
    </row>
    <row r="66" spans="1:32" ht="14.25" customHeight="1" x14ac:dyDescent="0.35">
      <c r="A66" s="16" t="s">
        <v>455</v>
      </c>
      <c r="B66" s="16" t="s">
        <v>408</v>
      </c>
      <c r="C66" s="16"/>
      <c r="D66" s="16" t="s">
        <v>453</v>
      </c>
      <c r="E66" s="17">
        <v>41640</v>
      </c>
      <c r="F66" s="17">
        <v>42004</v>
      </c>
      <c r="G66" s="16" t="s">
        <v>410</v>
      </c>
      <c r="H66" s="16">
        <v>0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 t="s">
        <v>413</v>
      </c>
    </row>
    <row r="67" spans="1:32" ht="14.25" customHeight="1" x14ac:dyDescent="0.35">
      <c r="A67" s="16" t="s">
        <v>455</v>
      </c>
      <c r="B67" s="16" t="s">
        <v>408</v>
      </c>
      <c r="C67" s="16"/>
      <c r="D67" s="16" t="s">
        <v>454</v>
      </c>
      <c r="E67" s="17">
        <v>41930</v>
      </c>
      <c r="F67" s="17">
        <v>42004</v>
      </c>
      <c r="G67" s="16" t="s">
        <v>410</v>
      </c>
      <c r="H67" s="16">
        <v>1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 t="s">
        <v>413</v>
      </c>
    </row>
    <row r="68" spans="1:32" ht="14.25" customHeight="1" x14ac:dyDescent="0.35">
      <c r="A68" s="14" t="s">
        <v>455</v>
      </c>
      <c r="B68" s="14" t="s">
        <v>408</v>
      </c>
      <c r="C68" s="14"/>
      <c r="D68" s="14" t="s">
        <v>454</v>
      </c>
      <c r="E68" s="15">
        <v>41640</v>
      </c>
      <c r="F68" s="15">
        <v>41767</v>
      </c>
      <c r="G68" s="14" t="s">
        <v>410</v>
      </c>
      <c r="H68" s="14">
        <v>1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 t="s">
        <v>413</v>
      </c>
    </row>
    <row r="69" spans="1:32" ht="14.25" customHeight="1" x14ac:dyDescent="0.35">
      <c r="A69" s="14" t="s">
        <v>455</v>
      </c>
      <c r="B69" s="14" t="s">
        <v>408</v>
      </c>
      <c r="C69" s="14"/>
      <c r="D69" s="14" t="s">
        <v>418</v>
      </c>
      <c r="E69" s="15">
        <v>41640</v>
      </c>
      <c r="F69" s="15">
        <v>42004</v>
      </c>
      <c r="G69" s="14" t="s">
        <v>410</v>
      </c>
      <c r="H69" s="14">
        <v>1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 t="s">
        <v>413</v>
      </c>
    </row>
    <row r="70" spans="1:32" ht="14.25" customHeight="1" x14ac:dyDescent="0.35">
      <c r="A70" s="16" t="s">
        <v>456</v>
      </c>
      <c r="B70" s="16" t="s">
        <v>408</v>
      </c>
      <c r="C70" s="16"/>
      <c r="D70" s="16" t="s">
        <v>409</v>
      </c>
      <c r="E70" s="17">
        <v>41640</v>
      </c>
      <c r="F70" s="17">
        <v>42004</v>
      </c>
      <c r="G70" s="16" t="s">
        <v>410</v>
      </c>
      <c r="H70" s="16">
        <v>1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 t="s">
        <v>413</v>
      </c>
    </row>
    <row r="71" spans="1:32" ht="14.25" customHeight="1" x14ac:dyDescent="0.35">
      <c r="A71" s="14" t="s">
        <v>457</v>
      </c>
      <c r="B71" s="14" t="s">
        <v>420</v>
      </c>
      <c r="C71" s="14" t="s">
        <v>414</v>
      </c>
      <c r="D71" s="14" t="s">
        <v>409</v>
      </c>
      <c r="E71" s="15">
        <v>41640</v>
      </c>
      <c r="F71" s="15">
        <v>42004</v>
      </c>
      <c r="G71" s="14" t="s">
        <v>410</v>
      </c>
      <c r="H71" s="14">
        <v>0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 t="s">
        <v>413</v>
      </c>
    </row>
    <row r="72" spans="1:32" ht="14.25" customHeight="1" x14ac:dyDescent="0.35">
      <c r="A72" s="16" t="s">
        <v>458</v>
      </c>
      <c r="B72" s="16" t="s">
        <v>420</v>
      </c>
      <c r="C72" s="16" t="s">
        <v>414</v>
      </c>
      <c r="D72" s="16" t="s">
        <v>409</v>
      </c>
      <c r="E72" s="17">
        <v>41640</v>
      </c>
      <c r="F72" s="17">
        <v>42004</v>
      </c>
      <c r="G72" s="16" t="s">
        <v>410</v>
      </c>
      <c r="H72" s="16">
        <v>0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 t="s">
        <v>413</v>
      </c>
    </row>
    <row r="73" spans="1:32" ht="14.25" customHeight="1" x14ac:dyDescent="0.35">
      <c r="A73" s="14" t="s">
        <v>459</v>
      </c>
      <c r="B73" s="14" t="s">
        <v>460</v>
      </c>
      <c r="C73" s="14"/>
      <c r="D73" s="14" t="s">
        <v>409</v>
      </c>
      <c r="E73" s="15">
        <v>41640</v>
      </c>
      <c r="F73" s="15">
        <v>42004</v>
      </c>
      <c r="G73" s="14" t="s">
        <v>410</v>
      </c>
      <c r="H73" s="14">
        <v>0.05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 t="s">
        <v>413</v>
      </c>
    </row>
    <row r="74" spans="1:32" ht="14.25" customHeight="1" x14ac:dyDescent="0.35">
      <c r="A74" s="16" t="s">
        <v>461</v>
      </c>
      <c r="B74" s="16" t="s">
        <v>460</v>
      </c>
      <c r="C74" s="16"/>
      <c r="D74" s="16" t="s">
        <v>409</v>
      </c>
      <c r="E74" s="17">
        <v>41640</v>
      </c>
      <c r="F74" s="17">
        <v>42004</v>
      </c>
      <c r="G74" s="16" t="s">
        <v>410</v>
      </c>
      <c r="H74" s="16">
        <v>0.2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 t="s">
        <v>413</v>
      </c>
    </row>
    <row r="75" spans="1:32" ht="14.25" customHeight="1" x14ac:dyDescent="0.35">
      <c r="A75" s="14" t="s">
        <v>462</v>
      </c>
      <c r="B75" s="14" t="s">
        <v>460</v>
      </c>
      <c r="C75" s="14" t="s">
        <v>414</v>
      </c>
      <c r="D75" s="14" t="s">
        <v>409</v>
      </c>
      <c r="E75" s="15">
        <v>41640</v>
      </c>
      <c r="F75" s="15">
        <v>42004</v>
      </c>
      <c r="G75" s="14" t="s">
        <v>410</v>
      </c>
      <c r="H75" s="14">
        <v>55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 t="s">
        <v>413</v>
      </c>
    </row>
    <row r="76" spans="1:32" ht="14.25" customHeight="1" x14ac:dyDescent="0.35">
      <c r="A76" s="16" t="s">
        <v>463</v>
      </c>
      <c r="B76" s="16" t="s">
        <v>460</v>
      </c>
      <c r="C76" s="16" t="s">
        <v>414</v>
      </c>
      <c r="D76" s="16" t="s">
        <v>409</v>
      </c>
      <c r="E76" s="17">
        <v>41640</v>
      </c>
      <c r="F76" s="17">
        <v>42004</v>
      </c>
      <c r="G76" s="16" t="s">
        <v>410</v>
      </c>
      <c r="H76" s="16">
        <v>60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 t="s">
        <v>413</v>
      </c>
    </row>
    <row r="77" spans="1:32" ht="14.25" customHeight="1" x14ac:dyDescent="0.35">
      <c r="A77" s="14" t="s">
        <v>464</v>
      </c>
      <c r="B77" s="14" t="s">
        <v>460</v>
      </c>
      <c r="C77" s="14" t="s">
        <v>414</v>
      </c>
      <c r="D77" s="14" t="s">
        <v>409</v>
      </c>
      <c r="E77" s="15">
        <v>41640</v>
      </c>
      <c r="F77" s="15">
        <v>42004</v>
      </c>
      <c r="G77" s="14" t="s">
        <v>410</v>
      </c>
      <c r="H77" s="14">
        <v>22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 t="s">
        <v>413</v>
      </c>
    </row>
    <row r="78" spans="1:32" ht="14.25" customHeight="1" x14ac:dyDescent="0.35">
      <c r="A78" s="16" t="s">
        <v>465</v>
      </c>
      <c r="B78" s="16" t="s">
        <v>460</v>
      </c>
      <c r="C78" s="16" t="s">
        <v>414</v>
      </c>
      <c r="D78" s="16" t="s">
        <v>409</v>
      </c>
      <c r="E78" s="17">
        <v>41640</v>
      </c>
      <c r="F78" s="17">
        <v>42004</v>
      </c>
      <c r="G78" s="16" t="s">
        <v>410</v>
      </c>
      <c r="H78" s="16">
        <v>60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 t="s">
        <v>413</v>
      </c>
    </row>
    <row r="79" spans="1:32" ht="14.25" customHeight="1" x14ac:dyDescent="0.35">
      <c r="A79" s="14" t="s">
        <v>466</v>
      </c>
      <c r="B79" s="14" t="s">
        <v>460</v>
      </c>
      <c r="C79" s="14" t="s">
        <v>414</v>
      </c>
      <c r="D79" s="14" t="s">
        <v>409</v>
      </c>
      <c r="E79" s="15">
        <v>41640</v>
      </c>
      <c r="F79" s="15">
        <v>42004</v>
      </c>
      <c r="G79" s="14" t="s">
        <v>410</v>
      </c>
      <c r="H79" s="14">
        <v>60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 t="s">
        <v>413</v>
      </c>
    </row>
    <row r="80" spans="1:32" ht="14.25" customHeight="1" x14ac:dyDescent="0.35">
      <c r="A80" s="16" t="s">
        <v>467</v>
      </c>
      <c r="B80" s="16" t="s">
        <v>408</v>
      </c>
      <c r="C80" s="16"/>
      <c r="D80" s="16" t="s">
        <v>417</v>
      </c>
      <c r="E80" s="17">
        <v>41640</v>
      </c>
      <c r="F80" s="17">
        <v>42004</v>
      </c>
      <c r="G80" s="16" t="s">
        <v>415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1</v>
      </c>
      <c r="O80" s="16">
        <v>1</v>
      </c>
      <c r="P80" s="16">
        <v>1</v>
      </c>
      <c r="Q80" s="16">
        <v>1</v>
      </c>
      <c r="R80" s="16">
        <v>1</v>
      </c>
      <c r="S80" s="16">
        <v>1</v>
      </c>
      <c r="T80" s="16">
        <v>1</v>
      </c>
      <c r="U80" s="16">
        <v>1</v>
      </c>
      <c r="V80" s="16">
        <v>1</v>
      </c>
      <c r="W80" s="16">
        <v>1</v>
      </c>
      <c r="X80" s="16">
        <v>1</v>
      </c>
      <c r="Y80" s="16">
        <v>1</v>
      </c>
      <c r="Z80" s="16">
        <v>1</v>
      </c>
      <c r="AA80" s="16">
        <v>1</v>
      </c>
      <c r="AB80" s="16">
        <v>1</v>
      </c>
      <c r="AC80" s="16">
        <v>1</v>
      </c>
      <c r="AD80" s="16">
        <v>0</v>
      </c>
      <c r="AE80" s="16">
        <v>0</v>
      </c>
      <c r="AF80" s="16" t="s">
        <v>413</v>
      </c>
    </row>
    <row r="81" spans="1:32" ht="14.25" customHeight="1" x14ac:dyDescent="0.35">
      <c r="A81" s="14" t="s">
        <v>467</v>
      </c>
      <c r="B81" s="14" t="s">
        <v>408</v>
      </c>
      <c r="C81" s="14"/>
      <c r="D81" s="14" t="s">
        <v>421</v>
      </c>
      <c r="E81" s="15">
        <v>41640</v>
      </c>
      <c r="F81" s="15">
        <v>42004</v>
      </c>
      <c r="G81" s="14" t="s">
        <v>410</v>
      </c>
      <c r="H81" s="14">
        <v>0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 t="s">
        <v>413</v>
      </c>
    </row>
    <row r="82" spans="1:32" ht="14.25" customHeight="1" x14ac:dyDescent="0.35">
      <c r="A82" s="16" t="s">
        <v>468</v>
      </c>
      <c r="B82" s="16" t="s">
        <v>408</v>
      </c>
      <c r="C82" s="16"/>
      <c r="D82" s="16" t="s">
        <v>409</v>
      </c>
      <c r="E82" s="17">
        <v>41640</v>
      </c>
      <c r="F82" s="17">
        <v>42004</v>
      </c>
      <c r="G82" s="16" t="s">
        <v>410</v>
      </c>
      <c r="H82" s="16">
        <v>1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 t="s">
        <v>413</v>
      </c>
    </row>
    <row r="83" spans="1:32" ht="14.25" customHeight="1" x14ac:dyDescent="0.35">
      <c r="A83" s="14" t="s">
        <v>469</v>
      </c>
      <c r="B83" s="14" t="s">
        <v>408</v>
      </c>
      <c r="C83" s="14"/>
      <c r="D83" s="14" t="s">
        <v>417</v>
      </c>
      <c r="E83" s="15">
        <v>41640</v>
      </c>
      <c r="F83" s="15">
        <v>42004</v>
      </c>
      <c r="G83" s="14" t="s">
        <v>410</v>
      </c>
      <c r="H83" s="14">
        <v>0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 t="s">
        <v>413</v>
      </c>
    </row>
    <row r="84" spans="1:32" ht="14.25" customHeight="1" x14ac:dyDescent="0.35">
      <c r="A84" s="14" t="s">
        <v>469</v>
      </c>
      <c r="B84" s="14" t="s">
        <v>408</v>
      </c>
      <c r="C84" s="14"/>
      <c r="D84" s="14" t="s">
        <v>419</v>
      </c>
      <c r="E84" s="15">
        <v>41640</v>
      </c>
      <c r="F84" s="15">
        <v>42004</v>
      </c>
      <c r="G84" s="14" t="s">
        <v>410</v>
      </c>
      <c r="H84" s="14">
        <v>2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 t="s">
        <v>413</v>
      </c>
    </row>
    <row r="85" spans="1:32" ht="14.25" customHeight="1" x14ac:dyDescent="0.35">
      <c r="A85" s="16" t="s">
        <v>469</v>
      </c>
      <c r="B85" s="16" t="s">
        <v>408</v>
      </c>
      <c r="C85" s="16"/>
      <c r="D85" s="16" t="s">
        <v>429</v>
      </c>
      <c r="E85" s="17">
        <v>41640</v>
      </c>
      <c r="F85" s="17">
        <v>42004</v>
      </c>
      <c r="G85" s="16" t="s">
        <v>410</v>
      </c>
      <c r="H85" s="16">
        <v>4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 t="s">
        <v>413</v>
      </c>
    </row>
    <row r="86" spans="1:32" ht="14.25" customHeight="1" x14ac:dyDescent="0.35">
      <c r="A86" s="16" t="s">
        <v>469</v>
      </c>
      <c r="B86" s="16" t="s">
        <v>408</v>
      </c>
      <c r="C86" s="16"/>
      <c r="D86" s="16" t="s">
        <v>418</v>
      </c>
      <c r="E86" s="17">
        <v>41640</v>
      </c>
      <c r="F86" s="17">
        <v>42004</v>
      </c>
      <c r="G86" s="16" t="s">
        <v>410</v>
      </c>
      <c r="H86" s="16">
        <v>1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 t="s">
        <v>413</v>
      </c>
    </row>
    <row r="87" spans="1:32" ht="14.25" customHeight="1" x14ac:dyDescent="0.35">
      <c r="A87" s="16" t="s">
        <v>470</v>
      </c>
      <c r="B87" s="16" t="s">
        <v>408</v>
      </c>
      <c r="C87" s="16"/>
      <c r="D87" s="16" t="s">
        <v>409</v>
      </c>
      <c r="E87" s="17">
        <v>41640</v>
      </c>
      <c r="F87" s="17">
        <v>42004</v>
      </c>
      <c r="G87" s="16" t="s">
        <v>410</v>
      </c>
      <c r="H87" s="16">
        <v>0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 t="s">
        <v>413</v>
      </c>
    </row>
    <row r="88" spans="1:32" ht="14.25" customHeight="1" x14ac:dyDescent="0.35">
      <c r="A88" s="14" t="s">
        <v>471</v>
      </c>
      <c r="B88" s="14" t="s">
        <v>408</v>
      </c>
      <c r="C88" s="14"/>
      <c r="D88" s="14" t="s">
        <v>409</v>
      </c>
      <c r="E88" s="15">
        <v>41640</v>
      </c>
      <c r="F88" s="15">
        <v>42004</v>
      </c>
      <c r="G88" s="14" t="s">
        <v>410</v>
      </c>
      <c r="H88" s="14">
        <v>1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 t="s">
        <v>413</v>
      </c>
    </row>
    <row r="89" spans="1:32" ht="14.25" customHeight="1" x14ac:dyDescent="0.35">
      <c r="A89" s="16" t="s">
        <v>472</v>
      </c>
      <c r="B89" s="16" t="s">
        <v>408</v>
      </c>
      <c r="C89" s="16"/>
      <c r="D89" s="16" t="s">
        <v>409</v>
      </c>
      <c r="E89" s="17">
        <v>41640</v>
      </c>
      <c r="F89" s="17">
        <v>42004</v>
      </c>
      <c r="G89" s="16" t="s">
        <v>415</v>
      </c>
      <c r="H89" s="16">
        <v>0.08</v>
      </c>
      <c r="I89" s="16">
        <v>0.04</v>
      </c>
      <c r="J89" s="16">
        <v>0.01</v>
      </c>
      <c r="K89" s="16">
        <v>0.01</v>
      </c>
      <c r="L89" s="16">
        <v>0.04</v>
      </c>
      <c r="M89" s="16">
        <v>0.27</v>
      </c>
      <c r="N89" s="16">
        <v>0.94</v>
      </c>
      <c r="O89" s="16">
        <v>1</v>
      </c>
      <c r="P89" s="16">
        <v>0.96</v>
      </c>
      <c r="Q89" s="16">
        <v>0.84</v>
      </c>
      <c r="R89" s="16">
        <v>0.76</v>
      </c>
      <c r="S89" s="16">
        <v>0.61</v>
      </c>
      <c r="T89" s="16">
        <v>0.53</v>
      </c>
      <c r="U89" s="16">
        <v>0.47</v>
      </c>
      <c r="V89" s="16">
        <v>0.41</v>
      </c>
      <c r="W89" s="16">
        <v>0.47</v>
      </c>
      <c r="X89" s="16">
        <v>0.55000000000000004</v>
      </c>
      <c r="Y89" s="16">
        <v>0.73</v>
      </c>
      <c r="Z89" s="16">
        <v>0.86</v>
      </c>
      <c r="AA89" s="16">
        <v>0.82</v>
      </c>
      <c r="AB89" s="16">
        <v>0.75</v>
      </c>
      <c r="AC89" s="16">
        <v>0.61</v>
      </c>
      <c r="AD89" s="16">
        <v>0.53</v>
      </c>
      <c r="AE89" s="16">
        <v>0.28999999999999998</v>
      </c>
      <c r="AF89" s="16" t="s">
        <v>413</v>
      </c>
    </row>
    <row r="90" spans="1:32" ht="14.25" customHeight="1" x14ac:dyDescent="0.35">
      <c r="A90" s="14" t="s">
        <v>473</v>
      </c>
      <c r="B90" s="14" t="s">
        <v>416</v>
      </c>
      <c r="C90" s="14"/>
      <c r="D90" s="14" t="s">
        <v>417</v>
      </c>
      <c r="E90" s="15">
        <v>41640</v>
      </c>
      <c r="F90" s="15">
        <v>42004</v>
      </c>
      <c r="G90" s="14" t="s">
        <v>415</v>
      </c>
      <c r="H90" s="14">
        <v>0.05</v>
      </c>
      <c r="I90" s="14">
        <v>0.05</v>
      </c>
      <c r="J90" s="14">
        <v>0.05</v>
      </c>
      <c r="K90" s="14">
        <v>0.05</v>
      </c>
      <c r="L90" s="14">
        <v>0.1</v>
      </c>
      <c r="M90" s="14">
        <v>0.2</v>
      </c>
      <c r="N90" s="14">
        <v>0.4</v>
      </c>
      <c r="O90" s="14">
        <v>0.5</v>
      </c>
      <c r="P90" s="14">
        <v>0.5</v>
      </c>
      <c r="Q90" s="14">
        <v>0.35</v>
      </c>
      <c r="R90" s="14">
        <v>0.15</v>
      </c>
      <c r="S90" s="14">
        <v>0.15</v>
      </c>
      <c r="T90" s="14">
        <v>0.15</v>
      </c>
      <c r="U90" s="14">
        <v>0.15</v>
      </c>
      <c r="V90" s="14">
        <v>0.15</v>
      </c>
      <c r="W90" s="14">
        <v>0.15</v>
      </c>
      <c r="X90" s="14">
        <v>0.35</v>
      </c>
      <c r="Y90" s="14">
        <v>0.5</v>
      </c>
      <c r="Z90" s="14">
        <v>0.5</v>
      </c>
      <c r="AA90" s="14">
        <v>0.4</v>
      </c>
      <c r="AB90" s="14">
        <v>0.4</v>
      </c>
      <c r="AC90" s="14">
        <v>0.3</v>
      </c>
      <c r="AD90" s="14">
        <v>0.2</v>
      </c>
      <c r="AE90" s="14">
        <v>0.1</v>
      </c>
      <c r="AF90" s="14" t="s">
        <v>413</v>
      </c>
    </row>
    <row r="91" spans="1:32" ht="14.25" customHeight="1" x14ac:dyDescent="0.35">
      <c r="A91" s="14" t="s">
        <v>473</v>
      </c>
      <c r="B91" s="14" t="s">
        <v>416</v>
      </c>
      <c r="C91" s="14"/>
      <c r="D91" s="14" t="s">
        <v>419</v>
      </c>
      <c r="E91" s="15">
        <v>41640</v>
      </c>
      <c r="F91" s="15">
        <v>42004</v>
      </c>
      <c r="G91" s="14" t="s">
        <v>410</v>
      </c>
      <c r="H91" s="14">
        <v>0.5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 t="s">
        <v>413</v>
      </c>
    </row>
    <row r="92" spans="1:32" ht="14.25" customHeight="1" x14ac:dyDescent="0.35">
      <c r="A92" s="16" t="s">
        <v>473</v>
      </c>
      <c r="B92" s="16" t="s">
        <v>416</v>
      </c>
      <c r="C92" s="16"/>
      <c r="D92" s="16" t="s">
        <v>418</v>
      </c>
      <c r="E92" s="17">
        <v>41640</v>
      </c>
      <c r="F92" s="17">
        <v>42004</v>
      </c>
      <c r="G92" s="16" t="s">
        <v>410</v>
      </c>
      <c r="H92" s="16">
        <v>0.05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 t="s">
        <v>413</v>
      </c>
    </row>
    <row r="93" spans="1:32" ht="14.25" customHeight="1" x14ac:dyDescent="0.35">
      <c r="A93" s="16" t="s">
        <v>474</v>
      </c>
      <c r="B93" s="16" t="s">
        <v>420</v>
      </c>
      <c r="C93" s="16" t="s">
        <v>414</v>
      </c>
      <c r="D93" s="16" t="s">
        <v>409</v>
      </c>
      <c r="E93" s="17">
        <v>41640</v>
      </c>
      <c r="F93" s="17">
        <v>42004</v>
      </c>
      <c r="G93" s="16" t="s">
        <v>410</v>
      </c>
      <c r="H93" s="16">
        <v>0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 t="s">
        <v>413</v>
      </c>
    </row>
    <row r="94" spans="1:32" ht="14.25" customHeight="1" x14ac:dyDescent="0.35">
      <c r="A94" s="14" t="s">
        <v>475</v>
      </c>
      <c r="B94" s="14" t="s">
        <v>420</v>
      </c>
      <c r="C94" s="14" t="s">
        <v>414</v>
      </c>
      <c r="D94" s="14" t="s">
        <v>476</v>
      </c>
      <c r="E94" s="15">
        <v>41640</v>
      </c>
      <c r="F94" s="15">
        <v>42004</v>
      </c>
      <c r="G94" s="14" t="s">
        <v>410</v>
      </c>
      <c r="H94" s="14">
        <v>29.4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 t="s">
        <v>413</v>
      </c>
    </row>
    <row r="95" spans="1:32" ht="14.25" customHeight="1" x14ac:dyDescent="0.35">
      <c r="A95" s="16" t="s">
        <v>475</v>
      </c>
      <c r="B95" s="16" t="s">
        <v>420</v>
      </c>
      <c r="C95" s="16" t="s">
        <v>414</v>
      </c>
      <c r="D95" s="16" t="s">
        <v>419</v>
      </c>
      <c r="E95" s="17">
        <v>41640</v>
      </c>
      <c r="F95" s="17">
        <v>42004</v>
      </c>
      <c r="G95" s="16" t="s">
        <v>415</v>
      </c>
      <c r="H95" s="16">
        <v>29.4</v>
      </c>
      <c r="I95" s="16">
        <v>29.4</v>
      </c>
      <c r="J95" s="16">
        <v>29.4</v>
      </c>
      <c r="K95" s="16">
        <v>29.4</v>
      </c>
      <c r="L95" s="16">
        <v>29.4</v>
      </c>
      <c r="M95" s="16">
        <v>29.4</v>
      </c>
      <c r="N95" s="16">
        <v>29.4</v>
      </c>
      <c r="O95" s="16">
        <v>26.7</v>
      </c>
      <c r="P95" s="16">
        <v>23.9</v>
      </c>
      <c r="Q95" s="16">
        <v>23.9</v>
      </c>
      <c r="R95" s="16">
        <v>23.9</v>
      </c>
      <c r="S95" s="16">
        <v>23.9</v>
      </c>
      <c r="T95" s="16">
        <v>23.9</v>
      </c>
      <c r="U95" s="16">
        <v>23.9</v>
      </c>
      <c r="V95" s="16">
        <v>23.9</v>
      </c>
      <c r="W95" s="16">
        <v>23.9</v>
      </c>
      <c r="X95" s="16">
        <v>23.9</v>
      </c>
      <c r="Y95" s="16">
        <v>26.7</v>
      </c>
      <c r="Z95" s="16">
        <v>29.4</v>
      </c>
      <c r="AA95" s="16">
        <v>29.4</v>
      </c>
      <c r="AB95" s="16">
        <v>29.4</v>
      </c>
      <c r="AC95" s="16">
        <v>29.4</v>
      </c>
      <c r="AD95" s="16">
        <v>29.4</v>
      </c>
      <c r="AE95" s="16">
        <v>29.4</v>
      </c>
      <c r="AF95" s="16" t="s">
        <v>413</v>
      </c>
    </row>
    <row r="96" spans="1:32" ht="14.25" customHeight="1" x14ac:dyDescent="0.35">
      <c r="A96" s="14" t="s">
        <v>477</v>
      </c>
      <c r="B96" s="14" t="s">
        <v>420</v>
      </c>
      <c r="C96" s="14" t="s">
        <v>414</v>
      </c>
      <c r="D96" s="14" t="s">
        <v>476</v>
      </c>
      <c r="E96" s="15">
        <v>41640</v>
      </c>
      <c r="F96" s="15">
        <v>42004</v>
      </c>
      <c r="G96" s="14" t="s">
        <v>410</v>
      </c>
      <c r="H96" s="14">
        <v>23.9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 t="s">
        <v>413</v>
      </c>
    </row>
    <row r="97" spans="1:32" ht="14.25" customHeight="1" x14ac:dyDescent="0.35">
      <c r="A97" s="16" t="s">
        <v>477</v>
      </c>
      <c r="B97" s="16" t="s">
        <v>420</v>
      </c>
      <c r="C97" s="16" t="s">
        <v>414</v>
      </c>
      <c r="D97" s="16" t="s">
        <v>419</v>
      </c>
      <c r="E97" s="17">
        <v>41640</v>
      </c>
      <c r="F97" s="17">
        <v>42004</v>
      </c>
      <c r="G97" s="16" t="s">
        <v>415</v>
      </c>
      <c r="H97" s="16">
        <v>29.4</v>
      </c>
      <c r="I97" s="16">
        <v>29.4</v>
      </c>
      <c r="J97" s="16">
        <v>29.4</v>
      </c>
      <c r="K97" s="16">
        <v>29.4</v>
      </c>
      <c r="L97" s="16">
        <v>29.4</v>
      </c>
      <c r="M97" s="16">
        <v>29.4</v>
      </c>
      <c r="N97" s="16">
        <v>29.4</v>
      </c>
      <c r="O97" s="16">
        <v>26.7</v>
      </c>
      <c r="P97" s="16">
        <v>23.9</v>
      </c>
      <c r="Q97" s="16">
        <v>23.9</v>
      </c>
      <c r="R97" s="16">
        <v>23.9</v>
      </c>
      <c r="S97" s="16">
        <v>23.9</v>
      </c>
      <c r="T97" s="16">
        <v>23.9</v>
      </c>
      <c r="U97" s="16">
        <v>23.9</v>
      </c>
      <c r="V97" s="16">
        <v>23.9</v>
      </c>
      <c r="W97" s="16">
        <v>23.9</v>
      </c>
      <c r="X97" s="16">
        <v>23.9</v>
      </c>
      <c r="Y97" s="16">
        <v>26.7</v>
      </c>
      <c r="Z97" s="16">
        <v>29.4</v>
      </c>
      <c r="AA97" s="16">
        <v>29.4</v>
      </c>
      <c r="AB97" s="16">
        <v>29.4</v>
      </c>
      <c r="AC97" s="16">
        <v>29.4</v>
      </c>
      <c r="AD97" s="16">
        <v>29.4</v>
      </c>
      <c r="AE97" s="16">
        <v>29.4</v>
      </c>
      <c r="AF97" s="16" t="s">
        <v>413</v>
      </c>
    </row>
    <row r="98" spans="1:32" ht="14.25" customHeight="1" x14ac:dyDescent="0.35">
      <c r="A98" s="14" t="s">
        <v>478</v>
      </c>
      <c r="B98" s="14" t="s">
        <v>420</v>
      </c>
      <c r="C98" s="14" t="s">
        <v>414</v>
      </c>
      <c r="D98" s="14" t="s">
        <v>476</v>
      </c>
      <c r="E98" s="15">
        <v>41640</v>
      </c>
      <c r="F98" s="15">
        <v>42004</v>
      </c>
      <c r="G98" s="14" t="s">
        <v>410</v>
      </c>
      <c r="H98" s="14">
        <v>29.4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 t="s">
        <v>413</v>
      </c>
    </row>
    <row r="99" spans="1:32" ht="14.25" customHeight="1" x14ac:dyDescent="0.35">
      <c r="A99" s="16" t="s">
        <v>478</v>
      </c>
      <c r="B99" s="16" t="s">
        <v>420</v>
      </c>
      <c r="C99" s="16" t="s">
        <v>414</v>
      </c>
      <c r="D99" s="16" t="s">
        <v>419</v>
      </c>
      <c r="E99" s="17">
        <v>41640</v>
      </c>
      <c r="F99" s="17">
        <v>42004</v>
      </c>
      <c r="G99" s="16" t="s">
        <v>415</v>
      </c>
      <c r="H99" s="16">
        <v>29.4</v>
      </c>
      <c r="I99" s="16">
        <v>29.4</v>
      </c>
      <c r="J99" s="16">
        <v>29.4</v>
      </c>
      <c r="K99" s="16">
        <v>29.4</v>
      </c>
      <c r="L99" s="16">
        <v>29.4</v>
      </c>
      <c r="M99" s="16">
        <v>29.4</v>
      </c>
      <c r="N99" s="16">
        <v>29.4</v>
      </c>
      <c r="O99" s="16">
        <v>26.7</v>
      </c>
      <c r="P99" s="16">
        <v>23.9</v>
      </c>
      <c r="Q99" s="16">
        <v>23.9</v>
      </c>
      <c r="R99" s="16">
        <v>23.9</v>
      </c>
      <c r="S99" s="16">
        <v>23.9</v>
      </c>
      <c r="T99" s="16">
        <v>23.9</v>
      </c>
      <c r="U99" s="16">
        <v>23.9</v>
      </c>
      <c r="V99" s="16">
        <v>23.9</v>
      </c>
      <c r="W99" s="16">
        <v>23.9</v>
      </c>
      <c r="X99" s="16">
        <v>23.9</v>
      </c>
      <c r="Y99" s="16">
        <v>26.7</v>
      </c>
      <c r="Z99" s="16">
        <v>29.4</v>
      </c>
      <c r="AA99" s="16">
        <v>29.4</v>
      </c>
      <c r="AB99" s="16">
        <v>29.4</v>
      </c>
      <c r="AC99" s="16">
        <v>29.4</v>
      </c>
      <c r="AD99" s="16">
        <v>29.4</v>
      </c>
      <c r="AE99" s="16">
        <v>29.4</v>
      </c>
      <c r="AF99" s="16" t="s">
        <v>413</v>
      </c>
    </row>
    <row r="100" spans="1:32" ht="14.25" customHeight="1" x14ac:dyDescent="0.35">
      <c r="A100" s="14" t="s">
        <v>479</v>
      </c>
      <c r="B100" s="14" t="s">
        <v>408</v>
      </c>
      <c r="C100" s="14"/>
      <c r="D100" s="14" t="s">
        <v>409</v>
      </c>
      <c r="E100" s="15">
        <v>41640</v>
      </c>
      <c r="F100" s="15">
        <v>42004</v>
      </c>
      <c r="G100" s="14" t="s">
        <v>410</v>
      </c>
      <c r="H100" s="14">
        <v>0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 t="s">
        <v>413</v>
      </c>
    </row>
    <row r="101" spans="1:32" ht="14.25" customHeight="1" x14ac:dyDescent="0.35">
      <c r="A101" s="16" t="s">
        <v>480</v>
      </c>
      <c r="B101" s="16" t="s">
        <v>408</v>
      </c>
      <c r="C101" s="16"/>
      <c r="D101" s="16" t="s">
        <v>409</v>
      </c>
      <c r="E101" s="17">
        <v>41640</v>
      </c>
      <c r="F101" s="17">
        <v>42004</v>
      </c>
      <c r="G101" s="16" t="s">
        <v>410</v>
      </c>
      <c r="H101" s="16">
        <v>1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 t="s">
        <v>413</v>
      </c>
    </row>
    <row r="102" spans="1:32" ht="14.25" customHeight="1" x14ac:dyDescent="0.35">
      <c r="A102" s="14" t="s">
        <v>481</v>
      </c>
      <c r="B102" s="14" t="s">
        <v>408</v>
      </c>
      <c r="C102" s="14"/>
      <c r="D102" s="14" t="s">
        <v>409</v>
      </c>
      <c r="E102" s="15">
        <v>41640</v>
      </c>
      <c r="F102" s="15">
        <v>42004</v>
      </c>
      <c r="G102" s="14" t="s">
        <v>410</v>
      </c>
      <c r="H102" s="14">
        <v>18.333333819000799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 t="s">
        <v>413</v>
      </c>
    </row>
    <row r="103" spans="1:32" ht="14.25" customHeight="1" x14ac:dyDescent="0.35">
      <c r="A103" s="16" t="s">
        <v>482</v>
      </c>
      <c r="B103" s="16" t="s">
        <v>408</v>
      </c>
      <c r="C103" s="16"/>
      <c r="D103" s="16" t="s">
        <v>409</v>
      </c>
      <c r="E103" s="17">
        <v>41640</v>
      </c>
      <c r="F103" s="17">
        <v>42004</v>
      </c>
      <c r="G103" s="16" t="s">
        <v>410</v>
      </c>
      <c r="H103" s="16">
        <v>4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 t="s">
        <v>413</v>
      </c>
    </row>
    <row r="104" spans="1:32" ht="14.25" customHeight="1" x14ac:dyDescent="0.35">
      <c r="A104" s="14" t="s">
        <v>483</v>
      </c>
      <c r="B104" s="14" t="s">
        <v>408</v>
      </c>
      <c r="C104" s="14" t="s">
        <v>412</v>
      </c>
      <c r="D104" s="14" t="s">
        <v>409</v>
      </c>
      <c r="E104" s="15">
        <v>41640</v>
      </c>
      <c r="F104" s="15">
        <v>42004</v>
      </c>
      <c r="G104" s="14" t="s">
        <v>410</v>
      </c>
      <c r="H104" s="14">
        <v>12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 t="s">
        <v>413</v>
      </c>
    </row>
    <row r="105" spans="1:32" ht="14.25" customHeight="1" x14ac:dyDescent="0.35">
      <c r="A105" s="16" t="s">
        <v>484</v>
      </c>
      <c r="B105" s="16" t="s">
        <v>424</v>
      </c>
      <c r="C105" s="16"/>
      <c r="D105" s="16" t="s">
        <v>409</v>
      </c>
      <c r="E105" s="17">
        <v>41640</v>
      </c>
      <c r="F105" s="17">
        <v>42004</v>
      </c>
      <c r="G105" s="16" t="s">
        <v>410</v>
      </c>
      <c r="H105" s="16">
        <v>1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 t="s">
        <v>413</v>
      </c>
    </row>
    <row r="106" spans="1:32" ht="14.25" customHeight="1" x14ac:dyDescent="0.35">
      <c r="A106" s="14" t="s">
        <v>485</v>
      </c>
      <c r="B106" s="14" t="s">
        <v>424</v>
      </c>
      <c r="C106" s="14"/>
      <c r="D106" s="14" t="s">
        <v>417</v>
      </c>
      <c r="E106" s="15">
        <v>41640</v>
      </c>
      <c r="F106" s="15">
        <v>42004</v>
      </c>
      <c r="G106" s="14" t="s">
        <v>415</v>
      </c>
      <c r="H106" s="14">
        <v>0.05</v>
      </c>
      <c r="I106" s="14">
        <v>0.05</v>
      </c>
      <c r="J106" s="14">
        <v>0.05</v>
      </c>
      <c r="K106" s="14">
        <v>0.05</v>
      </c>
      <c r="L106" s="14">
        <v>0.1</v>
      </c>
      <c r="M106" s="14">
        <v>0.2</v>
      </c>
      <c r="N106" s="14">
        <v>0.4</v>
      </c>
      <c r="O106" s="14">
        <v>0.5</v>
      </c>
      <c r="P106" s="14">
        <v>0.5</v>
      </c>
      <c r="Q106" s="14">
        <v>0.35</v>
      </c>
      <c r="R106" s="14">
        <v>0.15</v>
      </c>
      <c r="S106" s="14">
        <v>0.15</v>
      </c>
      <c r="T106" s="14">
        <v>0.15</v>
      </c>
      <c r="U106" s="14">
        <v>0.15</v>
      </c>
      <c r="V106" s="14">
        <v>0.15</v>
      </c>
      <c r="W106" s="14">
        <v>0.15</v>
      </c>
      <c r="X106" s="14">
        <v>0.35</v>
      </c>
      <c r="Y106" s="14">
        <v>0.5</v>
      </c>
      <c r="Z106" s="14">
        <v>0.5</v>
      </c>
      <c r="AA106" s="14">
        <v>0.4</v>
      </c>
      <c r="AB106" s="14">
        <v>0.4</v>
      </c>
      <c r="AC106" s="14">
        <v>0.3</v>
      </c>
      <c r="AD106" s="14">
        <v>0.2</v>
      </c>
      <c r="AE106" s="14">
        <v>0.1</v>
      </c>
      <c r="AF106" s="14" t="s">
        <v>413</v>
      </c>
    </row>
    <row r="107" spans="1:32" ht="14.25" customHeight="1" x14ac:dyDescent="0.35">
      <c r="A107" s="14" t="s">
        <v>485</v>
      </c>
      <c r="B107" s="14" t="s">
        <v>424</v>
      </c>
      <c r="C107" s="14"/>
      <c r="D107" s="14" t="s">
        <v>419</v>
      </c>
      <c r="E107" s="15">
        <v>41640</v>
      </c>
      <c r="F107" s="15">
        <v>42004</v>
      </c>
      <c r="G107" s="14" t="s">
        <v>410</v>
      </c>
      <c r="H107" s="14">
        <v>0.5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 t="s">
        <v>413</v>
      </c>
    </row>
    <row r="108" spans="1:32" ht="14.25" customHeight="1" x14ac:dyDescent="0.35">
      <c r="A108" s="16" t="s">
        <v>485</v>
      </c>
      <c r="B108" s="16" t="s">
        <v>424</v>
      </c>
      <c r="C108" s="16"/>
      <c r="D108" s="16" t="s">
        <v>418</v>
      </c>
      <c r="E108" s="17">
        <v>41640</v>
      </c>
      <c r="F108" s="17">
        <v>42004</v>
      </c>
      <c r="G108" s="16" t="s">
        <v>410</v>
      </c>
      <c r="H108" s="16">
        <v>0.05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 t="s">
        <v>413</v>
      </c>
    </row>
    <row r="109" spans="1:32" ht="14.25" customHeight="1" x14ac:dyDescent="0.35">
      <c r="A109" s="16" t="s">
        <v>349</v>
      </c>
      <c r="B109" s="16" t="s">
        <v>427</v>
      </c>
      <c r="C109" s="16"/>
      <c r="D109" s="16" t="s">
        <v>409</v>
      </c>
      <c r="E109" s="17">
        <v>41640</v>
      </c>
      <c r="F109" s="17">
        <v>42004</v>
      </c>
      <c r="G109" s="16" t="s">
        <v>415</v>
      </c>
      <c r="H109" s="16">
        <v>0.45</v>
      </c>
      <c r="I109" s="16">
        <v>0.41</v>
      </c>
      <c r="J109" s="16">
        <v>0.39</v>
      </c>
      <c r="K109" s="16">
        <v>0.38</v>
      </c>
      <c r="L109" s="16">
        <v>0.38</v>
      </c>
      <c r="M109" s="16">
        <v>0.43</v>
      </c>
      <c r="N109" s="16">
        <v>0.54</v>
      </c>
      <c r="O109" s="16">
        <v>0.65</v>
      </c>
      <c r="P109" s="16">
        <v>0.66</v>
      </c>
      <c r="Q109" s="16">
        <v>0.67</v>
      </c>
      <c r="R109" s="16">
        <v>0.69</v>
      </c>
      <c r="S109" s="16">
        <v>0.7</v>
      </c>
      <c r="T109" s="16">
        <v>0.69</v>
      </c>
      <c r="U109" s="16">
        <v>0.66</v>
      </c>
      <c r="V109" s="16">
        <v>0.65</v>
      </c>
      <c r="W109" s="16">
        <v>0.68</v>
      </c>
      <c r="X109" s="16">
        <v>0.8</v>
      </c>
      <c r="Y109" s="16">
        <v>1</v>
      </c>
      <c r="Z109" s="16">
        <v>1</v>
      </c>
      <c r="AA109" s="16">
        <v>0.93</v>
      </c>
      <c r="AB109" s="16">
        <v>0.89</v>
      </c>
      <c r="AC109" s="16">
        <v>0.85</v>
      </c>
      <c r="AD109" s="16">
        <v>0.71</v>
      </c>
      <c r="AE109" s="16">
        <v>0.57999999999999996</v>
      </c>
      <c r="AF109" s="16" t="s">
        <v>413</v>
      </c>
    </row>
    <row r="110" spans="1:32" ht="14.25" customHeight="1" x14ac:dyDescent="0.35">
      <c r="A110" s="14" t="s">
        <v>486</v>
      </c>
      <c r="B110" s="14" t="s">
        <v>427</v>
      </c>
      <c r="C110" s="14"/>
      <c r="D110" s="14" t="s">
        <v>409</v>
      </c>
      <c r="E110" s="15">
        <v>41640</v>
      </c>
      <c r="F110" s="15">
        <v>42004</v>
      </c>
      <c r="G110" s="14" t="s">
        <v>410</v>
      </c>
      <c r="H110" s="14">
        <v>0.33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 t="s">
        <v>413</v>
      </c>
    </row>
    <row r="111" spans="1:32" ht="14.25" customHeight="1" x14ac:dyDescent="0.35">
      <c r="A111" s="16" t="s">
        <v>486</v>
      </c>
      <c r="B111" s="16" t="s">
        <v>427</v>
      </c>
      <c r="C111" s="16"/>
      <c r="D111" s="16" t="s">
        <v>429</v>
      </c>
      <c r="E111" s="17">
        <v>41640</v>
      </c>
      <c r="F111" s="17">
        <v>42004</v>
      </c>
      <c r="G111" s="16" t="s">
        <v>415</v>
      </c>
      <c r="H111" s="16">
        <v>0.33</v>
      </c>
      <c r="I111" s="16">
        <v>0.33</v>
      </c>
      <c r="J111" s="16">
        <v>0.33</v>
      </c>
      <c r="K111" s="16">
        <v>0.33</v>
      </c>
      <c r="L111" s="16">
        <v>0.33</v>
      </c>
      <c r="M111" s="16">
        <v>0.33</v>
      </c>
      <c r="N111" s="16">
        <v>0.33</v>
      </c>
      <c r="O111" s="16">
        <v>0.5</v>
      </c>
      <c r="P111" s="16">
        <v>1</v>
      </c>
      <c r="Q111" s="16">
        <v>1</v>
      </c>
      <c r="R111" s="16">
        <v>1</v>
      </c>
      <c r="S111" s="16">
        <v>1</v>
      </c>
      <c r="T111" s="16">
        <v>0.94</v>
      </c>
      <c r="U111" s="16">
        <v>1</v>
      </c>
      <c r="V111" s="16">
        <v>1</v>
      </c>
      <c r="W111" s="16">
        <v>1</v>
      </c>
      <c r="X111" s="16">
        <v>1</v>
      </c>
      <c r="Y111" s="16">
        <v>0.5</v>
      </c>
      <c r="Z111" s="16">
        <v>0.33</v>
      </c>
      <c r="AA111" s="16">
        <v>0.33</v>
      </c>
      <c r="AB111" s="16">
        <v>0.33</v>
      </c>
      <c r="AC111" s="16">
        <v>0.33</v>
      </c>
      <c r="AD111" s="16">
        <v>0.33</v>
      </c>
      <c r="AE111" s="16">
        <v>0.33</v>
      </c>
      <c r="AF111" s="16" t="s">
        <v>413</v>
      </c>
    </row>
    <row r="112" spans="1:32" ht="14.25" customHeight="1" x14ac:dyDescent="0.35">
      <c r="A112" s="14" t="s">
        <v>487</v>
      </c>
      <c r="B112" s="14" t="s">
        <v>408</v>
      </c>
      <c r="C112" s="14"/>
      <c r="D112" s="14" t="s">
        <v>409</v>
      </c>
      <c r="E112" s="15">
        <v>41640</v>
      </c>
      <c r="F112" s="15">
        <v>42004</v>
      </c>
      <c r="G112" s="14" t="s">
        <v>410</v>
      </c>
      <c r="H112" s="14">
        <v>1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 t="s">
        <v>413</v>
      </c>
    </row>
    <row r="113" spans="1:32" ht="14.25" customHeight="1" x14ac:dyDescent="0.35">
      <c r="A113" s="16" t="s">
        <v>488</v>
      </c>
      <c r="B113" s="16" t="s">
        <v>408</v>
      </c>
      <c r="C113" s="16"/>
      <c r="D113" s="16" t="s">
        <v>409</v>
      </c>
      <c r="E113" s="17">
        <v>41640</v>
      </c>
      <c r="F113" s="17">
        <v>42004</v>
      </c>
      <c r="G113" s="16" t="s">
        <v>415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1</v>
      </c>
      <c r="AB113" s="16">
        <v>1</v>
      </c>
      <c r="AC113" s="16">
        <v>1</v>
      </c>
      <c r="AD113" s="16">
        <v>1</v>
      </c>
      <c r="AE113" s="16">
        <v>1</v>
      </c>
      <c r="AF113" s="16" t="s">
        <v>413</v>
      </c>
    </row>
    <row r="114" spans="1:32" ht="14.25" customHeight="1" x14ac:dyDescent="0.35">
      <c r="A114" s="14" t="s">
        <v>489</v>
      </c>
      <c r="B114" s="14" t="s">
        <v>408</v>
      </c>
      <c r="C114" s="14" t="s">
        <v>412</v>
      </c>
      <c r="D114" s="14" t="s">
        <v>409</v>
      </c>
      <c r="E114" s="15">
        <v>41640</v>
      </c>
      <c r="F114" s="15">
        <v>42004</v>
      </c>
      <c r="G114" s="14" t="s">
        <v>410</v>
      </c>
      <c r="H114" s="14">
        <v>60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 t="s">
        <v>413</v>
      </c>
    </row>
    <row r="115" spans="1:32" ht="14.25" customHeight="1" x14ac:dyDescent="0.35">
      <c r="A115" s="16" t="s">
        <v>490</v>
      </c>
      <c r="B115" s="16" t="s">
        <v>420</v>
      </c>
      <c r="C115" s="16" t="s">
        <v>414</v>
      </c>
      <c r="D115" s="16" t="s">
        <v>409</v>
      </c>
      <c r="E115" s="17">
        <v>41640</v>
      </c>
      <c r="F115" s="17">
        <v>42004</v>
      </c>
      <c r="G115" s="16" t="s">
        <v>410</v>
      </c>
      <c r="H115" s="16">
        <v>0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 t="s">
        <v>413</v>
      </c>
    </row>
    <row r="116" spans="1:32" ht="14.25" customHeight="1" x14ac:dyDescent="0.35">
      <c r="A116" s="14" t="s">
        <v>491</v>
      </c>
      <c r="B116" s="14" t="s">
        <v>420</v>
      </c>
      <c r="C116" s="14" t="s">
        <v>414</v>
      </c>
      <c r="D116" s="14" t="s">
        <v>453</v>
      </c>
      <c r="E116" s="15">
        <v>41640</v>
      </c>
      <c r="F116" s="15">
        <v>42004</v>
      </c>
      <c r="G116" s="14" t="s">
        <v>410</v>
      </c>
      <c r="H116" s="14">
        <v>15.6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 t="s">
        <v>413</v>
      </c>
    </row>
    <row r="117" spans="1:32" ht="14.25" customHeight="1" x14ac:dyDescent="0.35">
      <c r="A117" s="14" t="s">
        <v>491</v>
      </c>
      <c r="B117" s="14" t="s">
        <v>420</v>
      </c>
      <c r="C117" s="14" t="s">
        <v>414</v>
      </c>
      <c r="D117" s="14" t="s">
        <v>429</v>
      </c>
      <c r="E117" s="15">
        <v>41640</v>
      </c>
      <c r="F117" s="15">
        <v>42004</v>
      </c>
      <c r="G117" s="14" t="s">
        <v>415</v>
      </c>
      <c r="H117" s="14">
        <v>15.6</v>
      </c>
      <c r="I117" s="14">
        <v>15.6</v>
      </c>
      <c r="J117" s="14">
        <v>15.6</v>
      </c>
      <c r="K117" s="14">
        <v>15.6</v>
      </c>
      <c r="L117" s="14">
        <v>15.6</v>
      </c>
      <c r="M117" s="14">
        <v>15.6</v>
      </c>
      <c r="N117" s="14">
        <v>15.6</v>
      </c>
      <c r="O117" s="14">
        <v>21.1</v>
      </c>
      <c r="P117" s="14">
        <v>21.1</v>
      </c>
      <c r="Q117" s="14">
        <v>21.1</v>
      </c>
      <c r="R117" s="14">
        <v>21.1</v>
      </c>
      <c r="S117" s="14">
        <v>21.1</v>
      </c>
      <c r="T117" s="14">
        <v>21.1</v>
      </c>
      <c r="U117" s="14">
        <v>21.1</v>
      </c>
      <c r="V117" s="14">
        <v>21.1</v>
      </c>
      <c r="W117" s="14">
        <v>21.1</v>
      </c>
      <c r="X117" s="14">
        <v>21.1</v>
      </c>
      <c r="Y117" s="14">
        <v>18.3</v>
      </c>
      <c r="Z117" s="14">
        <v>15.6</v>
      </c>
      <c r="AA117" s="14">
        <v>15.6</v>
      </c>
      <c r="AB117" s="14">
        <v>15.6</v>
      </c>
      <c r="AC117" s="14">
        <v>15.6</v>
      </c>
      <c r="AD117" s="14">
        <v>15.6</v>
      </c>
      <c r="AE117" s="14">
        <v>15.6</v>
      </c>
      <c r="AF117" s="14" t="s">
        <v>413</v>
      </c>
    </row>
    <row r="118" spans="1:32" ht="14.25" customHeight="1" x14ac:dyDescent="0.35">
      <c r="A118" s="16" t="s">
        <v>491</v>
      </c>
      <c r="B118" s="16" t="s">
        <v>420</v>
      </c>
      <c r="C118" s="16" t="s">
        <v>414</v>
      </c>
      <c r="D118" s="16" t="s">
        <v>418</v>
      </c>
      <c r="E118" s="17">
        <v>41640</v>
      </c>
      <c r="F118" s="17">
        <v>42004</v>
      </c>
      <c r="G118" s="16" t="s">
        <v>415</v>
      </c>
      <c r="H118" s="16">
        <v>15.6</v>
      </c>
      <c r="I118" s="16">
        <v>15.6</v>
      </c>
      <c r="J118" s="16">
        <v>15.6</v>
      </c>
      <c r="K118" s="16">
        <v>15.6</v>
      </c>
      <c r="L118" s="16">
        <v>15.6</v>
      </c>
      <c r="M118" s="16">
        <v>15.6</v>
      </c>
      <c r="N118" s="16">
        <v>15.6</v>
      </c>
      <c r="O118" s="16">
        <v>18.3</v>
      </c>
      <c r="P118" s="16">
        <v>21.1</v>
      </c>
      <c r="Q118" s="16">
        <v>21.1</v>
      </c>
      <c r="R118" s="16">
        <v>21.1</v>
      </c>
      <c r="S118" s="16">
        <v>21.1</v>
      </c>
      <c r="T118" s="16">
        <v>21.1</v>
      </c>
      <c r="U118" s="16">
        <v>21.1</v>
      </c>
      <c r="V118" s="16">
        <v>21.1</v>
      </c>
      <c r="W118" s="16">
        <v>21.1</v>
      </c>
      <c r="X118" s="16">
        <v>21.1</v>
      </c>
      <c r="Y118" s="16">
        <v>18.3</v>
      </c>
      <c r="Z118" s="16">
        <v>15.6</v>
      </c>
      <c r="AA118" s="16">
        <v>15.6</v>
      </c>
      <c r="AB118" s="16">
        <v>15.6</v>
      </c>
      <c r="AC118" s="16">
        <v>15.6</v>
      </c>
      <c r="AD118" s="16">
        <v>15.6</v>
      </c>
      <c r="AE118" s="16">
        <v>15.6</v>
      </c>
      <c r="AF118" s="16" t="s">
        <v>413</v>
      </c>
    </row>
    <row r="119" spans="1:32" ht="14.25" customHeight="1" x14ac:dyDescent="0.35">
      <c r="A119" s="16" t="s">
        <v>492</v>
      </c>
      <c r="B119" s="16" t="s">
        <v>420</v>
      </c>
      <c r="C119" s="16" t="s">
        <v>414</v>
      </c>
      <c r="D119" s="16" t="s">
        <v>453</v>
      </c>
      <c r="E119" s="17">
        <v>41640</v>
      </c>
      <c r="F119" s="17">
        <v>42004</v>
      </c>
      <c r="G119" s="16" t="s">
        <v>410</v>
      </c>
      <c r="H119" s="16">
        <v>15.6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 t="s">
        <v>413</v>
      </c>
    </row>
    <row r="120" spans="1:32" ht="14.25" customHeight="1" x14ac:dyDescent="0.35">
      <c r="A120" s="16" t="s">
        <v>492</v>
      </c>
      <c r="B120" s="16" t="s">
        <v>420</v>
      </c>
      <c r="C120" s="16" t="s">
        <v>414</v>
      </c>
      <c r="D120" s="16" t="s">
        <v>429</v>
      </c>
      <c r="E120" s="17">
        <v>41640</v>
      </c>
      <c r="F120" s="17">
        <v>42004</v>
      </c>
      <c r="G120" s="16" t="s">
        <v>415</v>
      </c>
      <c r="H120" s="16">
        <v>15.6</v>
      </c>
      <c r="I120" s="16">
        <v>15.6</v>
      </c>
      <c r="J120" s="16">
        <v>15.6</v>
      </c>
      <c r="K120" s="16">
        <v>15.6</v>
      </c>
      <c r="L120" s="16">
        <v>15.6</v>
      </c>
      <c r="M120" s="16">
        <v>15.6</v>
      </c>
      <c r="N120" s="16">
        <v>15.6</v>
      </c>
      <c r="O120" s="16">
        <v>17.8</v>
      </c>
      <c r="P120" s="16">
        <v>20</v>
      </c>
      <c r="Q120" s="16">
        <v>21.1</v>
      </c>
      <c r="R120" s="16">
        <v>21.1</v>
      </c>
      <c r="S120" s="16">
        <v>21.1</v>
      </c>
      <c r="T120" s="16">
        <v>21.1</v>
      </c>
      <c r="U120" s="16">
        <v>21.1</v>
      </c>
      <c r="V120" s="16">
        <v>21.1</v>
      </c>
      <c r="W120" s="16">
        <v>21.1</v>
      </c>
      <c r="X120" s="16">
        <v>21.1</v>
      </c>
      <c r="Y120" s="16">
        <v>18.3</v>
      </c>
      <c r="Z120" s="16">
        <v>15.6</v>
      </c>
      <c r="AA120" s="16">
        <v>15.6</v>
      </c>
      <c r="AB120" s="16">
        <v>15.6</v>
      </c>
      <c r="AC120" s="16">
        <v>15.6</v>
      </c>
      <c r="AD120" s="16">
        <v>15.6</v>
      </c>
      <c r="AE120" s="16">
        <v>15.6</v>
      </c>
      <c r="AF120" s="16" t="s">
        <v>413</v>
      </c>
    </row>
    <row r="121" spans="1:32" ht="14.25" customHeight="1" x14ac:dyDescent="0.35">
      <c r="A121" s="14" t="s">
        <v>492</v>
      </c>
      <c r="B121" s="14" t="s">
        <v>420</v>
      </c>
      <c r="C121" s="14" t="s">
        <v>414</v>
      </c>
      <c r="D121" s="14" t="s">
        <v>418</v>
      </c>
      <c r="E121" s="15">
        <v>41640</v>
      </c>
      <c r="F121" s="15">
        <v>42004</v>
      </c>
      <c r="G121" s="14" t="s">
        <v>415</v>
      </c>
      <c r="H121" s="14">
        <v>15.6</v>
      </c>
      <c r="I121" s="14">
        <v>15.6</v>
      </c>
      <c r="J121" s="14">
        <v>15.6</v>
      </c>
      <c r="K121" s="14">
        <v>15.6</v>
      </c>
      <c r="L121" s="14">
        <v>15.6</v>
      </c>
      <c r="M121" s="14">
        <v>15.6</v>
      </c>
      <c r="N121" s="14">
        <v>15.6</v>
      </c>
      <c r="O121" s="14">
        <v>18.3</v>
      </c>
      <c r="P121" s="14">
        <v>21.1</v>
      </c>
      <c r="Q121" s="14">
        <v>21.1</v>
      </c>
      <c r="R121" s="14">
        <v>21.1</v>
      </c>
      <c r="S121" s="14">
        <v>21.1</v>
      </c>
      <c r="T121" s="14">
        <v>21.1</v>
      </c>
      <c r="U121" s="14">
        <v>21.1</v>
      </c>
      <c r="V121" s="14">
        <v>21.1</v>
      </c>
      <c r="W121" s="14">
        <v>21.1</v>
      </c>
      <c r="X121" s="14">
        <v>21.1</v>
      </c>
      <c r="Y121" s="14">
        <v>18.3</v>
      </c>
      <c r="Z121" s="14">
        <v>15.6</v>
      </c>
      <c r="AA121" s="14">
        <v>15.6</v>
      </c>
      <c r="AB121" s="14">
        <v>15.6</v>
      </c>
      <c r="AC121" s="14">
        <v>15.6</v>
      </c>
      <c r="AD121" s="14">
        <v>15.6</v>
      </c>
      <c r="AE121" s="14">
        <v>15.6</v>
      </c>
      <c r="AF121" s="14" t="s">
        <v>413</v>
      </c>
    </row>
    <row r="122" spans="1:32" ht="14.25" customHeight="1" x14ac:dyDescent="0.35">
      <c r="A122" s="16" t="s">
        <v>493</v>
      </c>
      <c r="B122" s="16" t="s">
        <v>408</v>
      </c>
      <c r="C122" s="16"/>
      <c r="D122" s="16" t="s">
        <v>409</v>
      </c>
      <c r="E122" s="17">
        <v>41640</v>
      </c>
      <c r="F122" s="17">
        <v>42004</v>
      </c>
      <c r="G122" s="16" t="s">
        <v>410</v>
      </c>
      <c r="H122" s="16">
        <v>1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 t="s">
        <v>413</v>
      </c>
    </row>
    <row r="123" spans="1:32" ht="14.25" customHeight="1" x14ac:dyDescent="0.35">
      <c r="A123" s="14" t="s">
        <v>494</v>
      </c>
      <c r="B123" s="14" t="s">
        <v>408</v>
      </c>
      <c r="C123" s="14"/>
      <c r="D123" s="14" t="s">
        <v>409</v>
      </c>
      <c r="E123" s="15">
        <v>41640</v>
      </c>
      <c r="F123" s="15">
        <v>42004</v>
      </c>
      <c r="G123" s="14" t="s">
        <v>410</v>
      </c>
      <c r="H123" s="14">
        <v>1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 t="s">
        <v>413</v>
      </c>
    </row>
    <row r="124" spans="1:32" ht="14.25" customHeight="1" x14ac:dyDescent="0.35">
      <c r="A124" s="16" t="s">
        <v>495</v>
      </c>
      <c r="B124" s="16" t="s">
        <v>408</v>
      </c>
      <c r="C124" s="16"/>
      <c r="D124" s="16" t="s">
        <v>409</v>
      </c>
      <c r="E124" s="17">
        <v>41640</v>
      </c>
      <c r="F124" s="17">
        <v>42004</v>
      </c>
      <c r="G124" s="16" t="s">
        <v>410</v>
      </c>
      <c r="H124" s="16">
        <v>1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 t="s">
        <v>413</v>
      </c>
    </row>
    <row r="125" spans="1:32" ht="14.25" customHeight="1" x14ac:dyDescent="0.35">
      <c r="A125" s="14" t="s">
        <v>496</v>
      </c>
      <c r="B125" s="14" t="s">
        <v>441</v>
      </c>
      <c r="C125" s="14"/>
      <c r="D125" s="14" t="s">
        <v>409</v>
      </c>
      <c r="E125" s="15">
        <v>41640</v>
      </c>
      <c r="F125" s="15">
        <v>42004</v>
      </c>
      <c r="G125" s="14" t="s">
        <v>415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0.14399999999999999</v>
      </c>
      <c r="O125" s="14">
        <v>1</v>
      </c>
      <c r="P125" s="14">
        <v>0.14399999999999999</v>
      </c>
      <c r="Q125" s="14">
        <v>0.14399999999999999</v>
      </c>
      <c r="R125" s="14">
        <v>0.14399999999999999</v>
      </c>
      <c r="S125" s="14">
        <v>0.14399999999999999</v>
      </c>
      <c r="T125" s="14">
        <v>0.14399999999999999</v>
      </c>
      <c r="U125" s="14">
        <v>0.14399999999999999</v>
      </c>
      <c r="V125" s="14">
        <v>0.14399999999999999</v>
      </c>
      <c r="W125" s="14">
        <v>0.14399999999999999</v>
      </c>
      <c r="X125" s="14">
        <v>0.14399999999999999</v>
      </c>
      <c r="Y125" s="14">
        <v>1</v>
      </c>
      <c r="Z125" s="14">
        <v>0.14399999999999999</v>
      </c>
      <c r="AA125" s="14">
        <v>0.14399999999999999</v>
      </c>
      <c r="AB125" s="14">
        <v>0.14399999999999999</v>
      </c>
      <c r="AC125" s="14">
        <v>0.14399999999999999</v>
      </c>
      <c r="AD125" s="14">
        <v>0</v>
      </c>
      <c r="AE125" s="14">
        <v>0</v>
      </c>
      <c r="AF125" s="14" t="s">
        <v>413</v>
      </c>
    </row>
    <row r="126" spans="1:32" ht="14.25" customHeight="1" x14ac:dyDescent="0.35">
      <c r="A126" s="14" t="s">
        <v>497</v>
      </c>
      <c r="B126" s="14" t="s">
        <v>408</v>
      </c>
      <c r="C126" s="14"/>
      <c r="D126" s="14" t="s">
        <v>409</v>
      </c>
      <c r="E126" s="15">
        <v>41640</v>
      </c>
      <c r="F126" s="15">
        <v>42004</v>
      </c>
      <c r="G126" s="14" t="s">
        <v>415</v>
      </c>
      <c r="H126" s="14">
        <v>0.02</v>
      </c>
      <c r="I126" s="14">
        <v>0.02</v>
      </c>
      <c r="J126" s="14">
        <v>0.02</v>
      </c>
      <c r="K126" s="14">
        <v>0.02</v>
      </c>
      <c r="L126" s="14">
        <v>0.06</v>
      </c>
      <c r="M126" s="14">
        <v>0.13</v>
      </c>
      <c r="N126" s="14">
        <v>0.14000000000000001</v>
      </c>
      <c r="O126" s="14">
        <v>0.13</v>
      </c>
      <c r="P126" s="14">
        <v>0.06</v>
      </c>
      <c r="Q126" s="14">
        <v>0.04</v>
      </c>
      <c r="R126" s="14">
        <v>0.04</v>
      </c>
      <c r="S126" s="14">
        <v>0.04</v>
      </c>
      <c r="T126" s="14">
        <v>0.04</v>
      </c>
      <c r="U126" s="14">
        <v>0.04</v>
      </c>
      <c r="V126" s="14">
        <v>0.04</v>
      </c>
      <c r="W126" s="14">
        <v>7.0000000000000007E-2</v>
      </c>
      <c r="X126" s="14">
        <v>0.14000000000000001</v>
      </c>
      <c r="Y126" s="14">
        <v>0.2</v>
      </c>
      <c r="Z126" s="14">
        <v>0.27</v>
      </c>
      <c r="AA126" s="14">
        <v>0.32</v>
      </c>
      <c r="AB126" s="14">
        <v>0.32</v>
      </c>
      <c r="AC126" s="14">
        <v>0.22</v>
      </c>
      <c r="AD126" s="14">
        <v>0.12</v>
      </c>
      <c r="AE126" s="14">
        <v>0.05</v>
      </c>
      <c r="AF126" s="14" t="s">
        <v>413</v>
      </c>
    </row>
    <row r="127" spans="1:32" ht="14.25" customHeight="1" x14ac:dyDescent="0.35">
      <c r="A127" s="16" t="s">
        <v>498</v>
      </c>
      <c r="B127" s="16" t="s">
        <v>408</v>
      </c>
      <c r="C127" s="16"/>
      <c r="D127" s="16" t="s">
        <v>409</v>
      </c>
      <c r="E127" s="17">
        <v>41640</v>
      </c>
      <c r="F127" s="17">
        <v>42004</v>
      </c>
      <c r="G127" s="16" t="s">
        <v>410</v>
      </c>
      <c r="H127" s="16">
        <v>1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 t="s">
        <v>413</v>
      </c>
    </row>
    <row r="128" spans="1:32" ht="14.25" customHeight="1" x14ac:dyDescent="0.35">
      <c r="A128" s="14" t="s">
        <v>499</v>
      </c>
      <c r="B128" s="14" t="s">
        <v>408</v>
      </c>
      <c r="C128" s="14"/>
      <c r="D128" s="14" t="s">
        <v>417</v>
      </c>
      <c r="E128" s="15">
        <v>41640</v>
      </c>
      <c r="F128" s="15">
        <v>42004</v>
      </c>
      <c r="G128" s="14" t="s">
        <v>410</v>
      </c>
      <c r="H128" s="14">
        <v>0.18</v>
      </c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 t="s">
        <v>413</v>
      </c>
    </row>
    <row r="129" spans="1:32" ht="14.25" customHeight="1" x14ac:dyDescent="0.35">
      <c r="A129" s="14" t="s">
        <v>499</v>
      </c>
      <c r="B129" s="14" t="s">
        <v>408</v>
      </c>
      <c r="C129" s="14"/>
      <c r="D129" s="14" t="s">
        <v>419</v>
      </c>
      <c r="E129" s="15">
        <v>41640</v>
      </c>
      <c r="F129" s="15">
        <v>42004</v>
      </c>
      <c r="G129" s="14" t="s">
        <v>410</v>
      </c>
      <c r="H129" s="14">
        <v>1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 t="s">
        <v>413</v>
      </c>
    </row>
    <row r="130" spans="1:32" ht="14.25" customHeight="1" x14ac:dyDescent="0.35">
      <c r="A130" s="16" t="s">
        <v>499</v>
      </c>
      <c r="B130" s="16" t="s">
        <v>408</v>
      </c>
      <c r="C130" s="16"/>
      <c r="D130" s="16" t="s">
        <v>429</v>
      </c>
      <c r="E130" s="17">
        <v>41640</v>
      </c>
      <c r="F130" s="17">
        <v>42004</v>
      </c>
      <c r="G130" s="16" t="s">
        <v>415</v>
      </c>
      <c r="H130" s="16">
        <v>0.18</v>
      </c>
      <c r="I130" s="16">
        <v>0.18</v>
      </c>
      <c r="J130" s="16">
        <v>0.18</v>
      </c>
      <c r="K130" s="16">
        <v>0.18</v>
      </c>
      <c r="L130" s="16">
        <v>0.18</v>
      </c>
      <c r="M130" s="16">
        <v>0.18</v>
      </c>
      <c r="N130" s="16">
        <v>0.18</v>
      </c>
      <c r="O130" s="16">
        <v>0.18</v>
      </c>
      <c r="P130" s="16">
        <v>0.9</v>
      </c>
      <c r="Q130" s="16">
        <v>0.9</v>
      </c>
      <c r="R130" s="16">
        <v>0.9</v>
      </c>
      <c r="S130" s="16">
        <v>0.9</v>
      </c>
      <c r="T130" s="16">
        <v>0.8</v>
      </c>
      <c r="U130" s="16">
        <v>0.9</v>
      </c>
      <c r="V130" s="16">
        <v>0.9</v>
      </c>
      <c r="W130" s="16">
        <v>0.9</v>
      </c>
      <c r="X130" s="16">
        <v>0.9</v>
      </c>
      <c r="Y130" s="16">
        <v>0.18</v>
      </c>
      <c r="Z130" s="16">
        <v>0.18</v>
      </c>
      <c r="AA130" s="16">
        <v>0.18</v>
      </c>
      <c r="AB130" s="16">
        <v>0.18</v>
      </c>
      <c r="AC130" s="16">
        <v>0.18</v>
      </c>
      <c r="AD130" s="16">
        <v>0.18</v>
      </c>
      <c r="AE130" s="16">
        <v>0.18</v>
      </c>
      <c r="AF130" s="16" t="s">
        <v>413</v>
      </c>
    </row>
    <row r="131" spans="1:32" ht="14.25" customHeight="1" x14ac:dyDescent="0.35">
      <c r="A131" s="16" t="s">
        <v>499</v>
      </c>
      <c r="B131" s="16" t="s">
        <v>408</v>
      </c>
      <c r="C131" s="16"/>
      <c r="D131" s="16" t="s">
        <v>418</v>
      </c>
      <c r="E131" s="17">
        <v>41640</v>
      </c>
      <c r="F131" s="17">
        <v>42004</v>
      </c>
      <c r="G131" s="16" t="s">
        <v>410</v>
      </c>
      <c r="H131" s="16">
        <v>0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 t="s">
        <v>413</v>
      </c>
    </row>
    <row r="132" spans="1:32" ht="14.25" customHeight="1" x14ac:dyDescent="0.35">
      <c r="A132" s="14" t="s">
        <v>500</v>
      </c>
      <c r="B132" s="14" t="s">
        <v>420</v>
      </c>
      <c r="C132" s="14" t="s">
        <v>414</v>
      </c>
      <c r="D132" s="14" t="s">
        <v>409</v>
      </c>
      <c r="E132" s="15">
        <v>41640</v>
      </c>
      <c r="F132" s="15">
        <v>42004</v>
      </c>
      <c r="G132" s="14" t="s">
        <v>410</v>
      </c>
      <c r="H132" s="14">
        <v>0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 t="s">
        <v>413</v>
      </c>
    </row>
    <row r="133" spans="1:32" ht="14.25" customHeight="1" x14ac:dyDescent="0.35">
      <c r="A133" s="16" t="s">
        <v>501</v>
      </c>
      <c r="B133" s="16" t="s">
        <v>420</v>
      </c>
      <c r="C133" s="16" t="s">
        <v>414</v>
      </c>
      <c r="D133" s="16" t="s">
        <v>409</v>
      </c>
      <c r="E133" s="17">
        <v>41640</v>
      </c>
      <c r="F133" s="17">
        <v>42004</v>
      </c>
      <c r="G133" s="16" t="s">
        <v>410</v>
      </c>
      <c r="H133" s="16">
        <v>0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 t="s">
        <v>413</v>
      </c>
    </row>
    <row r="134" spans="1:32" ht="14.25" customHeight="1" x14ac:dyDescent="0.35">
      <c r="A134" s="14" t="s">
        <v>502</v>
      </c>
      <c r="B134" s="14" t="s">
        <v>448</v>
      </c>
      <c r="C134" s="14"/>
      <c r="D134" s="14" t="s">
        <v>409</v>
      </c>
      <c r="E134" s="15">
        <v>41640</v>
      </c>
      <c r="F134" s="15">
        <v>42004</v>
      </c>
      <c r="G134" s="14" t="s">
        <v>415</v>
      </c>
      <c r="H134" s="14">
        <v>1</v>
      </c>
      <c r="I134" s="14">
        <v>1</v>
      </c>
      <c r="J134" s="14">
        <v>1</v>
      </c>
      <c r="K134" s="14">
        <v>1</v>
      </c>
      <c r="L134" s="14">
        <v>1</v>
      </c>
      <c r="M134" s="14">
        <v>1</v>
      </c>
      <c r="N134" s="14">
        <v>1</v>
      </c>
      <c r="O134" s="14">
        <v>0.85</v>
      </c>
      <c r="P134" s="14">
        <v>0.39</v>
      </c>
      <c r="Q134" s="14">
        <v>0.25</v>
      </c>
      <c r="R134" s="14">
        <v>0.25</v>
      </c>
      <c r="S134" s="14">
        <v>0.25</v>
      </c>
      <c r="T134" s="14">
        <v>0.25</v>
      </c>
      <c r="U134" s="14">
        <v>0.25</v>
      </c>
      <c r="V134" s="14">
        <v>0.25</v>
      </c>
      <c r="W134" s="14">
        <v>0.25</v>
      </c>
      <c r="X134" s="14">
        <v>0.3</v>
      </c>
      <c r="Y134" s="14">
        <v>0.52</v>
      </c>
      <c r="Z134" s="14">
        <v>0.87</v>
      </c>
      <c r="AA134" s="14">
        <v>0.87</v>
      </c>
      <c r="AB134" s="14">
        <v>0.87</v>
      </c>
      <c r="AC134" s="14">
        <v>1</v>
      </c>
      <c r="AD134" s="14">
        <v>1</v>
      </c>
      <c r="AE134" s="14">
        <v>1</v>
      </c>
      <c r="AF134" s="14" t="s">
        <v>413</v>
      </c>
    </row>
    <row r="135" spans="1:32" ht="14.25" customHeight="1" x14ac:dyDescent="0.35">
      <c r="A135" s="16" t="s">
        <v>503</v>
      </c>
      <c r="B135" s="16" t="s">
        <v>448</v>
      </c>
      <c r="C135" s="16"/>
      <c r="D135" s="16" t="s">
        <v>409</v>
      </c>
      <c r="E135" s="17">
        <v>41640</v>
      </c>
      <c r="F135" s="17">
        <v>42004</v>
      </c>
      <c r="G135" s="16" t="s">
        <v>410</v>
      </c>
      <c r="H135" s="16">
        <v>0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 t="s">
        <v>413</v>
      </c>
    </row>
    <row r="136" spans="1:32" ht="14.25" customHeight="1" x14ac:dyDescent="0.35">
      <c r="A136" s="14" t="s">
        <v>503</v>
      </c>
      <c r="B136" s="14" t="s">
        <v>448</v>
      </c>
      <c r="C136" s="14"/>
      <c r="D136" s="14" t="s">
        <v>429</v>
      </c>
      <c r="E136" s="15">
        <v>41640</v>
      </c>
      <c r="F136" s="15">
        <v>42004</v>
      </c>
      <c r="G136" s="14" t="s">
        <v>415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1</v>
      </c>
      <c r="Q136" s="14">
        <v>1</v>
      </c>
      <c r="R136" s="14">
        <v>1</v>
      </c>
      <c r="S136" s="14">
        <v>1</v>
      </c>
      <c r="T136" s="14">
        <v>0.5</v>
      </c>
      <c r="U136" s="14">
        <v>1</v>
      </c>
      <c r="V136" s="14">
        <v>1</v>
      </c>
      <c r="W136" s="14">
        <v>1</v>
      </c>
      <c r="X136" s="14">
        <v>1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 t="s">
        <v>413</v>
      </c>
    </row>
    <row r="137" spans="1:32" ht="14.25" customHeight="1" x14ac:dyDescent="0.35">
      <c r="A137" s="16" t="s">
        <v>504</v>
      </c>
      <c r="B137" s="16" t="s">
        <v>420</v>
      </c>
      <c r="C137" s="16" t="s">
        <v>414</v>
      </c>
      <c r="D137" s="16" t="s">
        <v>409</v>
      </c>
      <c r="E137" s="17">
        <v>41640</v>
      </c>
      <c r="F137" s="17">
        <v>42004</v>
      </c>
      <c r="G137" s="16" t="s">
        <v>410</v>
      </c>
      <c r="H137" s="16">
        <v>0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 t="s">
        <v>413</v>
      </c>
    </row>
    <row r="138" spans="1:32" ht="14.25" customHeight="1" x14ac:dyDescent="0.35">
      <c r="A138" s="14" t="s">
        <v>505</v>
      </c>
      <c r="B138" s="14" t="s">
        <v>420</v>
      </c>
      <c r="C138" s="14" t="s">
        <v>414</v>
      </c>
      <c r="D138" s="14" t="s">
        <v>409</v>
      </c>
      <c r="E138" s="15">
        <v>41640</v>
      </c>
      <c r="F138" s="15">
        <v>42004</v>
      </c>
      <c r="G138" s="14" t="s">
        <v>410</v>
      </c>
      <c r="H138" s="14">
        <v>0</v>
      </c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 t="s">
        <v>413</v>
      </c>
    </row>
    <row r="139" spans="1:32" ht="14.25" customHeight="1" x14ac:dyDescent="0.35">
      <c r="A139" s="16" t="s">
        <v>506</v>
      </c>
      <c r="B139" s="16" t="s">
        <v>408</v>
      </c>
      <c r="C139" s="16"/>
      <c r="D139" s="16" t="s">
        <v>417</v>
      </c>
      <c r="E139" s="17">
        <v>41640</v>
      </c>
      <c r="F139" s="17">
        <v>42004</v>
      </c>
      <c r="G139" s="16" t="s">
        <v>415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1</v>
      </c>
      <c r="O139" s="16">
        <v>1</v>
      </c>
      <c r="P139" s="16">
        <v>1</v>
      </c>
      <c r="Q139" s="16">
        <v>1</v>
      </c>
      <c r="R139" s="16">
        <v>1</v>
      </c>
      <c r="S139" s="16">
        <v>1</v>
      </c>
      <c r="T139" s="16">
        <v>1</v>
      </c>
      <c r="U139" s="16">
        <v>1</v>
      </c>
      <c r="V139" s="16">
        <v>1</v>
      </c>
      <c r="W139" s="16">
        <v>1</v>
      </c>
      <c r="X139" s="16">
        <v>1</v>
      </c>
      <c r="Y139" s="16">
        <v>1</v>
      </c>
      <c r="Z139" s="16">
        <v>1</v>
      </c>
      <c r="AA139" s="16">
        <v>1</v>
      </c>
      <c r="AB139" s="16">
        <v>1</v>
      </c>
      <c r="AC139" s="16">
        <v>1</v>
      </c>
      <c r="AD139" s="16">
        <v>0</v>
      </c>
      <c r="AE139" s="16">
        <v>0</v>
      </c>
      <c r="AF139" s="16" t="s">
        <v>413</v>
      </c>
    </row>
    <row r="140" spans="1:32" ht="14.25" customHeight="1" x14ac:dyDescent="0.35">
      <c r="A140" s="14" t="s">
        <v>506</v>
      </c>
      <c r="B140" s="14" t="s">
        <v>408</v>
      </c>
      <c r="C140" s="14"/>
      <c r="D140" s="14" t="s">
        <v>421</v>
      </c>
      <c r="E140" s="15">
        <v>41640</v>
      </c>
      <c r="F140" s="15">
        <v>42004</v>
      </c>
      <c r="G140" s="14" t="s">
        <v>410</v>
      </c>
      <c r="H140" s="14">
        <v>0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 t="s">
        <v>413</v>
      </c>
    </row>
    <row r="141" spans="1:32" ht="14.25" customHeight="1" x14ac:dyDescent="0.35">
      <c r="A141" s="16" t="s">
        <v>507</v>
      </c>
      <c r="B141" s="16" t="s">
        <v>427</v>
      </c>
      <c r="C141" s="16"/>
      <c r="D141" s="16" t="s">
        <v>508</v>
      </c>
      <c r="E141" s="17">
        <v>41640</v>
      </c>
      <c r="F141" s="17">
        <v>42004</v>
      </c>
      <c r="G141" s="16" t="s">
        <v>415</v>
      </c>
      <c r="H141" s="16">
        <v>0.1</v>
      </c>
      <c r="I141" s="16">
        <v>0.1</v>
      </c>
      <c r="J141" s="16">
        <v>0.1</v>
      </c>
      <c r="K141" s="16">
        <v>0.1</v>
      </c>
      <c r="L141" s="16">
        <v>0.1</v>
      </c>
      <c r="M141" s="16">
        <v>0.1</v>
      </c>
      <c r="N141" s="16">
        <v>0.25</v>
      </c>
      <c r="O141" s="16">
        <v>0.35</v>
      </c>
      <c r="P141" s="16">
        <v>0.35</v>
      </c>
      <c r="Q141" s="16">
        <v>0.25</v>
      </c>
      <c r="R141" s="16">
        <v>0.35</v>
      </c>
      <c r="S141" s="16">
        <v>0.35</v>
      </c>
      <c r="T141" s="16">
        <v>0.35</v>
      </c>
      <c r="U141" s="16">
        <v>0.25</v>
      </c>
      <c r="V141" s="16">
        <v>0.25</v>
      </c>
      <c r="W141" s="16">
        <v>0.25</v>
      </c>
      <c r="X141" s="16">
        <v>0.35</v>
      </c>
      <c r="Y141" s="16">
        <v>0.35</v>
      </c>
      <c r="Z141" s="16">
        <v>0.35</v>
      </c>
      <c r="AA141" s="16">
        <v>0.25</v>
      </c>
      <c r="AB141" s="16">
        <v>0.25</v>
      </c>
      <c r="AC141" s="16">
        <v>0.25</v>
      </c>
      <c r="AD141" s="16">
        <v>0.25</v>
      </c>
      <c r="AE141" s="16">
        <v>0.25</v>
      </c>
      <c r="AF141" s="16" t="s">
        <v>411</v>
      </c>
    </row>
    <row r="142" spans="1:32" ht="14.25" customHeight="1" x14ac:dyDescent="0.35">
      <c r="A142" s="16" t="s">
        <v>507</v>
      </c>
      <c r="B142" s="16" t="s">
        <v>427</v>
      </c>
      <c r="C142" s="16"/>
      <c r="D142" s="16" t="s">
        <v>419</v>
      </c>
      <c r="E142" s="17">
        <v>41640</v>
      </c>
      <c r="F142" s="17">
        <v>42004</v>
      </c>
      <c r="G142" s="16" t="s">
        <v>410</v>
      </c>
      <c r="H142" s="16">
        <v>0.35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 t="s">
        <v>411</v>
      </c>
    </row>
    <row r="143" spans="1:32" ht="14.25" customHeight="1" x14ac:dyDescent="0.35">
      <c r="A143" s="14" t="s">
        <v>507</v>
      </c>
      <c r="B143" s="14" t="s">
        <v>427</v>
      </c>
      <c r="C143" s="14"/>
      <c r="D143" s="14" t="s">
        <v>418</v>
      </c>
      <c r="E143" s="15">
        <v>41640</v>
      </c>
      <c r="F143" s="15">
        <v>42004</v>
      </c>
      <c r="G143" s="14" t="s">
        <v>410</v>
      </c>
      <c r="H143" s="14">
        <v>0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 t="s">
        <v>411</v>
      </c>
    </row>
    <row r="144" spans="1:32" ht="14.25" customHeight="1" x14ac:dyDescent="0.35">
      <c r="A144" s="14" t="s">
        <v>509</v>
      </c>
      <c r="B144" s="14" t="s">
        <v>424</v>
      </c>
      <c r="C144" s="14"/>
      <c r="D144" s="14" t="s">
        <v>417</v>
      </c>
      <c r="E144" s="15">
        <v>41640</v>
      </c>
      <c r="F144" s="15">
        <v>42004</v>
      </c>
      <c r="G144" s="14" t="s">
        <v>415</v>
      </c>
      <c r="H144" s="14">
        <v>0.45</v>
      </c>
      <c r="I144" s="14">
        <v>0.15</v>
      </c>
      <c r="J144" s="14">
        <v>0.15</v>
      </c>
      <c r="K144" s="14">
        <v>0.15</v>
      </c>
      <c r="L144" s="14">
        <v>0.15</v>
      </c>
      <c r="M144" s="14">
        <v>0.45</v>
      </c>
      <c r="N144" s="14">
        <v>0.9</v>
      </c>
      <c r="O144" s="14">
        <v>0.9</v>
      </c>
      <c r="P144" s="14">
        <v>0.9</v>
      </c>
      <c r="Q144" s="14">
        <v>0.9</v>
      </c>
      <c r="R144" s="14">
        <v>0.9</v>
      </c>
      <c r="S144" s="14">
        <v>0.9</v>
      </c>
      <c r="T144" s="14">
        <v>0.9</v>
      </c>
      <c r="U144" s="14">
        <v>0.9</v>
      </c>
      <c r="V144" s="14">
        <v>0.9</v>
      </c>
      <c r="W144" s="14">
        <v>0.9</v>
      </c>
      <c r="X144" s="14">
        <v>0.9</v>
      </c>
      <c r="Y144" s="14">
        <v>0.9</v>
      </c>
      <c r="Z144" s="14">
        <v>0.9</v>
      </c>
      <c r="AA144" s="14">
        <v>0.9</v>
      </c>
      <c r="AB144" s="14">
        <v>0.9</v>
      </c>
      <c r="AC144" s="14">
        <v>0.9</v>
      </c>
      <c r="AD144" s="14">
        <v>0.9</v>
      </c>
      <c r="AE144" s="14">
        <v>0.9</v>
      </c>
      <c r="AF144" s="14" t="s">
        <v>411</v>
      </c>
    </row>
    <row r="145" spans="1:32" ht="14.25" customHeight="1" x14ac:dyDescent="0.35">
      <c r="A145" s="14" t="s">
        <v>509</v>
      </c>
      <c r="B145" s="14" t="s">
        <v>424</v>
      </c>
      <c r="C145" s="14"/>
      <c r="D145" s="14" t="s">
        <v>419</v>
      </c>
      <c r="E145" s="15">
        <v>41640</v>
      </c>
      <c r="F145" s="15">
        <v>42004</v>
      </c>
      <c r="G145" s="14" t="s">
        <v>410</v>
      </c>
      <c r="H145" s="14">
        <v>1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 t="s">
        <v>411</v>
      </c>
    </row>
    <row r="146" spans="1:32" ht="14.25" customHeight="1" x14ac:dyDescent="0.35">
      <c r="A146" s="16" t="s">
        <v>509</v>
      </c>
      <c r="B146" s="16" t="s">
        <v>424</v>
      </c>
      <c r="C146" s="16"/>
      <c r="D146" s="16" t="s">
        <v>418</v>
      </c>
      <c r="E146" s="17">
        <v>41640</v>
      </c>
      <c r="F146" s="17">
        <v>42004</v>
      </c>
      <c r="G146" s="16" t="s">
        <v>410</v>
      </c>
      <c r="H146" s="16">
        <v>0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 t="s">
        <v>411</v>
      </c>
    </row>
    <row r="147" spans="1:32" ht="14.25" customHeight="1" x14ac:dyDescent="0.35">
      <c r="A147" s="16" t="s">
        <v>510</v>
      </c>
      <c r="B147" s="16" t="s">
        <v>448</v>
      </c>
      <c r="C147" s="16"/>
      <c r="D147" s="16" t="s">
        <v>417</v>
      </c>
      <c r="E147" s="17">
        <v>41640</v>
      </c>
      <c r="F147" s="17">
        <v>42004</v>
      </c>
      <c r="G147" s="16" t="s">
        <v>415</v>
      </c>
      <c r="H147" s="16">
        <v>0.05</v>
      </c>
      <c r="I147" s="16">
        <v>0</v>
      </c>
      <c r="J147" s="16">
        <v>0</v>
      </c>
      <c r="K147" s="16">
        <v>0</v>
      </c>
      <c r="L147" s="16">
        <v>0</v>
      </c>
      <c r="M147" s="16">
        <v>0.05</v>
      </c>
      <c r="N147" s="16">
        <v>0.1</v>
      </c>
      <c r="O147" s="16">
        <v>0.4</v>
      </c>
      <c r="P147" s="16">
        <v>0.4</v>
      </c>
      <c r="Q147" s="16">
        <v>0.4</v>
      </c>
      <c r="R147" s="16">
        <v>0.2</v>
      </c>
      <c r="S147" s="16">
        <v>0.5</v>
      </c>
      <c r="T147" s="16">
        <v>0.8</v>
      </c>
      <c r="U147" s="16">
        <v>0.7</v>
      </c>
      <c r="V147" s="16">
        <v>0.4</v>
      </c>
      <c r="W147" s="16">
        <v>0.2</v>
      </c>
      <c r="X147" s="16">
        <v>0.25</v>
      </c>
      <c r="Y147" s="16">
        <v>0.5</v>
      </c>
      <c r="Z147" s="16">
        <v>0.8</v>
      </c>
      <c r="AA147" s="16">
        <v>0.8</v>
      </c>
      <c r="AB147" s="16">
        <v>0.8</v>
      </c>
      <c r="AC147" s="16">
        <v>0.5</v>
      </c>
      <c r="AD147" s="16">
        <v>0.35</v>
      </c>
      <c r="AE147" s="16">
        <v>0.2</v>
      </c>
      <c r="AF147" s="16" t="s">
        <v>411</v>
      </c>
    </row>
    <row r="148" spans="1:32" ht="14.25" customHeight="1" x14ac:dyDescent="0.35">
      <c r="A148" s="16" t="s">
        <v>510</v>
      </c>
      <c r="B148" s="16" t="s">
        <v>448</v>
      </c>
      <c r="C148" s="16"/>
      <c r="D148" s="16" t="s">
        <v>512</v>
      </c>
      <c r="E148" s="17">
        <v>41640</v>
      </c>
      <c r="F148" s="17">
        <v>42004</v>
      </c>
      <c r="G148" s="16" t="s">
        <v>415</v>
      </c>
      <c r="H148" s="16">
        <v>0.05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0.05</v>
      </c>
      <c r="O148" s="16">
        <v>0.5</v>
      </c>
      <c r="P148" s="16">
        <v>0.5</v>
      </c>
      <c r="Q148" s="16">
        <v>0.4</v>
      </c>
      <c r="R148" s="16">
        <v>0.2</v>
      </c>
      <c r="S148" s="16">
        <v>0.45</v>
      </c>
      <c r="T148" s="16">
        <v>0.5</v>
      </c>
      <c r="U148" s="16">
        <v>0.5</v>
      </c>
      <c r="V148" s="16">
        <v>0.35</v>
      </c>
      <c r="W148" s="16">
        <v>0.3</v>
      </c>
      <c r="X148" s="16">
        <v>0.3</v>
      </c>
      <c r="Y148" s="16">
        <v>0.3</v>
      </c>
      <c r="Z148" s="16">
        <v>0.7</v>
      </c>
      <c r="AA148" s="16">
        <v>0.9</v>
      </c>
      <c r="AB148" s="16">
        <v>0.7</v>
      </c>
      <c r="AC148" s="16">
        <v>0.65</v>
      </c>
      <c r="AD148" s="16">
        <v>0.55000000000000004</v>
      </c>
      <c r="AE148" s="16">
        <v>0.35</v>
      </c>
      <c r="AF148" s="16" t="s">
        <v>411</v>
      </c>
    </row>
    <row r="149" spans="1:32" ht="14.25" customHeight="1" x14ac:dyDescent="0.35">
      <c r="A149" s="16" t="s">
        <v>510</v>
      </c>
      <c r="B149" s="16" t="s">
        <v>448</v>
      </c>
      <c r="C149" s="16"/>
      <c r="D149" s="16" t="s">
        <v>419</v>
      </c>
      <c r="E149" s="17">
        <v>41640</v>
      </c>
      <c r="F149" s="17">
        <v>42004</v>
      </c>
      <c r="G149" s="16" t="s">
        <v>410</v>
      </c>
      <c r="H149" s="16">
        <v>1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 t="s">
        <v>411</v>
      </c>
    </row>
    <row r="150" spans="1:32" ht="14.25" customHeight="1" x14ac:dyDescent="0.35">
      <c r="A150" s="14" t="s">
        <v>510</v>
      </c>
      <c r="B150" s="14" t="s">
        <v>448</v>
      </c>
      <c r="C150" s="14"/>
      <c r="D150" s="14" t="s">
        <v>511</v>
      </c>
      <c r="E150" s="15">
        <v>41640</v>
      </c>
      <c r="F150" s="15">
        <v>42004</v>
      </c>
      <c r="G150" s="14" t="s">
        <v>415</v>
      </c>
      <c r="H150" s="14">
        <v>0.05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0.05</v>
      </c>
      <c r="O150" s="14">
        <v>0.5</v>
      </c>
      <c r="P150" s="14">
        <v>0.5</v>
      </c>
      <c r="Q150" s="14">
        <v>0.2</v>
      </c>
      <c r="R150" s="14">
        <v>0.2</v>
      </c>
      <c r="S150" s="14">
        <v>0.3</v>
      </c>
      <c r="T150" s="14">
        <v>0.5</v>
      </c>
      <c r="U150" s="14">
        <v>0.5</v>
      </c>
      <c r="V150" s="14">
        <v>0.3</v>
      </c>
      <c r="W150" s="14">
        <v>0.2</v>
      </c>
      <c r="X150" s="14">
        <v>0.25</v>
      </c>
      <c r="Y150" s="14">
        <v>0.35</v>
      </c>
      <c r="Z150" s="14">
        <v>0.55000000000000004</v>
      </c>
      <c r="AA150" s="14">
        <v>0.65</v>
      </c>
      <c r="AB150" s="14">
        <v>0.7</v>
      </c>
      <c r="AC150" s="14">
        <v>0.35</v>
      </c>
      <c r="AD150" s="14">
        <v>0.2</v>
      </c>
      <c r="AE150" s="14">
        <v>0.2</v>
      </c>
      <c r="AF150" s="14" t="s">
        <v>411</v>
      </c>
    </row>
    <row r="151" spans="1:32" ht="14.25" customHeight="1" x14ac:dyDescent="0.35">
      <c r="A151" s="14" t="s">
        <v>510</v>
      </c>
      <c r="B151" s="14" t="s">
        <v>448</v>
      </c>
      <c r="C151" s="14"/>
      <c r="D151" s="14" t="s">
        <v>418</v>
      </c>
      <c r="E151" s="15">
        <v>41640</v>
      </c>
      <c r="F151" s="15">
        <v>42004</v>
      </c>
      <c r="G151" s="14" t="s">
        <v>410</v>
      </c>
      <c r="H151" s="14">
        <v>0</v>
      </c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 t="s">
        <v>411</v>
      </c>
    </row>
    <row r="152" spans="1:32" ht="14.25" customHeight="1" x14ac:dyDescent="0.35">
      <c r="A152" s="14" t="s">
        <v>513</v>
      </c>
      <c r="B152" s="14" t="s">
        <v>460</v>
      </c>
      <c r="C152" s="14"/>
      <c r="D152" s="14" t="s">
        <v>453</v>
      </c>
      <c r="E152" s="15">
        <v>41640</v>
      </c>
      <c r="F152" s="15">
        <v>42004</v>
      </c>
      <c r="G152" s="14" t="s">
        <v>415</v>
      </c>
      <c r="H152" s="14">
        <v>0.2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0.15</v>
      </c>
      <c r="O152" s="14">
        <v>0.6</v>
      </c>
      <c r="P152" s="14">
        <v>0.55000000000000004</v>
      </c>
      <c r="Q152" s="14">
        <v>0.45</v>
      </c>
      <c r="R152" s="14">
        <v>0.4</v>
      </c>
      <c r="S152" s="14">
        <v>0.45</v>
      </c>
      <c r="T152" s="14">
        <v>0.4</v>
      </c>
      <c r="U152" s="14">
        <v>0.35</v>
      </c>
      <c r="V152" s="14">
        <v>0.3</v>
      </c>
      <c r="W152" s="14">
        <v>0.3</v>
      </c>
      <c r="X152" s="14">
        <v>0.3</v>
      </c>
      <c r="Y152" s="14">
        <v>0.4</v>
      </c>
      <c r="Z152" s="14">
        <v>0.55000000000000004</v>
      </c>
      <c r="AA152" s="14">
        <v>0.6</v>
      </c>
      <c r="AB152" s="14">
        <v>0.5</v>
      </c>
      <c r="AC152" s="14">
        <v>0.55000000000000004</v>
      </c>
      <c r="AD152" s="14">
        <v>0.45</v>
      </c>
      <c r="AE152" s="14">
        <v>0.25</v>
      </c>
      <c r="AF152" s="14" t="s">
        <v>411</v>
      </c>
    </row>
    <row r="153" spans="1:32" ht="14.25" customHeight="1" x14ac:dyDescent="0.35">
      <c r="A153" s="14" t="s">
        <v>513</v>
      </c>
      <c r="B153" s="14" t="s">
        <v>460</v>
      </c>
      <c r="C153" s="14"/>
      <c r="D153" s="14" t="s">
        <v>511</v>
      </c>
      <c r="E153" s="15">
        <v>41640</v>
      </c>
      <c r="F153" s="15">
        <v>42004</v>
      </c>
      <c r="G153" s="14" t="s">
        <v>415</v>
      </c>
      <c r="H153" s="14">
        <v>0.25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0.15</v>
      </c>
      <c r="O153" s="14">
        <v>0.15</v>
      </c>
      <c r="P153" s="14">
        <v>0.15</v>
      </c>
      <c r="Q153" s="14">
        <v>0.15</v>
      </c>
      <c r="R153" s="14">
        <v>0.5</v>
      </c>
      <c r="S153" s="14">
        <v>0.5</v>
      </c>
      <c r="T153" s="14">
        <v>0.4</v>
      </c>
      <c r="U153" s="14">
        <v>0.4</v>
      </c>
      <c r="V153" s="14">
        <v>0.3</v>
      </c>
      <c r="W153" s="14">
        <v>0.3</v>
      </c>
      <c r="X153" s="14">
        <v>0.3</v>
      </c>
      <c r="Y153" s="14">
        <v>0.4</v>
      </c>
      <c r="Z153" s="14">
        <v>0.5</v>
      </c>
      <c r="AA153" s="14">
        <v>0.5</v>
      </c>
      <c r="AB153" s="14">
        <v>0.4</v>
      </c>
      <c r="AC153" s="14">
        <v>0.5</v>
      </c>
      <c r="AD153" s="14">
        <v>0.4</v>
      </c>
      <c r="AE153" s="14">
        <v>0.2</v>
      </c>
      <c r="AF153" s="14" t="s">
        <v>411</v>
      </c>
    </row>
    <row r="154" spans="1:32" ht="14.25" customHeight="1" x14ac:dyDescent="0.35">
      <c r="A154" s="16" t="s">
        <v>513</v>
      </c>
      <c r="B154" s="16" t="s">
        <v>460</v>
      </c>
      <c r="C154" s="16"/>
      <c r="D154" s="16" t="s">
        <v>514</v>
      </c>
      <c r="E154" s="17">
        <v>41640</v>
      </c>
      <c r="F154" s="17">
        <v>42004</v>
      </c>
      <c r="G154" s="16" t="s">
        <v>415</v>
      </c>
      <c r="H154" s="16">
        <v>0.2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0.15</v>
      </c>
      <c r="O154" s="16">
        <v>0.15</v>
      </c>
      <c r="P154" s="16">
        <v>0.15</v>
      </c>
      <c r="Q154" s="16">
        <v>0.5</v>
      </c>
      <c r="R154" s="16">
        <v>0.45</v>
      </c>
      <c r="S154" s="16">
        <v>0.5</v>
      </c>
      <c r="T154" s="16">
        <v>0.5</v>
      </c>
      <c r="U154" s="16">
        <v>0.45</v>
      </c>
      <c r="V154" s="16">
        <v>0.4</v>
      </c>
      <c r="W154" s="16">
        <v>0.4</v>
      </c>
      <c r="X154" s="16">
        <v>0.35</v>
      </c>
      <c r="Y154" s="16">
        <v>0.4</v>
      </c>
      <c r="Z154" s="16">
        <v>0.55000000000000004</v>
      </c>
      <c r="AA154" s="16">
        <v>0.55000000000000004</v>
      </c>
      <c r="AB154" s="16">
        <v>0.5</v>
      </c>
      <c r="AC154" s="16">
        <v>0.55000000000000004</v>
      </c>
      <c r="AD154" s="16">
        <v>0.4</v>
      </c>
      <c r="AE154" s="16">
        <v>0.3</v>
      </c>
      <c r="AF154" s="16" t="s">
        <v>411</v>
      </c>
    </row>
    <row r="155" spans="1:32" ht="14.25" customHeight="1" x14ac:dyDescent="0.35">
      <c r="A155" s="16" t="s">
        <v>515</v>
      </c>
      <c r="B155" s="16" t="s">
        <v>420</v>
      </c>
      <c r="C155" s="16" t="s">
        <v>414</v>
      </c>
      <c r="D155" s="16" t="s">
        <v>453</v>
      </c>
      <c r="E155" s="17">
        <v>41640</v>
      </c>
      <c r="F155" s="17">
        <v>42004</v>
      </c>
      <c r="G155" s="16" t="s">
        <v>415</v>
      </c>
      <c r="H155" s="16">
        <v>24</v>
      </c>
      <c r="I155" s="16">
        <v>30</v>
      </c>
      <c r="J155" s="16">
        <v>30</v>
      </c>
      <c r="K155" s="16">
        <v>30</v>
      </c>
      <c r="L155" s="16">
        <v>30</v>
      </c>
      <c r="M155" s="16">
        <v>24</v>
      </c>
      <c r="N155" s="16">
        <v>24</v>
      </c>
      <c r="O155" s="16">
        <v>24</v>
      </c>
      <c r="P155" s="16">
        <v>24</v>
      </c>
      <c r="Q155" s="16">
        <v>24</v>
      </c>
      <c r="R155" s="16">
        <v>24</v>
      </c>
      <c r="S155" s="16">
        <v>24</v>
      </c>
      <c r="T155" s="16">
        <v>24</v>
      </c>
      <c r="U155" s="16">
        <v>24</v>
      </c>
      <c r="V155" s="16">
        <v>24</v>
      </c>
      <c r="W155" s="16">
        <v>24</v>
      </c>
      <c r="X155" s="16">
        <v>24</v>
      </c>
      <c r="Y155" s="16">
        <v>24</v>
      </c>
      <c r="Z155" s="16">
        <v>24</v>
      </c>
      <c r="AA155" s="16">
        <v>24</v>
      </c>
      <c r="AB155" s="16">
        <v>24</v>
      </c>
      <c r="AC155" s="16">
        <v>24</v>
      </c>
      <c r="AD155" s="16">
        <v>24</v>
      </c>
      <c r="AE155" s="16">
        <v>24</v>
      </c>
      <c r="AF155" s="16" t="s">
        <v>411</v>
      </c>
    </row>
    <row r="156" spans="1:32" ht="14.25" customHeight="1" x14ac:dyDescent="0.35">
      <c r="A156" s="14" t="s">
        <v>515</v>
      </c>
      <c r="B156" s="14" t="s">
        <v>420</v>
      </c>
      <c r="C156" s="14" t="s">
        <v>414</v>
      </c>
      <c r="D156" s="14" t="s">
        <v>418</v>
      </c>
      <c r="E156" s="15">
        <v>41640</v>
      </c>
      <c r="F156" s="15">
        <v>42004</v>
      </c>
      <c r="G156" s="14" t="s">
        <v>410</v>
      </c>
      <c r="H156" s="14">
        <v>30</v>
      </c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 t="s">
        <v>411</v>
      </c>
    </row>
    <row r="157" spans="1:32" ht="14.25" customHeight="1" x14ac:dyDescent="0.35">
      <c r="A157" s="16" t="s">
        <v>516</v>
      </c>
      <c r="B157" s="16" t="s">
        <v>420</v>
      </c>
      <c r="C157" s="16" t="s">
        <v>414</v>
      </c>
      <c r="D157" s="16" t="s">
        <v>453</v>
      </c>
      <c r="E157" s="17">
        <v>41640</v>
      </c>
      <c r="F157" s="17">
        <v>42004</v>
      </c>
      <c r="G157" s="16" t="s">
        <v>415</v>
      </c>
      <c r="H157" s="16">
        <v>26</v>
      </c>
      <c r="I157" s="16">
        <v>30</v>
      </c>
      <c r="J157" s="16">
        <v>30</v>
      </c>
      <c r="K157" s="16">
        <v>30</v>
      </c>
      <c r="L157" s="16">
        <v>30</v>
      </c>
      <c r="M157" s="16">
        <v>26</v>
      </c>
      <c r="N157" s="16">
        <v>26</v>
      </c>
      <c r="O157" s="16">
        <v>26</v>
      </c>
      <c r="P157" s="16">
        <v>26</v>
      </c>
      <c r="Q157" s="16">
        <v>26</v>
      </c>
      <c r="R157" s="16">
        <v>26</v>
      </c>
      <c r="S157" s="16">
        <v>26</v>
      </c>
      <c r="T157" s="16">
        <v>26</v>
      </c>
      <c r="U157" s="16">
        <v>26</v>
      </c>
      <c r="V157" s="16">
        <v>26</v>
      </c>
      <c r="W157" s="16">
        <v>26</v>
      </c>
      <c r="X157" s="16">
        <v>26</v>
      </c>
      <c r="Y157" s="16">
        <v>26</v>
      </c>
      <c r="Z157" s="16">
        <v>26</v>
      </c>
      <c r="AA157" s="16">
        <v>26</v>
      </c>
      <c r="AB157" s="16">
        <v>26</v>
      </c>
      <c r="AC157" s="16">
        <v>26</v>
      </c>
      <c r="AD157" s="16">
        <v>26</v>
      </c>
      <c r="AE157" s="16">
        <v>26</v>
      </c>
      <c r="AF157" s="16" t="s">
        <v>411</v>
      </c>
    </row>
    <row r="158" spans="1:32" ht="14.25" customHeight="1" x14ac:dyDescent="0.35">
      <c r="A158" s="14" t="s">
        <v>516</v>
      </c>
      <c r="B158" s="14" t="s">
        <v>420</v>
      </c>
      <c r="C158" s="14" t="s">
        <v>414</v>
      </c>
      <c r="D158" s="14" t="s">
        <v>418</v>
      </c>
      <c r="E158" s="15">
        <v>41640</v>
      </c>
      <c r="F158" s="15">
        <v>42004</v>
      </c>
      <c r="G158" s="14" t="s">
        <v>410</v>
      </c>
      <c r="H158" s="14">
        <v>30</v>
      </c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 t="s">
        <v>411</v>
      </c>
    </row>
    <row r="159" spans="1:32" ht="14.25" customHeight="1" x14ac:dyDescent="0.35">
      <c r="A159" s="16" t="s">
        <v>517</v>
      </c>
      <c r="B159" s="16" t="s">
        <v>518</v>
      </c>
      <c r="C159" s="16"/>
      <c r="D159" s="16" t="s">
        <v>476</v>
      </c>
      <c r="E159" s="17">
        <v>41640</v>
      </c>
      <c r="F159" s="17">
        <v>42004</v>
      </c>
      <c r="G159" s="16" t="s">
        <v>410</v>
      </c>
      <c r="H159" s="16">
        <v>1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 t="s">
        <v>411</v>
      </c>
    </row>
    <row r="160" spans="1:32" ht="14.25" customHeight="1" x14ac:dyDescent="0.35">
      <c r="A160" s="14" t="s">
        <v>517</v>
      </c>
      <c r="B160" s="14" t="s">
        <v>518</v>
      </c>
      <c r="C160" s="14"/>
      <c r="D160" s="14" t="s">
        <v>419</v>
      </c>
      <c r="E160" s="15">
        <v>41640</v>
      </c>
      <c r="F160" s="15">
        <v>42004</v>
      </c>
      <c r="G160" s="14" t="s">
        <v>410</v>
      </c>
      <c r="H160" s="14">
        <v>0.5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 t="s">
        <v>411</v>
      </c>
    </row>
    <row r="161" spans="1:32" ht="14.25" customHeight="1" x14ac:dyDescent="0.35">
      <c r="A161" s="16" t="s">
        <v>517</v>
      </c>
      <c r="B161" s="16" t="s">
        <v>518</v>
      </c>
      <c r="C161" s="16"/>
      <c r="D161" s="16" t="s">
        <v>454</v>
      </c>
      <c r="E161" s="17">
        <v>41913</v>
      </c>
      <c r="F161" s="17">
        <v>42004</v>
      </c>
      <c r="G161" s="16" t="s">
        <v>410</v>
      </c>
      <c r="H161" s="16">
        <v>1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 t="s">
        <v>411</v>
      </c>
    </row>
    <row r="162" spans="1:32" ht="14.25" customHeight="1" x14ac:dyDescent="0.35">
      <c r="A162" s="14" t="s">
        <v>517</v>
      </c>
      <c r="B162" s="14" t="s">
        <v>518</v>
      </c>
      <c r="C162" s="14"/>
      <c r="D162" s="14" t="s">
        <v>454</v>
      </c>
      <c r="E162" s="15">
        <v>41760</v>
      </c>
      <c r="F162" s="15">
        <v>41912</v>
      </c>
      <c r="G162" s="14" t="s">
        <v>410</v>
      </c>
      <c r="H162" s="14">
        <v>0.5</v>
      </c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 t="s">
        <v>411</v>
      </c>
    </row>
    <row r="163" spans="1:32" ht="14.25" customHeight="1" x14ac:dyDescent="0.35">
      <c r="A163" s="16" t="s">
        <v>519</v>
      </c>
      <c r="B163" s="16" t="s">
        <v>427</v>
      </c>
      <c r="C163" s="16"/>
      <c r="D163" s="16" t="s">
        <v>520</v>
      </c>
      <c r="E163" s="17">
        <v>41640</v>
      </c>
      <c r="F163" s="17">
        <v>42004</v>
      </c>
      <c r="G163" s="16" t="s">
        <v>415</v>
      </c>
      <c r="H163" s="16">
        <v>0.02</v>
      </c>
      <c r="I163" s="16">
        <v>0.02</v>
      </c>
      <c r="J163" s="16">
        <v>0.02</v>
      </c>
      <c r="K163" s="16">
        <v>0.02</v>
      </c>
      <c r="L163" s="16">
        <v>0.02</v>
      </c>
      <c r="M163" s="16">
        <v>0.05</v>
      </c>
      <c r="N163" s="16">
        <v>0.1</v>
      </c>
      <c r="O163" s="16">
        <v>0.15</v>
      </c>
      <c r="P163" s="16">
        <v>0.2</v>
      </c>
      <c r="Q163" s="16">
        <v>0.15</v>
      </c>
      <c r="R163" s="16">
        <v>0.25</v>
      </c>
      <c r="S163" s="16">
        <v>0.25</v>
      </c>
      <c r="T163" s="16">
        <v>0.25</v>
      </c>
      <c r="U163" s="16">
        <v>0.2</v>
      </c>
      <c r="V163" s="16">
        <v>0.15</v>
      </c>
      <c r="W163" s="16">
        <v>0.2</v>
      </c>
      <c r="X163" s="16">
        <v>0.3</v>
      </c>
      <c r="Y163" s="16">
        <v>0.3</v>
      </c>
      <c r="Z163" s="16">
        <v>0.3</v>
      </c>
      <c r="AA163" s="16">
        <v>0.2</v>
      </c>
      <c r="AB163" s="16">
        <v>0.2</v>
      </c>
      <c r="AC163" s="16">
        <v>0.15</v>
      </c>
      <c r="AD163" s="16">
        <v>0.1</v>
      </c>
      <c r="AE163" s="16">
        <v>0.05</v>
      </c>
      <c r="AF163" s="16" t="s">
        <v>411</v>
      </c>
    </row>
    <row r="164" spans="1:32" ht="14.25" customHeight="1" x14ac:dyDescent="0.35">
      <c r="A164" s="16" t="s">
        <v>519</v>
      </c>
      <c r="B164" s="16" t="s">
        <v>427</v>
      </c>
      <c r="C164" s="16"/>
      <c r="D164" s="16" t="s">
        <v>419</v>
      </c>
      <c r="E164" s="17">
        <v>41640</v>
      </c>
      <c r="F164" s="17">
        <v>42004</v>
      </c>
      <c r="G164" s="16" t="s">
        <v>410</v>
      </c>
      <c r="H164" s="16">
        <v>0.25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 t="s">
        <v>411</v>
      </c>
    </row>
    <row r="165" spans="1:32" ht="14.25" customHeight="1" x14ac:dyDescent="0.35">
      <c r="A165" s="14" t="s">
        <v>519</v>
      </c>
      <c r="B165" s="14" t="s">
        <v>427</v>
      </c>
      <c r="C165" s="14"/>
      <c r="D165" s="14" t="s">
        <v>418</v>
      </c>
      <c r="E165" s="15">
        <v>41640</v>
      </c>
      <c r="F165" s="15">
        <v>42004</v>
      </c>
      <c r="G165" s="14" t="s">
        <v>410</v>
      </c>
      <c r="H165" s="14">
        <v>0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 t="s">
        <v>411</v>
      </c>
    </row>
    <row r="166" spans="1:32" ht="14.25" customHeight="1" x14ac:dyDescent="0.35">
      <c r="A166" s="14" t="s">
        <v>521</v>
      </c>
      <c r="B166" s="14" t="s">
        <v>420</v>
      </c>
      <c r="C166" s="14" t="s">
        <v>414</v>
      </c>
      <c r="D166" s="14" t="s">
        <v>417</v>
      </c>
      <c r="E166" s="15">
        <v>41640</v>
      </c>
      <c r="F166" s="15">
        <v>42004</v>
      </c>
      <c r="G166" s="14" t="s">
        <v>415</v>
      </c>
      <c r="H166" s="14">
        <v>21</v>
      </c>
      <c r="I166" s="14">
        <v>15.6</v>
      </c>
      <c r="J166" s="14">
        <v>15.6</v>
      </c>
      <c r="K166" s="14">
        <v>15.6</v>
      </c>
      <c r="L166" s="14">
        <v>15.6</v>
      </c>
      <c r="M166" s="14">
        <v>21</v>
      </c>
      <c r="N166" s="14">
        <v>21</v>
      </c>
      <c r="O166" s="14">
        <v>21</v>
      </c>
      <c r="P166" s="14">
        <v>21</v>
      </c>
      <c r="Q166" s="14">
        <v>21</v>
      </c>
      <c r="R166" s="14">
        <v>21</v>
      </c>
      <c r="S166" s="14">
        <v>21</v>
      </c>
      <c r="T166" s="14">
        <v>21</v>
      </c>
      <c r="U166" s="14">
        <v>21</v>
      </c>
      <c r="V166" s="14">
        <v>21</v>
      </c>
      <c r="W166" s="14">
        <v>21</v>
      </c>
      <c r="X166" s="14">
        <v>21</v>
      </c>
      <c r="Y166" s="14">
        <v>21</v>
      </c>
      <c r="Z166" s="14">
        <v>21</v>
      </c>
      <c r="AA166" s="14">
        <v>21</v>
      </c>
      <c r="AB166" s="14">
        <v>21</v>
      </c>
      <c r="AC166" s="14">
        <v>21</v>
      </c>
      <c r="AD166" s="14">
        <v>21</v>
      </c>
      <c r="AE166" s="14">
        <v>21</v>
      </c>
      <c r="AF166" s="14" t="s">
        <v>411</v>
      </c>
    </row>
    <row r="167" spans="1:32" ht="14.25" customHeight="1" x14ac:dyDescent="0.35">
      <c r="A167" s="14" t="s">
        <v>521</v>
      </c>
      <c r="B167" s="14" t="s">
        <v>420</v>
      </c>
      <c r="C167" s="14" t="s">
        <v>414</v>
      </c>
      <c r="D167" s="14" t="s">
        <v>419</v>
      </c>
      <c r="E167" s="15">
        <v>41640</v>
      </c>
      <c r="F167" s="15">
        <v>42004</v>
      </c>
      <c r="G167" s="14" t="s">
        <v>410</v>
      </c>
      <c r="H167" s="14">
        <v>15.6</v>
      </c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 t="s">
        <v>411</v>
      </c>
    </row>
    <row r="168" spans="1:32" ht="14.25" customHeight="1" x14ac:dyDescent="0.35">
      <c r="A168" s="16" t="s">
        <v>521</v>
      </c>
      <c r="B168" s="16" t="s">
        <v>420</v>
      </c>
      <c r="C168" s="16" t="s">
        <v>414</v>
      </c>
      <c r="D168" s="16" t="s">
        <v>418</v>
      </c>
      <c r="E168" s="17">
        <v>41640</v>
      </c>
      <c r="F168" s="17">
        <v>42004</v>
      </c>
      <c r="G168" s="16" t="s">
        <v>410</v>
      </c>
      <c r="H168" s="16">
        <v>21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 t="s">
        <v>411</v>
      </c>
    </row>
    <row r="169" spans="1:32" ht="14.25" customHeight="1" x14ac:dyDescent="0.35">
      <c r="A169" s="16" t="s">
        <v>522</v>
      </c>
      <c r="B169" s="16" t="s">
        <v>420</v>
      </c>
      <c r="C169" s="16" t="s">
        <v>414</v>
      </c>
      <c r="D169" s="16" t="s">
        <v>417</v>
      </c>
      <c r="E169" s="17">
        <v>41640</v>
      </c>
      <c r="F169" s="17">
        <v>42004</v>
      </c>
      <c r="G169" s="16" t="s">
        <v>415</v>
      </c>
      <c r="H169" s="16">
        <v>19</v>
      </c>
      <c r="I169" s="16">
        <v>15.6</v>
      </c>
      <c r="J169" s="16">
        <v>15.6</v>
      </c>
      <c r="K169" s="16">
        <v>15.6</v>
      </c>
      <c r="L169" s="16">
        <v>15.6</v>
      </c>
      <c r="M169" s="16">
        <v>19</v>
      </c>
      <c r="N169" s="16">
        <v>19</v>
      </c>
      <c r="O169" s="16">
        <v>19</v>
      </c>
      <c r="P169" s="16">
        <v>19</v>
      </c>
      <c r="Q169" s="16">
        <v>19</v>
      </c>
      <c r="R169" s="16">
        <v>19</v>
      </c>
      <c r="S169" s="16">
        <v>19</v>
      </c>
      <c r="T169" s="16">
        <v>19</v>
      </c>
      <c r="U169" s="16">
        <v>19</v>
      </c>
      <c r="V169" s="16">
        <v>19</v>
      </c>
      <c r="W169" s="16">
        <v>19</v>
      </c>
      <c r="X169" s="16">
        <v>19</v>
      </c>
      <c r="Y169" s="16">
        <v>19</v>
      </c>
      <c r="Z169" s="16">
        <v>19</v>
      </c>
      <c r="AA169" s="16">
        <v>19</v>
      </c>
      <c r="AB169" s="16">
        <v>19</v>
      </c>
      <c r="AC169" s="16">
        <v>19</v>
      </c>
      <c r="AD169" s="16">
        <v>19</v>
      </c>
      <c r="AE169" s="16">
        <v>19</v>
      </c>
      <c r="AF169" s="16" t="s">
        <v>411</v>
      </c>
    </row>
    <row r="170" spans="1:32" ht="14.25" customHeight="1" x14ac:dyDescent="0.35">
      <c r="A170" s="16" t="s">
        <v>522</v>
      </c>
      <c r="B170" s="16" t="s">
        <v>420</v>
      </c>
      <c r="C170" s="16" t="s">
        <v>414</v>
      </c>
      <c r="D170" s="16" t="s">
        <v>419</v>
      </c>
      <c r="E170" s="17">
        <v>41640</v>
      </c>
      <c r="F170" s="17">
        <v>42004</v>
      </c>
      <c r="G170" s="16" t="s">
        <v>410</v>
      </c>
      <c r="H170" s="16">
        <v>15.6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 t="s">
        <v>411</v>
      </c>
    </row>
    <row r="171" spans="1:32" ht="14.25" customHeight="1" x14ac:dyDescent="0.35">
      <c r="A171" s="14" t="s">
        <v>522</v>
      </c>
      <c r="B171" s="14" t="s">
        <v>420</v>
      </c>
      <c r="C171" s="14" t="s">
        <v>414</v>
      </c>
      <c r="D171" s="14" t="s">
        <v>418</v>
      </c>
      <c r="E171" s="15">
        <v>41640</v>
      </c>
      <c r="F171" s="15">
        <v>42004</v>
      </c>
      <c r="G171" s="14" t="s">
        <v>410</v>
      </c>
      <c r="H171" s="14">
        <v>19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 t="s">
        <v>411</v>
      </c>
    </row>
    <row r="172" spans="1:32" ht="14.25" customHeight="1" x14ac:dyDescent="0.35">
      <c r="A172" s="14" t="s">
        <v>523</v>
      </c>
      <c r="B172" s="14" t="s">
        <v>441</v>
      </c>
      <c r="C172" s="14"/>
      <c r="D172" s="14" t="s">
        <v>524</v>
      </c>
      <c r="E172" s="15">
        <v>41640</v>
      </c>
      <c r="F172" s="15">
        <v>42004</v>
      </c>
      <c r="G172" s="14" t="s">
        <v>415</v>
      </c>
      <c r="H172" s="14">
        <v>1</v>
      </c>
      <c r="I172" s="14">
        <v>1</v>
      </c>
      <c r="J172" s="14">
        <v>1</v>
      </c>
      <c r="K172" s="14">
        <v>1</v>
      </c>
      <c r="L172" s="14">
        <v>1</v>
      </c>
      <c r="M172" s="14">
        <v>0.5</v>
      </c>
      <c r="N172" s="14">
        <v>0.5</v>
      </c>
      <c r="O172" s="14">
        <v>0.5</v>
      </c>
      <c r="P172" s="14">
        <v>0.5</v>
      </c>
      <c r="Q172" s="14">
        <v>0.5</v>
      </c>
      <c r="R172" s="14">
        <v>0.5</v>
      </c>
      <c r="S172" s="14">
        <v>0.5</v>
      </c>
      <c r="T172" s="14">
        <v>0.5</v>
      </c>
      <c r="U172" s="14">
        <v>0.5</v>
      </c>
      <c r="V172" s="14">
        <v>0.5</v>
      </c>
      <c r="W172" s="14">
        <v>0.5</v>
      </c>
      <c r="X172" s="14">
        <v>0.5</v>
      </c>
      <c r="Y172" s="14">
        <v>0.5</v>
      </c>
      <c r="Z172" s="14">
        <v>0.5</v>
      </c>
      <c r="AA172" s="14">
        <v>0.5</v>
      </c>
      <c r="AB172" s="14">
        <v>0.5</v>
      </c>
      <c r="AC172" s="14">
        <v>0.5</v>
      </c>
      <c r="AD172" s="14">
        <v>0.5</v>
      </c>
      <c r="AE172" s="14">
        <v>0.5</v>
      </c>
      <c r="AF172" s="14" t="s">
        <v>411</v>
      </c>
    </row>
    <row r="173" spans="1:32" ht="14.25" customHeight="1" x14ac:dyDescent="0.35">
      <c r="A173" s="16" t="s">
        <v>525</v>
      </c>
      <c r="B173" s="16" t="s">
        <v>408</v>
      </c>
      <c r="C173" s="16"/>
      <c r="D173" s="16" t="s">
        <v>409</v>
      </c>
      <c r="E173" s="17">
        <v>41640</v>
      </c>
      <c r="F173" s="17">
        <v>42004</v>
      </c>
      <c r="G173" s="16" t="s">
        <v>410</v>
      </c>
      <c r="H173" s="16">
        <v>0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 t="s">
        <v>411</v>
      </c>
    </row>
    <row r="174" spans="1:32" ht="14.25" customHeight="1" x14ac:dyDescent="0.35">
      <c r="A174" s="14" t="s">
        <v>526</v>
      </c>
      <c r="B174" s="14" t="s">
        <v>408</v>
      </c>
      <c r="C174" s="14" t="s">
        <v>412</v>
      </c>
      <c r="D174" s="14" t="s">
        <v>409</v>
      </c>
      <c r="E174" s="15">
        <v>41640</v>
      </c>
      <c r="F174" s="15">
        <v>42004</v>
      </c>
      <c r="G174" s="14" t="s">
        <v>410</v>
      </c>
      <c r="H174" s="14">
        <v>0.2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 t="s">
        <v>413</v>
      </c>
    </row>
    <row r="175" spans="1:32" ht="14.25" customHeight="1" x14ac:dyDescent="0.35">
      <c r="A175" s="16" t="s">
        <v>527</v>
      </c>
      <c r="B175" s="16" t="s">
        <v>408</v>
      </c>
      <c r="C175" s="16"/>
      <c r="D175" s="16" t="s">
        <v>409</v>
      </c>
      <c r="E175" s="17">
        <v>41640</v>
      </c>
      <c r="F175" s="17">
        <v>42004</v>
      </c>
      <c r="G175" s="16" t="s">
        <v>410</v>
      </c>
      <c r="H175" s="16">
        <v>0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 t="s">
        <v>413</v>
      </c>
    </row>
    <row r="176" spans="1:32" ht="14.25" customHeight="1" x14ac:dyDescent="0.35">
      <c r="A176" s="14" t="s">
        <v>528</v>
      </c>
      <c r="B176" s="14" t="s">
        <v>408</v>
      </c>
      <c r="C176" s="14"/>
      <c r="D176" s="14" t="s">
        <v>409</v>
      </c>
      <c r="E176" s="15">
        <v>41640</v>
      </c>
      <c r="F176" s="15">
        <v>42004</v>
      </c>
      <c r="G176" s="14" t="s">
        <v>410</v>
      </c>
      <c r="H176" s="14">
        <v>1</v>
      </c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 t="s">
        <v>413</v>
      </c>
    </row>
    <row r="177" spans="1:32" ht="14.25" customHeight="1" x14ac:dyDescent="0.35">
      <c r="A177" s="16" t="s">
        <v>529</v>
      </c>
      <c r="B177" s="16" t="s">
        <v>420</v>
      </c>
      <c r="C177" s="16" t="s">
        <v>414</v>
      </c>
      <c r="D177" s="16" t="s">
        <v>453</v>
      </c>
      <c r="E177" s="17">
        <v>41640</v>
      </c>
      <c r="F177" s="17">
        <v>42004</v>
      </c>
      <c r="G177" s="16" t="s">
        <v>415</v>
      </c>
      <c r="H177" s="16">
        <v>25</v>
      </c>
      <c r="I177" s="16">
        <v>25</v>
      </c>
      <c r="J177" s="16">
        <v>25</v>
      </c>
      <c r="K177" s="16">
        <v>25</v>
      </c>
      <c r="L177" s="16">
        <v>25</v>
      </c>
      <c r="M177" s="16">
        <v>22.2</v>
      </c>
      <c r="N177" s="16">
        <v>22.2</v>
      </c>
      <c r="O177" s="16">
        <v>22.2</v>
      </c>
      <c r="P177" s="16">
        <v>22.2</v>
      </c>
      <c r="Q177" s="16">
        <v>22.2</v>
      </c>
      <c r="R177" s="16">
        <v>22.2</v>
      </c>
      <c r="S177" s="16">
        <v>22.2</v>
      </c>
      <c r="T177" s="16">
        <v>22.2</v>
      </c>
      <c r="U177" s="16">
        <v>22.2</v>
      </c>
      <c r="V177" s="16">
        <v>22.2</v>
      </c>
      <c r="W177" s="16">
        <v>22.2</v>
      </c>
      <c r="X177" s="16">
        <v>22.2</v>
      </c>
      <c r="Y177" s="16">
        <v>22.2</v>
      </c>
      <c r="Z177" s="16">
        <v>25</v>
      </c>
      <c r="AA177" s="16">
        <v>25</v>
      </c>
      <c r="AB177" s="16">
        <v>25</v>
      </c>
      <c r="AC177" s="16">
        <v>25</v>
      </c>
      <c r="AD177" s="16">
        <v>25</v>
      </c>
      <c r="AE177" s="16">
        <v>25</v>
      </c>
      <c r="AF177" s="16" t="s">
        <v>411</v>
      </c>
    </row>
    <row r="178" spans="1:32" ht="14.25" customHeight="1" x14ac:dyDescent="0.35">
      <c r="A178" s="16" t="s">
        <v>529</v>
      </c>
      <c r="B178" s="16" t="s">
        <v>420</v>
      </c>
      <c r="C178" s="16" t="s">
        <v>414</v>
      </c>
      <c r="D178" s="16" t="s">
        <v>530</v>
      </c>
      <c r="E178" s="17">
        <v>41640</v>
      </c>
      <c r="F178" s="17">
        <v>42004</v>
      </c>
      <c r="G178" s="16" t="s">
        <v>410</v>
      </c>
      <c r="H178" s="16">
        <v>25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 t="s">
        <v>411</v>
      </c>
    </row>
    <row r="179" spans="1:32" ht="14.25" customHeight="1" x14ac:dyDescent="0.35">
      <c r="A179" s="14" t="s">
        <v>529</v>
      </c>
      <c r="B179" s="14" t="s">
        <v>420</v>
      </c>
      <c r="C179" s="14" t="s">
        <v>414</v>
      </c>
      <c r="D179" s="14" t="s">
        <v>418</v>
      </c>
      <c r="E179" s="15">
        <v>41640</v>
      </c>
      <c r="F179" s="15">
        <v>42004</v>
      </c>
      <c r="G179" s="14" t="s">
        <v>415</v>
      </c>
      <c r="H179" s="14">
        <v>25</v>
      </c>
      <c r="I179" s="14">
        <v>25</v>
      </c>
      <c r="J179" s="14">
        <v>25</v>
      </c>
      <c r="K179" s="14">
        <v>25</v>
      </c>
      <c r="L179" s="14">
        <v>25</v>
      </c>
      <c r="M179" s="14">
        <v>25</v>
      </c>
      <c r="N179" s="14">
        <v>25</v>
      </c>
      <c r="O179" s="14">
        <v>22.2</v>
      </c>
      <c r="P179" s="14">
        <v>22.2</v>
      </c>
      <c r="Q179" s="14">
        <v>22.2</v>
      </c>
      <c r="R179" s="14">
        <v>22.2</v>
      </c>
      <c r="S179" s="14">
        <v>22.2</v>
      </c>
      <c r="T179" s="14">
        <v>22.2</v>
      </c>
      <c r="U179" s="14">
        <v>22.2</v>
      </c>
      <c r="V179" s="14">
        <v>22.2</v>
      </c>
      <c r="W179" s="14">
        <v>25</v>
      </c>
      <c r="X179" s="14">
        <v>25</v>
      </c>
      <c r="Y179" s="14">
        <v>25</v>
      </c>
      <c r="Z179" s="14">
        <v>25</v>
      </c>
      <c r="AA179" s="14">
        <v>25</v>
      </c>
      <c r="AB179" s="14">
        <v>25</v>
      </c>
      <c r="AC179" s="14">
        <v>25</v>
      </c>
      <c r="AD179" s="14">
        <v>25</v>
      </c>
      <c r="AE179" s="14">
        <v>25</v>
      </c>
      <c r="AF179" s="14" t="s">
        <v>411</v>
      </c>
    </row>
    <row r="180" spans="1:32" ht="14.25" customHeight="1" x14ac:dyDescent="0.35">
      <c r="A180" s="14" t="s">
        <v>531</v>
      </c>
      <c r="B180" s="14" t="s">
        <v>416</v>
      </c>
      <c r="C180" s="14"/>
      <c r="D180" s="14" t="s">
        <v>453</v>
      </c>
      <c r="E180" s="15">
        <v>41640</v>
      </c>
      <c r="F180" s="15">
        <v>42004</v>
      </c>
      <c r="G180" s="14" t="s">
        <v>415</v>
      </c>
      <c r="H180" s="14">
        <v>0.2</v>
      </c>
      <c r="I180" s="14">
        <v>0.2</v>
      </c>
      <c r="J180" s="14">
        <v>0.2</v>
      </c>
      <c r="K180" s="14">
        <v>0.2</v>
      </c>
      <c r="L180" s="14">
        <v>0.2</v>
      </c>
      <c r="M180" s="14">
        <v>0.2</v>
      </c>
      <c r="N180" s="14">
        <v>0.2</v>
      </c>
      <c r="O180" s="14">
        <v>0.5</v>
      </c>
      <c r="P180" s="14">
        <v>0.75</v>
      </c>
      <c r="Q180" s="14">
        <v>1</v>
      </c>
      <c r="R180" s="14">
        <v>1</v>
      </c>
      <c r="S180" s="14">
        <v>1</v>
      </c>
      <c r="T180" s="14">
        <v>0.75</v>
      </c>
      <c r="U180" s="14">
        <v>1</v>
      </c>
      <c r="V180" s="14">
        <v>1</v>
      </c>
      <c r="W180" s="14">
        <v>1</v>
      </c>
      <c r="X180" s="14">
        <v>1</v>
      </c>
      <c r="Y180" s="14">
        <v>1</v>
      </c>
      <c r="Z180" s="14">
        <v>0.52</v>
      </c>
      <c r="AA180" s="14">
        <v>0.52</v>
      </c>
      <c r="AB180" s="14">
        <v>0.52</v>
      </c>
      <c r="AC180" s="14">
        <v>0.28000000000000003</v>
      </c>
      <c r="AD180" s="14">
        <v>0.2</v>
      </c>
      <c r="AE180" s="14">
        <v>0.2</v>
      </c>
      <c r="AF180" s="14" t="s">
        <v>411</v>
      </c>
    </row>
    <row r="181" spans="1:32" ht="14.25" customHeight="1" x14ac:dyDescent="0.35">
      <c r="A181" s="14" t="s">
        <v>531</v>
      </c>
      <c r="B181" s="14" t="s">
        <v>416</v>
      </c>
      <c r="C181" s="14"/>
      <c r="D181" s="14" t="s">
        <v>511</v>
      </c>
      <c r="E181" s="15">
        <v>41640</v>
      </c>
      <c r="F181" s="15">
        <v>42004</v>
      </c>
      <c r="G181" s="14" t="s">
        <v>415</v>
      </c>
      <c r="H181" s="14">
        <v>0.2</v>
      </c>
      <c r="I181" s="14">
        <v>0.2</v>
      </c>
      <c r="J181" s="14">
        <v>0.2</v>
      </c>
      <c r="K181" s="14">
        <v>0.2</v>
      </c>
      <c r="L181" s="14">
        <v>0.2</v>
      </c>
      <c r="M181" s="14">
        <v>0.2</v>
      </c>
      <c r="N181" s="14">
        <v>0.2</v>
      </c>
      <c r="O181" s="14">
        <v>0.2</v>
      </c>
      <c r="P181" s="14">
        <v>0.4</v>
      </c>
      <c r="Q181" s="14">
        <v>0.4</v>
      </c>
      <c r="R181" s="14">
        <v>0.4</v>
      </c>
      <c r="S181" s="14">
        <v>0.4</v>
      </c>
      <c r="T181" s="14">
        <v>0.4</v>
      </c>
      <c r="U181" s="14">
        <v>0.4</v>
      </c>
      <c r="V181" s="14">
        <v>0.4</v>
      </c>
      <c r="W181" s="14">
        <v>0.4</v>
      </c>
      <c r="X181" s="14">
        <v>0.2</v>
      </c>
      <c r="Y181" s="14">
        <v>0.2</v>
      </c>
      <c r="Z181" s="14">
        <v>0.2</v>
      </c>
      <c r="AA181" s="14">
        <v>0.2</v>
      </c>
      <c r="AB181" s="14">
        <v>0.2</v>
      </c>
      <c r="AC181" s="14">
        <v>0.2</v>
      </c>
      <c r="AD181" s="14">
        <v>0.2</v>
      </c>
      <c r="AE181" s="14">
        <v>0.2</v>
      </c>
      <c r="AF181" s="14" t="s">
        <v>411</v>
      </c>
    </row>
    <row r="182" spans="1:32" ht="14.25" customHeight="1" x14ac:dyDescent="0.35">
      <c r="A182" s="16" t="s">
        <v>531</v>
      </c>
      <c r="B182" s="16" t="s">
        <v>416</v>
      </c>
      <c r="C182" s="16"/>
      <c r="D182" s="16" t="s">
        <v>514</v>
      </c>
      <c r="E182" s="17">
        <v>41640</v>
      </c>
      <c r="F182" s="17">
        <v>42004</v>
      </c>
      <c r="G182" s="16" t="s">
        <v>415</v>
      </c>
      <c r="H182" s="16">
        <v>0.2</v>
      </c>
      <c r="I182" s="16">
        <v>0.2</v>
      </c>
      <c r="J182" s="16">
        <v>0.2</v>
      </c>
      <c r="K182" s="16">
        <v>0.2</v>
      </c>
      <c r="L182" s="16">
        <v>0.2</v>
      </c>
      <c r="M182" s="16">
        <v>0.2</v>
      </c>
      <c r="N182" s="16">
        <v>0.2</v>
      </c>
      <c r="O182" s="16">
        <v>0.4</v>
      </c>
      <c r="P182" s="16">
        <v>0.46</v>
      </c>
      <c r="Q182" s="16">
        <v>0.7</v>
      </c>
      <c r="R182" s="16">
        <v>0.7</v>
      </c>
      <c r="S182" s="16">
        <v>0.7</v>
      </c>
      <c r="T182" s="16">
        <v>0.51</v>
      </c>
      <c r="U182" s="16">
        <v>0.51</v>
      </c>
      <c r="V182" s="16">
        <v>0.51</v>
      </c>
      <c r="W182" s="16">
        <v>0.51</v>
      </c>
      <c r="X182" s="16">
        <v>0.51</v>
      </c>
      <c r="Y182" s="16">
        <v>0.25</v>
      </c>
      <c r="Z182" s="16">
        <v>0.2</v>
      </c>
      <c r="AA182" s="16">
        <v>0.2</v>
      </c>
      <c r="AB182" s="16">
        <v>0.2</v>
      </c>
      <c r="AC182" s="16">
        <v>0.2</v>
      </c>
      <c r="AD182" s="16">
        <v>0.2</v>
      </c>
      <c r="AE182" s="16">
        <v>0.2</v>
      </c>
      <c r="AF182" s="16" t="s">
        <v>411</v>
      </c>
    </row>
    <row r="183" spans="1:32" ht="14.25" customHeight="1" x14ac:dyDescent="0.35">
      <c r="A183" s="16" t="s">
        <v>532</v>
      </c>
      <c r="B183" s="16" t="s">
        <v>427</v>
      </c>
      <c r="C183" s="16"/>
      <c r="D183" s="16" t="s">
        <v>453</v>
      </c>
      <c r="E183" s="17">
        <v>41640</v>
      </c>
      <c r="F183" s="17">
        <v>42004</v>
      </c>
      <c r="G183" s="16" t="s">
        <v>415</v>
      </c>
      <c r="H183" s="16">
        <v>0.3</v>
      </c>
      <c r="I183" s="16">
        <v>0.3</v>
      </c>
      <c r="J183" s="16">
        <v>0.3</v>
      </c>
      <c r="K183" s="16">
        <v>0.3</v>
      </c>
      <c r="L183" s="16">
        <v>0.5</v>
      </c>
      <c r="M183" s="16">
        <v>0.5</v>
      </c>
      <c r="N183" s="16">
        <v>1</v>
      </c>
      <c r="O183" s="16">
        <v>1</v>
      </c>
      <c r="P183" s="16">
        <v>1</v>
      </c>
      <c r="Q183" s="16">
        <v>1</v>
      </c>
      <c r="R183" s="16">
        <v>1</v>
      </c>
      <c r="S183" s="16">
        <v>1</v>
      </c>
      <c r="T183" s="16">
        <v>1</v>
      </c>
      <c r="U183" s="16">
        <v>1</v>
      </c>
      <c r="V183" s="16">
        <v>1</v>
      </c>
      <c r="W183" s="16">
        <v>1</v>
      </c>
      <c r="X183" s="16">
        <v>1</v>
      </c>
      <c r="Y183" s="16">
        <v>1</v>
      </c>
      <c r="Z183" s="16">
        <v>0.5</v>
      </c>
      <c r="AA183" s="16">
        <v>0.5</v>
      </c>
      <c r="AB183" s="16">
        <v>0.3</v>
      </c>
      <c r="AC183" s="16">
        <v>0.3</v>
      </c>
      <c r="AD183" s="16">
        <v>0.3</v>
      </c>
      <c r="AE183" s="16">
        <v>0.3</v>
      </c>
      <c r="AF183" s="16" t="s">
        <v>411</v>
      </c>
    </row>
    <row r="184" spans="1:32" ht="14.25" customHeight="1" x14ac:dyDescent="0.35">
      <c r="A184" s="14" t="s">
        <v>532</v>
      </c>
      <c r="B184" s="14" t="s">
        <v>427</v>
      </c>
      <c r="C184" s="14"/>
      <c r="D184" s="14" t="s">
        <v>512</v>
      </c>
      <c r="E184" s="15">
        <v>41640</v>
      </c>
      <c r="F184" s="15">
        <v>42004</v>
      </c>
      <c r="G184" s="14" t="s">
        <v>415</v>
      </c>
      <c r="H184" s="14">
        <v>0.3</v>
      </c>
      <c r="I184" s="14">
        <v>0.3</v>
      </c>
      <c r="J184" s="14">
        <v>0.3</v>
      </c>
      <c r="K184" s="14">
        <v>0.3</v>
      </c>
      <c r="L184" s="14">
        <v>0.3</v>
      </c>
      <c r="M184" s="14">
        <v>0.3</v>
      </c>
      <c r="N184" s="14">
        <v>0.3</v>
      </c>
      <c r="O184" s="14">
        <v>0.5</v>
      </c>
      <c r="P184" s="14">
        <v>0.5</v>
      </c>
      <c r="Q184" s="14">
        <v>0.8</v>
      </c>
      <c r="R184" s="14">
        <v>0.8</v>
      </c>
      <c r="S184" s="14">
        <v>0.8</v>
      </c>
      <c r="T184" s="14">
        <v>0.8</v>
      </c>
      <c r="U184" s="14">
        <v>0.8</v>
      </c>
      <c r="V184" s="14">
        <v>0.8</v>
      </c>
      <c r="W184" s="14">
        <v>0.5</v>
      </c>
      <c r="X184" s="14">
        <v>0.5</v>
      </c>
      <c r="Y184" s="14">
        <v>0.5</v>
      </c>
      <c r="Z184" s="14">
        <v>0.5</v>
      </c>
      <c r="AA184" s="14">
        <v>0.5</v>
      </c>
      <c r="AB184" s="14">
        <v>0.3</v>
      </c>
      <c r="AC184" s="14">
        <v>0.3</v>
      </c>
      <c r="AD184" s="14">
        <v>0.3</v>
      </c>
      <c r="AE184" s="14">
        <v>0.3</v>
      </c>
      <c r="AF184" s="14" t="s">
        <v>411</v>
      </c>
    </row>
    <row r="185" spans="1:32" ht="14.25" customHeight="1" x14ac:dyDescent="0.35">
      <c r="A185" s="16" t="s">
        <v>532</v>
      </c>
      <c r="B185" s="16" t="s">
        <v>427</v>
      </c>
      <c r="C185" s="16"/>
      <c r="D185" s="16" t="s">
        <v>511</v>
      </c>
      <c r="E185" s="17">
        <v>41640</v>
      </c>
      <c r="F185" s="17">
        <v>42004</v>
      </c>
      <c r="G185" s="16" t="s">
        <v>415</v>
      </c>
      <c r="H185" s="16">
        <v>0.3</v>
      </c>
      <c r="I185" s="16">
        <v>0.3</v>
      </c>
      <c r="J185" s="16">
        <v>0.3</v>
      </c>
      <c r="K185" s="16">
        <v>0.3</v>
      </c>
      <c r="L185" s="16">
        <v>0.3</v>
      </c>
      <c r="M185" s="16">
        <v>0.3</v>
      </c>
      <c r="N185" s="16">
        <v>0.3</v>
      </c>
      <c r="O185" s="16">
        <v>0.3</v>
      </c>
      <c r="P185" s="16">
        <v>0.5</v>
      </c>
      <c r="Q185" s="16">
        <v>0.5</v>
      </c>
      <c r="R185" s="16">
        <v>0.5</v>
      </c>
      <c r="S185" s="16">
        <v>0.5</v>
      </c>
      <c r="T185" s="16">
        <v>0.5</v>
      </c>
      <c r="U185" s="16">
        <v>0.5</v>
      </c>
      <c r="V185" s="16">
        <v>0.5</v>
      </c>
      <c r="W185" s="16">
        <v>0.5</v>
      </c>
      <c r="X185" s="16">
        <v>0.5</v>
      </c>
      <c r="Y185" s="16">
        <v>0.3</v>
      </c>
      <c r="Z185" s="16">
        <v>0.3</v>
      </c>
      <c r="AA185" s="16">
        <v>0.3</v>
      </c>
      <c r="AB185" s="16">
        <v>0.3</v>
      </c>
      <c r="AC185" s="16">
        <v>0.3</v>
      </c>
      <c r="AD185" s="16">
        <v>0.3</v>
      </c>
      <c r="AE185" s="16">
        <v>0.3</v>
      </c>
      <c r="AF185" s="16" t="s">
        <v>411</v>
      </c>
    </row>
    <row r="186" spans="1:32" ht="14.25" customHeight="1" x14ac:dyDescent="0.35">
      <c r="A186" s="14" t="s">
        <v>532</v>
      </c>
      <c r="B186" s="14" t="s">
        <v>427</v>
      </c>
      <c r="C186" s="14"/>
      <c r="D186" s="14" t="s">
        <v>418</v>
      </c>
      <c r="E186" s="15">
        <v>41640</v>
      </c>
      <c r="F186" s="15">
        <v>42004</v>
      </c>
      <c r="G186" s="14" t="s">
        <v>410</v>
      </c>
      <c r="H186" s="14">
        <v>0.3</v>
      </c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 t="s">
        <v>411</v>
      </c>
    </row>
    <row r="187" spans="1:32" ht="14.25" customHeight="1" x14ac:dyDescent="0.35">
      <c r="A187" s="16" t="s">
        <v>533</v>
      </c>
      <c r="B187" s="16" t="s">
        <v>420</v>
      </c>
      <c r="C187" s="16" t="s">
        <v>414</v>
      </c>
      <c r="D187" s="16" t="s">
        <v>453</v>
      </c>
      <c r="E187" s="17">
        <v>41640</v>
      </c>
      <c r="F187" s="17">
        <v>42004</v>
      </c>
      <c r="G187" s="16" t="s">
        <v>415</v>
      </c>
      <c r="H187" s="16">
        <v>18.3</v>
      </c>
      <c r="I187" s="16">
        <v>18.3</v>
      </c>
      <c r="J187" s="16">
        <v>18.3</v>
      </c>
      <c r="K187" s="16">
        <v>18.3</v>
      </c>
      <c r="L187" s="16">
        <v>18.3</v>
      </c>
      <c r="M187" s="16">
        <v>21.1</v>
      </c>
      <c r="N187" s="16">
        <v>21.1</v>
      </c>
      <c r="O187" s="16">
        <v>21.1</v>
      </c>
      <c r="P187" s="16">
        <v>21.1</v>
      </c>
      <c r="Q187" s="16">
        <v>21.1</v>
      </c>
      <c r="R187" s="16">
        <v>21.1</v>
      </c>
      <c r="S187" s="16">
        <v>21.1</v>
      </c>
      <c r="T187" s="16">
        <v>21.1</v>
      </c>
      <c r="U187" s="16">
        <v>21.1</v>
      </c>
      <c r="V187" s="16">
        <v>21.1</v>
      </c>
      <c r="W187" s="16">
        <v>21.1</v>
      </c>
      <c r="X187" s="16">
        <v>21.1</v>
      </c>
      <c r="Y187" s="16">
        <v>21.1</v>
      </c>
      <c r="Z187" s="16">
        <v>18.3</v>
      </c>
      <c r="AA187" s="16">
        <v>18.3</v>
      </c>
      <c r="AB187" s="16">
        <v>18.3</v>
      </c>
      <c r="AC187" s="16">
        <v>18.3</v>
      </c>
      <c r="AD187" s="16">
        <v>18.3</v>
      </c>
      <c r="AE187" s="16">
        <v>18.3</v>
      </c>
      <c r="AF187" s="16" t="s">
        <v>411</v>
      </c>
    </row>
    <row r="188" spans="1:32" ht="14.25" customHeight="1" x14ac:dyDescent="0.35">
      <c r="A188" s="16" t="s">
        <v>533</v>
      </c>
      <c r="B188" s="16" t="s">
        <v>420</v>
      </c>
      <c r="C188" s="16" t="s">
        <v>414</v>
      </c>
      <c r="D188" s="16" t="s">
        <v>530</v>
      </c>
      <c r="E188" s="17">
        <v>41640</v>
      </c>
      <c r="F188" s="17">
        <v>42004</v>
      </c>
      <c r="G188" s="16" t="s">
        <v>410</v>
      </c>
      <c r="H188" s="16">
        <v>18.3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 t="s">
        <v>411</v>
      </c>
    </row>
    <row r="189" spans="1:32" ht="14.25" customHeight="1" x14ac:dyDescent="0.35">
      <c r="A189" s="14" t="s">
        <v>533</v>
      </c>
      <c r="B189" s="14" t="s">
        <v>420</v>
      </c>
      <c r="C189" s="14" t="s">
        <v>414</v>
      </c>
      <c r="D189" s="14" t="s">
        <v>418</v>
      </c>
      <c r="E189" s="15">
        <v>41640</v>
      </c>
      <c r="F189" s="15">
        <v>42004</v>
      </c>
      <c r="G189" s="14" t="s">
        <v>415</v>
      </c>
      <c r="H189" s="14">
        <v>18.3</v>
      </c>
      <c r="I189" s="14">
        <v>18.3</v>
      </c>
      <c r="J189" s="14">
        <v>18.3</v>
      </c>
      <c r="K189" s="14">
        <v>18.3</v>
      </c>
      <c r="L189" s="14">
        <v>18.3</v>
      </c>
      <c r="M189" s="14">
        <v>18.3</v>
      </c>
      <c r="N189" s="14">
        <v>18.3</v>
      </c>
      <c r="O189" s="14">
        <v>21.1</v>
      </c>
      <c r="P189" s="14">
        <v>21.1</v>
      </c>
      <c r="Q189" s="14">
        <v>21.1</v>
      </c>
      <c r="R189" s="14">
        <v>21.1</v>
      </c>
      <c r="S189" s="14">
        <v>21.1</v>
      </c>
      <c r="T189" s="14">
        <v>21.1</v>
      </c>
      <c r="U189" s="14">
        <v>21.1</v>
      </c>
      <c r="V189" s="14">
        <v>21.1</v>
      </c>
      <c r="W189" s="14">
        <v>18.3</v>
      </c>
      <c r="X189" s="14">
        <v>18.3</v>
      </c>
      <c r="Y189" s="14">
        <v>18.3</v>
      </c>
      <c r="Z189" s="14">
        <v>18.3</v>
      </c>
      <c r="AA189" s="14">
        <v>18.3</v>
      </c>
      <c r="AB189" s="14">
        <v>18.3</v>
      </c>
      <c r="AC189" s="14">
        <v>18.3</v>
      </c>
      <c r="AD189" s="14">
        <v>18.3</v>
      </c>
      <c r="AE189" s="14">
        <v>18.3</v>
      </c>
      <c r="AF189" s="14" t="s">
        <v>411</v>
      </c>
    </row>
    <row r="190" spans="1:32" ht="14.25" customHeight="1" x14ac:dyDescent="0.35">
      <c r="A190" s="14" t="s">
        <v>534</v>
      </c>
      <c r="B190" s="14" t="s">
        <v>424</v>
      </c>
      <c r="C190" s="14"/>
      <c r="D190" s="14" t="s">
        <v>417</v>
      </c>
      <c r="E190" s="15">
        <v>41640</v>
      </c>
      <c r="F190" s="15">
        <v>42004</v>
      </c>
      <c r="G190" s="14" t="s">
        <v>415</v>
      </c>
      <c r="H190" s="14">
        <v>0.1</v>
      </c>
      <c r="I190" s="14">
        <v>0.1</v>
      </c>
      <c r="J190" s="14">
        <v>0.1</v>
      </c>
      <c r="K190" s="14">
        <v>0.1</v>
      </c>
      <c r="L190" s="14">
        <v>0.1</v>
      </c>
      <c r="M190" s="14">
        <v>0.1</v>
      </c>
      <c r="N190" s="14">
        <v>0.1</v>
      </c>
      <c r="O190" s="14">
        <v>0.5</v>
      </c>
      <c r="P190" s="14">
        <v>0.9</v>
      </c>
      <c r="Q190" s="14">
        <v>0.9</v>
      </c>
      <c r="R190" s="14">
        <v>0.9</v>
      </c>
      <c r="S190" s="14">
        <v>0.9</v>
      </c>
      <c r="T190" s="14">
        <v>0.9</v>
      </c>
      <c r="U190" s="14">
        <v>0.9</v>
      </c>
      <c r="V190" s="14">
        <v>0.9</v>
      </c>
      <c r="W190" s="14">
        <v>0.9</v>
      </c>
      <c r="X190" s="14">
        <v>0.3</v>
      </c>
      <c r="Y190" s="14">
        <v>0.3</v>
      </c>
      <c r="Z190" s="14">
        <v>0.3</v>
      </c>
      <c r="AA190" s="14">
        <v>0.3</v>
      </c>
      <c r="AB190" s="14">
        <v>0.3</v>
      </c>
      <c r="AC190" s="14">
        <v>0.3</v>
      </c>
      <c r="AD190" s="14">
        <v>0.3</v>
      </c>
      <c r="AE190" s="14">
        <v>0.1</v>
      </c>
      <c r="AF190" s="14" t="s">
        <v>411</v>
      </c>
    </row>
    <row r="191" spans="1:32" ht="14.25" customHeight="1" x14ac:dyDescent="0.35">
      <c r="A191" s="14" t="s">
        <v>534</v>
      </c>
      <c r="B191" s="14" t="s">
        <v>424</v>
      </c>
      <c r="C191" s="14"/>
      <c r="D191" s="14" t="s">
        <v>512</v>
      </c>
      <c r="E191" s="15">
        <v>41640</v>
      </c>
      <c r="F191" s="15">
        <v>42004</v>
      </c>
      <c r="G191" s="14" t="s">
        <v>415</v>
      </c>
      <c r="H191" s="14">
        <v>0.1</v>
      </c>
      <c r="I191" s="14">
        <v>0.1</v>
      </c>
      <c r="J191" s="14">
        <v>0.1</v>
      </c>
      <c r="K191" s="14">
        <v>0.1</v>
      </c>
      <c r="L191" s="14">
        <v>0.1</v>
      </c>
      <c r="M191" s="14">
        <v>0.1</v>
      </c>
      <c r="N191" s="14">
        <v>0.1</v>
      </c>
      <c r="O191" s="14">
        <v>0.2</v>
      </c>
      <c r="P191" s="14">
        <v>0.4</v>
      </c>
      <c r="Q191" s="14">
        <v>0.4</v>
      </c>
      <c r="R191" s="14">
        <v>0.4</v>
      </c>
      <c r="S191" s="14">
        <v>0.4</v>
      </c>
      <c r="T191" s="14">
        <v>0.4</v>
      </c>
      <c r="U191" s="14">
        <v>0.4</v>
      </c>
      <c r="V191" s="14">
        <v>0.4</v>
      </c>
      <c r="W191" s="14">
        <v>0.4</v>
      </c>
      <c r="X191" s="14">
        <v>0.4</v>
      </c>
      <c r="Y191" s="14">
        <v>0.4</v>
      </c>
      <c r="Z191" s="14">
        <v>0.1</v>
      </c>
      <c r="AA191" s="14">
        <v>0.1</v>
      </c>
      <c r="AB191" s="14">
        <v>0.1</v>
      </c>
      <c r="AC191" s="14">
        <v>0.1</v>
      </c>
      <c r="AD191" s="14">
        <v>0.1</v>
      </c>
      <c r="AE191" s="14">
        <v>0.1</v>
      </c>
      <c r="AF191" s="14" t="s">
        <v>411</v>
      </c>
    </row>
    <row r="192" spans="1:32" ht="14.25" customHeight="1" x14ac:dyDescent="0.35">
      <c r="A192" s="14" t="s">
        <v>534</v>
      </c>
      <c r="B192" s="14" t="s">
        <v>424</v>
      </c>
      <c r="C192" s="14"/>
      <c r="D192" s="14" t="s">
        <v>419</v>
      </c>
      <c r="E192" s="15">
        <v>41640</v>
      </c>
      <c r="F192" s="15">
        <v>42004</v>
      </c>
      <c r="G192" s="14" t="s">
        <v>410</v>
      </c>
      <c r="H192" s="14">
        <v>1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 t="s">
        <v>411</v>
      </c>
    </row>
    <row r="193" spans="1:32" ht="14.25" customHeight="1" x14ac:dyDescent="0.35">
      <c r="A193" s="16" t="s">
        <v>534</v>
      </c>
      <c r="B193" s="16" t="s">
        <v>424</v>
      </c>
      <c r="C193" s="16"/>
      <c r="D193" s="16" t="s">
        <v>511</v>
      </c>
      <c r="E193" s="17">
        <v>41640</v>
      </c>
      <c r="F193" s="17">
        <v>42004</v>
      </c>
      <c r="G193" s="16" t="s">
        <v>415</v>
      </c>
      <c r="H193" s="16">
        <v>0.05</v>
      </c>
      <c r="I193" s="16">
        <v>0.05</v>
      </c>
      <c r="J193" s="16">
        <v>0.05</v>
      </c>
      <c r="K193" s="16">
        <v>0.05</v>
      </c>
      <c r="L193" s="16">
        <v>0.05</v>
      </c>
      <c r="M193" s="16">
        <v>0.05</v>
      </c>
      <c r="N193" s="16">
        <v>0.05</v>
      </c>
      <c r="O193" s="16">
        <v>0.05</v>
      </c>
      <c r="P193" s="16">
        <v>0.1</v>
      </c>
      <c r="Q193" s="16">
        <v>0.1</v>
      </c>
      <c r="R193" s="16">
        <v>0.1</v>
      </c>
      <c r="S193" s="16">
        <v>0.1</v>
      </c>
      <c r="T193" s="16">
        <v>0.1</v>
      </c>
      <c r="U193" s="16">
        <v>0.1</v>
      </c>
      <c r="V193" s="16">
        <v>0.1</v>
      </c>
      <c r="W193" s="16">
        <v>0.1</v>
      </c>
      <c r="X193" s="16">
        <v>0.05</v>
      </c>
      <c r="Y193" s="16">
        <v>0.05</v>
      </c>
      <c r="Z193" s="16">
        <v>0.05</v>
      </c>
      <c r="AA193" s="16">
        <v>0.05</v>
      </c>
      <c r="AB193" s="16">
        <v>0.05</v>
      </c>
      <c r="AC193" s="16">
        <v>0.05</v>
      </c>
      <c r="AD193" s="16">
        <v>0.05</v>
      </c>
      <c r="AE193" s="16">
        <v>0.05</v>
      </c>
      <c r="AF193" s="16" t="s">
        <v>411</v>
      </c>
    </row>
    <row r="194" spans="1:32" ht="14.25" customHeight="1" x14ac:dyDescent="0.35">
      <c r="A194" s="16" t="s">
        <v>534</v>
      </c>
      <c r="B194" s="16" t="s">
        <v>424</v>
      </c>
      <c r="C194" s="16"/>
      <c r="D194" s="16" t="s">
        <v>418</v>
      </c>
      <c r="E194" s="17">
        <v>41640</v>
      </c>
      <c r="F194" s="17">
        <v>42004</v>
      </c>
      <c r="G194" s="16" t="s">
        <v>410</v>
      </c>
      <c r="H194" s="16">
        <v>0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 t="s">
        <v>411</v>
      </c>
    </row>
    <row r="195" spans="1:32" ht="14.25" customHeight="1" x14ac:dyDescent="0.35">
      <c r="A195" s="16" t="s">
        <v>535</v>
      </c>
      <c r="B195" s="16" t="s">
        <v>448</v>
      </c>
      <c r="C195" s="16"/>
      <c r="D195" s="16" t="s">
        <v>453</v>
      </c>
      <c r="E195" s="17">
        <v>41640</v>
      </c>
      <c r="F195" s="17">
        <v>42004</v>
      </c>
      <c r="G195" s="16" t="s">
        <v>415</v>
      </c>
      <c r="H195" s="16">
        <v>0.05</v>
      </c>
      <c r="I195" s="16">
        <v>0.05</v>
      </c>
      <c r="J195" s="16">
        <v>0.05</v>
      </c>
      <c r="K195" s="16">
        <v>0.05</v>
      </c>
      <c r="L195" s="16">
        <v>0.2</v>
      </c>
      <c r="M195" s="16">
        <v>0.2</v>
      </c>
      <c r="N195" s="16">
        <v>0.5</v>
      </c>
      <c r="O195" s="16">
        <v>0.9</v>
      </c>
      <c r="P195" s="16">
        <v>0.9</v>
      </c>
      <c r="Q195" s="16">
        <v>0.9</v>
      </c>
      <c r="R195" s="16">
        <v>0.9</v>
      </c>
      <c r="S195" s="16">
        <v>0.9</v>
      </c>
      <c r="T195" s="16">
        <v>0.9</v>
      </c>
      <c r="U195" s="16">
        <v>0.9</v>
      </c>
      <c r="V195" s="16">
        <v>0.9</v>
      </c>
      <c r="W195" s="16">
        <v>0.9</v>
      </c>
      <c r="X195" s="16">
        <v>0.9</v>
      </c>
      <c r="Y195" s="16">
        <v>0.9</v>
      </c>
      <c r="Z195" s="16">
        <v>0.5</v>
      </c>
      <c r="AA195" s="16">
        <v>0.5</v>
      </c>
      <c r="AB195" s="16">
        <v>0.2</v>
      </c>
      <c r="AC195" s="16">
        <v>0.2</v>
      </c>
      <c r="AD195" s="16">
        <v>0.05</v>
      </c>
      <c r="AE195" s="16">
        <v>0.05</v>
      </c>
      <c r="AF195" s="16" t="s">
        <v>411</v>
      </c>
    </row>
    <row r="196" spans="1:32" ht="14.25" customHeight="1" x14ac:dyDescent="0.35">
      <c r="A196" s="16" t="s">
        <v>535</v>
      </c>
      <c r="B196" s="16" t="s">
        <v>448</v>
      </c>
      <c r="C196" s="16"/>
      <c r="D196" s="16" t="s">
        <v>511</v>
      </c>
      <c r="E196" s="17">
        <v>41640</v>
      </c>
      <c r="F196" s="17">
        <v>42004</v>
      </c>
      <c r="G196" s="16" t="s">
        <v>415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0.05</v>
      </c>
      <c r="Q196" s="16">
        <v>0.05</v>
      </c>
      <c r="R196" s="16">
        <v>0.05</v>
      </c>
      <c r="S196" s="16">
        <v>0.05</v>
      </c>
      <c r="T196" s="16">
        <v>0.05</v>
      </c>
      <c r="U196" s="16">
        <v>0.05</v>
      </c>
      <c r="V196" s="16">
        <v>0.05</v>
      </c>
      <c r="W196" s="16">
        <v>0.05</v>
      </c>
      <c r="X196" s="16">
        <v>0.05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 t="s">
        <v>411</v>
      </c>
    </row>
    <row r="197" spans="1:32" ht="14.25" customHeight="1" x14ac:dyDescent="0.35">
      <c r="A197" s="14" t="s">
        <v>535</v>
      </c>
      <c r="B197" s="14" t="s">
        <v>448</v>
      </c>
      <c r="C197" s="14"/>
      <c r="D197" s="14" t="s">
        <v>514</v>
      </c>
      <c r="E197" s="15">
        <v>41640</v>
      </c>
      <c r="F197" s="15">
        <v>42004</v>
      </c>
      <c r="G197" s="14" t="s">
        <v>415</v>
      </c>
      <c r="H197" s="14">
        <v>0.05</v>
      </c>
      <c r="I197" s="14">
        <v>0.05</v>
      </c>
      <c r="J197" s="14">
        <v>0.05</v>
      </c>
      <c r="K197" s="14">
        <v>0.05</v>
      </c>
      <c r="L197" s="14">
        <v>0.05</v>
      </c>
      <c r="M197" s="14">
        <v>0.05</v>
      </c>
      <c r="N197" s="14">
        <v>0.05</v>
      </c>
      <c r="O197" s="14">
        <v>0.2</v>
      </c>
      <c r="P197" s="14">
        <v>0.2</v>
      </c>
      <c r="Q197" s="14">
        <v>0.3</v>
      </c>
      <c r="R197" s="14">
        <v>0.3</v>
      </c>
      <c r="S197" s="14">
        <v>0.3</v>
      </c>
      <c r="T197" s="14">
        <v>0.3</v>
      </c>
      <c r="U197" s="14">
        <v>0.3</v>
      </c>
      <c r="V197" s="14">
        <v>0.3</v>
      </c>
      <c r="W197" s="14">
        <v>0.2</v>
      </c>
      <c r="X197" s="14">
        <v>0.2</v>
      </c>
      <c r="Y197" s="14">
        <v>0.2</v>
      </c>
      <c r="Z197" s="14">
        <v>0.2</v>
      </c>
      <c r="AA197" s="14">
        <v>0.2</v>
      </c>
      <c r="AB197" s="14">
        <v>0.05</v>
      </c>
      <c r="AC197" s="14">
        <v>0.05</v>
      </c>
      <c r="AD197" s="14">
        <v>0.05</v>
      </c>
      <c r="AE197" s="14">
        <v>0.05</v>
      </c>
      <c r="AF197" s="14" t="s">
        <v>411</v>
      </c>
    </row>
    <row r="198" spans="1:32" ht="14.25" customHeight="1" x14ac:dyDescent="0.35">
      <c r="A198" s="16" t="s">
        <v>536</v>
      </c>
      <c r="B198" s="16" t="s">
        <v>416</v>
      </c>
      <c r="C198" s="16"/>
      <c r="D198" s="16" t="s">
        <v>417</v>
      </c>
      <c r="E198" s="17">
        <v>41640</v>
      </c>
      <c r="F198" s="17">
        <v>42004</v>
      </c>
      <c r="G198" s="16" t="s">
        <v>415</v>
      </c>
      <c r="H198" s="16">
        <v>0.2</v>
      </c>
      <c r="I198" s="16">
        <v>0.2</v>
      </c>
      <c r="J198" s="16">
        <v>0.2</v>
      </c>
      <c r="K198" s="16">
        <v>0.2</v>
      </c>
      <c r="L198" s="16">
        <v>0.2</v>
      </c>
      <c r="M198" s="16">
        <v>0.2</v>
      </c>
      <c r="N198" s="16">
        <v>0.2</v>
      </c>
      <c r="O198" s="16">
        <v>0.2</v>
      </c>
      <c r="P198" s="16">
        <v>0.4</v>
      </c>
      <c r="Q198" s="16">
        <v>0.4</v>
      </c>
      <c r="R198" s="16">
        <v>0.4</v>
      </c>
      <c r="S198" s="16">
        <v>0.4</v>
      </c>
      <c r="T198" s="16">
        <v>0.4</v>
      </c>
      <c r="U198" s="16">
        <v>0.4</v>
      </c>
      <c r="V198" s="16">
        <v>0.4</v>
      </c>
      <c r="W198" s="16">
        <v>0.4</v>
      </c>
      <c r="X198" s="16">
        <v>0.2</v>
      </c>
      <c r="Y198" s="16">
        <v>0.2</v>
      </c>
      <c r="Z198" s="16">
        <v>0.2</v>
      </c>
      <c r="AA198" s="16">
        <v>0.2</v>
      </c>
      <c r="AB198" s="16">
        <v>0.2</v>
      </c>
      <c r="AC198" s="16">
        <v>0.2</v>
      </c>
      <c r="AD198" s="16">
        <v>0.2</v>
      </c>
      <c r="AE198" s="16">
        <v>0.2</v>
      </c>
      <c r="AF198" s="16" t="s">
        <v>413</v>
      </c>
    </row>
    <row r="199" spans="1:32" ht="14.25" customHeight="1" x14ac:dyDescent="0.35">
      <c r="A199" s="14" t="s">
        <v>536</v>
      </c>
      <c r="B199" s="14" t="s">
        <v>416</v>
      </c>
      <c r="C199" s="14"/>
      <c r="D199" s="14" t="s">
        <v>512</v>
      </c>
      <c r="E199" s="15">
        <v>41640</v>
      </c>
      <c r="F199" s="15">
        <v>42004</v>
      </c>
      <c r="G199" s="14" t="s">
        <v>415</v>
      </c>
      <c r="H199" s="14">
        <v>0.2</v>
      </c>
      <c r="I199" s="14">
        <v>0.2</v>
      </c>
      <c r="J199" s="14">
        <v>0.2</v>
      </c>
      <c r="K199" s="14">
        <v>0.2</v>
      </c>
      <c r="L199" s="14">
        <v>0.2</v>
      </c>
      <c r="M199" s="14">
        <v>0.2</v>
      </c>
      <c r="N199" s="14">
        <v>0.2</v>
      </c>
      <c r="O199" s="14">
        <v>0.4</v>
      </c>
      <c r="P199" s="14">
        <v>0.46</v>
      </c>
      <c r="Q199" s="14">
        <v>0.7</v>
      </c>
      <c r="R199" s="14">
        <v>0.7</v>
      </c>
      <c r="S199" s="14">
        <v>0.7</v>
      </c>
      <c r="T199" s="14">
        <v>0.51</v>
      </c>
      <c r="U199" s="14">
        <v>0.51</v>
      </c>
      <c r="V199" s="14">
        <v>0.51</v>
      </c>
      <c r="W199" s="14">
        <v>0.51</v>
      </c>
      <c r="X199" s="14">
        <v>0.51</v>
      </c>
      <c r="Y199" s="14">
        <v>0.25</v>
      </c>
      <c r="Z199" s="14">
        <v>0.2</v>
      </c>
      <c r="AA199" s="14">
        <v>0.2</v>
      </c>
      <c r="AB199" s="14">
        <v>0.2</v>
      </c>
      <c r="AC199" s="14">
        <v>0.2</v>
      </c>
      <c r="AD199" s="14">
        <v>0.2</v>
      </c>
      <c r="AE199" s="14">
        <v>0.2</v>
      </c>
      <c r="AF199" s="14" t="s">
        <v>413</v>
      </c>
    </row>
    <row r="200" spans="1:32" ht="14.25" customHeight="1" x14ac:dyDescent="0.35">
      <c r="A200" s="16" t="s">
        <v>536</v>
      </c>
      <c r="B200" s="16" t="s">
        <v>416</v>
      </c>
      <c r="C200" s="16"/>
      <c r="D200" s="16" t="s">
        <v>419</v>
      </c>
      <c r="E200" s="17">
        <v>41640</v>
      </c>
      <c r="F200" s="17">
        <v>42004</v>
      </c>
      <c r="G200" s="16" t="s">
        <v>410</v>
      </c>
      <c r="H200" s="16">
        <v>1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 t="s">
        <v>413</v>
      </c>
    </row>
    <row r="201" spans="1:32" ht="14.25" customHeight="1" x14ac:dyDescent="0.35">
      <c r="A201" s="16" t="s">
        <v>536</v>
      </c>
      <c r="B201" s="16" t="s">
        <v>416</v>
      </c>
      <c r="C201" s="16"/>
      <c r="D201" s="16" t="s">
        <v>429</v>
      </c>
      <c r="E201" s="17">
        <v>41640</v>
      </c>
      <c r="F201" s="17">
        <v>42004</v>
      </c>
      <c r="G201" s="16" t="s">
        <v>415</v>
      </c>
      <c r="H201" s="16">
        <v>0.2</v>
      </c>
      <c r="I201" s="16">
        <v>0.2</v>
      </c>
      <c r="J201" s="16">
        <v>0.2</v>
      </c>
      <c r="K201" s="16">
        <v>0.2</v>
      </c>
      <c r="L201" s="16">
        <v>0.2</v>
      </c>
      <c r="M201" s="16">
        <v>0.2</v>
      </c>
      <c r="N201" s="16">
        <v>0.2</v>
      </c>
      <c r="O201" s="16">
        <v>0.5</v>
      </c>
      <c r="P201" s="16">
        <v>0.75</v>
      </c>
      <c r="Q201" s="16">
        <v>1</v>
      </c>
      <c r="R201" s="16">
        <v>1</v>
      </c>
      <c r="S201" s="16">
        <v>1</v>
      </c>
      <c r="T201" s="16">
        <v>0.75</v>
      </c>
      <c r="U201" s="16">
        <v>1</v>
      </c>
      <c r="V201" s="16">
        <v>1</v>
      </c>
      <c r="W201" s="16">
        <v>1</v>
      </c>
      <c r="X201" s="16">
        <v>1</v>
      </c>
      <c r="Y201" s="16">
        <v>1</v>
      </c>
      <c r="Z201" s="16">
        <v>0.52</v>
      </c>
      <c r="AA201" s="16">
        <v>0.52</v>
      </c>
      <c r="AB201" s="16">
        <v>0.52</v>
      </c>
      <c r="AC201" s="16">
        <v>0.28000000000000003</v>
      </c>
      <c r="AD201" s="16">
        <v>0.2</v>
      </c>
      <c r="AE201" s="16">
        <v>0.2</v>
      </c>
      <c r="AF201" s="16" t="s">
        <v>413</v>
      </c>
    </row>
    <row r="202" spans="1:32" ht="14.25" customHeight="1" x14ac:dyDescent="0.35">
      <c r="A202" s="14" t="s">
        <v>536</v>
      </c>
      <c r="B202" s="14" t="s">
        <v>416</v>
      </c>
      <c r="C202" s="14"/>
      <c r="D202" s="14" t="s">
        <v>418</v>
      </c>
      <c r="E202" s="15">
        <v>41640</v>
      </c>
      <c r="F202" s="15">
        <v>42004</v>
      </c>
      <c r="G202" s="14" t="s">
        <v>410</v>
      </c>
      <c r="H202" s="14">
        <v>0.2</v>
      </c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 t="s">
        <v>413</v>
      </c>
    </row>
    <row r="203" spans="1:32" ht="14.25" customHeight="1" x14ac:dyDescent="0.35">
      <c r="A203" s="14" t="s">
        <v>537</v>
      </c>
      <c r="B203" s="14" t="s">
        <v>427</v>
      </c>
      <c r="C203" s="14"/>
      <c r="D203" s="14" t="s">
        <v>417</v>
      </c>
      <c r="E203" s="15">
        <v>41640</v>
      </c>
      <c r="F203" s="15">
        <v>42004</v>
      </c>
      <c r="G203" s="14" t="s">
        <v>415</v>
      </c>
      <c r="H203" s="14">
        <v>0.4</v>
      </c>
      <c r="I203" s="14">
        <v>0.4</v>
      </c>
      <c r="J203" s="14">
        <v>0.4</v>
      </c>
      <c r="K203" s="14">
        <v>0.4</v>
      </c>
      <c r="L203" s="14">
        <v>0.4</v>
      </c>
      <c r="M203" s="14">
        <v>0.4</v>
      </c>
      <c r="N203" s="14">
        <v>0.4</v>
      </c>
      <c r="O203" s="14">
        <v>0.4</v>
      </c>
      <c r="P203" s="14">
        <v>0.6</v>
      </c>
      <c r="Q203" s="14">
        <v>0.6</v>
      </c>
      <c r="R203" s="14">
        <v>0.6</v>
      </c>
      <c r="S203" s="14">
        <v>0.6</v>
      </c>
      <c r="T203" s="14">
        <v>0.6</v>
      </c>
      <c r="U203" s="14">
        <v>0.6</v>
      </c>
      <c r="V203" s="14">
        <v>0.6</v>
      </c>
      <c r="W203" s="14">
        <v>0.6</v>
      </c>
      <c r="X203" s="14">
        <v>0.4</v>
      </c>
      <c r="Y203" s="14">
        <v>0.4</v>
      </c>
      <c r="Z203" s="14">
        <v>0.4</v>
      </c>
      <c r="AA203" s="14">
        <v>0.4</v>
      </c>
      <c r="AB203" s="14">
        <v>0.4</v>
      </c>
      <c r="AC203" s="14">
        <v>0.4</v>
      </c>
      <c r="AD203" s="14">
        <v>0.4</v>
      </c>
      <c r="AE203" s="14">
        <v>0.4</v>
      </c>
      <c r="AF203" s="14" t="s">
        <v>413</v>
      </c>
    </row>
    <row r="204" spans="1:32" ht="14.25" customHeight="1" x14ac:dyDescent="0.35">
      <c r="A204" s="16" t="s">
        <v>537</v>
      </c>
      <c r="B204" s="16" t="s">
        <v>427</v>
      </c>
      <c r="C204" s="16"/>
      <c r="D204" s="16" t="s">
        <v>512</v>
      </c>
      <c r="E204" s="17">
        <v>41640</v>
      </c>
      <c r="F204" s="17">
        <v>42004</v>
      </c>
      <c r="G204" s="16" t="s">
        <v>415</v>
      </c>
      <c r="H204" s="16">
        <v>0.4</v>
      </c>
      <c r="I204" s="16">
        <v>0.4</v>
      </c>
      <c r="J204" s="16">
        <v>0.4</v>
      </c>
      <c r="K204" s="16">
        <v>0.4</v>
      </c>
      <c r="L204" s="16">
        <v>0.4</v>
      </c>
      <c r="M204" s="16">
        <v>0.4</v>
      </c>
      <c r="N204" s="16">
        <v>0.4</v>
      </c>
      <c r="O204" s="16">
        <v>0.5</v>
      </c>
      <c r="P204" s="16">
        <v>0.65</v>
      </c>
      <c r="Q204" s="16">
        <v>0.65</v>
      </c>
      <c r="R204" s="16">
        <v>0.65</v>
      </c>
      <c r="S204" s="16">
        <v>0.65</v>
      </c>
      <c r="T204" s="16">
        <v>0.65</v>
      </c>
      <c r="U204" s="16">
        <v>0.65</v>
      </c>
      <c r="V204" s="16">
        <v>0.65</v>
      </c>
      <c r="W204" s="16">
        <v>0.65</v>
      </c>
      <c r="X204" s="16">
        <v>0.65</v>
      </c>
      <c r="Y204" s="16">
        <v>0.65</v>
      </c>
      <c r="Z204" s="16">
        <v>0.4</v>
      </c>
      <c r="AA204" s="16">
        <v>0.4</v>
      </c>
      <c r="AB204" s="16">
        <v>0.4</v>
      </c>
      <c r="AC204" s="16">
        <v>0.4</v>
      </c>
      <c r="AD204" s="16">
        <v>0.4</v>
      </c>
      <c r="AE204" s="16">
        <v>0.4</v>
      </c>
      <c r="AF204" s="16" t="s">
        <v>413</v>
      </c>
    </row>
    <row r="205" spans="1:32" ht="14.25" customHeight="1" x14ac:dyDescent="0.35">
      <c r="A205" s="14" t="s">
        <v>537</v>
      </c>
      <c r="B205" s="14" t="s">
        <v>427</v>
      </c>
      <c r="C205" s="14"/>
      <c r="D205" s="14" t="s">
        <v>419</v>
      </c>
      <c r="E205" s="15">
        <v>41640</v>
      </c>
      <c r="F205" s="15">
        <v>42004</v>
      </c>
      <c r="G205" s="14" t="s">
        <v>410</v>
      </c>
      <c r="H205" s="14">
        <v>1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 t="s">
        <v>413</v>
      </c>
    </row>
    <row r="206" spans="1:32" ht="14.25" customHeight="1" x14ac:dyDescent="0.35">
      <c r="A206" s="14" t="s">
        <v>537</v>
      </c>
      <c r="B206" s="14" t="s">
        <v>427</v>
      </c>
      <c r="C206" s="14"/>
      <c r="D206" s="14" t="s">
        <v>429</v>
      </c>
      <c r="E206" s="15">
        <v>41640</v>
      </c>
      <c r="F206" s="15">
        <v>42004</v>
      </c>
      <c r="G206" s="14" t="s">
        <v>415</v>
      </c>
      <c r="H206" s="14">
        <v>0.4</v>
      </c>
      <c r="I206" s="14">
        <v>0.4</v>
      </c>
      <c r="J206" s="14">
        <v>0.4</v>
      </c>
      <c r="K206" s="14">
        <v>0.4</v>
      </c>
      <c r="L206" s="14">
        <v>0.4</v>
      </c>
      <c r="M206" s="14">
        <v>0.4</v>
      </c>
      <c r="N206" s="14">
        <v>0.4</v>
      </c>
      <c r="O206" s="14">
        <v>0.7</v>
      </c>
      <c r="P206" s="14">
        <v>0.9</v>
      </c>
      <c r="Q206" s="14">
        <v>0.9</v>
      </c>
      <c r="R206" s="14">
        <v>0.9</v>
      </c>
      <c r="S206" s="14">
        <v>0.9</v>
      </c>
      <c r="T206" s="14">
        <v>0.9</v>
      </c>
      <c r="U206" s="14">
        <v>0.9</v>
      </c>
      <c r="V206" s="14">
        <v>0.9</v>
      </c>
      <c r="W206" s="14">
        <v>0.9</v>
      </c>
      <c r="X206" s="14">
        <v>0.6</v>
      </c>
      <c r="Y206" s="14">
        <v>0.6</v>
      </c>
      <c r="Z206" s="14">
        <v>0.6</v>
      </c>
      <c r="AA206" s="14">
        <v>0.6</v>
      </c>
      <c r="AB206" s="14">
        <v>0.6</v>
      </c>
      <c r="AC206" s="14">
        <v>0.6</v>
      </c>
      <c r="AD206" s="14">
        <v>0.6</v>
      </c>
      <c r="AE206" s="14">
        <v>0.4</v>
      </c>
      <c r="AF206" s="14" t="s">
        <v>413</v>
      </c>
    </row>
    <row r="207" spans="1:32" ht="14.25" customHeight="1" x14ac:dyDescent="0.35">
      <c r="A207" s="16" t="s">
        <v>537</v>
      </c>
      <c r="B207" s="16" t="s">
        <v>427</v>
      </c>
      <c r="C207" s="16"/>
      <c r="D207" s="16" t="s">
        <v>418</v>
      </c>
      <c r="E207" s="17">
        <v>41640</v>
      </c>
      <c r="F207" s="17">
        <v>42004</v>
      </c>
      <c r="G207" s="16" t="s">
        <v>410</v>
      </c>
      <c r="H207" s="16">
        <v>0</v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 t="s">
        <v>413</v>
      </c>
    </row>
    <row r="208" spans="1:32" ht="14.25" customHeight="1" x14ac:dyDescent="0.35">
      <c r="A208" s="16" t="s">
        <v>329</v>
      </c>
      <c r="B208" s="16" t="s">
        <v>427</v>
      </c>
      <c r="C208" s="16"/>
      <c r="D208" s="16" t="s">
        <v>417</v>
      </c>
      <c r="E208" s="17">
        <v>41640</v>
      </c>
      <c r="F208" s="17">
        <v>42004</v>
      </c>
      <c r="G208" s="16" t="s">
        <v>415</v>
      </c>
      <c r="H208" s="16">
        <v>0.3</v>
      </c>
      <c r="I208" s="16">
        <v>0.3</v>
      </c>
      <c r="J208" s="16">
        <v>0.3</v>
      </c>
      <c r="K208" s="16">
        <v>0.3</v>
      </c>
      <c r="L208" s="16">
        <v>0.3</v>
      </c>
      <c r="M208" s="16">
        <v>0.3</v>
      </c>
      <c r="N208" s="16">
        <v>0.3</v>
      </c>
      <c r="O208" s="16">
        <v>0.3</v>
      </c>
      <c r="P208" s="16">
        <v>0.4</v>
      </c>
      <c r="Q208" s="16">
        <v>0.4</v>
      </c>
      <c r="R208" s="16">
        <v>0.4</v>
      </c>
      <c r="S208" s="16">
        <v>0.4</v>
      </c>
      <c r="T208" s="16">
        <v>0.4</v>
      </c>
      <c r="U208" s="16">
        <v>0.4</v>
      </c>
      <c r="V208" s="16">
        <v>0.4</v>
      </c>
      <c r="W208" s="16">
        <v>0.4</v>
      </c>
      <c r="X208" s="16">
        <v>0.3</v>
      </c>
      <c r="Y208" s="16">
        <v>0.3</v>
      </c>
      <c r="Z208" s="16">
        <v>0.3</v>
      </c>
      <c r="AA208" s="16">
        <v>0.3</v>
      </c>
      <c r="AB208" s="16">
        <v>0.3</v>
      </c>
      <c r="AC208" s="16">
        <v>0.3</v>
      </c>
      <c r="AD208" s="16">
        <v>0.3</v>
      </c>
      <c r="AE208" s="16">
        <v>0.3</v>
      </c>
      <c r="AF208" s="16" t="s">
        <v>413</v>
      </c>
    </row>
    <row r="209" spans="1:32" ht="14.25" customHeight="1" x14ac:dyDescent="0.35">
      <c r="A209" s="14" t="s">
        <v>329</v>
      </c>
      <c r="B209" s="14" t="s">
        <v>427</v>
      </c>
      <c r="C209" s="14"/>
      <c r="D209" s="14" t="s">
        <v>512</v>
      </c>
      <c r="E209" s="15">
        <v>41640</v>
      </c>
      <c r="F209" s="15">
        <v>42004</v>
      </c>
      <c r="G209" s="14" t="s">
        <v>415</v>
      </c>
      <c r="H209" s="14">
        <v>0.4</v>
      </c>
      <c r="I209" s="14">
        <v>0.4</v>
      </c>
      <c r="J209" s="14">
        <v>0.4</v>
      </c>
      <c r="K209" s="14">
        <v>0.4</v>
      </c>
      <c r="L209" s="14">
        <v>0.4</v>
      </c>
      <c r="M209" s="14">
        <v>0.4</v>
      </c>
      <c r="N209" s="14">
        <v>0.4</v>
      </c>
      <c r="O209" s="14">
        <v>0.5</v>
      </c>
      <c r="P209" s="14">
        <v>0.65</v>
      </c>
      <c r="Q209" s="14">
        <v>0.65</v>
      </c>
      <c r="R209" s="14">
        <v>0.65</v>
      </c>
      <c r="S209" s="14">
        <v>0.65</v>
      </c>
      <c r="T209" s="14">
        <v>0.65</v>
      </c>
      <c r="U209" s="14">
        <v>0.65</v>
      </c>
      <c r="V209" s="14">
        <v>0.65</v>
      </c>
      <c r="W209" s="14">
        <v>0.65</v>
      </c>
      <c r="X209" s="14">
        <v>0.65</v>
      </c>
      <c r="Y209" s="14">
        <v>0.65</v>
      </c>
      <c r="Z209" s="14">
        <v>0.4</v>
      </c>
      <c r="AA209" s="14">
        <v>0.4</v>
      </c>
      <c r="AB209" s="14">
        <v>0.4</v>
      </c>
      <c r="AC209" s="14">
        <v>0.4</v>
      </c>
      <c r="AD209" s="14">
        <v>0.4</v>
      </c>
      <c r="AE209" s="14">
        <v>0.4</v>
      </c>
      <c r="AF209" s="14" t="s">
        <v>413</v>
      </c>
    </row>
    <row r="210" spans="1:32" ht="14.25" customHeight="1" x14ac:dyDescent="0.35">
      <c r="A210" s="16" t="s">
        <v>329</v>
      </c>
      <c r="B210" s="16" t="s">
        <v>427</v>
      </c>
      <c r="C210" s="16"/>
      <c r="D210" s="16" t="s">
        <v>419</v>
      </c>
      <c r="E210" s="17">
        <v>41640</v>
      </c>
      <c r="F210" s="17">
        <v>42004</v>
      </c>
      <c r="G210" s="16" t="s">
        <v>410</v>
      </c>
      <c r="H210" s="16">
        <v>1</v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 t="s">
        <v>413</v>
      </c>
    </row>
    <row r="211" spans="1:32" ht="14.25" customHeight="1" x14ac:dyDescent="0.35">
      <c r="A211" s="16" t="s">
        <v>329</v>
      </c>
      <c r="B211" s="16" t="s">
        <v>427</v>
      </c>
      <c r="C211" s="16"/>
      <c r="D211" s="16" t="s">
        <v>429</v>
      </c>
      <c r="E211" s="17">
        <v>41640</v>
      </c>
      <c r="F211" s="17">
        <v>42004</v>
      </c>
      <c r="G211" s="16" t="s">
        <v>415</v>
      </c>
      <c r="H211" s="16">
        <v>0.4</v>
      </c>
      <c r="I211" s="16">
        <v>0.4</v>
      </c>
      <c r="J211" s="16">
        <v>0.4</v>
      </c>
      <c r="K211" s="16">
        <v>0.4</v>
      </c>
      <c r="L211" s="16">
        <v>0.4</v>
      </c>
      <c r="M211" s="16">
        <v>0.4</v>
      </c>
      <c r="N211" s="16">
        <v>0.4</v>
      </c>
      <c r="O211" s="16">
        <v>0.7</v>
      </c>
      <c r="P211" s="16">
        <v>0.9</v>
      </c>
      <c r="Q211" s="16">
        <v>0.9</v>
      </c>
      <c r="R211" s="16">
        <v>0.9</v>
      </c>
      <c r="S211" s="16">
        <v>0.9</v>
      </c>
      <c r="T211" s="16">
        <v>0.9</v>
      </c>
      <c r="U211" s="16">
        <v>0.9</v>
      </c>
      <c r="V211" s="16">
        <v>0.9</v>
      </c>
      <c r="W211" s="16">
        <v>0.9</v>
      </c>
      <c r="X211" s="16">
        <v>0.6</v>
      </c>
      <c r="Y211" s="16">
        <v>0.6</v>
      </c>
      <c r="Z211" s="16">
        <v>0.6</v>
      </c>
      <c r="AA211" s="16">
        <v>0.6</v>
      </c>
      <c r="AB211" s="16">
        <v>0.6</v>
      </c>
      <c r="AC211" s="16">
        <v>0.6</v>
      </c>
      <c r="AD211" s="16">
        <v>0.6</v>
      </c>
      <c r="AE211" s="16">
        <v>0.4</v>
      </c>
      <c r="AF211" s="16" t="s">
        <v>413</v>
      </c>
    </row>
    <row r="212" spans="1:32" ht="14.25" customHeight="1" x14ac:dyDescent="0.35">
      <c r="A212" s="14" t="s">
        <v>329</v>
      </c>
      <c r="B212" s="14" t="s">
        <v>427</v>
      </c>
      <c r="C212" s="14"/>
      <c r="D212" s="14" t="s">
        <v>418</v>
      </c>
      <c r="E212" s="15">
        <v>41640</v>
      </c>
      <c r="F212" s="15">
        <v>42004</v>
      </c>
      <c r="G212" s="14" t="s">
        <v>410</v>
      </c>
      <c r="H212" s="14">
        <v>0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 t="s">
        <v>413</v>
      </c>
    </row>
    <row r="213" spans="1:32" ht="14.25" customHeight="1" x14ac:dyDescent="0.35">
      <c r="A213" s="14" t="s">
        <v>538</v>
      </c>
      <c r="B213" s="14" t="s">
        <v>424</v>
      </c>
      <c r="C213" s="14"/>
      <c r="D213" s="14" t="s">
        <v>417</v>
      </c>
      <c r="E213" s="15">
        <v>41640</v>
      </c>
      <c r="F213" s="15">
        <v>42004</v>
      </c>
      <c r="G213" s="14" t="s">
        <v>415</v>
      </c>
      <c r="H213" s="14">
        <v>0.5</v>
      </c>
      <c r="I213" s="14">
        <v>0.5</v>
      </c>
      <c r="J213" s="14">
        <v>0.5</v>
      </c>
      <c r="K213" s="14">
        <v>0.5</v>
      </c>
      <c r="L213" s="14">
        <v>0.5</v>
      </c>
      <c r="M213" s="14">
        <v>0.5</v>
      </c>
      <c r="N213" s="14">
        <v>0.5</v>
      </c>
      <c r="O213" s="14">
        <v>0.5</v>
      </c>
      <c r="P213" s="14">
        <v>0.7</v>
      </c>
      <c r="Q213" s="14">
        <v>0.7</v>
      </c>
      <c r="R213" s="14">
        <v>0.7</v>
      </c>
      <c r="S213" s="14">
        <v>0.7</v>
      </c>
      <c r="T213" s="14">
        <v>0.7</v>
      </c>
      <c r="U213" s="14">
        <v>0.7</v>
      </c>
      <c r="V213" s="14">
        <v>0.7</v>
      </c>
      <c r="W213" s="14">
        <v>0.7</v>
      </c>
      <c r="X213" s="14">
        <v>0.5</v>
      </c>
      <c r="Y213" s="14">
        <v>0.5</v>
      </c>
      <c r="Z213" s="14">
        <v>0.5</v>
      </c>
      <c r="AA213" s="14">
        <v>0.5</v>
      </c>
      <c r="AB213" s="14">
        <v>0.5</v>
      </c>
      <c r="AC213" s="14">
        <v>0.5</v>
      </c>
      <c r="AD213" s="14">
        <v>0.5</v>
      </c>
      <c r="AE213" s="14">
        <v>0.5</v>
      </c>
      <c r="AF213" s="14" t="s">
        <v>413</v>
      </c>
    </row>
    <row r="214" spans="1:32" ht="14.25" customHeight="1" x14ac:dyDescent="0.35">
      <c r="A214" s="16" t="s">
        <v>538</v>
      </c>
      <c r="B214" s="16" t="s">
        <v>424</v>
      </c>
      <c r="C214" s="16"/>
      <c r="D214" s="16" t="s">
        <v>512</v>
      </c>
      <c r="E214" s="17">
        <v>41640</v>
      </c>
      <c r="F214" s="17">
        <v>42004</v>
      </c>
      <c r="G214" s="16" t="s">
        <v>415</v>
      </c>
      <c r="H214" s="16">
        <v>0.5</v>
      </c>
      <c r="I214" s="16">
        <v>0.5</v>
      </c>
      <c r="J214" s="16">
        <v>0.5</v>
      </c>
      <c r="K214" s="16">
        <v>0.5</v>
      </c>
      <c r="L214" s="16">
        <v>0.5</v>
      </c>
      <c r="M214" s="16">
        <v>0.5</v>
      </c>
      <c r="N214" s="16">
        <v>0.5</v>
      </c>
      <c r="O214" s="16">
        <v>0.5</v>
      </c>
      <c r="P214" s="16">
        <v>0.8</v>
      </c>
      <c r="Q214" s="16">
        <v>0.8</v>
      </c>
      <c r="R214" s="16">
        <v>0.8</v>
      </c>
      <c r="S214" s="16">
        <v>0.8</v>
      </c>
      <c r="T214" s="16">
        <v>0.8</v>
      </c>
      <c r="U214" s="16">
        <v>0.8</v>
      </c>
      <c r="V214" s="16">
        <v>0.8</v>
      </c>
      <c r="W214" s="16">
        <v>0.8</v>
      </c>
      <c r="X214" s="16">
        <v>0.8</v>
      </c>
      <c r="Y214" s="16">
        <v>0.8</v>
      </c>
      <c r="Z214" s="16">
        <v>0.5</v>
      </c>
      <c r="AA214" s="16">
        <v>0.5</v>
      </c>
      <c r="AB214" s="16">
        <v>0.5</v>
      </c>
      <c r="AC214" s="16">
        <v>0.5</v>
      </c>
      <c r="AD214" s="16">
        <v>0.5</v>
      </c>
      <c r="AE214" s="16">
        <v>0.5</v>
      </c>
      <c r="AF214" s="16" t="s">
        <v>413</v>
      </c>
    </row>
    <row r="215" spans="1:32" ht="14.25" customHeight="1" x14ac:dyDescent="0.35">
      <c r="A215" s="14" t="s">
        <v>538</v>
      </c>
      <c r="B215" s="14" t="s">
        <v>424</v>
      </c>
      <c r="C215" s="14"/>
      <c r="D215" s="14" t="s">
        <v>419</v>
      </c>
      <c r="E215" s="15">
        <v>41640</v>
      </c>
      <c r="F215" s="15">
        <v>42004</v>
      </c>
      <c r="G215" s="14" t="s">
        <v>410</v>
      </c>
      <c r="H215" s="14">
        <v>1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 t="s">
        <v>413</v>
      </c>
    </row>
    <row r="216" spans="1:32" ht="14.25" customHeight="1" x14ac:dyDescent="0.35">
      <c r="A216" s="14" t="s">
        <v>538</v>
      </c>
      <c r="B216" s="14" t="s">
        <v>424</v>
      </c>
      <c r="C216" s="14"/>
      <c r="D216" s="14" t="s">
        <v>429</v>
      </c>
      <c r="E216" s="15">
        <v>41640</v>
      </c>
      <c r="F216" s="15">
        <v>42004</v>
      </c>
      <c r="G216" s="14" t="s">
        <v>415</v>
      </c>
      <c r="H216" s="14">
        <v>0.5</v>
      </c>
      <c r="I216" s="14">
        <v>0.5</v>
      </c>
      <c r="J216" s="14">
        <v>0.5</v>
      </c>
      <c r="K216" s="14">
        <v>0.5</v>
      </c>
      <c r="L216" s="14">
        <v>0.5</v>
      </c>
      <c r="M216" s="14">
        <v>0.5</v>
      </c>
      <c r="N216" s="14">
        <v>0.5</v>
      </c>
      <c r="O216" s="14">
        <v>0.5</v>
      </c>
      <c r="P216" s="14">
        <v>0.9</v>
      </c>
      <c r="Q216" s="14">
        <v>0.9</v>
      </c>
      <c r="R216" s="14">
        <v>0.9</v>
      </c>
      <c r="S216" s="14">
        <v>0.9</v>
      </c>
      <c r="T216" s="14">
        <v>0.9</v>
      </c>
      <c r="U216" s="14">
        <v>0.9</v>
      </c>
      <c r="V216" s="14">
        <v>0.9</v>
      </c>
      <c r="W216" s="14">
        <v>0.9</v>
      </c>
      <c r="X216" s="14">
        <v>0.5</v>
      </c>
      <c r="Y216" s="14">
        <v>0.5</v>
      </c>
      <c r="Z216" s="14">
        <v>0.5</v>
      </c>
      <c r="AA216" s="14">
        <v>0.5</v>
      </c>
      <c r="AB216" s="14">
        <v>0.5</v>
      </c>
      <c r="AC216" s="14">
        <v>0.5</v>
      </c>
      <c r="AD216" s="14">
        <v>0.5</v>
      </c>
      <c r="AE216" s="14">
        <v>0.5</v>
      </c>
      <c r="AF216" s="14" t="s">
        <v>413</v>
      </c>
    </row>
    <row r="217" spans="1:32" ht="14.25" customHeight="1" x14ac:dyDescent="0.35">
      <c r="A217" s="16" t="s">
        <v>538</v>
      </c>
      <c r="B217" s="16" t="s">
        <v>424</v>
      </c>
      <c r="C217" s="16"/>
      <c r="D217" s="16" t="s">
        <v>418</v>
      </c>
      <c r="E217" s="17">
        <v>41640</v>
      </c>
      <c r="F217" s="17">
        <v>42004</v>
      </c>
      <c r="G217" s="16" t="s">
        <v>410</v>
      </c>
      <c r="H217" s="16">
        <v>0</v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 t="s">
        <v>413</v>
      </c>
    </row>
    <row r="218" spans="1:32" ht="14.25" customHeight="1" x14ac:dyDescent="0.35">
      <c r="A218" s="16" t="s">
        <v>539</v>
      </c>
      <c r="B218" s="16" t="s">
        <v>424</v>
      </c>
      <c r="C218" s="16"/>
      <c r="D218" s="16" t="s">
        <v>417</v>
      </c>
      <c r="E218" s="17">
        <v>41640</v>
      </c>
      <c r="F218" s="17">
        <v>42004</v>
      </c>
      <c r="G218" s="16" t="s">
        <v>415</v>
      </c>
      <c r="H218" s="16">
        <v>0.5</v>
      </c>
      <c r="I218" s="16">
        <v>0.5</v>
      </c>
      <c r="J218" s="16">
        <v>0.5</v>
      </c>
      <c r="K218" s="16">
        <v>0.5</v>
      </c>
      <c r="L218" s="16">
        <v>0.5</v>
      </c>
      <c r="M218" s="16">
        <v>0.5</v>
      </c>
      <c r="N218" s="16">
        <v>0.5</v>
      </c>
      <c r="O218" s="16">
        <v>0.5</v>
      </c>
      <c r="P218" s="16">
        <v>0.7</v>
      </c>
      <c r="Q218" s="16">
        <v>0.7</v>
      </c>
      <c r="R218" s="16">
        <v>0.7</v>
      </c>
      <c r="S218" s="16">
        <v>0.7</v>
      </c>
      <c r="T218" s="16">
        <v>0.7</v>
      </c>
      <c r="U218" s="16">
        <v>0.7</v>
      </c>
      <c r="V218" s="16">
        <v>0.7</v>
      </c>
      <c r="W218" s="16">
        <v>0.7</v>
      </c>
      <c r="X218" s="16">
        <v>0.5</v>
      </c>
      <c r="Y218" s="16">
        <v>0.5</v>
      </c>
      <c r="Z218" s="16">
        <v>0.5</v>
      </c>
      <c r="AA218" s="16">
        <v>0.5</v>
      </c>
      <c r="AB218" s="16">
        <v>0.5</v>
      </c>
      <c r="AC218" s="16">
        <v>0.5</v>
      </c>
      <c r="AD218" s="16">
        <v>0.5</v>
      </c>
      <c r="AE218" s="16">
        <v>0.5</v>
      </c>
      <c r="AF218" s="16" t="s">
        <v>413</v>
      </c>
    </row>
    <row r="219" spans="1:32" ht="14.25" customHeight="1" x14ac:dyDescent="0.35">
      <c r="A219" s="14" t="s">
        <v>539</v>
      </c>
      <c r="B219" s="14" t="s">
        <v>424</v>
      </c>
      <c r="C219" s="14"/>
      <c r="D219" s="14" t="s">
        <v>512</v>
      </c>
      <c r="E219" s="15">
        <v>41640</v>
      </c>
      <c r="F219" s="15">
        <v>42004</v>
      </c>
      <c r="G219" s="14" t="s">
        <v>415</v>
      </c>
      <c r="H219" s="14">
        <v>0.5</v>
      </c>
      <c r="I219" s="14">
        <v>0.5</v>
      </c>
      <c r="J219" s="14">
        <v>0.5</v>
      </c>
      <c r="K219" s="14">
        <v>0.5</v>
      </c>
      <c r="L219" s="14">
        <v>0.5</v>
      </c>
      <c r="M219" s="14">
        <v>0.5</v>
      </c>
      <c r="N219" s="14">
        <v>0.5</v>
      </c>
      <c r="O219" s="14">
        <v>0.5</v>
      </c>
      <c r="P219" s="14">
        <v>0.8</v>
      </c>
      <c r="Q219" s="14">
        <v>0.8</v>
      </c>
      <c r="R219" s="14">
        <v>0.8</v>
      </c>
      <c r="S219" s="14">
        <v>0.8</v>
      </c>
      <c r="T219" s="14">
        <v>0.8</v>
      </c>
      <c r="U219" s="14">
        <v>0.8</v>
      </c>
      <c r="V219" s="14">
        <v>0.8</v>
      </c>
      <c r="W219" s="14">
        <v>0.8</v>
      </c>
      <c r="X219" s="14">
        <v>0.8</v>
      </c>
      <c r="Y219" s="14">
        <v>0.8</v>
      </c>
      <c r="Z219" s="14">
        <v>0.5</v>
      </c>
      <c r="AA219" s="14">
        <v>0.5</v>
      </c>
      <c r="AB219" s="14">
        <v>0.5</v>
      </c>
      <c r="AC219" s="14">
        <v>0.5</v>
      </c>
      <c r="AD219" s="14">
        <v>0.5</v>
      </c>
      <c r="AE219" s="14">
        <v>0.5</v>
      </c>
      <c r="AF219" s="14" t="s">
        <v>413</v>
      </c>
    </row>
    <row r="220" spans="1:32" ht="14.25" customHeight="1" x14ac:dyDescent="0.35">
      <c r="A220" s="16" t="s">
        <v>539</v>
      </c>
      <c r="B220" s="16" t="s">
        <v>424</v>
      </c>
      <c r="C220" s="16"/>
      <c r="D220" s="16" t="s">
        <v>419</v>
      </c>
      <c r="E220" s="17">
        <v>41640</v>
      </c>
      <c r="F220" s="17">
        <v>42004</v>
      </c>
      <c r="G220" s="16" t="s">
        <v>410</v>
      </c>
      <c r="H220" s="16">
        <v>1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 t="s">
        <v>413</v>
      </c>
    </row>
    <row r="221" spans="1:32" ht="14.25" customHeight="1" x14ac:dyDescent="0.35">
      <c r="A221" s="16" t="s">
        <v>539</v>
      </c>
      <c r="B221" s="16" t="s">
        <v>424</v>
      </c>
      <c r="C221" s="16"/>
      <c r="D221" s="16" t="s">
        <v>429</v>
      </c>
      <c r="E221" s="17">
        <v>41640</v>
      </c>
      <c r="F221" s="17">
        <v>42004</v>
      </c>
      <c r="G221" s="16" t="s">
        <v>415</v>
      </c>
      <c r="H221" s="16">
        <v>0.5</v>
      </c>
      <c r="I221" s="16">
        <v>0.5</v>
      </c>
      <c r="J221" s="16">
        <v>0.5</v>
      </c>
      <c r="K221" s="16">
        <v>0.5</v>
      </c>
      <c r="L221" s="16">
        <v>0.5</v>
      </c>
      <c r="M221" s="16">
        <v>0.5</v>
      </c>
      <c r="N221" s="16">
        <v>0.5</v>
      </c>
      <c r="O221" s="16">
        <v>0.5</v>
      </c>
      <c r="P221" s="16">
        <v>0.9</v>
      </c>
      <c r="Q221" s="16">
        <v>0.9</v>
      </c>
      <c r="R221" s="16">
        <v>0.9</v>
      </c>
      <c r="S221" s="16">
        <v>0.9</v>
      </c>
      <c r="T221" s="16">
        <v>0.9</v>
      </c>
      <c r="U221" s="16">
        <v>0.9</v>
      </c>
      <c r="V221" s="16">
        <v>0.9</v>
      </c>
      <c r="W221" s="16">
        <v>0.9</v>
      </c>
      <c r="X221" s="16">
        <v>0.5</v>
      </c>
      <c r="Y221" s="16">
        <v>0.5</v>
      </c>
      <c r="Z221" s="16">
        <v>0.5</v>
      </c>
      <c r="AA221" s="16">
        <v>0.5</v>
      </c>
      <c r="AB221" s="16">
        <v>0.5</v>
      </c>
      <c r="AC221" s="16">
        <v>0.5</v>
      </c>
      <c r="AD221" s="16">
        <v>0.5</v>
      </c>
      <c r="AE221" s="16">
        <v>0.5</v>
      </c>
      <c r="AF221" s="16" t="s">
        <v>413</v>
      </c>
    </row>
    <row r="222" spans="1:32" ht="14.25" customHeight="1" x14ac:dyDescent="0.35">
      <c r="A222" s="14" t="s">
        <v>539</v>
      </c>
      <c r="B222" s="14" t="s">
        <v>424</v>
      </c>
      <c r="C222" s="14"/>
      <c r="D222" s="14" t="s">
        <v>418</v>
      </c>
      <c r="E222" s="15">
        <v>41640</v>
      </c>
      <c r="F222" s="15">
        <v>42004</v>
      </c>
      <c r="G222" s="14" t="s">
        <v>410</v>
      </c>
      <c r="H222" s="14">
        <v>0</v>
      </c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 t="s">
        <v>413</v>
      </c>
    </row>
    <row r="223" spans="1:32" ht="14.25" customHeight="1" x14ac:dyDescent="0.35">
      <c r="A223" s="14" t="s">
        <v>540</v>
      </c>
      <c r="B223" s="14" t="s">
        <v>424</v>
      </c>
      <c r="C223" s="14"/>
      <c r="D223" s="14" t="s">
        <v>417</v>
      </c>
      <c r="E223" s="15">
        <v>41640</v>
      </c>
      <c r="F223" s="15">
        <v>42004</v>
      </c>
      <c r="G223" s="14" t="s">
        <v>415</v>
      </c>
      <c r="H223" s="14">
        <v>0.5</v>
      </c>
      <c r="I223" s="14">
        <v>0.5</v>
      </c>
      <c r="J223" s="14">
        <v>0.5</v>
      </c>
      <c r="K223" s="14">
        <v>0.5</v>
      </c>
      <c r="L223" s="14">
        <v>0.5</v>
      </c>
      <c r="M223" s="14">
        <v>0.5</v>
      </c>
      <c r="N223" s="14">
        <v>0.5</v>
      </c>
      <c r="O223" s="14">
        <v>0.5</v>
      </c>
      <c r="P223" s="14">
        <v>0.7</v>
      </c>
      <c r="Q223" s="14">
        <v>0.7</v>
      </c>
      <c r="R223" s="14">
        <v>0.7</v>
      </c>
      <c r="S223" s="14">
        <v>0.7</v>
      </c>
      <c r="T223" s="14">
        <v>0.7</v>
      </c>
      <c r="U223" s="14">
        <v>0.7</v>
      </c>
      <c r="V223" s="14">
        <v>0.7</v>
      </c>
      <c r="W223" s="14">
        <v>0.7</v>
      </c>
      <c r="X223" s="14">
        <v>0.5</v>
      </c>
      <c r="Y223" s="14">
        <v>0.5</v>
      </c>
      <c r="Z223" s="14">
        <v>0.5</v>
      </c>
      <c r="AA223" s="14">
        <v>0.5</v>
      </c>
      <c r="AB223" s="14">
        <v>0.5</v>
      </c>
      <c r="AC223" s="14">
        <v>0.5</v>
      </c>
      <c r="AD223" s="14">
        <v>0.5</v>
      </c>
      <c r="AE223" s="14">
        <v>0.5</v>
      </c>
      <c r="AF223" s="14" t="s">
        <v>413</v>
      </c>
    </row>
    <row r="224" spans="1:32" ht="14.25" customHeight="1" x14ac:dyDescent="0.35">
      <c r="A224" s="16" t="s">
        <v>540</v>
      </c>
      <c r="B224" s="16" t="s">
        <v>424</v>
      </c>
      <c r="C224" s="16"/>
      <c r="D224" s="16" t="s">
        <v>512</v>
      </c>
      <c r="E224" s="17">
        <v>41640</v>
      </c>
      <c r="F224" s="17">
        <v>42004</v>
      </c>
      <c r="G224" s="16" t="s">
        <v>415</v>
      </c>
      <c r="H224" s="16">
        <v>0.5</v>
      </c>
      <c r="I224" s="16">
        <v>0.5</v>
      </c>
      <c r="J224" s="16">
        <v>0.5</v>
      </c>
      <c r="K224" s="16">
        <v>0.5</v>
      </c>
      <c r="L224" s="16">
        <v>0.5</v>
      </c>
      <c r="M224" s="16">
        <v>0.5</v>
      </c>
      <c r="N224" s="16">
        <v>0.5</v>
      </c>
      <c r="O224" s="16">
        <v>0.5</v>
      </c>
      <c r="P224" s="16">
        <v>0.8</v>
      </c>
      <c r="Q224" s="16">
        <v>0.8</v>
      </c>
      <c r="R224" s="16">
        <v>0.8</v>
      </c>
      <c r="S224" s="16">
        <v>0.8</v>
      </c>
      <c r="T224" s="16">
        <v>0.8</v>
      </c>
      <c r="U224" s="16">
        <v>0.8</v>
      </c>
      <c r="V224" s="16">
        <v>0.8</v>
      </c>
      <c r="W224" s="16">
        <v>0.8</v>
      </c>
      <c r="X224" s="16">
        <v>0.8</v>
      </c>
      <c r="Y224" s="16">
        <v>0.8</v>
      </c>
      <c r="Z224" s="16">
        <v>0.5</v>
      </c>
      <c r="AA224" s="16">
        <v>0.5</v>
      </c>
      <c r="AB224" s="16">
        <v>0.5</v>
      </c>
      <c r="AC224" s="16">
        <v>0.5</v>
      </c>
      <c r="AD224" s="16">
        <v>0.5</v>
      </c>
      <c r="AE224" s="16">
        <v>0.5</v>
      </c>
      <c r="AF224" s="16" t="s">
        <v>413</v>
      </c>
    </row>
    <row r="225" spans="1:32" ht="14.25" customHeight="1" x14ac:dyDescent="0.35">
      <c r="A225" s="14" t="s">
        <v>540</v>
      </c>
      <c r="B225" s="14" t="s">
        <v>424</v>
      </c>
      <c r="C225" s="14"/>
      <c r="D225" s="14" t="s">
        <v>419</v>
      </c>
      <c r="E225" s="15">
        <v>41640</v>
      </c>
      <c r="F225" s="15">
        <v>42004</v>
      </c>
      <c r="G225" s="14" t="s">
        <v>410</v>
      </c>
      <c r="H225" s="14">
        <v>1</v>
      </c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 t="s">
        <v>413</v>
      </c>
    </row>
    <row r="226" spans="1:32" ht="14.25" customHeight="1" x14ac:dyDescent="0.35">
      <c r="A226" s="14" t="s">
        <v>540</v>
      </c>
      <c r="B226" s="14" t="s">
        <v>424</v>
      </c>
      <c r="C226" s="14"/>
      <c r="D226" s="14" t="s">
        <v>429</v>
      </c>
      <c r="E226" s="15">
        <v>41640</v>
      </c>
      <c r="F226" s="15">
        <v>42004</v>
      </c>
      <c r="G226" s="14" t="s">
        <v>415</v>
      </c>
      <c r="H226" s="14">
        <v>0.5</v>
      </c>
      <c r="I226" s="14">
        <v>0.5</v>
      </c>
      <c r="J226" s="14">
        <v>0.5</v>
      </c>
      <c r="K226" s="14">
        <v>0.5</v>
      </c>
      <c r="L226" s="14">
        <v>0.5</v>
      </c>
      <c r="M226" s="14">
        <v>0.5</v>
      </c>
      <c r="N226" s="14">
        <v>0.5</v>
      </c>
      <c r="O226" s="14">
        <v>0.5</v>
      </c>
      <c r="P226" s="14">
        <v>0.9</v>
      </c>
      <c r="Q226" s="14">
        <v>0.9</v>
      </c>
      <c r="R226" s="14">
        <v>0.9</v>
      </c>
      <c r="S226" s="14">
        <v>0.9</v>
      </c>
      <c r="T226" s="14">
        <v>0.9</v>
      </c>
      <c r="U226" s="14">
        <v>0.9</v>
      </c>
      <c r="V226" s="14">
        <v>0.9</v>
      </c>
      <c r="W226" s="14">
        <v>0.9</v>
      </c>
      <c r="X226" s="14">
        <v>0.5</v>
      </c>
      <c r="Y226" s="14">
        <v>0.5</v>
      </c>
      <c r="Z226" s="14">
        <v>0.5</v>
      </c>
      <c r="AA226" s="14">
        <v>0.5</v>
      </c>
      <c r="AB226" s="14">
        <v>0.5</v>
      </c>
      <c r="AC226" s="14">
        <v>0.5</v>
      </c>
      <c r="AD226" s="14">
        <v>0.5</v>
      </c>
      <c r="AE226" s="14">
        <v>0.5</v>
      </c>
      <c r="AF226" s="14" t="s">
        <v>413</v>
      </c>
    </row>
    <row r="227" spans="1:32" ht="14.25" customHeight="1" x14ac:dyDescent="0.35">
      <c r="A227" s="16" t="s">
        <v>540</v>
      </c>
      <c r="B227" s="16" t="s">
        <v>424</v>
      </c>
      <c r="C227" s="16"/>
      <c r="D227" s="16" t="s">
        <v>418</v>
      </c>
      <c r="E227" s="17">
        <v>41640</v>
      </c>
      <c r="F227" s="17">
        <v>42004</v>
      </c>
      <c r="G227" s="16" t="s">
        <v>410</v>
      </c>
      <c r="H227" s="16">
        <v>0</v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 t="s">
        <v>413</v>
      </c>
    </row>
    <row r="228" spans="1:32" ht="14.25" customHeight="1" x14ac:dyDescent="0.35">
      <c r="A228" s="16" t="s">
        <v>541</v>
      </c>
      <c r="B228" s="16" t="s">
        <v>424</v>
      </c>
      <c r="C228" s="16"/>
      <c r="D228" s="16" t="s">
        <v>417</v>
      </c>
      <c r="E228" s="17">
        <v>41640</v>
      </c>
      <c r="F228" s="17">
        <v>42004</v>
      </c>
      <c r="G228" s="16" t="s">
        <v>415</v>
      </c>
      <c r="H228" s="16">
        <v>0.05</v>
      </c>
      <c r="I228" s="16">
        <v>0.05</v>
      </c>
      <c r="J228" s="16">
        <v>0.05</v>
      </c>
      <c r="K228" s="16">
        <v>0.05</v>
      </c>
      <c r="L228" s="16">
        <v>0.05</v>
      </c>
      <c r="M228" s="16">
        <v>0.05</v>
      </c>
      <c r="N228" s="16">
        <v>0.05</v>
      </c>
      <c r="O228" s="16">
        <v>0.05</v>
      </c>
      <c r="P228" s="16">
        <v>0.1</v>
      </c>
      <c r="Q228" s="16">
        <v>0.1</v>
      </c>
      <c r="R228" s="16">
        <v>0.1</v>
      </c>
      <c r="S228" s="16">
        <v>0.1</v>
      </c>
      <c r="T228" s="16">
        <v>0.1</v>
      </c>
      <c r="U228" s="16">
        <v>0.1</v>
      </c>
      <c r="V228" s="16">
        <v>0.1</v>
      </c>
      <c r="W228" s="16">
        <v>0.1</v>
      </c>
      <c r="X228" s="16">
        <v>0.05</v>
      </c>
      <c r="Y228" s="16">
        <v>0.05</v>
      </c>
      <c r="Z228" s="16">
        <v>0.05</v>
      </c>
      <c r="AA228" s="16">
        <v>0.05</v>
      </c>
      <c r="AB228" s="16">
        <v>0.05</v>
      </c>
      <c r="AC228" s="16">
        <v>0.05</v>
      </c>
      <c r="AD228" s="16">
        <v>0.05</v>
      </c>
      <c r="AE228" s="16">
        <v>0.05</v>
      </c>
      <c r="AF228" s="16" t="s">
        <v>413</v>
      </c>
    </row>
    <row r="229" spans="1:32" ht="14.25" customHeight="1" x14ac:dyDescent="0.35">
      <c r="A229" s="14" t="s">
        <v>541</v>
      </c>
      <c r="B229" s="14" t="s">
        <v>424</v>
      </c>
      <c r="C229" s="14"/>
      <c r="D229" s="14" t="s">
        <v>512</v>
      </c>
      <c r="E229" s="15">
        <v>41640</v>
      </c>
      <c r="F229" s="15">
        <v>42004</v>
      </c>
      <c r="G229" s="14" t="s">
        <v>415</v>
      </c>
      <c r="H229" s="14">
        <v>0.1</v>
      </c>
      <c r="I229" s="14">
        <v>0.1</v>
      </c>
      <c r="J229" s="14">
        <v>0.1</v>
      </c>
      <c r="K229" s="14">
        <v>0.1</v>
      </c>
      <c r="L229" s="14">
        <v>0.1</v>
      </c>
      <c r="M229" s="14">
        <v>0.1</v>
      </c>
      <c r="N229" s="14">
        <v>0.1</v>
      </c>
      <c r="O229" s="14">
        <v>0.2</v>
      </c>
      <c r="P229" s="14">
        <v>0.4</v>
      </c>
      <c r="Q229" s="14">
        <v>0.4</v>
      </c>
      <c r="R229" s="14">
        <v>0.4</v>
      </c>
      <c r="S229" s="14">
        <v>0.4</v>
      </c>
      <c r="T229" s="14">
        <v>0.4</v>
      </c>
      <c r="U229" s="14">
        <v>0.4</v>
      </c>
      <c r="V229" s="14">
        <v>0.4</v>
      </c>
      <c r="W229" s="14">
        <v>0.4</v>
      </c>
      <c r="X229" s="14">
        <v>0.4</v>
      </c>
      <c r="Y229" s="14">
        <v>0.4</v>
      </c>
      <c r="Z229" s="14">
        <v>0.1</v>
      </c>
      <c r="AA229" s="14">
        <v>0.1</v>
      </c>
      <c r="AB229" s="14">
        <v>0.1</v>
      </c>
      <c r="AC229" s="14">
        <v>0.1</v>
      </c>
      <c r="AD229" s="14">
        <v>0.1</v>
      </c>
      <c r="AE229" s="14">
        <v>0.1</v>
      </c>
      <c r="AF229" s="14" t="s">
        <v>413</v>
      </c>
    </row>
    <row r="230" spans="1:32" ht="14.25" customHeight="1" x14ac:dyDescent="0.35">
      <c r="A230" s="16" t="s">
        <v>541</v>
      </c>
      <c r="B230" s="16" t="s">
        <v>424</v>
      </c>
      <c r="C230" s="16"/>
      <c r="D230" s="16" t="s">
        <v>419</v>
      </c>
      <c r="E230" s="17">
        <v>41640</v>
      </c>
      <c r="F230" s="17">
        <v>42004</v>
      </c>
      <c r="G230" s="16" t="s">
        <v>410</v>
      </c>
      <c r="H230" s="16">
        <v>1</v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 t="s">
        <v>413</v>
      </c>
    </row>
    <row r="231" spans="1:32" ht="14.25" customHeight="1" x14ac:dyDescent="0.35">
      <c r="A231" s="16" t="s">
        <v>541</v>
      </c>
      <c r="B231" s="16" t="s">
        <v>424</v>
      </c>
      <c r="C231" s="16"/>
      <c r="D231" s="16" t="s">
        <v>429</v>
      </c>
      <c r="E231" s="17">
        <v>41640</v>
      </c>
      <c r="F231" s="17">
        <v>42004</v>
      </c>
      <c r="G231" s="16" t="s">
        <v>415</v>
      </c>
      <c r="H231" s="16">
        <v>0.1</v>
      </c>
      <c r="I231" s="16">
        <v>0.1</v>
      </c>
      <c r="J231" s="16">
        <v>0.1</v>
      </c>
      <c r="K231" s="16">
        <v>0.1</v>
      </c>
      <c r="L231" s="16">
        <v>0.1</v>
      </c>
      <c r="M231" s="16">
        <v>0.1</v>
      </c>
      <c r="N231" s="16">
        <v>0.1</v>
      </c>
      <c r="O231" s="16">
        <v>0.5</v>
      </c>
      <c r="P231" s="16">
        <v>0.9</v>
      </c>
      <c r="Q231" s="16">
        <v>0.9</v>
      </c>
      <c r="R231" s="16">
        <v>0.9</v>
      </c>
      <c r="S231" s="16">
        <v>0.9</v>
      </c>
      <c r="T231" s="16">
        <v>0.9</v>
      </c>
      <c r="U231" s="16">
        <v>0.9</v>
      </c>
      <c r="V231" s="16">
        <v>0.9</v>
      </c>
      <c r="W231" s="16">
        <v>0.9</v>
      </c>
      <c r="X231" s="16">
        <v>0.3</v>
      </c>
      <c r="Y231" s="16">
        <v>0.3</v>
      </c>
      <c r="Z231" s="16">
        <v>0.3</v>
      </c>
      <c r="AA231" s="16">
        <v>0.3</v>
      </c>
      <c r="AB231" s="16">
        <v>0.3</v>
      </c>
      <c r="AC231" s="16">
        <v>0.3</v>
      </c>
      <c r="AD231" s="16">
        <v>0.3</v>
      </c>
      <c r="AE231" s="16">
        <v>0.1</v>
      </c>
      <c r="AF231" s="16" t="s">
        <v>413</v>
      </c>
    </row>
    <row r="232" spans="1:32" ht="14.25" customHeight="1" x14ac:dyDescent="0.35">
      <c r="A232" s="14" t="s">
        <v>541</v>
      </c>
      <c r="B232" s="14" t="s">
        <v>424</v>
      </c>
      <c r="C232" s="14"/>
      <c r="D232" s="14" t="s">
        <v>418</v>
      </c>
      <c r="E232" s="15">
        <v>41640</v>
      </c>
      <c r="F232" s="15">
        <v>42004</v>
      </c>
      <c r="G232" s="14" t="s">
        <v>410</v>
      </c>
      <c r="H232" s="14">
        <v>0</v>
      </c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 t="s">
        <v>413</v>
      </c>
    </row>
    <row r="233" spans="1:32" ht="14.25" customHeight="1" x14ac:dyDescent="0.35">
      <c r="A233" s="14" t="s">
        <v>542</v>
      </c>
      <c r="B233" s="14" t="s">
        <v>424</v>
      </c>
      <c r="C233" s="14"/>
      <c r="D233" s="14" t="s">
        <v>417</v>
      </c>
      <c r="E233" s="15">
        <v>41640</v>
      </c>
      <c r="F233" s="15">
        <v>42004</v>
      </c>
      <c r="G233" s="14" t="s">
        <v>415</v>
      </c>
      <c r="H233" s="14">
        <v>0.05</v>
      </c>
      <c r="I233" s="14">
        <v>0.05</v>
      </c>
      <c r="J233" s="14">
        <v>0.05</v>
      </c>
      <c r="K233" s="14">
        <v>0.05</v>
      </c>
      <c r="L233" s="14">
        <v>0.05</v>
      </c>
      <c r="M233" s="14">
        <v>0.05</v>
      </c>
      <c r="N233" s="14">
        <v>0.05</v>
      </c>
      <c r="O233" s="14">
        <v>0.05</v>
      </c>
      <c r="P233" s="14">
        <v>0.1</v>
      </c>
      <c r="Q233" s="14">
        <v>0.1</v>
      </c>
      <c r="R233" s="14">
        <v>0.1</v>
      </c>
      <c r="S233" s="14">
        <v>0.1</v>
      </c>
      <c r="T233" s="14">
        <v>0.1</v>
      </c>
      <c r="U233" s="14">
        <v>0.1</v>
      </c>
      <c r="V233" s="14">
        <v>0.1</v>
      </c>
      <c r="W233" s="14">
        <v>0.1</v>
      </c>
      <c r="X233" s="14">
        <v>0.05</v>
      </c>
      <c r="Y233" s="14">
        <v>0.05</v>
      </c>
      <c r="Z233" s="14">
        <v>0.05</v>
      </c>
      <c r="AA233" s="14">
        <v>0.05</v>
      </c>
      <c r="AB233" s="14">
        <v>0.05</v>
      </c>
      <c r="AC233" s="14">
        <v>0.05</v>
      </c>
      <c r="AD233" s="14">
        <v>0.05</v>
      </c>
      <c r="AE233" s="14">
        <v>0.05</v>
      </c>
      <c r="AF233" s="14" t="s">
        <v>413</v>
      </c>
    </row>
    <row r="234" spans="1:32" ht="14.25" customHeight="1" x14ac:dyDescent="0.35">
      <c r="A234" s="16" t="s">
        <v>542</v>
      </c>
      <c r="B234" s="16" t="s">
        <v>424</v>
      </c>
      <c r="C234" s="16"/>
      <c r="D234" s="16" t="s">
        <v>512</v>
      </c>
      <c r="E234" s="17">
        <v>41640</v>
      </c>
      <c r="F234" s="17">
        <v>42004</v>
      </c>
      <c r="G234" s="16" t="s">
        <v>415</v>
      </c>
      <c r="H234" s="16">
        <v>0.1</v>
      </c>
      <c r="I234" s="16">
        <v>0.1</v>
      </c>
      <c r="J234" s="16">
        <v>0.1</v>
      </c>
      <c r="K234" s="16">
        <v>0.1</v>
      </c>
      <c r="L234" s="16">
        <v>0.1</v>
      </c>
      <c r="M234" s="16">
        <v>0.1</v>
      </c>
      <c r="N234" s="16">
        <v>0.1</v>
      </c>
      <c r="O234" s="16">
        <v>0.2</v>
      </c>
      <c r="P234" s="16">
        <v>0.4</v>
      </c>
      <c r="Q234" s="16">
        <v>0.4</v>
      </c>
      <c r="R234" s="16">
        <v>0.4</v>
      </c>
      <c r="S234" s="16">
        <v>0.4</v>
      </c>
      <c r="T234" s="16">
        <v>0.4</v>
      </c>
      <c r="U234" s="16">
        <v>0.4</v>
      </c>
      <c r="V234" s="16">
        <v>0.4</v>
      </c>
      <c r="W234" s="16">
        <v>0.4</v>
      </c>
      <c r="X234" s="16">
        <v>0.4</v>
      </c>
      <c r="Y234" s="16">
        <v>0.4</v>
      </c>
      <c r="Z234" s="16">
        <v>0.1</v>
      </c>
      <c r="AA234" s="16">
        <v>0.1</v>
      </c>
      <c r="AB234" s="16">
        <v>0.1</v>
      </c>
      <c r="AC234" s="16">
        <v>0.1</v>
      </c>
      <c r="AD234" s="16">
        <v>0.1</v>
      </c>
      <c r="AE234" s="16">
        <v>0.1</v>
      </c>
      <c r="AF234" s="16" t="s">
        <v>413</v>
      </c>
    </row>
    <row r="235" spans="1:32" ht="14.25" customHeight="1" x14ac:dyDescent="0.35">
      <c r="A235" s="14" t="s">
        <v>542</v>
      </c>
      <c r="B235" s="14" t="s">
        <v>424</v>
      </c>
      <c r="C235" s="14"/>
      <c r="D235" s="14" t="s">
        <v>419</v>
      </c>
      <c r="E235" s="15">
        <v>41640</v>
      </c>
      <c r="F235" s="15">
        <v>42004</v>
      </c>
      <c r="G235" s="14" t="s">
        <v>410</v>
      </c>
      <c r="H235" s="14">
        <v>1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 t="s">
        <v>413</v>
      </c>
    </row>
    <row r="236" spans="1:32" ht="14.25" customHeight="1" x14ac:dyDescent="0.35">
      <c r="A236" s="14" t="s">
        <v>542</v>
      </c>
      <c r="B236" s="14" t="s">
        <v>424</v>
      </c>
      <c r="C236" s="14"/>
      <c r="D236" s="14" t="s">
        <v>429</v>
      </c>
      <c r="E236" s="15">
        <v>41640</v>
      </c>
      <c r="F236" s="15">
        <v>42004</v>
      </c>
      <c r="G236" s="14" t="s">
        <v>415</v>
      </c>
      <c r="H236" s="14">
        <v>0.1</v>
      </c>
      <c r="I236" s="14">
        <v>0.1</v>
      </c>
      <c r="J236" s="14">
        <v>0.1</v>
      </c>
      <c r="K236" s="14">
        <v>0.1</v>
      </c>
      <c r="L236" s="14">
        <v>0.1</v>
      </c>
      <c r="M236" s="14">
        <v>0.1</v>
      </c>
      <c r="N236" s="14">
        <v>0.1</v>
      </c>
      <c r="O236" s="14">
        <v>0.5</v>
      </c>
      <c r="P236" s="14">
        <v>0.9</v>
      </c>
      <c r="Q236" s="14">
        <v>0.9</v>
      </c>
      <c r="R236" s="14">
        <v>0.9</v>
      </c>
      <c r="S236" s="14">
        <v>0.9</v>
      </c>
      <c r="T236" s="14">
        <v>0.9</v>
      </c>
      <c r="U236" s="14">
        <v>0.9</v>
      </c>
      <c r="V236" s="14">
        <v>0.9</v>
      </c>
      <c r="W236" s="14">
        <v>0.9</v>
      </c>
      <c r="X236" s="14">
        <v>0.3</v>
      </c>
      <c r="Y236" s="14">
        <v>0.3</v>
      </c>
      <c r="Z236" s="14">
        <v>0.3</v>
      </c>
      <c r="AA236" s="14">
        <v>0.3</v>
      </c>
      <c r="AB236" s="14">
        <v>0.3</v>
      </c>
      <c r="AC236" s="14">
        <v>0.3</v>
      </c>
      <c r="AD236" s="14">
        <v>0.3</v>
      </c>
      <c r="AE236" s="14">
        <v>0.1</v>
      </c>
      <c r="AF236" s="14" t="s">
        <v>413</v>
      </c>
    </row>
    <row r="237" spans="1:32" ht="14.25" customHeight="1" x14ac:dyDescent="0.35">
      <c r="A237" s="16" t="s">
        <v>542</v>
      </c>
      <c r="B237" s="16" t="s">
        <v>424</v>
      </c>
      <c r="C237" s="16"/>
      <c r="D237" s="16" t="s">
        <v>418</v>
      </c>
      <c r="E237" s="17">
        <v>41640</v>
      </c>
      <c r="F237" s="17">
        <v>42004</v>
      </c>
      <c r="G237" s="16" t="s">
        <v>410</v>
      </c>
      <c r="H237" s="16">
        <v>0</v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 t="s">
        <v>413</v>
      </c>
    </row>
    <row r="238" spans="1:32" ht="14.25" customHeight="1" x14ac:dyDescent="0.35">
      <c r="A238" s="16" t="s">
        <v>543</v>
      </c>
      <c r="B238" s="16" t="s">
        <v>424</v>
      </c>
      <c r="C238" s="16"/>
      <c r="D238" s="16" t="s">
        <v>417</v>
      </c>
      <c r="E238" s="17">
        <v>41640</v>
      </c>
      <c r="F238" s="17">
        <v>42004</v>
      </c>
      <c r="G238" s="16" t="s">
        <v>415</v>
      </c>
      <c r="H238" s="16">
        <v>0.5</v>
      </c>
      <c r="I238" s="16">
        <v>0.5</v>
      </c>
      <c r="J238" s="16">
        <v>0.5</v>
      </c>
      <c r="K238" s="16">
        <v>0.5</v>
      </c>
      <c r="L238" s="16">
        <v>0.5</v>
      </c>
      <c r="M238" s="16">
        <v>0.5</v>
      </c>
      <c r="N238" s="16">
        <v>0.5</v>
      </c>
      <c r="O238" s="16">
        <v>0.5</v>
      </c>
      <c r="P238" s="16">
        <v>0.7</v>
      </c>
      <c r="Q238" s="16">
        <v>0.7</v>
      </c>
      <c r="R238" s="16">
        <v>0.7</v>
      </c>
      <c r="S238" s="16">
        <v>0.7</v>
      </c>
      <c r="T238" s="16">
        <v>0.7</v>
      </c>
      <c r="U238" s="16">
        <v>0.7</v>
      </c>
      <c r="V238" s="16">
        <v>0.7</v>
      </c>
      <c r="W238" s="16">
        <v>0.7</v>
      </c>
      <c r="X238" s="16">
        <v>0.5</v>
      </c>
      <c r="Y238" s="16">
        <v>0.5</v>
      </c>
      <c r="Z238" s="16">
        <v>0.5</v>
      </c>
      <c r="AA238" s="16">
        <v>0.5</v>
      </c>
      <c r="AB238" s="16">
        <v>0.5</v>
      </c>
      <c r="AC238" s="16">
        <v>0.5</v>
      </c>
      <c r="AD238" s="16">
        <v>0.5</v>
      </c>
      <c r="AE238" s="16">
        <v>0.5</v>
      </c>
      <c r="AF238" s="16" t="s">
        <v>413</v>
      </c>
    </row>
    <row r="239" spans="1:32" ht="14.25" customHeight="1" x14ac:dyDescent="0.35">
      <c r="A239" s="14" t="s">
        <v>543</v>
      </c>
      <c r="B239" s="14" t="s">
        <v>424</v>
      </c>
      <c r="C239" s="14"/>
      <c r="D239" s="14" t="s">
        <v>512</v>
      </c>
      <c r="E239" s="15">
        <v>41640</v>
      </c>
      <c r="F239" s="15">
        <v>42004</v>
      </c>
      <c r="G239" s="14" t="s">
        <v>415</v>
      </c>
      <c r="H239" s="14">
        <v>0.5</v>
      </c>
      <c r="I239" s="14">
        <v>0.5</v>
      </c>
      <c r="J239" s="14">
        <v>0.5</v>
      </c>
      <c r="K239" s="14">
        <v>0.5</v>
      </c>
      <c r="L239" s="14">
        <v>0.5</v>
      </c>
      <c r="M239" s="14">
        <v>0.5</v>
      </c>
      <c r="N239" s="14">
        <v>0.5</v>
      </c>
      <c r="O239" s="14">
        <v>0.5</v>
      </c>
      <c r="P239" s="14">
        <v>0.8</v>
      </c>
      <c r="Q239" s="14">
        <v>0.8</v>
      </c>
      <c r="R239" s="14">
        <v>0.8</v>
      </c>
      <c r="S239" s="14">
        <v>0.8</v>
      </c>
      <c r="T239" s="14">
        <v>0.8</v>
      </c>
      <c r="U239" s="14">
        <v>0.8</v>
      </c>
      <c r="V239" s="14">
        <v>0.8</v>
      </c>
      <c r="W239" s="14">
        <v>0.8</v>
      </c>
      <c r="X239" s="14">
        <v>0.8</v>
      </c>
      <c r="Y239" s="14">
        <v>0.8</v>
      </c>
      <c r="Z239" s="14">
        <v>0.5</v>
      </c>
      <c r="AA239" s="14">
        <v>0.5</v>
      </c>
      <c r="AB239" s="14">
        <v>0.5</v>
      </c>
      <c r="AC239" s="14">
        <v>0.5</v>
      </c>
      <c r="AD239" s="14">
        <v>0.5</v>
      </c>
      <c r="AE239" s="14">
        <v>0.5</v>
      </c>
      <c r="AF239" s="14" t="s">
        <v>413</v>
      </c>
    </row>
    <row r="240" spans="1:32" ht="14.25" customHeight="1" x14ac:dyDescent="0.35">
      <c r="A240" s="16" t="s">
        <v>543</v>
      </c>
      <c r="B240" s="16" t="s">
        <v>424</v>
      </c>
      <c r="C240" s="16"/>
      <c r="D240" s="16" t="s">
        <v>419</v>
      </c>
      <c r="E240" s="17">
        <v>41640</v>
      </c>
      <c r="F240" s="17">
        <v>42004</v>
      </c>
      <c r="G240" s="16" t="s">
        <v>410</v>
      </c>
      <c r="H240" s="16">
        <v>1</v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 t="s">
        <v>413</v>
      </c>
    </row>
    <row r="241" spans="1:32" ht="14.25" customHeight="1" x14ac:dyDescent="0.35">
      <c r="A241" s="16" t="s">
        <v>543</v>
      </c>
      <c r="B241" s="16" t="s">
        <v>424</v>
      </c>
      <c r="C241" s="16"/>
      <c r="D241" s="16" t="s">
        <v>429</v>
      </c>
      <c r="E241" s="17">
        <v>41640</v>
      </c>
      <c r="F241" s="17">
        <v>42004</v>
      </c>
      <c r="G241" s="16" t="s">
        <v>415</v>
      </c>
      <c r="H241" s="16">
        <v>0.5</v>
      </c>
      <c r="I241" s="16">
        <v>0.5</v>
      </c>
      <c r="J241" s="16">
        <v>0.5</v>
      </c>
      <c r="K241" s="16">
        <v>0.5</v>
      </c>
      <c r="L241" s="16">
        <v>0.5</v>
      </c>
      <c r="M241" s="16">
        <v>0.5</v>
      </c>
      <c r="N241" s="16">
        <v>0.5</v>
      </c>
      <c r="O241" s="16">
        <v>0.5</v>
      </c>
      <c r="P241" s="16">
        <v>0.9</v>
      </c>
      <c r="Q241" s="16">
        <v>0.9</v>
      </c>
      <c r="R241" s="16">
        <v>0.9</v>
      </c>
      <c r="S241" s="16">
        <v>0.9</v>
      </c>
      <c r="T241" s="16">
        <v>0.9</v>
      </c>
      <c r="U241" s="16">
        <v>0.9</v>
      </c>
      <c r="V241" s="16">
        <v>0.9</v>
      </c>
      <c r="W241" s="16">
        <v>0.9</v>
      </c>
      <c r="X241" s="16">
        <v>0.5</v>
      </c>
      <c r="Y241" s="16">
        <v>0.5</v>
      </c>
      <c r="Z241" s="16">
        <v>0.5</v>
      </c>
      <c r="AA241" s="16">
        <v>0.5</v>
      </c>
      <c r="AB241" s="16">
        <v>0.5</v>
      </c>
      <c r="AC241" s="16">
        <v>0.5</v>
      </c>
      <c r="AD241" s="16">
        <v>0.5</v>
      </c>
      <c r="AE241" s="16">
        <v>0.5</v>
      </c>
      <c r="AF241" s="16" t="s">
        <v>413</v>
      </c>
    </row>
    <row r="242" spans="1:32" ht="14.25" customHeight="1" x14ac:dyDescent="0.35">
      <c r="A242" s="14" t="s">
        <v>543</v>
      </c>
      <c r="B242" s="14" t="s">
        <v>424</v>
      </c>
      <c r="C242" s="14"/>
      <c r="D242" s="14" t="s">
        <v>418</v>
      </c>
      <c r="E242" s="15">
        <v>41640</v>
      </c>
      <c r="F242" s="15">
        <v>42004</v>
      </c>
      <c r="G242" s="14" t="s">
        <v>410</v>
      </c>
      <c r="H242" s="14">
        <v>0</v>
      </c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 t="s">
        <v>413</v>
      </c>
    </row>
    <row r="243" spans="1:32" ht="14.25" customHeight="1" x14ac:dyDescent="0.35">
      <c r="A243" s="14" t="s">
        <v>544</v>
      </c>
      <c r="B243" s="14" t="s">
        <v>424</v>
      </c>
      <c r="C243" s="14"/>
      <c r="D243" s="14" t="s">
        <v>417</v>
      </c>
      <c r="E243" s="15">
        <v>41640</v>
      </c>
      <c r="F243" s="15">
        <v>42004</v>
      </c>
      <c r="G243" s="14" t="s">
        <v>415</v>
      </c>
      <c r="H243" s="14">
        <v>0.5</v>
      </c>
      <c r="I243" s="14">
        <v>0.5</v>
      </c>
      <c r="J243" s="14">
        <v>0.5</v>
      </c>
      <c r="K243" s="14">
        <v>0.5</v>
      </c>
      <c r="L243" s="14">
        <v>0.5</v>
      </c>
      <c r="M243" s="14">
        <v>0.5</v>
      </c>
      <c r="N243" s="14">
        <v>0.5</v>
      </c>
      <c r="O243" s="14">
        <v>0.5</v>
      </c>
      <c r="P243" s="14">
        <v>0.7</v>
      </c>
      <c r="Q243" s="14">
        <v>0.7</v>
      </c>
      <c r="R243" s="14">
        <v>0.7</v>
      </c>
      <c r="S243" s="14">
        <v>0.7</v>
      </c>
      <c r="T243" s="14">
        <v>0.7</v>
      </c>
      <c r="U243" s="14">
        <v>0.7</v>
      </c>
      <c r="V243" s="14">
        <v>0.7</v>
      </c>
      <c r="W243" s="14">
        <v>0.7</v>
      </c>
      <c r="X243" s="14">
        <v>0.5</v>
      </c>
      <c r="Y243" s="14">
        <v>0.5</v>
      </c>
      <c r="Z243" s="14">
        <v>0.5</v>
      </c>
      <c r="AA243" s="14">
        <v>0.5</v>
      </c>
      <c r="AB243" s="14">
        <v>0.5</v>
      </c>
      <c r="AC243" s="14">
        <v>0.5</v>
      </c>
      <c r="AD243" s="14">
        <v>0.5</v>
      </c>
      <c r="AE243" s="14">
        <v>0.5</v>
      </c>
      <c r="AF243" s="14" t="s">
        <v>413</v>
      </c>
    </row>
    <row r="244" spans="1:32" ht="14.25" customHeight="1" x14ac:dyDescent="0.35">
      <c r="A244" s="16" t="s">
        <v>544</v>
      </c>
      <c r="B244" s="16" t="s">
        <v>424</v>
      </c>
      <c r="C244" s="16"/>
      <c r="D244" s="16" t="s">
        <v>512</v>
      </c>
      <c r="E244" s="17">
        <v>41640</v>
      </c>
      <c r="F244" s="17">
        <v>42004</v>
      </c>
      <c r="G244" s="16" t="s">
        <v>415</v>
      </c>
      <c r="H244" s="16">
        <v>0.5</v>
      </c>
      <c r="I244" s="16">
        <v>0.5</v>
      </c>
      <c r="J244" s="16">
        <v>0.5</v>
      </c>
      <c r="K244" s="16">
        <v>0.5</v>
      </c>
      <c r="L244" s="16">
        <v>0.5</v>
      </c>
      <c r="M244" s="16">
        <v>0.5</v>
      </c>
      <c r="N244" s="16">
        <v>0.5</v>
      </c>
      <c r="O244" s="16">
        <v>0.5</v>
      </c>
      <c r="P244" s="16">
        <v>0.8</v>
      </c>
      <c r="Q244" s="16">
        <v>0.8</v>
      </c>
      <c r="R244" s="16">
        <v>0.8</v>
      </c>
      <c r="S244" s="16">
        <v>0.8</v>
      </c>
      <c r="T244" s="16">
        <v>0.8</v>
      </c>
      <c r="U244" s="16">
        <v>0.8</v>
      </c>
      <c r="V244" s="16">
        <v>0.8</v>
      </c>
      <c r="W244" s="16">
        <v>0.8</v>
      </c>
      <c r="X244" s="16">
        <v>0.8</v>
      </c>
      <c r="Y244" s="16">
        <v>0.8</v>
      </c>
      <c r="Z244" s="16">
        <v>0.5</v>
      </c>
      <c r="AA244" s="16">
        <v>0.5</v>
      </c>
      <c r="AB244" s="16">
        <v>0.5</v>
      </c>
      <c r="AC244" s="16">
        <v>0.5</v>
      </c>
      <c r="AD244" s="16">
        <v>0.5</v>
      </c>
      <c r="AE244" s="16">
        <v>0.5</v>
      </c>
      <c r="AF244" s="16" t="s">
        <v>413</v>
      </c>
    </row>
    <row r="245" spans="1:32" ht="14.25" customHeight="1" x14ac:dyDescent="0.35">
      <c r="A245" s="14" t="s">
        <v>544</v>
      </c>
      <c r="B245" s="14" t="s">
        <v>424</v>
      </c>
      <c r="C245" s="14"/>
      <c r="D245" s="14" t="s">
        <v>419</v>
      </c>
      <c r="E245" s="15">
        <v>41640</v>
      </c>
      <c r="F245" s="15">
        <v>42004</v>
      </c>
      <c r="G245" s="14" t="s">
        <v>410</v>
      </c>
      <c r="H245" s="14">
        <v>1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 t="s">
        <v>413</v>
      </c>
    </row>
    <row r="246" spans="1:32" ht="14.25" customHeight="1" x14ac:dyDescent="0.35">
      <c r="A246" s="14" t="s">
        <v>544</v>
      </c>
      <c r="B246" s="14" t="s">
        <v>424</v>
      </c>
      <c r="C246" s="14"/>
      <c r="D246" s="14" t="s">
        <v>429</v>
      </c>
      <c r="E246" s="15">
        <v>41640</v>
      </c>
      <c r="F246" s="15">
        <v>42004</v>
      </c>
      <c r="G246" s="14" t="s">
        <v>415</v>
      </c>
      <c r="H246" s="14">
        <v>0.5</v>
      </c>
      <c r="I246" s="14">
        <v>0.5</v>
      </c>
      <c r="J246" s="14">
        <v>0.5</v>
      </c>
      <c r="K246" s="14">
        <v>0.5</v>
      </c>
      <c r="L246" s="14">
        <v>0.5</v>
      </c>
      <c r="M246" s="14">
        <v>0.5</v>
      </c>
      <c r="N246" s="14">
        <v>0.5</v>
      </c>
      <c r="O246" s="14">
        <v>0.5</v>
      </c>
      <c r="P246" s="14">
        <v>0.9</v>
      </c>
      <c r="Q246" s="14">
        <v>0.9</v>
      </c>
      <c r="R246" s="14">
        <v>0.9</v>
      </c>
      <c r="S246" s="14">
        <v>0.9</v>
      </c>
      <c r="T246" s="14">
        <v>0.9</v>
      </c>
      <c r="U246" s="14">
        <v>0.9</v>
      </c>
      <c r="V246" s="14">
        <v>0.9</v>
      </c>
      <c r="W246" s="14">
        <v>0.9</v>
      </c>
      <c r="X246" s="14">
        <v>0.5</v>
      </c>
      <c r="Y246" s="14">
        <v>0.5</v>
      </c>
      <c r="Z246" s="14">
        <v>0.5</v>
      </c>
      <c r="AA246" s="14">
        <v>0.5</v>
      </c>
      <c r="AB246" s="14">
        <v>0.5</v>
      </c>
      <c r="AC246" s="14">
        <v>0.5</v>
      </c>
      <c r="AD246" s="14">
        <v>0.5</v>
      </c>
      <c r="AE246" s="14">
        <v>0.5</v>
      </c>
      <c r="AF246" s="14" t="s">
        <v>413</v>
      </c>
    </row>
    <row r="247" spans="1:32" ht="14.25" customHeight="1" x14ac:dyDescent="0.35">
      <c r="A247" s="16" t="s">
        <v>544</v>
      </c>
      <c r="B247" s="16" t="s">
        <v>424</v>
      </c>
      <c r="C247" s="16"/>
      <c r="D247" s="16" t="s">
        <v>418</v>
      </c>
      <c r="E247" s="17">
        <v>41640</v>
      </c>
      <c r="F247" s="17">
        <v>42004</v>
      </c>
      <c r="G247" s="16" t="s">
        <v>410</v>
      </c>
      <c r="H247" s="16">
        <v>0</v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 t="s">
        <v>413</v>
      </c>
    </row>
    <row r="248" spans="1:32" ht="14.25" customHeight="1" x14ac:dyDescent="0.35">
      <c r="A248" s="16" t="s">
        <v>545</v>
      </c>
      <c r="B248" s="16" t="s">
        <v>424</v>
      </c>
      <c r="C248" s="16"/>
      <c r="D248" s="16" t="s">
        <v>417</v>
      </c>
      <c r="E248" s="17">
        <v>41640</v>
      </c>
      <c r="F248" s="17">
        <v>42004</v>
      </c>
      <c r="G248" s="16" t="s">
        <v>415</v>
      </c>
      <c r="H248" s="16">
        <v>0.05</v>
      </c>
      <c r="I248" s="16">
        <v>0.05</v>
      </c>
      <c r="J248" s="16">
        <v>0.05</v>
      </c>
      <c r="K248" s="16">
        <v>0.05</v>
      </c>
      <c r="L248" s="16">
        <v>0.05</v>
      </c>
      <c r="M248" s="16">
        <v>0.05</v>
      </c>
      <c r="N248" s="16">
        <v>0.05</v>
      </c>
      <c r="O248" s="16">
        <v>0.05</v>
      </c>
      <c r="P248" s="16">
        <v>0.1</v>
      </c>
      <c r="Q248" s="16">
        <v>0.1</v>
      </c>
      <c r="R248" s="16">
        <v>0.1</v>
      </c>
      <c r="S248" s="16">
        <v>0.1</v>
      </c>
      <c r="T248" s="16">
        <v>0.1</v>
      </c>
      <c r="U248" s="16">
        <v>0.1</v>
      </c>
      <c r="V248" s="16">
        <v>0.1</v>
      </c>
      <c r="W248" s="16">
        <v>0.1</v>
      </c>
      <c r="X248" s="16">
        <v>0.05</v>
      </c>
      <c r="Y248" s="16">
        <v>0.05</v>
      </c>
      <c r="Z248" s="16">
        <v>0.05</v>
      </c>
      <c r="AA248" s="16">
        <v>0.05</v>
      </c>
      <c r="AB248" s="16">
        <v>0.05</v>
      </c>
      <c r="AC248" s="16">
        <v>0.05</v>
      </c>
      <c r="AD248" s="16">
        <v>0.05</v>
      </c>
      <c r="AE248" s="16">
        <v>0.05</v>
      </c>
      <c r="AF248" s="16" t="s">
        <v>413</v>
      </c>
    </row>
    <row r="249" spans="1:32" ht="14.25" customHeight="1" x14ac:dyDescent="0.35">
      <c r="A249" s="14" t="s">
        <v>545</v>
      </c>
      <c r="B249" s="14" t="s">
        <v>424</v>
      </c>
      <c r="C249" s="14"/>
      <c r="D249" s="14" t="s">
        <v>512</v>
      </c>
      <c r="E249" s="15">
        <v>41640</v>
      </c>
      <c r="F249" s="15">
        <v>42004</v>
      </c>
      <c r="G249" s="14" t="s">
        <v>415</v>
      </c>
      <c r="H249" s="14">
        <v>0.1</v>
      </c>
      <c r="I249" s="14">
        <v>0.1</v>
      </c>
      <c r="J249" s="14">
        <v>0.1</v>
      </c>
      <c r="K249" s="14">
        <v>0.1</v>
      </c>
      <c r="L249" s="14">
        <v>0.1</v>
      </c>
      <c r="M249" s="14">
        <v>0.1</v>
      </c>
      <c r="N249" s="14">
        <v>0.1</v>
      </c>
      <c r="O249" s="14">
        <v>0.2</v>
      </c>
      <c r="P249" s="14">
        <v>0.4</v>
      </c>
      <c r="Q249" s="14">
        <v>0.4</v>
      </c>
      <c r="R249" s="14">
        <v>0.4</v>
      </c>
      <c r="S249" s="14">
        <v>0.4</v>
      </c>
      <c r="T249" s="14">
        <v>0.4</v>
      </c>
      <c r="U249" s="14">
        <v>0.4</v>
      </c>
      <c r="V249" s="14">
        <v>0.4</v>
      </c>
      <c r="W249" s="14">
        <v>0.4</v>
      </c>
      <c r="X249" s="14">
        <v>0.4</v>
      </c>
      <c r="Y249" s="14">
        <v>0.4</v>
      </c>
      <c r="Z249" s="14">
        <v>0.1</v>
      </c>
      <c r="AA249" s="14">
        <v>0.1</v>
      </c>
      <c r="AB249" s="14">
        <v>0.1</v>
      </c>
      <c r="AC249" s="14">
        <v>0.1</v>
      </c>
      <c r="AD249" s="14">
        <v>0.1</v>
      </c>
      <c r="AE249" s="14">
        <v>0.1</v>
      </c>
      <c r="AF249" s="14" t="s">
        <v>413</v>
      </c>
    </row>
    <row r="250" spans="1:32" ht="14.25" customHeight="1" x14ac:dyDescent="0.35">
      <c r="A250" s="16" t="s">
        <v>545</v>
      </c>
      <c r="B250" s="16" t="s">
        <v>424</v>
      </c>
      <c r="C250" s="16"/>
      <c r="D250" s="16" t="s">
        <v>419</v>
      </c>
      <c r="E250" s="17">
        <v>41640</v>
      </c>
      <c r="F250" s="17">
        <v>42004</v>
      </c>
      <c r="G250" s="16" t="s">
        <v>410</v>
      </c>
      <c r="H250" s="16">
        <v>1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 t="s">
        <v>413</v>
      </c>
    </row>
    <row r="251" spans="1:32" ht="14.25" customHeight="1" x14ac:dyDescent="0.35">
      <c r="A251" s="16" t="s">
        <v>545</v>
      </c>
      <c r="B251" s="16" t="s">
        <v>424</v>
      </c>
      <c r="C251" s="16"/>
      <c r="D251" s="16" t="s">
        <v>429</v>
      </c>
      <c r="E251" s="17">
        <v>41640</v>
      </c>
      <c r="F251" s="17">
        <v>42004</v>
      </c>
      <c r="G251" s="16" t="s">
        <v>415</v>
      </c>
      <c r="H251" s="16">
        <v>0.1</v>
      </c>
      <c r="I251" s="16">
        <v>0.1</v>
      </c>
      <c r="J251" s="16">
        <v>0.1</v>
      </c>
      <c r="K251" s="16">
        <v>0.1</v>
      </c>
      <c r="L251" s="16">
        <v>0.1</v>
      </c>
      <c r="M251" s="16">
        <v>0.1</v>
      </c>
      <c r="N251" s="16">
        <v>0.1</v>
      </c>
      <c r="O251" s="16">
        <v>0.5</v>
      </c>
      <c r="P251" s="16">
        <v>0.9</v>
      </c>
      <c r="Q251" s="16">
        <v>0.9</v>
      </c>
      <c r="R251" s="16">
        <v>0.9</v>
      </c>
      <c r="S251" s="16">
        <v>0.9</v>
      </c>
      <c r="T251" s="16">
        <v>0.9</v>
      </c>
      <c r="U251" s="16">
        <v>0.9</v>
      </c>
      <c r="V251" s="16">
        <v>0.9</v>
      </c>
      <c r="W251" s="16">
        <v>0.9</v>
      </c>
      <c r="X251" s="16">
        <v>0.3</v>
      </c>
      <c r="Y251" s="16">
        <v>0.3</v>
      </c>
      <c r="Z251" s="16">
        <v>0.3</v>
      </c>
      <c r="AA251" s="16">
        <v>0.3</v>
      </c>
      <c r="AB251" s="16">
        <v>0.3</v>
      </c>
      <c r="AC251" s="16">
        <v>0.3</v>
      </c>
      <c r="AD251" s="16">
        <v>0.3</v>
      </c>
      <c r="AE251" s="16">
        <v>0.1</v>
      </c>
      <c r="AF251" s="16" t="s">
        <v>413</v>
      </c>
    </row>
    <row r="252" spans="1:32" ht="14.25" customHeight="1" x14ac:dyDescent="0.35">
      <c r="A252" s="14" t="s">
        <v>545</v>
      </c>
      <c r="B252" s="14" t="s">
        <v>424</v>
      </c>
      <c r="C252" s="14"/>
      <c r="D252" s="14" t="s">
        <v>418</v>
      </c>
      <c r="E252" s="15">
        <v>41640</v>
      </c>
      <c r="F252" s="15">
        <v>42004</v>
      </c>
      <c r="G252" s="14" t="s">
        <v>410</v>
      </c>
      <c r="H252" s="14">
        <v>0</v>
      </c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 t="s">
        <v>413</v>
      </c>
    </row>
    <row r="253" spans="1:32" ht="14.25" customHeight="1" x14ac:dyDescent="0.35">
      <c r="A253" s="14" t="s">
        <v>546</v>
      </c>
      <c r="B253" s="14" t="s">
        <v>424</v>
      </c>
      <c r="C253" s="14"/>
      <c r="D253" s="14" t="s">
        <v>417</v>
      </c>
      <c r="E253" s="15">
        <v>41640</v>
      </c>
      <c r="F253" s="15">
        <v>42004</v>
      </c>
      <c r="G253" s="14" t="s">
        <v>415</v>
      </c>
      <c r="H253" s="14">
        <v>0.05</v>
      </c>
      <c r="I253" s="14">
        <v>0.05</v>
      </c>
      <c r="J253" s="14">
        <v>0.05</v>
      </c>
      <c r="K253" s="14">
        <v>0.05</v>
      </c>
      <c r="L253" s="14">
        <v>0.05</v>
      </c>
      <c r="M253" s="14">
        <v>0.05</v>
      </c>
      <c r="N253" s="14">
        <v>0.05</v>
      </c>
      <c r="O253" s="14">
        <v>0.05</v>
      </c>
      <c r="P253" s="14">
        <v>0.1</v>
      </c>
      <c r="Q253" s="14">
        <v>0.1</v>
      </c>
      <c r="R253" s="14">
        <v>0.1</v>
      </c>
      <c r="S253" s="14">
        <v>0.1</v>
      </c>
      <c r="T253" s="14">
        <v>0.1</v>
      </c>
      <c r="U253" s="14">
        <v>0.1</v>
      </c>
      <c r="V253" s="14">
        <v>0.1</v>
      </c>
      <c r="W253" s="14">
        <v>0.1</v>
      </c>
      <c r="X253" s="14">
        <v>0.05</v>
      </c>
      <c r="Y253" s="14">
        <v>0.05</v>
      </c>
      <c r="Z253" s="14">
        <v>0.05</v>
      </c>
      <c r="AA253" s="14">
        <v>0.05</v>
      </c>
      <c r="AB253" s="14">
        <v>0.05</v>
      </c>
      <c r="AC253" s="14">
        <v>0.05</v>
      </c>
      <c r="AD253" s="14">
        <v>0.05</v>
      </c>
      <c r="AE253" s="14">
        <v>0.05</v>
      </c>
      <c r="AF253" s="14" t="s">
        <v>413</v>
      </c>
    </row>
    <row r="254" spans="1:32" ht="14.25" customHeight="1" x14ac:dyDescent="0.35">
      <c r="A254" s="16" t="s">
        <v>546</v>
      </c>
      <c r="B254" s="16" t="s">
        <v>424</v>
      </c>
      <c r="C254" s="16"/>
      <c r="D254" s="16" t="s">
        <v>512</v>
      </c>
      <c r="E254" s="17">
        <v>41640</v>
      </c>
      <c r="F254" s="17">
        <v>42004</v>
      </c>
      <c r="G254" s="16" t="s">
        <v>415</v>
      </c>
      <c r="H254" s="16">
        <v>0.1</v>
      </c>
      <c r="I254" s="16">
        <v>0.1</v>
      </c>
      <c r="J254" s="16">
        <v>0.1</v>
      </c>
      <c r="K254" s="16">
        <v>0.1</v>
      </c>
      <c r="L254" s="16">
        <v>0.1</v>
      </c>
      <c r="M254" s="16">
        <v>0.1</v>
      </c>
      <c r="N254" s="16">
        <v>0.1</v>
      </c>
      <c r="O254" s="16">
        <v>0.2</v>
      </c>
      <c r="P254" s="16">
        <v>0.4</v>
      </c>
      <c r="Q254" s="16">
        <v>0.4</v>
      </c>
      <c r="R254" s="16">
        <v>0.4</v>
      </c>
      <c r="S254" s="16">
        <v>0.4</v>
      </c>
      <c r="T254" s="16">
        <v>0.4</v>
      </c>
      <c r="U254" s="16">
        <v>0.4</v>
      </c>
      <c r="V254" s="16">
        <v>0.4</v>
      </c>
      <c r="W254" s="16">
        <v>0.4</v>
      </c>
      <c r="X254" s="16">
        <v>0.4</v>
      </c>
      <c r="Y254" s="16">
        <v>0.4</v>
      </c>
      <c r="Z254" s="16">
        <v>0.1</v>
      </c>
      <c r="AA254" s="16">
        <v>0.1</v>
      </c>
      <c r="AB254" s="16">
        <v>0.1</v>
      </c>
      <c r="AC254" s="16">
        <v>0.1</v>
      </c>
      <c r="AD254" s="16">
        <v>0.1</v>
      </c>
      <c r="AE254" s="16">
        <v>0.1</v>
      </c>
      <c r="AF254" s="16" t="s">
        <v>413</v>
      </c>
    </row>
    <row r="255" spans="1:32" ht="14.25" customHeight="1" x14ac:dyDescent="0.35">
      <c r="A255" s="14" t="s">
        <v>546</v>
      </c>
      <c r="B255" s="14" t="s">
        <v>424</v>
      </c>
      <c r="C255" s="14"/>
      <c r="D255" s="14" t="s">
        <v>419</v>
      </c>
      <c r="E255" s="15">
        <v>41640</v>
      </c>
      <c r="F255" s="15">
        <v>42004</v>
      </c>
      <c r="G255" s="14" t="s">
        <v>410</v>
      </c>
      <c r="H255" s="14">
        <v>1</v>
      </c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 t="s">
        <v>413</v>
      </c>
    </row>
    <row r="256" spans="1:32" ht="14.25" customHeight="1" x14ac:dyDescent="0.35">
      <c r="A256" s="14" t="s">
        <v>546</v>
      </c>
      <c r="B256" s="14" t="s">
        <v>424</v>
      </c>
      <c r="C256" s="14"/>
      <c r="D256" s="14" t="s">
        <v>429</v>
      </c>
      <c r="E256" s="15">
        <v>41640</v>
      </c>
      <c r="F256" s="15">
        <v>42004</v>
      </c>
      <c r="G256" s="14" t="s">
        <v>415</v>
      </c>
      <c r="H256" s="14">
        <v>0.1</v>
      </c>
      <c r="I256" s="14">
        <v>0.1</v>
      </c>
      <c r="J256" s="14">
        <v>0.1</v>
      </c>
      <c r="K256" s="14">
        <v>0.1</v>
      </c>
      <c r="L256" s="14">
        <v>0.1</v>
      </c>
      <c r="M256" s="14">
        <v>0.1</v>
      </c>
      <c r="N256" s="14">
        <v>0.1</v>
      </c>
      <c r="O256" s="14">
        <v>0.5</v>
      </c>
      <c r="P256" s="14">
        <v>0.9</v>
      </c>
      <c r="Q256" s="14">
        <v>0.9</v>
      </c>
      <c r="R256" s="14">
        <v>0.9</v>
      </c>
      <c r="S256" s="14">
        <v>0.9</v>
      </c>
      <c r="T256" s="14">
        <v>0.9</v>
      </c>
      <c r="U256" s="14">
        <v>0.9</v>
      </c>
      <c r="V256" s="14">
        <v>0.9</v>
      </c>
      <c r="W256" s="14">
        <v>0.9</v>
      </c>
      <c r="X256" s="14">
        <v>0.3</v>
      </c>
      <c r="Y256" s="14">
        <v>0.3</v>
      </c>
      <c r="Z256" s="14">
        <v>0.3</v>
      </c>
      <c r="AA256" s="14">
        <v>0.3</v>
      </c>
      <c r="AB256" s="14">
        <v>0.3</v>
      </c>
      <c r="AC256" s="14">
        <v>0.3</v>
      </c>
      <c r="AD256" s="14">
        <v>0.3</v>
      </c>
      <c r="AE256" s="14">
        <v>0.1</v>
      </c>
      <c r="AF256" s="14" t="s">
        <v>413</v>
      </c>
    </row>
    <row r="257" spans="1:32" ht="14.25" customHeight="1" x14ac:dyDescent="0.35">
      <c r="A257" s="16" t="s">
        <v>546</v>
      </c>
      <c r="B257" s="16" t="s">
        <v>424</v>
      </c>
      <c r="C257" s="16"/>
      <c r="D257" s="16" t="s">
        <v>418</v>
      </c>
      <c r="E257" s="17">
        <v>41640</v>
      </c>
      <c r="F257" s="17">
        <v>42004</v>
      </c>
      <c r="G257" s="16" t="s">
        <v>410</v>
      </c>
      <c r="H257" s="16">
        <v>0</v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 t="s">
        <v>413</v>
      </c>
    </row>
    <row r="258" spans="1:32" ht="14.25" customHeight="1" x14ac:dyDescent="0.35">
      <c r="A258" s="16" t="s">
        <v>547</v>
      </c>
      <c r="B258" s="16" t="s">
        <v>424</v>
      </c>
      <c r="C258" s="16"/>
      <c r="D258" s="16" t="s">
        <v>417</v>
      </c>
      <c r="E258" s="17">
        <v>41640</v>
      </c>
      <c r="F258" s="17">
        <v>42004</v>
      </c>
      <c r="G258" s="16" t="s">
        <v>415</v>
      </c>
      <c r="H258" s="16">
        <v>0.05</v>
      </c>
      <c r="I258" s="16">
        <v>0.05</v>
      </c>
      <c r="J258" s="16">
        <v>0.05</v>
      </c>
      <c r="K258" s="16">
        <v>0.05</v>
      </c>
      <c r="L258" s="16">
        <v>0.05</v>
      </c>
      <c r="M258" s="16">
        <v>0.05</v>
      </c>
      <c r="N258" s="16">
        <v>0.05</v>
      </c>
      <c r="O258" s="16">
        <v>0.05</v>
      </c>
      <c r="P258" s="16">
        <v>0.1</v>
      </c>
      <c r="Q258" s="16">
        <v>0.1</v>
      </c>
      <c r="R258" s="16">
        <v>0.1</v>
      </c>
      <c r="S258" s="16">
        <v>0.1</v>
      </c>
      <c r="T258" s="16">
        <v>0.1</v>
      </c>
      <c r="U258" s="16">
        <v>0.1</v>
      </c>
      <c r="V258" s="16">
        <v>0.1</v>
      </c>
      <c r="W258" s="16">
        <v>0.1</v>
      </c>
      <c r="X258" s="16">
        <v>0.05</v>
      </c>
      <c r="Y258" s="16">
        <v>0.05</v>
      </c>
      <c r="Z258" s="16">
        <v>0.05</v>
      </c>
      <c r="AA258" s="16">
        <v>0.05</v>
      </c>
      <c r="AB258" s="16">
        <v>0.05</v>
      </c>
      <c r="AC258" s="16">
        <v>0.05</v>
      </c>
      <c r="AD258" s="16">
        <v>0.05</v>
      </c>
      <c r="AE258" s="16">
        <v>0.05</v>
      </c>
      <c r="AF258" s="16" t="s">
        <v>413</v>
      </c>
    </row>
    <row r="259" spans="1:32" ht="14.25" customHeight="1" x14ac:dyDescent="0.35">
      <c r="A259" s="14" t="s">
        <v>547</v>
      </c>
      <c r="B259" s="14" t="s">
        <v>424</v>
      </c>
      <c r="C259" s="14"/>
      <c r="D259" s="14" t="s">
        <v>512</v>
      </c>
      <c r="E259" s="15">
        <v>41640</v>
      </c>
      <c r="F259" s="15">
        <v>42004</v>
      </c>
      <c r="G259" s="14" t="s">
        <v>415</v>
      </c>
      <c r="H259" s="14">
        <v>0.1</v>
      </c>
      <c r="I259" s="14">
        <v>0.1</v>
      </c>
      <c r="J259" s="14">
        <v>0.1</v>
      </c>
      <c r="K259" s="14">
        <v>0.1</v>
      </c>
      <c r="L259" s="14">
        <v>0.1</v>
      </c>
      <c r="M259" s="14">
        <v>0.1</v>
      </c>
      <c r="N259" s="14">
        <v>0.1</v>
      </c>
      <c r="O259" s="14">
        <v>0.2</v>
      </c>
      <c r="P259" s="14">
        <v>0.4</v>
      </c>
      <c r="Q259" s="14">
        <v>0.4</v>
      </c>
      <c r="R259" s="14">
        <v>0.4</v>
      </c>
      <c r="S259" s="14">
        <v>0.4</v>
      </c>
      <c r="T259" s="14">
        <v>0.4</v>
      </c>
      <c r="U259" s="14">
        <v>0.4</v>
      </c>
      <c r="V259" s="14">
        <v>0.4</v>
      </c>
      <c r="W259" s="14">
        <v>0.4</v>
      </c>
      <c r="X259" s="14">
        <v>0.4</v>
      </c>
      <c r="Y259" s="14">
        <v>0.4</v>
      </c>
      <c r="Z259" s="14">
        <v>0.1</v>
      </c>
      <c r="AA259" s="14">
        <v>0.1</v>
      </c>
      <c r="AB259" s="14">
        <v>0.1</v>
      </c>
      <c r="AC259" s="14">
        <v>0.1</v>
      </c>
      <c r="AD259" s="14">
        <v>0.1</v>
      </c>
      <c r="AE259" s="14">
        <v>0.1</v>
      </c>
      <c r="AF259" s="14" t="s">
        <v>413</v>
      </c>
    </row>
    <row r="260" spans="1:32" ht="14.25" customHeight="1" x14ac:dyDescent="0.35">
      <c r="A260" s="16" t="s">
        <v>547</v>
      </c>
      <c r="B260" s="16" t="s">
        <v>424</v>
      </c>
      <c r="C260" s="16"/>
      <c r="D260" s="16" t="s">
        <v>419</v>
      </c>
      <c r="E260" s="17">
        <v>41640</v>
      </c>
      <c r="F260" s="17">
        <v>42004</v>
      </c>
      <c r="G260" s="16" t="s">
        <v>410</v>
      </c>
      <c r="H260" s="16">
        <v>1</v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 t="s">
        <v>413</v>
      </c>
    </row>
    <row r="261" spans="1:32" ht="14.25" customHeight="1" x14ac:dyDescent="0.35">
      <c r="A261" s="16" t="s">
        <v>547</v>
      </c>
      <c r="B261" s="16" t="s">
        <v>424</v>
      </c>
      <c r="C261" s="16"/>
      <c r="D261" s="16" t="s">
        <v>429</v>
      </c>
      <c r="E261" s="17">
        <v>41640</v>
      </c>
      <c r="F261" s="17">
        <v>42004</v>
      </c>
      <c r="G261" s="16" t="s">
        <v>415</v>
      </c>
      <c r="H261" s="16">
        <v>0.1</v>
      </c>
      <c r="I261" s="16">
        <v>0.1</v>
      </c>
      <c r="J261" s="16">
        <v>0.1</v>
      </c>
      <c r="K261" s="16">
        <v>0.1</v>
      </c>
      <c r="L261" s="16">
        <v>0.1</v>
      </c>
      <c r="M261" s="16">
        <v>0.1</v>
      </c>
      <c r="N261" s="16">
        <v>0.1</v>
      </c>
      <c r="O261" s="16">
        <v>0.5</v>
      </c>
      <c r="P261" s="16">
        <v>0.9</v>
      </c>
      <c r="Q261" s="16">
        <v>0.9</v>
      </c>
      <c r="R261" s="16">
        <v>0.9</v>
      </c>
      <c r="S261" s="16">
        <v>0.9</v>
      </c>
      <c r="T261" s="16">
        <v>0.9</v>
      </c>
      <c r="U261" s="16">
        <v>0.9</v>
      </c>
      <c r="V261" s="16">
        <v>0.9</v>
      </c>
      <c r="W261" s="16">
        <v>0.9</v>
      </c>
      <c r="X261" s="16">
        <v>0.3</v>
      </c>
      <c r="Y261" s="16">
        <v>0.3</v>
      </c>
      <c r="Z261" s="16">
        <v>0.3</v>
      </c>
      <c r="AA261" s="16">
        <v>0.3</v>
      </c>
      <c r="AB261" s="16">
        <v>0.3</v>
      </c>
      <c r="AC261" s="16">
        <v>0.3</v>
      </c>
      <c r="AD261" s="16">
        <v>0.3</v>
      </c>
      <c r="AE261" s="16">
        <v>0.1</v>
      </c>
      <c r="AF261" s="16" t="s">
        <v>413</v>
      </c>
    </row>
    <row r="262" spans="1:32" ht="14.25" customHeight="1" x14ac:dyDescent="0.35">
      <c r="A262" s="14" t="s">
        <v>547</v>
      </c>
      <c r="B262" s="14" t="s">
        <v>424</v>
      </c>
      <c r="C262" s="14"/>
      <c r="D262" s="14" t="s">
        <v>418</v>
      </c>
      <c r="E262" s="15">
        <v>41640</v>
      </c>
      <c r="F262" s="15">
        <v>42004</v>
      </c>
      <c r="G262" s="14" t="s">
        <v>410</v>
      </c>
      <c r="H262" s="14">
        <v>0</v>
      </c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 t="s">
        <v>413</v>
      </c>
    </row>
    <row r="263" spans="1:32" ht="14.25" customHeight="1" x14ac:dyDescent="0.35">
      <c r="A263" s="14" t="s">
        <v>548</v>
      </c>
      <c r="B263" s="14" t="s">
        <v>424</v>
      </c>
      <c r="C263" s="14"/>
      <c r="D263" s="14" t="s">
        <v>417</v>
      </c>
      <c r="E263" s="15">
        <v>41640</v>
      </c>
      <c r="F263" s="15">
        <v>42004</v>
      </c>
      <c r="G263" s="14" t="s">
        <v>415</v>
      </c>
      <c r="H263" s="14">
        <v>0.05</v>
      </c>
      <c r="I263" s="14">
        <v>0.05</v>
      </c>
      <c r="J263" s="14">
        <v>0.05</v>
      </c>
      <c r="K263" s="14">
        <v>0.05</v>
      </c>
      <c r="L263" s="14">
        <v>0.05</v>
      </c>
      <c r="M263" s="14">
        <v>0.05</v>
      </c>
      <c r="N263" s="14">
        <v>0.05</v>
      </c>
      <c r="O263" s="14">
        <v>0.05</v>
      </c>
      <c r="P263" s="14">
        <v>0.1</v>
      </c>
      <c r="Q263" s="14">
        <v>0.1</v>
      </c>
      <c r="R263" s="14">
        <v>0.1</v>
      </c>
      <c r="S263" s="14">
        <v>0.1</v>
      </c>
      <c r="T263" s="14">
        <v>0.1</v>
      </c>
      <c r="U263" s="14">
        <v>0.1</v>
      </c>
      <c r="V263" s="14">
        <v>0.1</v>
      </c>
      <c r="W263" s="14">
        <v>0.1</v>
      </c>
      <c r="X263" s="14">
        <v>0.05</v>
      </c>
      <c r="Y263" s="14">
        <v>0.05</v>
      </c>
      <c r="Z263" s="14">
        <v>0.05</v>
      </c>
      <c r="AA263" s="14">
        <v>0.05</v>
      </c>
      <c r="AB263" s="14">
        <v>0.05</v>
      </c>
      <c r="AC263" s="14">
        <v>0.05</v>
      </c>
      <c r="AD263" s="14">
        <v>0.05</v>
      </c>
      <c r="AE263" s="14">
        <v>0.05</v>
      </c>
      <c r="AF263" s="14" t="s">
        <v>413</v>
      </c>
    </row>
    <row r="264" spans="1:32" ht="14.25" customHeight="1" x14ac:dyDescent="0.35">
      <c r="A264" s="16" t="s">
        <v>548</v>
      </c>
      <c r="B264" s="16" t="s">
        <v>424</v>
      </c>
      <c r="C264" s="16"/>
      <c r="D264" s="16" t="s">
        <v>512</v>
      </c>
      <c r="E264" s="17">
        <v>41640</v>
      </c>
      <c r="F264" s="17">
        <v>42004</v>
      </c>
      <c r="G264" s="16" t="s">
        <v>415</v>
      </c>
      <c r="H264" s="16">
        <v>0.1</v>
      </c>
      <c r="I264" s="16">
        <v>0.1</v>
      </c>
      <c r="J264" s="16">
        <v>0.1</v>
      </c>
      <c r="K264" s="16">
        <v>0.1</v>
      </c>
      <c r="L264" s="16">
        <v>0.1</v>
      </c>
      <c r="M264" s="16">
        <v>0.1</v>
      </c>
      <c r="N264" s="16">
        <v>0.1</v>
      </c>
      <c r="O264" s="16">
        <v>0.2</v>
      </c>
      <c r="P264" s="16">
        <v>0.4</v>
      </c>
      <c r="Q264" s="16">
        <v>0.4</v>
      </c>
      <c r="R264" s="16">
        <v>0.4</v>
      </c>
      <c r="S264" s="16">
        <v>0.4</v>
      </c>
      <c r="T264" s="16">
        <v>0.4</v>
      </c>
      <c r="U264" s="16">
        <v>0.4</v>
      </c>
      <c r="V264" s="16">
        <v>0.4</v>
      </c>
      <c r="W264" s="16">
        <v>0.4</v>
      </c>
      <c r="X264" s="16">
        <v>0.4</v>
      </c>
      <c r="Y264" s="16">
        <v>0.4</v>
      </c>
      <c r="Z264" s="16">
        <v>0.1</v>
      </c>
      <c r="AA264" s="16">
        <v>0.1</v>
      </c>
      <c r="AB264" s="16">
        <v>0.1</v>
      </c>
      <c r="AC264" s="16">
        <v>0.1</v>
      </c>
      <c r="AD264" s="16">
        <v>0.1</v>
      </c>
      <c r="AE264" s="16">
        <v>0.1</v>
      </c>
      <c r="AF264" s="16" t="s">
        <v>413</v>
      </c>
    </row>
    <row r="265" spans="1:32" ht="14.25" customHeight="1" x14ac:dyDescent="0.35">
      <c r="A265" s="14" t="s">
        <v>548</v>
      </c>
      <c r="B265" s="14" t="s">
        <v>424</v>
      </c>
      <c r="C265" s="14"/>
      <c r="D265" s="14" t="s">
        <v>419</v>
      </c>
      <c r="E265" s="15">
        <v>41640</v>
      </c>
      <c r="F265" s="15">
        <v>42004</v>
      </c>
      <c r="G265" s="14" t="s">
        <v>410</v>
      </c>
      <c r="H265" s="14">
        <v>1</v>
      </c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 t="s">
        <v>413</v>
      </c>
    </row>
    <row r="266" spans="1:32" ht="14.25" customHeight="1" x14ac:dyDescent="0.35">
      <c r="A266" s="14" t="s">
        <v>548</v>
      </c>
      <c r="B266" s="14" t="s">
        <v>424</v>
      </c>
      <c r="C266" s="14"/>
      <c r="D266" s="14" t="s">
        <v>429</v>
      </c>
      <c r="E266" s="15">
        <v>41640</v>
      </c>
      <c r="F266" s="15">
        <v>42004</v>
      </c>
      <c r="G266" s="14" t="s">
        <v>415</v>
      </c>
      <c r="H266" s="14">
        <v>0.1</v>
      </c>
      <c r="I266" s="14">
        <v>0.1</v>
      </c>
      <c r="J266" s="14">
        <v>0.1</v>
      </c>
      <c r="K266" s="14">
        <v>0.1</v>
      </c>
      <c r="L266" s="14">
        <v>0.1</v>
      </c>
      <c r="M266" s="14">
        <v>0.1</v>
      </c>
      <c r="N266" s="14">
        <v>0.1</v>
      </c>
      <c r="O266" s="14">
        <v>0.5</v>
      </c>
      <c r="P266" s="14">
        <v>0.9</v>
      </c>
      <c r="Q266" s="14">
        <v>0.9</v>
      </c>
      <c r="R266" s="14">
        <v>0.9</v>
      </c>
      <c r="S266" s="14">
        <v>0.9</v>
      </c>
      <c r="T266" s="14">
        <v>0.9</v>
      </c>
      <c r="U266" s="14">
        <v>0.9</v>
      </c>
      <c r="V266" s="14">
        <v>0.9</v>
      </c>
      <c r="W266" s="14">
        <v>0.9</v>
      </c>
      <c r="X266" s="14">
        <v>0.3</v>
      </c>
      <c r="Y266" s="14">
        <v>0.3</v>
      </c>
      <c r="Z266" s="14">
        <v>0.3</v>
      </c>
      <c r="AA266" s="14">
        <v>0.3</v>
      </c>
      <c r="AB266" s="14">
        <v>0.3</v>
      </c>
      <c r="AC266" s="14">
        <v>0.3</v>
      </c>
      <c r="AD266" s="14">
        <v>0.3</v>
      </c>
      <c r="AE266" s="14">
        <v>0.1</v>
      </c>
      <c r="AF266" s="14" t="s">
        <v>413</v>
      </c>
    </row>
    <row r="267" spans="1:32" ht="14.25" customHeight="1" x14ac:dyDescent="0.35">
      <c r="A267" s="16" t="s">
        <v>548</v>
      </c>
      <c r="B267" s="16" t="s">
        <v>424</v>
      </c>
      <c r="C267" s="16"/>
      <c r="D267" s="16" t="s">
        <v>418</v>
      </c>
      <c r="E267" s="17">
        <v>41640</v>
      </c>
      <c r="F267" s="17">
        <v>42004</v>
      </c>
      <c r="G267" s="16" t="s">
        <v>410</v>
      </c>
      <c r="H267" s="16">
        <v>0</v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 t="s">
        <v>413</v>
      </c>
    </row>
    <row r="268" spans="1:32" ht="14.25" customHeight="1" x14ac:dyDescent="0.35">
      <c r="A268" s="16" t="s">
        <v>549</v>
      </c>
      <c r="B268" s="16" t="s">
        <v>550</v>
      </c>
      <c r="C268" s="16"/>
      <c r="D268" s="16" t="s">
        <v>417</v>
      </c>
      <c r="E268" s="17">
        <v>41640</v>
      </c>
      <c r="F268" s="17">
        <v>42004</v>
      </c>
      <c r="G268" s="16" t="s">
        <v>410</v>
      </c>
      <c r="H268" s="16">
        <v>0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 t="s">
        <v>413</v>
      </c>
    </row>
    <row r="269" spans="1:32" ht="14.25" customHeight="1" x14ac:dyDescent="0.35">
      <c r="A269" s="14" t="s">
        <v>549</v>
      </c>
      <c r="B269" s="14" t="s">
        <v>550</v>
      </c>
      <c r="C269" s="14"/>
      <c r="D269" s="14" t="s">
        <v>551</v>
      </c>
      <c r="E269" s="15">
        <v>41640</v>
      </c>
      <c r="F269" s="15">
        <v>42004</v>
      </c>
      <c r="G269" s="14" t="s">
        <v>415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0.25</v>
      </c>
      <c r="O269" s="14">
        <v>0.25</v>
      </c>
      <c r="P269" s="14">
        <v>0.25</v>
      </c>
      <c r="Q269" s="14">
        <v>0.25</v>
      </c>
      <c r="R269" s="14">
        <v>0.25</v>
      </c>
      <c r="S269" s="14">
        <v>0.25</v>
      </c>
      <c r="T269" s="14">
        <v>0.25</v>
      </c>
      <c r="U269" s="14">
        <v>0.25</v>
      </c>
      <c r="V269" s="14">
        <v>0.25</v>
      </c>
      <c r="W269" s="14">
        <v>0.25</v>
      </c>
      <c r="X269" s="14">
        <v>0.25</v>
      </c>
      <c r="Y269" s="14">
        <v>0.25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 t="s">
        <v>413</v>
      </c>
    </row>
    <row r="270" spans="1:32" ht="14.25" customHeight="1" x14ac:dyDescent="0.35">
      <c r="A270" s="16" t="s">
        <v>552</v>
      </c>
      <c r="B270" s="16" t="s">
        <v>448</v>
      </c>
      <c r="C270" s="16"/>
      <c r="D270" s="16" t="s">
        <v>417</v>
      </c>
      <c r="E270" s="17">
        <v>41640</v>
      </c>
      <c r="F270" s="17">
        <v>42004</v>
      </c>
      <c r="G270" s="16" t="s">
        <v>415</v>
      </c>
      <c r="H270" s="16">
        <v>0.4</v>
      </c>
      <c r="I270" s="16">
        <v>0.4</v>
      </c>
      <c r="J270" s="16">
        <v>0.4</v>
      </c>
      <c r="K270" s="16">
        <v>0.4</v>
      </c>
      <c r="L270" s="16">
        <v>0.4</v>
      </c>
      <c r="M270" s="16">
        <v>0.4</v>
      </c>
      <c r="N270" s="16">
        <v>0.4</v>
      </c>
      <c r="O270" s="16">
        <v>0.4</v>
      </c>
      <c r="P270" s="16">
        <v>0.6</v>
      </c>
      <c r="Q270" s="16">
        <v>0.6</v>
      </c>
      <c r="R270" s="16">
        <v>0.6</v>
      </c>
      <c r="S270" s="16">
        <v>0.6</v>
      </c>
      <c r="T270" s="16">
        <v>0.6</v>
      </c>
      <c r="U270" s="16">
        <v>0.6</v>
      </c>
      <c r="V270" s="16">
        <v>0.6</v>
      </c>
      <c r="W270" s="16">
        <v>0.6</v>
      </c>
      <c r="X270" s="16">
        <v>0.4</v>
      </c>
      <c r="Y270" s="16">
        <v>0.4</v>
      </c>
      <c r="Z270" s="16">
        <v>0.4</v>
      </c>
      <c r="AA270" s="16">
        <v>0.4</v>
      </c>
      <c r="AB270" s="16">
        <v>0.4</v>
      </c>
      <c r="AC270" s="16">
        <v>0.4</v>
      </c>
      <c r="AD270" s="16">
        <v>0.4</v>
      </c>
      <c r="AE270" s="16">
        <v>0.4</v>
      </c>
      <c r="AF270" s="16" t="s">
        <v>413</v>
      </c>
    </row>
    <row r="271" spans="1:32" ht="14.25" customHeight="1" x14ac:dyDescent="0.35">
      <c r="A271" s="14" t="s">
        <v>552</v>
      </c>
      <c r="B271" s="14" t="s">
        <v>448</v>
      </c>
      <c r="C271" s="14"/>
      <c r="D271" s="14" t="s">
        <v>512</v>
      </c>
      <c r="E271" s="15">
        <v>41640</v>
      </c>
      <c r="F271" s="15">
        <v>42004</v>
      </c>
      <c r="G271" s="14" t="s">
        <v>415</v>
      </c>
      <c r="H271" s="14">
        <v>0.4</v>
      </c>
      <c r="I271" s="14">
        <v>0.4</v>
      </c>
      <c r="J271" s="14">
        <v>0.4</v>
      </c>
      <c r="K271" s="14">
        <v>0.4</v>
      </c>
      <c r="L271" s="14">
        <v>0.4</v>
      </c>
      <c r="M271" s="14">
        <v>0.4</v>
      </c>
      <c r="N271" s="14">
        <v>0.4</v>
      </c>
      <c r="O271" s="14">
        <v>0.5</v>
      </c>
      <c r="P271" s="14">
        <v>0.6</v>
      </c>
      <c r="Q271" s="14">
        <v>0.6</v>
      </c>
      <c r="R271" s="14">
        <v>0.6</v>
      </c>
      <c r="S271" s="14">
        <v>0.6</v>
      </c>
      <c r="T271" s="14">
        <v>0.6</v>
      </c>
      <c r="U271" s="14">
        <v>0.6</v>
      </c>
      <c r="V271" s="14">
        <v>0.6</v>
      </c>
      <c r="W271" s="14">
        <v>0.6</v>
      </c>
      <c r="X271" s="14">
        <v>0.6</v>
      </c>
      <c r="Y271" s="14">
        <v>0.5</v>
      </c>
      <c r="Z271" s="14">
        <v>0.5</v>
      </c>
      <c r="AA271" s="14">
        <v>0.4</v>
      </c>
      <c r="AB271" s="14">
        <v>0.4</v>
      </c>
      <c r="AC271" s="14">
        <v>0.4</v>
      </c>
      <c r="AD271" s="14">
        <v>0.4</v>
      </c>
      <c r="AE271" s="14">
        <v>0.4</v>
      </c>
      <c r="AF271" s="14" t="s">
        <v>413</v>
      </c>
    </row>
    <row r="272" spans="1:32" ht="14.25" customHeight="1" x14ac:dyDescent="0.35">
      <c r="A272" s="16" t="s">
        <v>552</v>
      </c>
      <c r="B272" s="16" t="s">
        <v>448</v>
      </c>
      <c r="C272" s="16"/>
      <c r="D272" s="16" t="s">
        <v>419</v>
      </c>
      <c r="E272" s="17">
        <v>41640</v>
      </c>
      <c r="F272" s="17">
        <v>42004</v>
      </c>
      <c r="G272" s="16" t="s">
        <v>410</v>
      </c>
      <c r="H272" s="16">
        <v>1</v>
      </c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 t="s">
        <v>413</v>
      </c>
    </row>
    <row r="273" spans="1:32" ht="14.25" customHeight="1" x14ac:dyDescent="0.35">
      <c r="A273" s="16" t="s">
        <v>552</v>
      </c>
      <c r="B273" s="16" t="s">
        <v>448</v>
      </c>
      <c r="C273" s="16"/>
      <c r="D273" s="16" t="s">
        <v>429</v>
      </c>
      <c r="E273" s="17">
        <v>41640</v>
      </c>
      <c r="F273" s="17">
        <v>42004</v>
      </c>
      <c r="G273" s="16" t="s">
        <v>415</v>
      </c>
      <c r="H273" s="16">
        <v>0.4</v>
      </c>
      <c r="I273" s="16">
        <v>0.4</v>
      </c>
      <c r="J273" s="16">
        <v>0.4</v>
      </c>
      <c r="K273" s="16">
        <v>0.4</v>
      </c>
      <c r="L273" s="16">
        <v>0.4</v>
      </c>
      <c r="M273" s="16">
        <v>0.4</v>
      </c>
      <c r="N273" s="16">
        <v>0.4</v>
      </c>
      <c r="O273" s="16">
        <v>0.5</v>
      </c>
      <c r="P273" s="16">
        <v>0.6</v>
      </c>
      <c r="Q273" s="16">
        <v>0.8</v>
      </c>
      <c r="R273" s="16">
        <v>0.8</v>
      </c>
      <c r="S273" s="16">
        <v>0.8</v>
      </c>
      <c r="T273" s="16">
        <v>0.8</v>
      </c>
      <c r="U273" s="16">
        <v>0.8</v>
      </c>
      <c r="V273" s="16">
        <v>0.8</v>
      </c>
      <c r="W273" s="16">
        <v>0.8</v>
      </c>
      <c r="X273" s="16">
        <v>0.8</v>
      </c>
      <c r="Y273" s="16">
        <v>0.6</v>
      </c>
      <c r="Z273" s="16">
        <v>0.5</v>
      </c>
      <c r="AA273" s="16">
        <v>0.5</v>
      </c>
      <c r="AB273" s="16">
        <v>0.4</v>
      </c>
      <c r="AC273" s="16">
        <v>0.4</v>
      </c>
      <c r="AD273" s="16">
        <v>0.4</v>
      </c>
      <c r="AE273" s="16">
        <v>0.4</v>
      </c>
      <c r="AF273" s="16" t="s">
        <v>413</v>
      </c>
    </row>
    <row r="274" spans="1:32" ht="14.25" customHeight="1" x14ac:dyDescent="0.35">
      <c r="A274" s="14" t="s">
        <v>552</v>
      </c>
      <c r="B274" s="14" t="s">
        <v>448</v>
      </c>
      <c r="C274" s="14"/>
      <c r="D274" s="14" t="s">
        <v>418</v>
      </c>
      <c r="E274" s="15">
        <v>41640</v>
      </c>
      <c r="F274" s="15">
        <v>42004</v>
      </c>
      <c r="G274" s="14" t="s">
        <v>410</v>
      </c>
      <c r="H274" s="14">
        <v>0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 t="s">
        <v>413</v>
      </c>
    </row>
    <row r="275" spans="1:32" ht="14.25" customHeight="1" x14ac:dyDescent="0.35">
      <c r="A275" s="14" t="s">
        <v>553</v>
      </c>
      <c r="B275" s="14" t="s">
        <v>448</v>
      </c>
      <c r="C275" s="14"/>
      <c r="D275" s="14" t="s">
        <v>417</v>
      </c>
      <c r="E275" s="15">
        <v>41640</v>
      </c>
      <c r="F275" s="15">
        <v>42004</v>
      </c>
      <c r="G275" s="14" t="s">
        <v>415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0.05</v>
      </c>
      <c r="Q275" s="14">
        <v>0.05</v>
      </c>
      <c r="R275" s="14">
        <v>0.05</v>
      </c>
      <c r="S275" s="14">
        <v>0.05</v>
      </c>
      <c r="T275" s="14">
        <v>0.05</v>
      </c>
      <c r="U275" s="14">
        <v>0.05</v>
      </c>
      <c r="V275" s="14">
        <v>0.05</v>
      </c>
      <c r="W275" s="14">
        <v>0.05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 t="s">
        <v>413</v>
      </c>
    </row>
    <row r="276" spans="1:32" ht="14.25" customHeight="1" x14ac:dyDescent="0.35">
      <c r="A276" s="16" t="s">
        <v>553</v>
      </c>
      <c r="B276" s="16" t="s">
        <v>448</v>
      </c>
      <c r="C276" s="16"/>
      <c r="D276" s="16" t="s">
        <v>512</v>
      </c>
      <c r="E276" s="17">
        <v>41640</v>
      </c>
      <c r="F276" s="17">
        <v>42004</v>
      </c>
      <c r="G276" s="16" t="s">
        <v>415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0.1</v>
      </c>
      <c r="P276" s="16">
        <v>0.3</v>
      </c>
      <c r="Q276" s="16">
        <v>0.4</v>
      </c>
      <c r="R276" s="16">
        <v>0.4</v>
      </c>
      <c r="S276" s="16">
        <v>0.4</v>
      </c>
      <c r="T276" s="16">
        <v>0.4</v>
      </c>
      <c r="U276" s="16">
        <v>0.4</v>
      </c>
      <c r="V276" s="16">
        <v>0.4</v>
      </c>
      <c r="W276" s="16">
        <v>0.4</v>
      </c>
      <c r="X276" s="16">
        <v>0.4</v>
      </c>
      <c r="Y276" s="16">
        <v>0.1</v>
      </c>
      <c r="Z276" s="16">
        <v>0.1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 t="s">
        <v>413</v>
      </c>
    </row>
    <row r="277" spans="1:32" ht="14.25" customHeight="1" x14ac:dyDescent="0.35">
      <c r="A277" s="14" t="s">
        <v>553</v>
      </c>
      <c r="B277" s="14" t="s">
        <v>448</v>
      </c>
      <c r="C277" s="14"/>
      <c r="D277" s="14" t="s">
        <v>419</v>
      </c>
      <c r="E277" s="15">
        <v>41640</v>
      </c>
      <c r="F277" s="15">
        <v>42004</v>
      </c>
      <c r="G277" s="14" t="s">
        <v>410</v>
      </c>
      <c r="H277" s="14">
        <v>1</v>
      </c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 t="s">
        <v>413</v>
      </c>
    </row>
    <row r="278" spans="1:32" ht="14.25" customHeight="1" x14ac:dyDescent="0.35">
      <c r="A278" s="14" t="s">
        <v>553</v>
      </c>
      <c r="B278" s="14" t="s">
        <v>448</v>
      </c>
      <c r="C278" s="14"/>
      <c r="D278" s="14" t="s">
        <v>429</v>
      </c>
      <c r="E278" s="15">
        <v>41640</v>
      </c>
      <c r="F278" s="15">
        <v>42004</v>
      </c>
      <c r="G278" s="14" t="s">
        <v>415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0.1</v>
      </c>
      <c r="P278" s="14">
        <v>0.5</v>
      </c>
      <c r="Q278" s="14">
        <v>0.8</v>
      </c>
      <c r="R278" s="14">
        <v>0.8</v>
      </c>
      <c r="S278" s="14">
        <v>0.8</v>
      </c>
      <c r="T278" s="14">
        <v>0.8</v>
      </c>
      <c r="U278" s="14">
        <v>0.8</v>
      </c>
      <c r="V278" s="14">
        <v>0.8</v>
      </c>
      <c r="W278" s="14">
        <v>0.8</v>
      </c>
      <c r="X278" s="14">
        <v>0.8</v>
      </c>
      <c r="Y278" s="14">
        <v>0.5</v>
      </c>
      <c r="Z278" s="14">
        <v>0.3</v>
      </c>
      <c r="AA278" s="14">
        <v>0.3</v>
      </c>
      <c r="AB278" s="14">
        <v>0.2</v>
      </c>
      <c r="AC278" s="14">
        <v>0.2</v>
      </c>
      <c r="AD278" s="14">
        <v>0</v>
      </c>
      <c r="AE278" s="14">
        <v>0</v>
      </c>
      <c r="AF278" s="14" t="s">
        <v>413</v>
      </c>
    </row>
    <row r="279" spans="1:32" ht="14.25" customHeight="1" x14ac:dyDescent="0.35">
      <c r="A279" s="16" t="s">
        <v>553</v>
      </c>
      <c r="B279" s="16" t="s">
        <v>448</v>
      </c>
      <c r="C279" s="16"/>
      <c r="D279" s="16" t="s">
        <v>418</v>
      </c>
      <c r="E279" s="17">
        <v>41640</v>
      </c>
      <c r="F279" s="17">
        <v>42004</v>
      </c>
      <c r="G279" s="16" t="s">
        <v>410</v>
      </c>
      <c r="H279" s="16">
        <v>0</v>
      </c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 t="s">
        <v>413</v>
      </c>
    </row>
    <row r="280" spans="1:32" ht="14.25" customHeight="1" x14ac:dyDescent="0.35">
      <c r="A280" s="16" t="s">
        <v>554</v>
      </c>
      <c r="B280" s="16" t="s">
        <v>460</v>
      </c>
      <c r="C280" s="16"/>
      <c r="D280" s="16" t="s">
        <v>555</v>
      </c>
      <c r="E280" s="17">
        <v>41640</v>
      </c>
      <c r="F280" s="17">
        <v>42004</v>
      </c>
      <c r="G280" s="16" t="s">
        <v>415</v>
      </c>
      <c r="H280" s="16">
        <v>0.3</v>
      </c>
      <c r="I280" s="16">
        <v>0.3</v>
      </c>
      <c r="J280" s="16">
        <v>0.3</v>
      </c>
      <c r="K280" s="16">
        <v>0.3</v>
      </c>
      <c r="L280" s="16">
        <v>0.3</v>
      </c>
      <c r="M280" s="16">
        <v>0.3</v>
      </c>
      <c r="N280" s="16">
        <v>0.3</v>
      </c>
      <c r="O280" s="16">
        <v>0.3</v>
      </c>
      <c r="P280" s="16">
        <v>0.4</v>
      </c>
      <c r="Q280" s="16">
        <v>0.5</v>
      </c>
      <c r="R280" s="16">
        <v>0.6</v>
      </c>
      <c r="S280" s="16">
        <v>0.6</v>
      </c>
      <c r="T280" s="16">
        <v>0.6</v>
      </c>
      <c r="U280" s="16">
        <v>0.6</v>
      </c>
      <c r="V280" s="16">
        <v>0.6</v>
      </c>
      <c r="W280" s="16">
        <v>0.6</v>
      </c>
      <c r="X280" s="16">
        <v>0.6</v>
      </c>
      <c r="Y280" s="16">
        <v>0.5</v>
      </c>
      <c r="Z280" s="16">
        <v>0.3</v>
      </c>
      <c r="AA280" s="16">
        <v>0.3</v>
      </c>
      <c r="AB280" s="16">
        <v>0.3</v>
      </c>
      <c r="AC280" s="16">
        <v>0.3</v>
      </c>
      <c r="AD280" s="16">
        <v>0.3</v>
      </c>
      <c r="AE280" s="16">
        <v>0.3</v>
      </c>
      <c r="AF280" s="16" t="s">
        <v>413</v>
      </c>
    </row>
    <row r="281" spans="1:32" ht="14.25" customHeight="1" x14ac:dyDescent="0.35">
      <c r="A281" s="14" t="s">
        <v>554</v>
      </c>
      <c r="B281" s="14" t="s">
        <v>460</v>
      </c>
      <c r="C281" s="14"/>
      <c r="D281" s="14" t="s">
        <v>556</v>
      </c>
      <c r="E281" s="15">
        <v>41640</v>
      </c>
      <c r="F281" s="15">
        <v>42004</v>
      </c>
      <c r="G281" s="14" t="s">
        <v>415</v>
      </c>
      <c r="H281" s="14">
        <v>0.3</v>
      </c>
      <c r="I281" s="14">
        <v>0.3</v>
      </c>
      <c r="J281" s="14">
        <v>0.3</v>
      </c>
      <c r="K281" s="14">
        <v>0.3</v>
      </c>
      <c r="L281" s="14">
        <v>0.3</v>
      </c>
      <c r="M281" s="14">
        <v>0.3</v>
      </c>
      <c r="N281" s="14">
        <v>0.3</v>
      </c>
      <c r="O281" s="14">
        <v>0.5</v>
      </c>
      <c r="P281" s="14">
        <v>0.57999999999999996</v>
      </c>
      <c r="Q281" s="14">
        <v>0.66</v>
      </c>
      <c r="R281" s="14">
        <v>0.78</v>
      </c>
      <c r="S281" s="14">
        <v>0.82</v>
      </c>
      <c r="T281" s="14">
        <v>0.71</v>
      </c>
      <c r="U281" s="14">
        <v>0.82</v>
      </c>
      <c r="V281" s="14">
        <v>0.78</v>
      </c>
      <c r="W281" s="14">
        <v>0.74</v>
      </c>
      <c r="X281" s="14">
        <v>0.63</v>
      </c>
      <c r="Y281" s="14">
        <v>0.41</v>
      </c>
      <c r="Z281" s="14">
        <v>0.35</v>
      </c>
      <c r="AA281" s="14">
        <v>0.35</v>
      </c>
      <c r="AB281" s="14">
        <v>0.35</v>
      </c>
      <c r="AC281" s="14">
        <v>0.3</v>
      </c>
      <c r="AD281" s="14">
        <v>0.3</v>
      </c>
      <c r="AE281" s="14">
        <v>0.3</v>
      </c>
      <c r="AF281" s="14" t="s">
        <v>413</v>
      </c>
    </row>
    <row r="282" spans="1:32" ht="14.25" customHeight="1" x14ac:dyDescent="0.35">
      <c r="A282" s="16" t="s">
        <v>557</v>
      </c>
      <c r="B282" s="16" t="s">
        <v>460</v>
      </c>
      <c r="C282" s="16"/>
      <c r="D282" s="16" t="s">
        <v>417</v>
      </c>
      <c r="E282" s="17">
        <v>41640</v>
      </c>
      <c r="F282" s="17">
        <v>42004</v>
      </c>
      <c r="G282" s="16" t="s">
        <v>415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0.01</v>
      </c>
      <c r="Q282" s="16">
        <v>0.01</v>
      </c>
      <c r="R282" s="16">
        <v>0.01</v>
      </c>
      <c r="S282" s="16">
        <v>0.01</v>
      </c>
      <c r="T282" s="16">
        <v>0.01</v>
      </c>
      <c r="U282" s="16">
        <v>0.01</v>
      </c>
      <c r="V282" s="16">
        <v>0.01</v>
      </c>
      <c r="W282" s="16">
        <v>0.01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 t="s">
        <v>413</v>
      </c>
    </row>
    <row r="283" spans="1:32" ht="14.25" customHeight="1" x14ac:dyDescent="0.35">
      <c r="A283" s="16" t="s">
        <v>557</v>
      </c>
      <c r="B283" s="16" t="s">
        <v>460</v>
      </c>
      <c r="C283" s="16"/>
      <c r="D283" s="16" t="s">
        <v>556</v>
      </c>
      <c r="E283" s="17">
        <v>41640</v>
      </c>
      <c r="F283" s="17">
        <v>42004</v>
      </c>
      <c r="G283" s="16" t="s">
        <v>415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0.17</v>
      </c>
      <c r="P283" s="16">
        <v>0.57999999999999996</v>
      </c>
      <c r="Q283" s="16">
        <v>0.66</v>
      </c>
      <c r="R283" s="16">
        <v>0.78</v>
      </c>
      <c r="S283" s="16">
        <v>0.82</v>
      </c>
      <c r="T283" s="16">
        <v>0.71</v>
      </c>
      <c r="U283" s="16">
        <v>0.82</v>
      </c>
      <c r="V283" s="16">
        <v>0.78</v>
      </c>
      <c r="W283" s="16">
        <v>0.74</v>
      </c>
      <c r="X283" s="16">
        <v>0.63</v>
      </c>
      <c r="Y283" s="16">
        <v>0.41</v>
      </c>
      <c r="Z283" s="16">
        <v>0.18</v>
      </c>
      <c r="AA283" s="16">
        <v>0.18</v>
      </c>
      <c r="AB283" s="16">
        <v>0.18</v>
      </c>
      <c r="AC283" s="16">
        <v>0.1</v>
      </c>
      <c r="AD283" s="16">
        <v>0</v>
      </c>
      <c r="AE283" s="16">
        <v>0</v>
      </c>
      <c r="AF283" s="16" t="s">
        <v>413</v>
      </c>
    </row>
    <row r="284" spans="1:32" ht="14.25" customHeight="1" x14ac:dyDescent="0.35">
      <c r="A284" s="14" t="s">
        <v>557</v>
      </c>
      <c r="B284" s="14" t="s">
        <v>460</v>
      </c>
      <c r="C284" s="14"/>
      <c r="D284" s="14" t="s">
        <v>514</v>
      </c>
      <c r="E284" s="15">
        <v>41640</v>
      </c>
      <c r="F284" s="15">
        <v>42004</v>
      </c>
      <c r="G284" s="14" t="s">
        <v>415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0.01</v>
      </c>
      <c r="P284" s="14">
        <v>0.2</v>
      </c>
      <c r="Q284" s="14">
        <v>0.28000000000000003</v>
      </c>
      <c r="R284" s="14">
        <v>0.3</v>
      </c>
      <c r="S284" s="14">
        <v>0.3</v>
      </c>
      <c r="T284" s="14">
        <v>0.24</v>
      </c>
      <c r="U284" s="14">
        <v>0.24</v>
      </c>
      <c r="V284" s="14">
        <v>0.23</v>
      </c>
      <c r="W284" s="14">
        <v>0.23</v>
      </c>
      <c r="X284" s="14">
        <v>0.23</v>
      </c>
      <c r="Y284" s="14">
        <v>0.1</v>
      </c>
      <c r="Z284" s="14">
        <v>0.1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 t="s">
        <v>413</v>
      </c>
    </row>
    <row r="285" spans="1:32" ht="14.25" customHeight="1" x14ac:dyDescent="0.35">
      <c r="A285" s="14" t="s">
        <v>558</v>
      </c>
      <c r="B285" s="14" t="s">
        <v>420</v>
      </c>
      <c r="C285" s="14" t="s">
        <v>414</v>
      </c>
      <c r="D285" s="14" t="s">
        <v>409</v>
      </c>
      <c r="E285" s="15">
        <v>41640</v>
      </c>
      <c r="F285" s="15">
        <v>42004</v>
      </c>
      <c r="G285" s="14" t="s">
        <v>410</v>
      </c>
      <c r="H285" s="14">
        <v>24</v>
      </c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 t="s">
        <v>413</v>
      </c>
    </row>
    <row r="286" spans="1:32" ht="14.25" customHeight="1" x14ac:dyDescent="0.35">
      <c r="A286" s="14" t="s">
        <v>559</v>
      </c>
      <c r="B286" s="14" t="s">
        <v>518</v>
      </c>
      <c r="C286" s="14"/>
      <c r="D286" s="14" t="s">
        <v>476</v>
      </c>
      <c r="E286" s="15">
        <v>41640</v>
      </c>
      <c r="F286" s="15">
        <v>42004</v>
      </c>
      <c r="G286" s="14" t="s">
        <v>410</v>
      </c>
      <c r="H286" s="14">
        <v>1</v>
      </c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 t="s">
        <v>411</v>
      </c>
    </row>
    <row r="287" spans="1:32" ht="14.25" customHeight="1" x14ac:dyDescent="0.35">
      <c r="A287" s="16" t="s">
        <v>559</v>
      </c>
      <c r="B287" s="16" t="s">
        <v>518</v>
      </c>
      <c r="C287" s="16"/>
      <c r="D287" s="16" t="s">
        <v>419</v>
      </c>
      <c r="E287" s="17">
        <v>41640</v>
      </c>
      <c r="F287" s="17">
        <v>42004</v>
      </c>
      <c r="G287" s="16" t="s">
        <v>410</v>
      </c>
      <c r="H287" s="16">
        <v>0.5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 t="s">
        <v>411</v>
      </c>
    </row>
    <row r="288" spans="1:32" ht="14.25" customHeight="1" x14ac:dyDescent="0.35">
      <c r="A288" s="14" t="s">
        <v>559</v>
      </c>
      <c r="B288" s="14" t="s">
        <v>518</v>
      </c>
      <c r="C288" s="14"/>
      <c r="D288" s="14" t="s">
        <v>454</v>
      </c>
      <c r="E288" s="15">
        <v>41913</v>
      </c>
      <c r="F288" s="15">
        <v>42004</v>
      </c>
      <c r="G288" s="14" t="s">
        <v>410</v>
      </c>
      <c r="H288" s="14">
        <v>1</v>
      </c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 t="s">
        <v>411</v>
      </c>
    </row>
    <row r="289" spans="1:32" ht="14.25" customHeight="1" x14ac:dyDescent="0.35">
      <c r="A289" s="16" t="s">
        <v>559</v>
      </c>
      <c r="B289" s="16" t="s">
        <v>518</v>
      </c>
      <c r="C289" s="16"/>
      <c r="D289" s="16" t="s">
        <v>454</v>
      </c>
      <c r="E289" s="17">
        <v>41760</v>
      </c>
      <c r="F289" s="17">
        <v>41912</v>
      </c>
      <c r="G289" s="16" t="s">
        <v>410</v>
      </c>
      <c r="H289" s="16">
        <v>0.5</v>
      </c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 t="s">
        <v>411</v>
      </c>
    </row>
    <row r="290" spans="1:32" ht="14.25" customHeight="1" x14ac:dyDescent="0.35">
      <c r="A290" s="16" t="s">
        <v>560</v>
      </c>
      <c r="B290" s="16" t="s">
        <v>518</v>
      </c>
      <c r="C290" s="16" t="s">
        <v>412</v>
      </c>
      <c r="D290" s="16" t="s">
        <v>453</v>
      </c>
      <c r="E290" s="17">
        <v>41640</v>
      </c>
      <c r="F290" s="17">
        <v>42004</v>
      </c>
      <c r="G290" s="16" t="s">
        <v>410</v>
      </c>
      <c r="H290" s="16">
        <v>0.5</v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 t="s">
        <v>413</v>
      </c>
    </row>
    <row r="291" spans="1:32" ht="14.25" customHeight="1" x14ac:dyDescent="0.35">
      <c r="A291" s="16" t="s">
        <v>560</v>
      </c>
      <c r="B291" s="16" t="s">
        <v>518</v>
      </c>
      <c r="C291" s="16" t="s">
        <v>412</v>
      </c>
      <c r="D291" s="16" t="s">
        <v>454</v>
      </c>
      <c r="E291" s="17">
        <v>41913</v>
      </c>
      <c r="F291" s="17">
        <v>42004</v>
      </c>
      <c r="G291" s="16" t="s">
        <v>410</v>
      </c>
      <c r="H291" s="16">
        <v>1</v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 t="s">
        <v>413</v>
      </c>
    </row>
    <row r="292" spans="1:32" ht="14.25" customHeight="1" x14ac:dyDescent="0.35">
      <c r="A292" s="14" t="s">
        <v>560</v>
      </c>
      <c r="B292" s="14" t="s">
        <v>518</v>
      </c>
      <c r="C292" s="14" t="s">
        <v>412</v>
      </c>
      <c r="D292" s="14" t="s">
        <v>454</v>
      </c>
      <c r="E292" s="15">
        <v>41640</v>
      </c>
      <c r="F292" s="15">
        <v>41759</v>
      </c>
      <c r="G292" s="14" t="s">
        <v>410</v>
      </c>
      <c r="H292" s="14">
        <v>1</v>
      </c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 t="s">
        <v>413</v>
      </c>
    </row>
    <row r="293" spans="1:32" ht="14.25" customHeight="1" x14ac:dyDescent="0.35">
      <c r="A293" s="14" t="s">
        <v>560</v>
      </c>
      <c r="B293" s="14" t="s">
        <v>518</v>
      </c>
      <c r="C293" s="14" t="s">
        <v>412</v>
      </c>
      <c r="D293" s="14" t="s">
        <v>418</v>
      </c>
      <c r="E293" s="15">
        <v>41640</v>
      </c>
      <c r="F293" s="15">
        <v>42004</v>
      </c>
      <c r="G293" s="14" t="s">
        <v>410</v>
      </c>
      <c r="H293" s="14">
        <v>1</v>
      </c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 t="s">
        <v>413</v>
      </c>
    </row>
    <row r="294" spans="1:32" ht="14.25" customHeight="1" x14ac:dyDescent="0.35">
      <c r="A294" s="14" t="s">
        <v>562</v>
      </c>
      <c r="B294" s="14" t="s">
        <v>408</v>
      </c>
      <c r="C294" s="14"/>
      <c r="D294" s="14" t="s">
        <v>409</v>
      </c>
      <c r="E294" s="15">
        <v>41640</v>
      </c>
      <c r="F294" s="15">
        <v>42004</v>
      </c>
      <c r="G294" s="14" t="s">
        <v>410</v>
      </c>
      <c r="H294" s="14">
        <v>1</v>
      </c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 t="s">
        <v>413</v>
      </c>
    </row>
    <row r="295" spans="1:32" ht="14.25" customHeight="1" x14ac:dyDescent="0.35">
      <c r="A295" s="16" t="s">
        <v>561</v>
      </c>
      <c r="B295" s="16" t="s">
        <v>408</v>
      </c>
      <c r="C295" s="16" t="s">
        <v>414</v>
      </c>
      <c r="D295" s="16" t="s">
        <v>409</v>
      </c>
      <c r="E295" s="17">
        <v>41640</v>
      </c>
      <c r="F295" s="17">
        <v>42004</v>
      </c>
      <c r="G295" s="16" t="s">
        <v>410</v>
      </c>
      <c r="H295" s="16">
        <v>12.8</v>
      </c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 t="s">
        <v>413</v>
      </c>
    </row>
    <row r="296" spans="1:32" ht="14.25" customHeight="1" x14ac:dyDescent="0.35">
      <c r="A296" s="14" t="s">
        <v>563</v>
      </c>
      <c r="B296" s="14" t="s">
        <v>420</v>
      </c>
      <c r="C296" s="14" t="s">
        <v>414</v>
      </c>
      <c r="D296" s="14" t="s">
        <v>409</v>
      </c>
      <c r="E296" s="15">
        <v>41640</v>
      </c>
      <c r="F296" s="15">
        <v>42004</v>
      </c>
      <c r="G296" s="14" t="s">
        <v>410</v>
      </c>
      <c r="H296" s="14">
        <v>22.2</v>
      </c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 t="s">
        <v>411</v>
      </c>
    </row>
    <row r="297" spans="1:32" ht="14.25" customHeight="1" x14ac:dyDescent="0.35">
      <c r="A297" s="16" t="s">
        <v>564</v>
      </c>
      <c r="B297" s="16" t="s">
        <v>427</v>
      </c>
      <c r="C297" s="16"/>
      <c r="D297" s="16" t="s">
        <v>565</v>
      </c>
      <c r="E297" s="17">
        <v>41640</v>
      </c>
      <c r="F297" s="17">
        <v>42004</v>
      </c>
      <c r="G297" s="16" t="s">
        <v>415</v>
      </c>
      <c r="H297" s="16">
        <v>0.5</v>
      </c>
      <c r="I297" s="16">
        <v>0.5</v>
      </c>
      <c r="J297" s="16">
        <v>0.5</v>
      </c>
      <c r="K297" s="16">
        <v>0.5</v>
      </c>
      <c r="L297" s="16">
        <v>0.5</v>
      </c>
      <c r="M297" s="16">
        <v>0.5</v>
      </c>
      <c r="N297" s="16">
        <v>1</v>
      </c>
      <c r="O297" s="16">
        <v>1</v>
      </c>
      <c r="P297" s="16">
        <v>1</v>
      </c>
      <c r="Q297" s="16">
        <v>1</v>
      </c>
      <c r="R297" s="16">
        <v>1</v>
      </c>
      <c r="S297" s="16">
        <v>1</v>
      </c>
      <c r="T297" s="16">
        <v>1</v>
      </c>
      <c r="U297" s="16">
        <v>1</v>
      </c>
      <c r="V297" s="16">
        <v>1</v>
      </c>
      <c r="W297" s="16">
        <v>1</v>
      </c>
      <c r="X297" s="16">
        <v>1</v>
      </c>
      <c r="Y297" s="16">
        <v>1</v>
      </c>
      <c r="Z297" s="16">
        <v>0.8</v>
      </c>
      <c r="AA297" s="16">
        <v>0.8</v>
      </c>
      <c r="AB297" s="16">
        <v>0.5</v>
      </c>
      <c r="AC297" s="16">
        <v>0.5</v>
      </c>
      <c r="AD297" s="16">
        <v>0.5</v>
      </c>
      <c r="AE297" s="16">
        <v>0.5</v>
      </c>
      <c r="AF297" s="16" t="s">
        <v>411</v>
      </c>
    </row>
    <row r="298" spans="1:32" ht="14.25" customHeight="1" x14ac:dyDescent="0.35">
      <c r="A298" s="14" t="s">
        <v>564</v>
      </c>
      <c r="B298" s="14" t="s">
        <v>427</v>
      </c>
      <c r="C298" s="14"/>
      <c r="D298" s="14" t="s">
        <v>418</v>
      </c>
      <c r="E298" s="15">
        <v>41640</v>
      </c>
      <c r="F298" s="15">
        <v>42004</v>
      </c>
      <c r="G298" s="14" t="s">
        <v>410</v>
      </c>
      <c r="H298" s="14">
        <v>0.3</v>
      </c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 t="s">
        <v>411</v>
      </c>
    </row>
    <row r="299" spans="1:32" ht="14.25" customHeight="1" x14ac:dyDescent="0.35">
      <c r="A299" s="16" t="s">
        <v>566</v>
      </c>
      <c r="B299" s="16" t="s">
        <v>420</v>
      </c>
      <c r="C299" s="16" t="s">
        <v>414</v>
      </c>
      <c r="D299" s="16" t="s">
        <v>409</v>
      </c>
      <c r="E299" s="17">
        <v>41640</v>
      </c>
      <c r="F299" s="17">
        <v>42004</v>
      </c>
      <c r="G299" s="16" t="s">
        <v>410</v>
      </c>
      <c r="H299" s="16">
        <v>21.1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 t="s">
        <v>411</v>
      </c>
    </row>
    <row r="300" spans="1:32" ht="14.25" customHeight="1" x14ac:dyDescent="0.35">
      <c r="A300" s="14" t="s">
        <v>567</v>
      </c>
      <c r="B300" s="14" t="s">
        <v>424</v>
      </c>
      <c r="C300" s="14"/>
      <c r="D300" s="14" t="s">
        <v>524</v>
      </c>
      <c r="E300" s="15">
        <v>41640</v>
      </c>
      <c r="F300" s="15">
        <v>42004</v>
      </c>
      <c r="G300" s="14" t="s">
        <v>415</v>
      </c>
      <c r="H300" s="14">
        <v>0.5</v>
      </c>
      <c r="I300" s="14">
        <v>0.5</v>
      </c>
      <c r="J300" s="14">
        <v>0.5</v>
      </c>
      <c r="K300" s="14">
        <v>0.5</v>
      </c>
      <c r="L300" s="14">
        <v>0.7</v>
      </c>
      <c r="M300" s="14">
        <v>0.7</v>
      </c>
      <c r="N300" s="14">
        <v>0.9</v>
      </c>
      <c r="O300" s="14">
        <v>0.9</v>
      </c>
      <c r="P300" s="14">
        <v>0.9</v>
      </c>
      <c r="Q300" s="14">
        <v>0.9</v>
      </c>
      <c r="R300" s="14">
        <v>0.9</v>
      </c>
      <c r="S300" s="14">
        <v>0.9</v>
      </c>
      <c r="T300" s="14">
        <v>0.9</v>
      </c>
      <c r="U300" s="14">
        <v>0.9</v>
      </c>
      <c r="V300" s="14">
        <v>0.9</v>
      </c>
      <c r="W300" s="14">
        <v>0.9</v>
      </c>
      <c r="X300" s="14">
        <v>0.9</v>
      </c>
      <c r="Y300" s="14">
        <v>0.9</v>
      </c>
      <c r="Z300" s="14">
        <v>0.7</v>
      </c>
      <c r="AA300" s="14">
        <v>0.7</v>
      </c>
      <c r="AB300" s="14">
        <v>0.7</v>
      </c>
      <c r="AC300" s="14">
        <v>0.7</v>
      </c>
      <c r="AD300" s="14">
        <v>0.5</v>
      </c>
      <c r="AE300" s="14">
        <v>0.5</v>
      </c>
      <c r="AF300" s="14" t="s">
        <v>411</v>
      </c>
    </row>
    <row r="301" spans="1:32" ht="14.25" customHeight="1" x14ac:dyDescent="0.35">
      <c r="A301" s="16" t="s">
        <v>568</v>
      </c>
      <c r="B301" s="16" t="s">
        <v>448</v>
      </c>
      <c r="C301" s="16"/>
      <c r="D301" s="16" t="s">
        <v>524</v>
      </c>
      <c r="E301" s="17">
        <v>41640</v>
      </c>
      <c r="F301" s="17">
        <v>42004</v>
      </c>
      <c r="G301" s="16" t="s">
        <v>415</v>
      </c>
      <c r="H301" s="16">
        <v>0.4</v>
      </c>
      <c r="I301" s="16">
        <v>0.4</v>
      </c>
      <c r="J301" s="16">
        <v>0.4</v>
      </c>
      <c r="K301" s="16">
        <v>0.4</v>
      </c>
      <c r="L301" s="16">
        <v>0.65</v>
      </c>
      <c r="M301" s="16">
        <v>0.65</v>
      </c>
      <c r="N301" s="16">
        <v>0.9</v>
      </c>
      <c r="O301" s="16">
        <v>0.9</v>
      </c>
      <c r="P301" s="16">
        <v>0.9</v>
      </c>
      <c r="Q301" s="16">
        <v>0.9</v>
      </c>
      <c r="R301" s="16">
        <v>0.9</v>
      </c>
      <c r="S301" s="16">
        <v>0.9</v>
      </c>
      <c r="T301" s="16">
        <v>0.9</v>
      </c>
      <c r="U301" s="16">
        <v>0.9</v>
      </c>
      <c r="V301" s="16">
        <v>0.9</v>
      </c>
      <c r="W301" s="16">
        <v>0.9</v>
      </c>
      <c r="X301" s="16">
        <v>0.9</v>
      </c>
      <c r="Y301" s="16">
        <v>0.9</v>
      </c>
      <c r="Z301" s="16">
        <v>0.65</v>
      </c>
      <c r="AA301" s="16">
        <v>0.65</v>
      </c>
      <c r="AB301" s="16">
        <v>0.65</v>
      </c>
      <c r="AC301" s="16">
        <v>0.65</v>
      </c>
      <c r="AD301" s="16">
        <v>0.4</v>
      </c>
      <c r="AE301" s="16">
        <v>0.4</v>
      </c>
      <c r="AF301" s="16" t="s">
        <v>411</v>
      </c>
    </row>
    <row r="302" spans="1:32" ht="14.25" customHeight="1" x14ac:dyDescent="0.35">
      <c r="A302" s="16" t="s">
        <v>569</v>
      </c>
      <c r="B302" s="16" t="s">
        <v>408</v>
      </c>
      <c r="C302" s="16" t="s">
        <v>414</v>
      </c>
      <c r="D302" s="16" t="s">
        <v>409</v>
      </c>
      <c r="E302" s="17">
        <v>41640</v>
      </c>
      <c r="F302" s="17">
        <v>42004</v>
      </c>
      <c r="G302" s="16" t="s">
        <v>410</v>
      </c>
      <c r="H302" s="16">
        <v>6.7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 t="s">
        <v>413</v>
      </c>
    </row>
    <row r="303" spans="1:32" ht="14.25" customHeight="1" x14ac:dyDescent="0.35">
      <c r="A303" s="14" t="s">
        <v>570</v>
      </c>
      <c r="B303" s="14" t="s">
        <v>460</v>
      </c>
      <c r="C303" s="14" t="s">
        <v>412</v>
      </c>
      <c r="D303" s="14" t="s">
        <v>409</v>
      </c>
      <c r="E303" s="15">
        <v>41640</v>
      </c>
      <c r="F303" s="15">
        <v>42004</v>
      </c>
      <c r="G303" s="14" t="s">
        <v>410</v>
      </c>
      <c r="H303" s="14">
        <v>82.22</v>
      </c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 t="s">
        <v>413</v>
      </c>
    </row>
    <row r="304" spans="1:32" ht="14.25" customHeight="1" x14ac:dyDescent="0.35">
      <c r="A304" s="16" t="s">
        <v>571</v>
      </c>
      <c r="B304" s="16" t="s">
        <v>460</v>
      </c>
      <c r="C304" s="16" t="s">
        <v>412</v>
      </c>
      <c r="D304" s="16" t="s">
        <v>409</v>
      </c>
      <c r="E304" s="17">
        <v>41640</v>
      </c>
      <c r="F304" s="17">
        <v>42004</v>
      </c>
      <c r="G304" s="16" t="s">
        <v>410</v>
      </c>
      <c r="H304" s="16">
        <v>60</v>
      </c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 t="s">
        <v>413</v>
      </c>
    </row>
    <row r="305" spans="1:32" ht="14.25" customHeight="1" x14ac:dyDescent="0.35">
      <c r="A305" s="14" t="s">
        <v>572</v>
      </c>
      <c r="B305" s="14" t="s">
        <v>408</v>
      </c>
      <c r="C305" s="14"/>
      <c r="D305" s="14" t="s">
        <v>409</v>
      </c>
      <c r="E305" s="15">
        <v>41640</v>
      </c>
      <c r="F305" s="15">
        <v>42004</v>
      </c>
      <c r="G305" s="14" t="s">
        <v>410</v>
      </c>
      <c r="H305" s="14">
        <v>4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 t="s">
        <v>413</v>
      </c>
    </row>
    <row r="306" spans="1:32" ht="14.25" customHeight="1" x14ac:dyDescent="0.35">
      <c r="A306" s="16" t="s">
        <v>573</v>
      </c>
      <c r="B306" s="16" t="s">
        <v>424</v>
      </c>
      <c r="C306" s="16"/>
      <c r="D306" s="16" t="s">
        <v>409</v>
      </c>
      <c r="E306" s="17">
        <v>41640</v>
      </c>
      <c r="F306" s="17">
        <v>42004</v>
      </c>
      <c r="G306" s="16" t="s">
        <v>410</v>
      </c>
      <c r="H306" s="16">
        <v>1</v>
      </c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 t="s">
        <v>413</v>
      </c>
    </row>
    <row r="307" spans="1:32" ht="14.25" customHeight="1" x14ac:dyDescent="0.35">
      <c r="A307" s="14" t="s">
        <v>574</v>
      </c>
      <c r="B307" s="14" t="s">
        <v>424</v>
      </c>
      <c r="C307" s="14"/>
      <c r="D307" s="14" t="s">
        <v>417</v>
      </c>
      <c r="E307" s="15">
        <v>41640</v>
      </c>
      <c r="F307" s="15">
        <v>42004</v>
      </c>
      <c r="G307" s="14" t="s">
        <v>415</v>
      </c>
      <c r="H307" s="14">
        <v>0.2</v>
      </c>
      <c r="I307" s="14">
        <v>0.2</v>
      </c>
      <c r="J307" s="14">
        <v>0.2</v>
      </c>
      <c r="K307" s="14">
        <v>0.2</v>
      </c>
      <c r="L307" s="14">
        <v>0.2</v>
      </c>
      <c r="M307" s="14">
        <v>0.2</v>
      </c>
      <c r="N307" s="14">
        <v>0.2</v>
      </c>
      <c r="O307" s="14">
        <v>0.2</v>
      </c>
      <c r="P307" s="14">
        <v>0.4</v>
      </c>
      <c r="Q307" s="14">
        <v>0.4</v>
      </c>
      <c r="R307" s="14">
        <v>0.4</v>
      </c>
      <c r="S307" s="14">
        <v>0.4</v>
      </c>
      <c r="T307" s="14">
        <v>0.4</v>
      </c>
      <c r="U307" s="14">
        <v>0.4</v>
      </c>
      <c r="V307" s="14">
        <v>0.4</v>
      </c>
      <c r="W307" s="14">
        <v>0.4</v>
      </c>
      <c r="X307" s="14">
        <v>0.2</v>
      </c>
      <c r="Y307" s="14">
        <v>0.2</v>
      </c>
      <c r="Z307" s="14">
        <v>0.2</v>
      </c>
      <c r="AA307" s="14">
        <v>0.2</v>
      </c>
      <c r="AB307" s="14">
        <v>0.2</v>
      </c>
      <c r="AC307" s="14">
        <v>0.2</v>
      </c>
      <c r="AD307" s="14">
        <v>0.2</v>
      </c>
      <c r="AE307" s="14">
        <v>0.2</v>
      </c>
      <c r="AF307" s="14" t="s">
        <v>413</v>
      </c>
    </row>
    <row r="308" spans="1:32" ht="14.25" customHeight="1" x14ac:dyDescent="0.35">
      <c r="A308" s="16" t="s">
        <v>574</v>
      </c>
      <c r="B308" s="16" t="s">
        <v>424</v>
      </c>
      <c r="C308" s="16"/>
      <c r="D308" s="16" t="s">
        <v>512</v>
      </c>
      <c r="E308" s="17">
        <v>41640</v>
      </c>
      <c r="F308" s="17">
        <v>42004</v>
      </c>
      <c r="G308" s="16" t="s">
        <v>415</v>
      </c>
      <c r="H308" s="16">
        <v>0.2</v>
      </c>
      <c r="I308" s="16">
        <v>0.2</v>
      </c>
      <c r="J308" s="16">
        <v>0.2</v>
      </c>
      <c r="K308" s="16">
        <v>0.2</v>
      </c>
      <c r="L308" s="16">
        <v>0.2</v>
      </c>
      <c r="M308" s="16">
        <v>0.2</v>
      </c>
      <c r="N308" s="16">
        <v>0.2</v>
      </c>
      <c r="O308" s="16">
        <v>0.4</v>
      </c>
      <c r="P308" s="16">
        <v>0.46</v>
      </c>
      <c r="Q308" s="16">
        <v>0.7</v>
      </c>
      <c r="R308" s="16">
        <v>0.7</v>
      </c>
      <c r="S308" s="16">
        <v>0.7</v>
      </c>
      <c r="T308" s="16">
        <v>0.51</v>
      </c>
      <c r="U308" s="16">
        <v>0.51</v>
      </c>
      <c r="V308" s="16">
        <v>0.51</v>
      </c>
      <c r="W308" s="16">
        <v>0.51</v>
      </c>
      <c r="X308" s="16">
        <v>0.51</v>
      </c>
      <c r="Y308" s="16">
        <v>0.25</v>
      </c>
      <c r="Z308" s="16">
        <v>0.2</v>
      </c>
      <c r="AA308" s="16">
        <v>0.2</v>
      </c>
      <c r="AB308" s="16">
        <v>0.2</v>
      </c>
      <c r="AC308" s="16">
        <v>0.2</v>
      </c>
      <c r="AD308" s="16">
        <v>0.2</v>
      </c>
      <c r="AE308" s="16">
        <v>0.2</v>
      </c>
      <c r="AF308" s="16" t="s">
        <v>413</v>
      </c>
    </row>
    <row r="309" spans="1:32" ht="14.25" customHeight="1" x14ac:dyDescent="0.35">
      <c r="A309" s="14" t="s">
        <v>574</v>
      </c>
      <c r="B309" s="14" t="s">
        <v>424</v>
      </c>
      <c r="C309" s="14"/>
      <c r="D309" s="14" t="s">
        <v>419</v>
      </c>
      <c r="E309" s="15">
        <v>41640</v>
      </c>
      <c r="F309" s="15">
        <v>42004</v>
      </c>
      <c r="G309" s="14" t="s">
        <v>410</v>
      </c>
      <c r="H309" s="14">
        <v>1</v>
      </c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 t="s">
        <v>413</v>
      </c>
    </row>
    <row r="310" spans="1:32" ht="14.25" customHeight="1" x14ac:dyDescent="0.35">
      <c r="A310" s="14" t="s">
        <v>574</v>
      </c>
      <c r="B310" s="14" t="s">
        <v>424</v>
      </c>
      <c r="C310" s="14"/>
      <c r="D310" s="14" t="s">
        <v>429</v>
      </c>
      <c r="E310" s="15">
        <v>41640</v>
      </c>
      <c r="F310" s="15">
        <v>42004</v>
      </c>
      <c r="G310" s="14" t="s">
        <v>415</v>
      </c>
      <c r="H310" s="14">
        <v>0.2</v>
      </c>
      <c r="I310" s="14">
        <v>0.2</v>
      </c>
      <c r="J310" s="14">
        <v>0.2</v>
      </c>
      <c r="K310" s="14">
        <v>0.2</v>
      </c>
      <c r="L310" s="14">
        <v>0.2</v>
      </c>
      <c r="M310" s="14">
        <v>0.2</v>
      </c>
      <c r="N310" s="14">
        <v>0.2</v>
      </c>
      <c r="O310" s="14">
        <v>0.5</v>
      </c>
      <c r="P310" s="14">
        <v>1</v>
      </c>
      <c r="Q310" s="14">
        <v>1</v>
      </c>
      <c r="R310" s="14">
        <v>1</v>
      </c>
      <c r="S310" s="14">
        <v>1</v>
      </c>
      <c r="T310" s="14">
        <v>1</v>
      </c>
      <c r="U310" s="14">
        <v>1</v>
      </c>
      <c r="V310" s="14">
        <v>1</v>
      </c>
      <c r="W310" s="14">
        <v>1</v>
      </c>
      <c r="X310" s="14">
        <v>1</v>
      </c>
      <c r="Y310" s="14">
        <v>1</v>
      </c>
      <c r="Z310" s="14">
        <v>0.52</v>
      </c>
      <c r="AA310" s="14">
        <v>0.52</v>
      </c>
      <c r="AB310" s="14">
        <v>0.52</v>
      </c>
      <c r="AC310" s="14">
        <v>0.28000000000000003</v>
      </c>
      <c r="AD310" s="14">
        <v>0.2</v>
      </c>
      <c r="AE310" s="14">
        <v>0.2</v>
      </c>
      <c r="AF310" s="14" t="s">
        <v>413</v>
      </c>
    </row>
    <row r="311" spans="1:32" ht="14.25" customHeight="1" x14ac:dyDescent="0.35">
      <c r="A311" s="16" t="s">
        <v>574</v>
      </c>
      <c r="B311" s="16" t="s">
        <v>424</v>
      </c>
      <c r="C311" s="16"/>
      <c r="D311" s="16" t="s">
        <v>418</v>
      </c>
      <c r="E311" s="17">
        <v>41640</v>
      </c>
      <c r="F311" s="17">
        <v>42004</v>
      </c>
      <c r="G311" s="16" t="s">
        <v>410</v>
      </c>
      <c r="H311" s="16">
        <v>0.2</v>
      </c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 t="s">
        <v>413</v>
      </c>
    </row>
    <row r="312" spans="1:32" ht="14.25" customHeight="1" x14ac:dyDescent="0.35">
      <c r="A312" s="16" t="s">
        <v>575</v>
      </c>
      <c r="B312" s="16" t="s">
        <v>408</v>
      </c>
      <c r="C312" s="16"/>
      <c r="D312" s="16" t="s">
        <v>409</v>
      </c>
      <c r="E312" s="17">
        <v>41640</v>
      </c>
      <c r="F312" s="17">
        <v>42004</v>
      </c>
      <c r="G312" s="16" t="s">
        <v>410</v>
      </c>
      <c r="H312" s="16">
        <v>0.05</v>
      </c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 t="s">
        <v>413</v>
      </c>
    </row>
    <row r="313" spans="1:32" ht="14.25" customHeight="1" x14ac:dyDescent="0.35">
      <c r="A313" s="14" t="s">
        <v>576</v>
      </c>
      <c r="B313" s="14" t="s">
        <v>408</v>
      </c>
      <c r="C313" s="14"/>
      <c r="D313" s="14" t="s">
        <v>409</v>
      </c>
      <c r="E313" s="15">
        <v>41640</v>
      </c>
      <c r="F313" s="15">
        <v>42004</v>
      </c>
      <c r="G313" s="14" t="s">
        <v>410</v>
      </c>
      <c r="H313" s="14">
        <v>0.2</v>
      </c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 t="s">
        <v>413</v>
      </c>
    </row>
    <row r="314" spans="1:32" ht="14.25" customHeight="1" x14ac:dyDescent="0.35">
      <c r="A314" s="16" t="s">
        <v>577</v>
      </c>
      <c r="B314" s="16" t="s">
        <v>408</v>
      </c>
      <c r="C314" s="16" t="s">
        <v>414</v>
      </c>
      <c r="D314" s="16" t="s">
        <v>409</v>
      </c>
      <c r="E314" s="17">
        <v>41640</v>
      </c>
      <c r="F314" s="17">
        <v>42004</v>
      </c>
      <c r="G314" s="16" t="s">
        <v>410</v>
      </c>
      <c r="H314" s="16">
        <v>60</v>
      </c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 t="s">
        <v>413</v>
      </c>
    </row>
    <row r="315" spans="1:32" ht="14.25" customHeight="1" x14ac:dyDescent="0.35">
      <c r="A315" s="14" t="s">
        <v>578</v>
      </c>
      <c r="B315" s="14" t="s">
        <v>408</v>
      </c>
      <c r="C315" s="14" t="s">
        <v>414</v>
      </c>
      <c r="D315" s="14" t="s">
        <v>409</v>
      </c>
      <c r="E315" s="15">
        <v>41640</v>
      </c>
      <c r="F315" s="15">
        <v>42004</v>
      </c>
      <c r="G315" s="14" t="s">
        <v>410</v>
      </c>
      <c r="H315" s="14">
        <v>55</v>
      </c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 t="s">
        <v>413</v>
      </c>
    </row>
    <row r="316" spans="1:32" ht="14.25" customHeight="1" x14ac:dyDescent="0.35">
      <c r="A316" s="16" t="s">
        <v>579</v>
      </c>
      <c r="B316" s="16" t="s">
        <v>408</v>
      </c>
      <c r="C316" s="16"/>
      <c r="D316" s="16" t="s">
        <v>409</v>
      </c>
      <c r="E316" s="17">
        <v>41640</v>
      </c>
      <c r="F316" s="17">
        <v>42004</v>
      </c>
      <c r="G316" s="16" t="s">
        <v>410</v>
      </c>
      <c r="H316" s="16">
        <v>0.05</v>
      </c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 t="s">
        <v>413</v>
      </c>
    </row>
    <row r="317" spans="1:32" ht="14.25" customHeight="1" x14ac:dyDescent="0.35">
      <c r="A317" s="14" t="s">
        <v>580</v>
      </c>
      <c r="B317" s="14" t="s">
        <v>408</v>
      </c>
      <c r="C317" s="14"/>
      <c r="D317" s="14" t="s">
        <v>409</v>
      </c>
      <c r="E317" s="15">
        <v>41640</v>
      </c>
      <c r="F317" s="15">
        <v>42004</v>
      </c>
      <c r="G317" s="14" t="s">
        <v>410</v>
      </c>
      <c r="H317" s="14">
        <v>0.2</v>
      </c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 t="s">
        <v>413</v>
      </c>
    </row>
    <row r="318" spans="1:32" ht="14.25" customHeight="1" x14ac:dyDescent="0.35">
      <c r="A318" s="16" t="s">
        <v>581</v>
      </c>
      <c r="B318" s="16" t="s">
        <v>408</v>
      </c>
      <c r="C318" s="16" t="s">
        <v>414</v>
      </c>
      <c r="D318" s="16" t="s">
        <v>409</v>
      </c>
      <c r="E318" s="17">
        <v>41640</v>
      </c>
      <c r="F318" s="17">
        <v>42004</v>
      </c>
      <c r="G318" s="16" t="s">
        <v>410</v>
      </c>
      <c r="H318" s="16">
        <v>60</v>
      </c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 t="s">
        <v>413</v>
      </c>
    </row>
    <row r="319" spans="1:32" ht="14.25" customHeight="1" x14ac:dyDescent="0.35">
      <c r="A319" s="14" t="s">
        <v>582</v>
      </c>
      <c r="B319" s="14" t="s">
        <v>408</v>
      </c>
      <c r="C319" s="14" t="s">
        <v>414</v>
      </c>
      <c r="D319" s="14" t="s">
        <v>409</v>
      </c>
      <c r="E319" s="15">
        <v>41640</v>
      </c>
      <c r="F319" s="15">
        <v>42004</v>
      </c>
      <c r="G319" s="14" t="s">
        <v>410</v>
      </c>
      <c r="H319" s="14">
        <v>55</v>
      </c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 t="s">
        <v>413</v>
      </c>
    </row>
    <row r="320" spans="1:32" ht="14.25" customHeight="1" x14ac:dyDescent="0.35">
      <c r="A320" s="16" t="s">
        <v>583</v>
      </c>
      <c r="B320" s="16" t="s">
        <v>408</v>
      </c>
      <c r="C320" s="16"/>
      <c r="D320" s="16" t="s">
        <v>409</v>
      </c>
      <c r="E320" s="17">
        <v>41640</v>
      </c>
      <c r="F320" s="17">
        <v>42004</v>
      </c>
      <c r="G320" s="16" t="s">
        <v>410</v>
      </c>
      <c r="H320" s="16">
        <v>1</v>
      </c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 t="s">
        <v>413</v>
      </c>
    </row>
    <row r="321" spans="1:32" ht="14.25" customHeight="1" x14ac:dyDescent="0.35">
      <c r="A321" s="14" t="s">
        <v>584</v>
      </c>
      <c r="B321" s="14" t="s">
        <v>408</v>
      </c>
      <c r="C321" s="14"/>
      <c r="D321" s="14" t="s">
        <v>409</v>
      </c>
      <c r="E321" s="15">
        <v>41640</v>
      </c>
      <c r="F321" s="15">
        <v>42004</v>
      </c>
      <c r="G321" s="14" t="s">
        <v>410</v>
      </c>
      <c r="H321" s="14">
        <v>1</v>
      </c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 t="s">
        <v>413</v>
      </c>
    </row>
    <row r="322" spans="1:32" ht="14.25" customHeight="1" x14ac:dyDescent="0.35">
      <c r="A322" s="16" t="s">
        <v>585</v>
      </c>
      <c r="B322" s="16" t="s">
        <v>408</v>
      </c>
      <c r="C322" s="16"/>
      <c r="D322" s="16" t="s">
        <v>409</v>
      </c>
      <c r="E322" s="17">
        <v>41640</v>
      </c>
      <c r="F322" s="17">
        <v>42004</v>
      </c>
      <c r="G322" s="16" t="s">
        <v>410</v>
      </c>
      <c r="H322" s="16">
        <v>0.05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 t="s">
        <v>413</v>
      </c>
    </row>
    <row r="323" spans="1:32" ht="14.25" customHeight="1" x14ac:dyDescent="0.35">
      <c r="A323" s="14" t="s">
        <v>586</v>
      </c>
      <c r="B323" s="14" t="s">
        <v>408</v>
      </c>
      <c r="C323" s="14"/>
      <c r="D323" s="14" t="s">
        <v>409</v>
      </c>
      <c r="E323" s="15">
        <v>41640</v>
      </c>
      <c r="F323" s="15">
        <v>42004</v>
      </c>
      <c r="G323" s="14" t="s">
        <v>410</v>
      </c>
      <c r="H323" s="14">
        <v>0.2</v>
      </c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 t="s">
        <v>413</v>
      </c>
    </row>
    <row r="324" spans="1:32" ht="14.25" customHeight="1" x14ac:dyDescent="0.35">
      <c r="A324" s="16" t="s">
        <v>587</v>
      </c>
      <c r="B324" s="16" t="s">
        <v>408</v>
      </c>
      <c r="C324" s="16" t="s">
        <v>414</v>
      </c>
      <c r="D324" s="16" t="s">
        <v>409</v>
      </c>
      <c r="E324" s="17">
        <v>41640</v>
      </c>
      <c r="F324" s="17">
        <v>42004</v>
      </c>
      <c r="G324" s="16" t="s">
        <v>410</v>
      </c>
      <c r="H324" s="16">
        <v>60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 t="s">
        <v>413</v>
      </c>
    </row>
    <row r="325" spans="1:32" ht="14.25" customHeight="1" x14ac:dyDescent="0.35">
      <c r="A325" s="14" t="s">
        <v>588</v>
      </c>
      <c r="B325" s="14" t="s">
        <v>408</v>
      </c>
      <c r="C325" s="14" t="s">
        <v>414</v>
      </c>
      <c r="D325" s="14" t="s">
        <v>409</v>
      </c>
      <c r="E325" s="15">
        <v>41640</v>
      </c>
      <c r="F325" s="15">
        <v>42004</v>
      </c>
      <c r="G325" s="14" t="s">
        <v>410</v>
      </c>
      <c r="H325" s="14">
        <v>55</v>
      </c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 t="s">
        <v>413</v>
      </c>
    </row>
    <row r="326" spans="1:32" ht="14.25" customHeight="1" x14ac:dyDescent="0.35">
      <c r="A326" s="16" t="s">
        <v>589</v>
      </c>
      <c r="B326" s="16" t="s">
        <v>408</v>
      </c>
      <c r="C326" s="16"/>
      <c r="D326" s="16" t="s">
        <v>409</v>
      </c>
      <c r="E326" s="17">
        <v>41640</v>
      </c>
      <c r="F326" s="17">
        <v>42004</v>
      </c>
      <c r="G326" s="16" t="s">
        <v>410</v>
      </c>
      <c r="H326" s="16">
        <v>0.05</v>
      </c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 t="s">
        <v>413</v>
      </c>
    </row>
    <row r="327" spans="1:32" ht="14.25" customHeight="1" x14ac:dyDescent="0.35">
      <c r="A327" s="14" t="s">
        <v>590</v>
      </c>
      <c r="B327" s="14" t="s">
        <v>408</v>
      </c>
      <c r="C327" s="14"/>
      <c r="D327" s="14" t="s">
        <v>409</v>
      </c>
      <c r="E327" s="15">
        <v>41640</v>
      </c>
      <c r="F327" s="15">
        <v>42004</v>
      </c>
      <c r="G327" s="14" t="s">
        <v>410</v>
      </c>
      <c r="H327" s="14">
        <v>0.2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 t="s">
        <v>413</v>
      </c>
    </row>
    <row r="328" spans="1:32" ht="14.25" customHeight="1" x14ac:dyDescent="0.35">
      <c r="A328" s="16" t="s">
        <v>591</v>
      </c>
      <c r="B328" s="16" t="s">
        <v>408</v>
      </c>
      <c r="C328" s="16" t="s">
        <v>414</v>
      </c>
      <c r="D328" s="16" t="s">
        <v>409</v>
      </c>
      <c r="E328" s="17">
        <v>41640</v>
      </c>
      <c r="F328" s="17">
        <v>42004</v>
      </c>
      <c r="G328" s="16" t="s">
        <v>410</v>
      </c>
      <c r="H328" s="16">
        <v>60</v>
      </c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 t="s">
        <v>413</v>
      </c>
    </row>
    <row r="329" spans="1:32" ht="14.25" customHeight="1" x14ac:dyDescent="0.35">
      <c r="A329" s="14" t="s">
        <v>592</v>
      </c>
      <c r="B329" s="14" t="s">
        <v>408</v>
      </c>
      <c r="C329" s="14" t="s">
        <v>414</v>
      </c>
      <c r="D329" s="14" t="s">
        <v>409</v>
      </c>
      <c r="E329" s="15">
        <v>41640</v>
      </c>
      <c r="F329" s="15">
        <v>42004</v>
      </c>
      <c r="G329" s="14" t="s">
        <v>410</v>
      </c>
      <c r="H329" s="14">
        <v>55</v>
      </c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 t="s">
        <v>413</v>
      </c>
    </row>
    <row r="330" spans="1:32" ht="14.25" customHeight="1" x14ac:dyDescent="0.35">
      <c r="A330" s="16" t="s">
        <v>593</v>
      </c>
      <c r="B330" s="16" t="s">
        <v>408</v>
      </c>
      <c r="C330" s="16"/>
      <c r="D330" s="16" t="s">
        <v>409</v>
      </c>
      <c r="E330" s="17">
        <v>41640</v>
      </c>
      <c r="F330" s="17">
        <v>42004</v>
      </c>
      <c r="G330" s="16" t="s">
        <v>410</v>
      </c>
      <c r="H330" s="16">
        <v>0.05</v>
      </c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 t="s">
        <v>413</v>
      </c>
    </row>
    <row r="331" spans="1:32" ht="14.25" customHeight="1" x14ac:dyDescent="0.35">
      <c r="A331" s="14" t="s">
        <v>594</v>
      </c>
      <c r="B331" s="14" t="s">
        <v>408</v>
      </c>
      <c r="C331" s="14"/>
      <c r="D331" s="14" t="s">
        <v>409</v>
      </c>
      <c r="E331" s="15">
        <v>41640</v>
      </c>
      <c r="F331" s="15">
        <v>42004</v>
      </c>
      <c r="G331" s="14" t="s">
        <v>410</v>
      </c>
      <c r="H331" s="14">
        <v>0.2</v>
      </c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 t="s">
        <v>413</v>
      </c>
    </row>
    <row r="332" spans="1:32" ht="14.25" customHeight="1" x14ac:dyDescent="0.35">
      <c r="A332" s="16" t="s">
        <v>595</v>
      </c>
      <c r="B332" s="16" t="s">
        <v>408</v>
      </c>
      <c r="C332" s="16" t="s">
        <v>414</v>
      </c>
      <c r="D332" s="16" t="s">
        <v>409</v>
      </c>
      <c r="E332" s="17">
        <v>41640</v>
      </c>
      <c r="F332" s="17">
        <v>42004</v>
      </c>
      <c r="G332" s="16" t="s">
        <v>410</v>
      </c>
      <c r="H332" s="16">
        <v>60</v>
      </c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 t="s">
        <v>413</v>
      </c>
    </row>
    <row r="333" spans="1:32" ht="14.25" customHeight="1" x14ac:dyDescent="0.35">
      <c r="A333" s="14" t="s">
        <v>596</v>
      </c>
      <c r="B333" s="14" t="s">
        <v>408</v>
      </c>
      <c r="C333" s="14" t="s">
        <v>414</v>
      </c>
      <c r="D333" s="14" t="s">
        <v>409</v>
      </c>
      <c r="E333" s="15">
        <v>41640</v>
      </c>
      <c r="F333" s="15">
        <v>42004</v>
      </c>
      <c r="G333" s="14" t="s">
        <v>410</v>
      </c>
      <c r="H333" s="14">
        <v>55</v>
      </c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 t="s">
        <v>413</v>
      </c>
    </row>
    <row r="334" spans="1:32" ht="14.25" customHeight="1" x14ac:dyDescent="0.35">
      <c r="A334" s="16" t="s">
        <v>597</v>
      </c>
      <c r="B334" s="16" t="s">
        <v>408</v>
      </c>
      <c r="C334" s="16"/>
      <c r="D334" s="16" t="s">
        <v>409</v>
      </c>
      <c r="E334" s="17">
        <v>41640</v>
      </c>
      <c r="F334" s="17">
        <v>42004</v>
      </c>
      <c r="G334" s="16" t="s">
        <v>410</v>
      </c>
      <c r="H334" s="16">
        <v>1</v>
      </c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 t="s">
        <v>413</v>
      </c>
    </row>
    <row r="335" spans="1:32" ht="14.25" customHeight="1" x14ac:dyDescent="0.35">
      <c r="A335" s="14" t="s">
        <v>598</v>
      </c>
      <c r="B335" s="14" t="s">
        <v>408</v>
      </c>
      <c r="C335" s="14" t="s">
        <v>414</v>
      </c>
      <c r="D335" s="14" t="s">
        <v>409</v>
      </c>
      <c r="E335" s="15">
        <v>41640</v>
      </c>
      <c r="F335" s="15">
        <v>42004</v>
      </c>
      <c r="G335" s="14" t="s">
        <v>410</v>
      </c>
      <c r="H335" s="14">
        <v>12.8</v>
      </c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 t="s">
        <v>413</v>
      </c>
    </row>
    <row r="336" spans="1:32" ht="14.25" customHeight="1" x14ac:dyDescent="0.35">
      <c r="A336" s="16" t="s">
        <v>599</v>
      </c>
      <c r="B336" s="16" t="s">
        <v>600</v>
      </c>
      <c r="C336" s="16"/>
      <c r="D336" s="16" t="s">
        <v>409</v>
      </c>
      <c r="E336" s="17">
        <v>41640</v>
      </c>
      <c r="F336" s="17">
        <v>42004</v>
      </c>
      <c r="G336" s="16" t="s">
        <v>410</v>
      </c>
      <c r="H336" s="16">
        <v>1</v>
      </c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 t="s">
        <v>413</v>
      </c>
    </row>
    <row r="337" spans="1:32" ht="14.25" customHeight="1" x14ac:dyDescent="0.35">
      <c r="A337" s="14" t="s">
        <v>601</v>
      </c>
      <c r="B337" s="14" t="s">
        <v>420</v>
      </c>
      <c r="C337" s="14" t="s">
        <v>414</v>
      </c>
      <c r="D337" s="14" t="s">
        <v>409</v>
      </c>
      <c r="E337" s="15">
        <v>41640</v>
      </c>
      <c r="F337" s="15">
        <v>42004</v>
      </c>
      <c r="G337" s="14" t="s">
        <v>410</v>
      </c>
      <c r="H337" s="14">
        <v>21</v>
      </c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 t="s">
        <v>413</v>
      </c>
    </row>
    <row r="338" spans="1:32" ht="14.25" customHeight="1" x14ac:dyDescent="0.35">
      <c r="A338" s="16" t="s">
        <v>602</v>
      </c>
      <c r="B338" s="16" t="s">
        <v>408</v>
      </c>
      <c r="C338" s="16"/>
      <c r="D338" s="16" t="s">
        <v>603</v>
      </c>
      <c r="E338" s="17">
        <v>41640</v>
      </c>
      <c r="F338" s="17">
        <v>42004</v>
      </c>
      <c r="G338" s="16" t="s">
        <v>410</v>
      </c>
      <c r="H338" s="16">
        <v>50</v>
      </c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 t="s">
        <v>413</v>
      </c>
    </row>
    <row r="339" spans="1:32" ht="14.25" customHeight="1" x14ac:dyDescent="0.35">
      <c r="A339" s="14" t="s">
        <v>604</v>
      </c>
      <c r="B339" s="14" t="s">
        <v>600</v>
      </c>
      <c r="C339" s="14"/>
      <c r="D339" s="14" t="s">
        <v>409</v>
      </c>
      <c r="E339" s="15">
        <v>41640</v>
      </c>
      <c r="F339" s="15">
        <v>42004</v>
      </c>
      <c r="G339" s="14" t="s">
        <v>410</v>
      </c>
      <c r="H339" s="14">
        <v>1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 t="s">
        <v>413</v>
      </c>
    </row>
    <row r="340" spans="1:32" ht="14.25" customHeight="1" x14ac:dyDescent="0.35">
      <c r="A340" s="16" t="s">
        <v>605</v>
      </c>
      <c r="B340" s="16" t="s">
        <v>408</v>
      </c>
      <c r="C340" s="16" t="s">
        <v>414</v>
      </c>
      <c r="D340" s="16" t="s">
        <v>409</v>
      </c>
      <c r="E340" s="17">
        <v>41640</v>
      </c>
      <c r="F340" s="17">
        <v>42004</v>
      </c>
      <c r="G340" s="16" t="s">
        <v>410</v>
      </c>
      <c r="H340" s="16">
        <v>82</v>
      </c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 t="s">
        <v>413</v>
      </c>
    </row>
    <row r="341" spans="1:32" ht="14.25" customHeight="1" x14ac:dyDescent="0.35">
      <c r="A341" s="14" t="s">
        <v>606</v>
      </c>
      <c r="B341" s="14" t="s">
        <v>408</v>
      </c>
      <c r="C341" s="14"/>
      <c r="D341" s="14" t="s">
        <v>409</v>
      </c>
      <c r="E341" s="15">
        <v>41640</v>
      </c>
      <c r="F341" s="15">
        <v>42004</v>
      </c>
      <c r="G341" s="14" t="s">
        <v>410</v>
      </c>
      <c r="H341" s="14">
        <v>1</v>
      </c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 t="s">
        <v>413</v>
      </c>
    </row>
    <row r="342" spans="1:32" ht="14.25" customHeight="1" x14ac:dyDescent="0.35">
      <c r="A342" s="16" t="s">
        <v>607</v>
      </c>
      <c r="B342" s="16" t="s">
        <v>408</v>
      </c>
      <c r="C342" s="16"/>
      <c r="D342" s="16" t="s">
        <v>409</v>
      </c>
      <c r="E342" s="17">
        <v>41640</v>
      </c>
      <c r="F342" s="17">
        <v>42004</v>
      </c>
      <c r="G342" s="16" t="s">
        <v>410</v>
      </c>
      <c r="H342" s="16">
        <v>1</v>
      </c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 t="s">
        <v>413</v>
      </c>
    </row>
    <row r="343" spans="1:32" ht="14.25" customHeight="1" x14ac:dyDescent="0.35">
      <c r="A343" s="14" t="s">
        <v>608</v>
      </c>
      <c r="B343" s="14" t="s">
        <v>441</v>
      </c>
      <c r="C343" s="14"/>
      <c r="D343" s="14" t="s">
        <v>609</v>
      </c>
      <c r="E343" s="15">
        <v>41640</v>
      </c>
      <c r="F343" s="15">
        <v>42004</v>
      </c>
      <c r="G343" s="14" t="s">
        <v>410</v>
      </c>
      <c r="H343" s="14">
        <v>0.25</v>
      </c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 t="s">
        <v>411</v>
      </c>
    </row>
    <row r="344" spans="1:32" ht="14.25" customHeight="1" x14ac:dyDescent="0.35">
      <c r="A344" s="16" t="s">
        <v>608</v>
      </c>
      <c r="B344" s="16" t="s">
        <v>441</v>
      </c>
      <c r="C344" s="16"/>
      <c r="D344" s="16" t="s">
        <v>421</v>
      </c>
      <c r="E344" s="17">
        <v>41640</v>
      </c>
      <c r="F344" s="17">
        <v>42004</v>
      </c>
      <c r="G344" s="16" t="s">
        <v>410</v>
      </c>
      <c r="H344" s="16">
        <v>1</v>
      </c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 t="s">
        <v>411</v>
      </c>
    </row>
    <row r="345" spans="1:32" ht="14.25" customHeight="1" x14ac:dyDescent="0.35">
      <c r="A345" s="14" t="s">
        <v>610</v>
      </c>
      <c r="B345" s="14" t="s">
        <v>441</v>
      </c>
      <c r="C345" s="14"/>
      <c r="D345" s="14" t="s">
        <v>603</v>
      </c>
      <c r="E345" s="15">
        <v>41640</v>
      </c>
      <c r="F345" s="15">
        <v>42004</v>
      </c>
      <c r="G345" s="14" t="s">
        <v>410</v>
      </c>
      <c r="H345" s="14">
        <v>0.25</v>
      </c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 t="s">
        <v>413</v>
      </c>
    </row>
    <row r="346" spans="1:32" ht="14.25" customHeight="1" x14ac:dyDescent="0.35">
      <c r="A346" s="14" t="s">
        <v>611</v>
      </c>
      <c r="B346" s="14" t="s">
        <v>420</v>
      </c>
      <c r="C346" s="14" t="s">
        <v>414</v>
      </c>
      <c r="D346" s="14" t="s">
        <v>453</v>
      </c>
      <c r="E346" s="15">
        <v>41640</v>
      </c>
      <c r="F346" s="15">
        <v>42004</v>
      </c>
      <c r="G346" s="14" t="s">
        <v>415</v>
      </c>
      <c r="H346" s="14">
        <v>30</v>
      </c>
      <c r="I346" s="14">
        <v>30</v>
      </c>
      <c r="J346" s="14">
        <v>30</v>
      </c>
      <c r="K346" s="14">
        <v>30</v>
      </c>
      <c r="L346" s="14">
        <v>30</v>
      </c>
      <c r="M346" s="14">
        <v>26</v>
      </c>
      <c r="N346" s="14">
        <v>26</v>
      </c>
      <c r="O346" s="14">
        <v>26</v>
      </c>
      <c r="P346" s="14">
        <v>26</v>
      </c>
      <c r="Q346" s="14">
        <v>26</v>
      </c>
      <c r="R346" s="14">
        <v>26</v>
      </c>
      <c r="S346" s="14">
        <v>26</v>
      </c>
      <c r="T346" s="14">
        <v>26</v>
      </c>
      <c r="U346" s="14">
        <v>26</v>
      </c>
      <c r="V346" s="14">
        <v>26</v>
      </c>
      <c r="W346" s="14">
        <v>26</v>
      </c>
      <c r="X346" s="14">
        <v>26</v>
      </c>
      <c r="Y346" s="14">
        <v>26</v>
      </c>
      <c r="Z346" s="14">
        <v>30</v>
      </c>
      <c r="AA346" s="14">
        <v>30</v>
      </c>
      <c r="AB346" s="14">
        <v>30</v>
      </c>
      <c r="AC346" s="14">
        <v>30</v>
      </c>
      <c r="AD346" s="14">
        <v>30</v>
      </c>
      <c r="AE346" s="14">
        <v>30</v>
      </c>
      <c r="AF346" s="14" t="s">
        <v>411</v>
      </c>
    </row>
    <row r="347" spans="1:32" ht="14.25" customHeight="1" x14ac:dyDescent="0.35">
      <c r="A347" s="14" t="s">
        <v>611</v>
      </c>
      <c r="B347" s="14" t="s">
        <v>420</v>
      </c>
      <c r="C347" s="14" t="s">
        <v>414</v>
      </c>
      <c r="D347" s="14" t="s">
        <v>530</v>
      </c>
      <c r="E347" s="15">
        <v>41640</v>
      </c>
      <c r="F347" s="15">
        <v>42004</v>
      </c>
      <c r="G347" s="14" t="s">
        <v>410</v>
      </c>
      <c r="H347" s="14">
        <v>30</v>
      </c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 t="s">
        <v>411</v>
      </c>
    </row>
    <row r="348" spans="1:32" ht="14.25" customHeight="1" x14ac:dyDescent="0.35">
      <c r="A348" s="16" t="s">
        <v>611</v>
      </c>
      <c r="B348" s="16" t="s">
        <v>420</v>
      </c>
      <c r="C348" s="16" t="s">
        <v>414</v>
      </c>
      <c r="D348" s="16" t="s">
        <v>418</v>
      </c>
      <c r="E348" s="17">
        <v>41640</v>
      </c>
      <c r="F348" s="17">
        <v>42004</v>
      </c>
      <c r="G348" s="16" t="s">
        <v>415</v>
      </c>
      <c r="H348" s="16">
        <v>30</v>
      </c>
      <c r="I348" s="16">
        <v>30</v>
      </c>
      <c r="J348" s="16">
        <v>30</v>
      </c>
      <c r="K348" s="16">
        <v>30</v>
      </c>
      <c r="L348" s="16">
        <v>30</v>
      </c>
      <c r="M348" s="16">
        <v>30</v>
      </c>
      <c r="N348" s="16">
        <v>30</v>
      </c>
      <c r="O348" s="16">
        <v>26</v>
      </c>
      <c r="P348" s="16">
        <v>26</v>
      </c>
      <c r="Q348" s="16">
        <v>26</v>
      </c>
      <c r="R348" s="16">
        <v>26</v>
      </c>
      <c r="S348" s="16">
        <v>26</v>
      </c>
      <c r="T348" s="16">
        <v>26</v>
      </c>
      <c r="U348" s="16">
        <v>26</v>
      </c>
      <c r="V348" s="16">
        <v>26</v>
      </c>
      <c r="W348" s="16">
        <v>30</v>
      </c>
      <c r="X348" s="16">
        <v>30</v>
      </c>
      <c r="Y348" s="16">
        <v>30</v>
      </c>
      <c r="Z348" s="16">
        <v>30</v>
      </c>
      <c r="AA348" s="16">
        <v>30</v>
      </c>
      <c r="AB348" s="16">
        <v>30</v>
      </c>
      <c r="AC348" s="16">
        <v>30</v>
      </c>
      <c r="AD348" s="16">
        <v>30</v>
      </c>
      <c r="AE348" s="16">
        <v>30</v>
      </c>
      <c r="AF348" s="16" t="s">
        <v>411</v>
      </c>
    </row>
    <row r="349" spans="1:32" ht="14.25" customHeight="1" x14ac:dyDescent="0.35">
      <c r="A349" s="16" t="s">
        <v>612</v>
      </c>
      <c r="B349" s="16" t="s">
        <v>427</v>
      </c>
      <c r="C349" s="16"/>
      <c r="D349" s="16" t="s">
        <v>453</v>
      </c>
      <c r="E349" s="17">
        <v>41640</v>
      </c>
      <c r="F349" s="17">
        <v>42004</v>
      </c>
      <c r="G349" s="16" t="s">
        <v>415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  <c r="R349" s="16">
        <v>1</v>
      </c>
      <c r="S349" s="16">
        <v>1</v>
      </c>
      <c r="T349" s="16">
        <v>1</v>
      </c>
      <c r="U349" s="16">
        <v>1</v>
      </c>
      <c r="V349" s="16">
        <v>1</v>
      </c>
      <c r="W349" s="16">
        <v>1</v>
      </c>
      <c r="X349" s="16">
        <v>1</v>
      </c>
      <c r="Y349" s="16">
        <v>1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0</v>
      </c>
      <c r="AF349" s="16" t="s">
        <v>411</v>
      </c>
    </row>
    <row r="350" spans="1:32" ht="14.25" customHeight="1" x14ac:dyDescent="0.35">
      <c r="A350" s="16" t="s">
        <v>612</v>
      </c>
      <c r="B350" s="16" t="s">
        <v>427</v>
      </c>
      <c r="C350" s="16"/>
      <c r="D350" s="16" t="s">
        <v>530</v>
      </c>
      <c r="E350" s="17">
        <v>41640</v>
      </c>
      <c r="F350" s="17">
        <v>42004</v>
      </c>
      <c r="G350" s="16" t="s">
        <v>410</v>
      </c>
      <c r="H350" s="16">
        <v>0</v>
      </c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 t="s">
        <v>411</v>
      </c>
    </row>
    <row r="351" spans="1:32" ht="14.25" customHeight="1" x14ac:dyDescent="0.35">
      <c r="A351" s="14" t="s">
        <v>612</v>
      </c>
      <c r="B351" s="14" t="s">
        <v>427</v>
      </c>
      <c r="C351" s="14"/>
      <c r="D351" s="14" t="s">
        <v>418</v>
      </c>
      <c r="E351" s="15">
        <v>41640</v>
      </c>
      <c r="F351" s="15">
        <v>42004</v>
      </c>
      <c r="G351" s="14" t="s">
        <v>415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1</v>
      </c>
      <c r="P351" s="14">
        <v>1</v>
      </c>
      <c r="Q351" s="14">
        <v>1</v>
      </c>
      <c r="R351" s="14">
        <v>1</v>
      </c>
      <c r="S351" s="14">
        <v>1</v>
      </c>
      <c r="T351" s="14">
        <v>1</v>
      </c>
      <c r="U351" s="14">
        <v>1</v>
      </c>
      <c r="V351" s="14">
        <v>1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 t="s">
        <v>411</v>
      </c>
    </row>
    <row r="352" spans="1:32" ht="14.25" customHeight="1" x14ac:dyDescent="0.35">
      <c r="A352" s="16" t="s">
        <v>613</v>
      </c>
      <c r="B352" s="16" t="s">
        <v>427</v>
      </c>
      <c r="C352" s="16"/>
      <c r="D352" s="16" t="s">
        <v>409</v>
      </c>
      <c r="E352" s="17">
        <v>41640</v>
      </c>
      <c r="F352" s="17">
        <v>42004</v>
      </c>
      <c r="G352" s="16" t="s">
        <v>415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0.44579999999999997</v>
      </c>
      <c r="P352" s="16">
        <v>0.44579999999999997</v>
      </c>
      <c r="Q352" s="16">
        <v>0.44579999999999997</v>
      </c>
      <c r="R352" s="16">
        <v>0.44579999999999997</v>
      </c>
      <c r="S352" s="16">
        <v>0.44579999999999997</v>
      </c>
      <c r="T352" s="16">
        <v>0.44579999999999997</v>
      </c>
      <c r="U352" s="16">
        <v>0.44579999999999997</v>
      </c>
      <c r="V352" s="16">
        <v>0.44579999999999997</v>
      </c>
      <c r="W352" s="16">
        <v>0.44579999999999997</v>
      </c>
      <c r="X352" s="16">
        <v>0.44579999999999997</v>
      </c>
      <c r="Y352" s="16">
        <v>0.44579999999999997</v>
      </c>
      <c r="Z352" s="16">
        <v>0.44579999999999997</v>
      </c>
      <c r="AA352" s="16">
        <v>0.44579999999999997</v>
      </c>
      <c r="AB352" s="16">
        <v>0.44579999999999997</v>
      </c>
      <c r="AC352" s="16">
        <v>0.44579999999999997</v>
      </c>
      <c r="AD352" s="16">
        <v>0.44579999999999997</v>
      </c>
      <c r="AE352" s="16">
        <v>0.44579999999999997</v>
      </c>
      <c r="AF352" s="16" t="s">
        <v>413</v>
      </c>
    </row>
    <row r="353" spans="1:32" ht="14.25" customHeight="1" x14ac:dyDescent="0.35">
      <c r="A353" s="14" t="s">
        <v>614</v>
      </c>
      <c r="B353" s="14" t="s">
        <v>427</v>
      </c>
      <c r="C353" s="14"/>
      <c r="D353" s="14" t="s">
        <v>520</v>
      </c>
      <c r="E353" s="15">
        <v>41640</v>
      </c>
      <c r="F353" s="15">
        <v>42004</v>
      </c>
      <c r="G353" s="14" t="s">
        <v>415</v>
      </c>
      <c r="H353" s="14">
        <v>0.02</v>
      </c>
      <c r="I353" s="14">
        <v>0.02</v>
      </c>
      <c r="J353" s="14">
        <v>0.02</v>
      </c>
      <c r="K353" s="14">
        <v>0.02</v>
      </c>
      <c r="L353" s="14">
        <v>0.02</v>
      </c>
      <c r="M353" s="14">
        <v>0.05</v>
      </c>
      <c r="N353" s="14">
        <v>0.1</v>
      </c>
      <c r="O353" s="14">
        <v>0.15</v>
      </c>
      <c r="P353" s="14">
        <v>0.2</v>
      </c>
      <c r="Q353" s="14">
        <v>0.15</v>
      </c>
      <c r="R353" s="14">
        <v>0.25</v>
      </c>
      <c r="S353" s="14">
        <v>0.25</v>
      </c>
      <c r="T353" s="14">
        <v>0.25</v>
      </c>
      <c r="U353" s="14">
        <v>0.2</v>
      </c>
      <c r="V353" s="14">
        <v>0.15</v>
      </c>
      <c r="W353" s="14">
        <v>0.2</v>
      </c>
      <c r="X353" s="14">
        <v>0.3</v>
      </c>
      <c r="Y353" s="14">
        <v>0.3</v>
      </c>
      <c r="Z353" s="14">
        <v>0.3</v>
      </c>
      <c r="AA353" s="14">
        <v>0.2</v>
      </c>
      <c r="AB353" s="14">
        <v>0.2</v>
      </c>
      <c r="AC353" s="14">
        <v>0.15</v>
      </c>
      <c r="AD353" s="14">
        <v>0.1</v>
      </c>
      <c r="AE353" s="14">
        <v>0.05</v>
      </c>
      <c r="AF353" s="14" t="s">
        <v>411</v>
      </c>
    </row>
    <row r="354" spans="1:32" ht="14.25" customHeight="1" x14ac:dyDescent="0.35">
      <c r="A354" s="14" t="s">
        <v>614</v>
      </c>
      <c r="B354" s="14" t="s">
        <v>427</v>
      </c>
      <c r="C354" s="14"/>
      <c r="D354" s="14" t="s">
        <v>419</v>
      </c>
      <c r="E354" s="15">
        <v>41640</v>
      </c>
      <c r="F354" s="15">
        <v>42004</v>
      </c>
      <c r="G354" s="14" t="s">
        <v>410</v>
      </c>
      <c r="H354" s="14">
        <v>0.25</v>
      </c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 t="s">
        <v>411</v>
      </c>
    </row>
    <row r="355" spans="1:32" ht="14.25" customHeight="1" x14ac:dyDescent="0.35">
      <c r="A355" s="16" t="s">
        <v>614</v>
      </c>
      <c r="B355" s="16" t="s">
        <v>427</v>
      </c>
      <c r="C355" s="16"/>
      <c r="D355" s="16" t="s">
        <v>418</v>
      </c>
      <c r="E355" s="17">
        <v>41640</v>
      </c>
      <c r="F355" s="17">
        <v>42004</v>
      </c>
      <c r="G355" s="16" t="s">
        <v>410</v>
      </c>
      <c r="H355" s="16">
        <v>0</v>
      </c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 t="s">
        <v>411</v>
      </c>
    </row>
    <row r="356" spans="1:32" ht="14.25" customHeight="1" x14ac:dyDescent="0.35">
      <c r="A356" s="16" t="s">
        <v>615</v>
      </c>
      <c r="B356" s="16" t="s">
        <v>420</v>
      </c>
      <c r="C356" s="16" t="s">
        <v>414</v>
      </c>
      <c r="D356" s="16" t="s">
        <v>453</v>
      </c>
      <c r="E356" s="17">
        <v>41640</v>
      </c>
      <c r="F356" s="17">
        <v>42004</v>
      </c>
      <c r="G356" s="16" t="s">
        <v>415</v>
      </c>
      <c r="H356" s="16">
        <v>15.6</v>
      </c>
      <c r="I356" s="16">
        <v>15.6</v>
      </c>
      <c r="J356" s="16">
        <v>15.6</v>
      </c>
      <c r="K356" s="16">
        <v>15.6</v>
      </c>
      <c r="L356" s="16">
        <v>15.6</v>
      </c>
      <c r="M356" s="16">
        <v>19</v>
      </c>
      <c r="N356" s="16">
        <v>19</v>
      </c>
      <c r="O356" s="16">
        <v>19</v>
      </c>
      <c r="P356" s="16">
        <v>19</v>
      </c>
      <c r="Q356" s="16">
        <v>19</v>
      </c>
      <c r="R356" s="16">
        <v>19</v>
      </c>
      <c r="S356" s="16">
        <v>19</v>
      </c>
      <c r="T356" s="16">
        <v>19</v>
      </c>
      <c r="U356" s="16">
        <v>19</v>
      </c>
      <c r="V356" s="16">
        <v>19</v>
      </c>
      <c r="W356" s="16">
        <v>19</v>
      </c>
      <c r="X356" s="16">
        <v>19</v>
      </c>
      <c r="Y356" s="16">
        <v>19</v>
      </c>
      <c r="Z356" s="16">
        <v>15.6</v>
      </c>
      <c r="AA356" s="16">
        <v>15.6</v>
      </c>
      <c r="AB356" s="16">
        <v>15.6</v>
      </c>
      <c r="AC356" s="16">
        <v>15.6</v>
      </c>
      <c r="AD356" s="16">
        <v>15.6</v>
      </c>
      <c r="AE356" s="16">
        <v>15.6</v>
      </c>
      <c r="AF356" s="16" t="s">
        <v>411</v>
      </c>
    </row>
    <row r="357" spans="1:32" ht="14.25" customHeight="1" x14ac:dyDescent="0.35">
      <c r="A357" s="16" t="s">
        <v>615</v>
      </c>
      <c r="B357" s="16" t="s">
        <v>420</v>
      </c>
      <c r="C357" s="16" t="s">
        <v>414</v>
      </c>
      <c r="D357" s="16" t="s">
        <v>530</v>
      </c>
      <c r="E357" s="17">
        <v>41640</v>
      </c>
      <c r="F357" s="17">
        <v>42004</v>
      </c>
      <c r="G357" s="16" t="s">
        <v>410</v>
      </c>
      <c r="H357" s="16">
        <v>15.6</v>
      </c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 t="s">
        <v>411</v>
      </c>
    </row>
    <row r="358" spans="1:32" ht="14.25" customHeight="1" x14ac:dyDescent="0.35">
      <c r="A358" s="14" t="s">
        <v>615</v>
      </c>
      <c r="B358" s="14" t="s">
        <v>420</v>
      </c>
      <c r="C358" s="14" t="s">
        <v>414</v>
      </c>
      <c r="D358" s="14" t="s">
        <v>418</v>
      </c>
      <c r="E358" s="15">
        <v>41640</v>
      </c>
      <c r="F358" s="15">
        <v>42004</v>
      </c>
      <c r="G358" s="14" t="s">
        <v>415</v>
      </c>
      <c r="H358" s="14">
        <v>15.6</v>
      </c>
      <c r="I358" s="14">
        <v>15.6</v>
      </c>
      <c r="J358" s="14">
        <v>15.6</v>
      </c>
      <c r="K358" s="14">
        <v>15.6</v>
      </c>
      <c r="L358" s="14">
        <v>15.6</v>
      </c>
      <c r="M358" s="14">
        <v>15.6</v>
      </c>
      <c r="N358" s="14">
        <v>15.6</v>
      </c>
      <c r="O358" s="14">
        <v>19</v>
      </c>
      <c r="P358" s="14">
        <v>19</v>
      </c>
      <c r="Q358" s="14">
        <v>19</v>
      </c>
      <c r="R358" s="14">
        <v>19</v>
      </c>
      <c r="S358" s="14">
        <v>19</v>
      </c>
      <c r="T358" s="14">
        <v>19</v>
      </c>
      <c r="U358" s="14">
        <v>19</v>
      </c>
      <c r="V358" s="14">
        <v>19</v>
      </c>
      <c r="W358" s="14">
        <v>15.6</v>
      </c>
      <c r="X358" s="14">
        <v>15.6</v>
      </c>
      <c r="Y358" s="14">
        <v>15.6</v>
      </c>
      <c r="Z358" s="14">
        <v>15.6</v>
      </c>
      <c r="AA358" s="14">
        <v>15.6</v>
      </c>
      <c r="AB358" s="14">
        <v>15.6</v>
      </c>
      <c r="AC358" s="14">
        <v>15.6</v>
      </c>
      <c r="AD358" s="14">
        <v>15.6</v>
      </c>
      <c r="AE358" s="14">
        <v>15.6</v>
      </c>
      <c r="AF358" s="14" t="s">
        <v>411</v>
      </c>
    </row>
    <row r="359" spans="1:32" ht="14.25" customHeight="1" x14ac:dyDescent="0.35">
      <c r="A359" s="14" t="s">
        <v>616</v>
      </c>
      <c r="B359" s="14" t="s">
        <v>427</v>
      </c>
      <c r="C359" s="14"/>
      <c r="D359" s="14" t="s">
        <v>409</v>
      </c>
      <c r="E359" s="15">
        <v>41640</v>
      </c>
      <c r="F359" s="15">
        <v>42004</v>
      </c>
      <c r="G359" s="14" t="s">
        <v>415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1</v>
      </c>
      <c r="P359" s="14">
        <v>1</v>
      </c>
      <c r="Q359" s="14">
        <v>1</v>
      </c>
      <c r="R359" s="14">
        <v>1</v>
      </c>
      <c r="S359" s="14">
        <v>1</v>
      </c>
      <c r="T359" s="14">
        <v>1</v>
      </c>
      <c r="U359" s="14">
        <v>1</v>
      </c>
      <c r="V359" s="14">
        <v>1</v>
      </c>
      <c r="W359" s="14">
        <v>1</v>
      </c>
      <c r="X359" s="14">
        <v>1</v>
      </c>
      <c r="Y359" s="14">
        <v>1</v>
      </c>
      <c r="Z359" s="14">
        <v>1</v>
      </c>
      <c r="AA359" s="14">
        <v>1</v>
      </c>
      <c r="AB359" s="14">
        <v>1</v>
      </c>
      <c r="AC359" s="14">
        <v>1</v>
      </c>
      <c r="AD359" s="14">
        <v>1</v>
      </c>
      <c r="AE359" s="14">
        <v>1</v>
      </c>
      <c r="AF359" s="14" t="s">
        <v>413</v>
      </c>
    </row>
    <row r="360" spans="1:32" ht="14.25" customHeight="1" x14ac:dyDescent="0.35">
      <c r="A360" s="16" t="s">
        <v>617</v>
      </c>
      <c r="B360" s="16" t="s">
        <v>427</v>
      </c>
      <c r="C360" s="16"/>
      <c r="D360" s="16" t="s">
        <v>409</v>
      </c>
      <c r="E360" s="17">
        <v>41640</v>
      </c>
      <c r="F360" s="17">
        <v>42004</v>
      </c>
      <c r="G360" s="16" t="s">
        <v>410</v>
      </c>
      <c r="H360" s="16">
        <v>0.05</v>
      </c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 t="s">
        <v>413</v>
      </c>
    </row>
    <row r="361" spans="1:32" ht="14.25" customHeight="1" x14ac:dyDescent="0.35">
      <c r="A361" s="14" t="s">
        <v>618</v>
      </c>
      <c r="B361" s="14" t="s">
        <v>427</v>
      </c>
      <c r="C361" s="14"/>
      <c r="D361" s="14" t="s">
        <v>409</v>
      </c>
      <c r="E361" s="15">
        <v>41640</v>
      </c>
      <c r="F361" s="15">
        <v>42004</v>
      </c>
      <c r="G361" s="14" t="s">
        <v>410</v>
      </c>
      <c r="H361" s="14">
        <v>0.2</v>
      </c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 t="s">
        <v>413</v>
      </c>
    </row>
    <row r="362" spans="1:32" ht="14.25" customHeight="1" x14ac:dyDescent="0.35">
      <c r="A362" s="16" t="s">
        <v>619</v>
      </c>
      <c r="B362" s="16" t="s">
        <v>427</v>
      </c>
      <c r="C362" s="16" t="s">
        <v>414</v>
      </c>
      <c r="D362" s="16" t="s">
        <v>409</v>
      </c>
      <c r="E362" s="17">
        <v>41640</v>
      </c>
      <c r="F362" s="17">
        <v>42004</v>
      </c>
      <c r="G362" s="16" t="s">
        <v>410</v>
      </c>
      <c r="H362" s="16">
        <v>60</v>
      </c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 t="s">
        <v>413</v>
      </c>
    </row>
    <row r="363" spans="1:32" ht="14.25" customHeight="1" x14ac:dyDescent="0.35">
      <c r="A363" s="14" t="s">
        <v>620</v>
      </c>
      <c r="B363" s="14" t="s">
        <v>427</v>
      </c>
      <c r="C363" s="14" t="s">
        <v>414</v>
      </c>
      <c r="D363" s="14" t="s">
        <v>409</v>
      </c>
      <c r="E363" s="15">
        <v>41640</v>
      </c>
      <c r="F363" s="15">
        <v>42004</v>
      </c>
      <c r="G363" s="14" t="s">
        <v>410</v>
      </c>
      <c r="H363" s="14">
        <v>55</v>
      </c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 t="s">
        <v>413</v>
      </c>
    </row>
    <row r="364" spans="1:32" ht="14.25" customHeight="1" x14ac:dyDescent="0.35">
      <c r="A364" s="16" t="s">
        <v>621</v>
      </c>
      <c r="B364" s="16" t="s">
        <v>427</v>
      </c>
      <c r="C364" s="16" t="s">
        <v>412</v>
      </c>
      <c r="D364" s="16" t="s">
        <v>417</v>
      </c>
      <c r="E364" s="17">
        <v>41640</v>
      </c>
      <c r="F364" s="17">
        <v>42004</v>
      </c>
      <c r="G364" s="16" t="s">
        <v>415</v>
      </c>
      <c r="H364" s="16">
        <v>0</v>
      </c>
      <c r="I364" s="16">
        <v>0</v>
      </c>
      <c r="J364" s="16">
        <v>0</v>
      </c>
      <c r="K364" s="16">
        <v>0</v>
      </c>
      <c r="L364" s="16">
        <v>725</v>
      </c>
      <c r="M364" s="16">
        <v>417</v>
      </c>
      <c r="N364" s="16">
        <v>290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 t="s">
        <v>413</v>
      </c>
    </row>
    <row r="365" spans="1:32" ht="14.25" customHeight="1" x14ac:dyDescent="0.35">
      <c r="A365" s="14" t="s">
        <v>621</v>
      </c>
      <c r="B365" s="14" t="s">
        <v>427</v>
      </c>
      <c r="C365" s="14" t="s">
        <v>412</v>
      </c>
      <c r="D365" s="14" t="s">
        <v>622</v>
      </c>
      <c r="E365" s="15">
        <v>41640</v>
      </c>
      <c r="F365" s="15">
        <v>42004</v>
      </c>
      <c r="G365" s="14" t="s">
        <v>415</v>
      </c>
      <c r="H365" s="14">
        <v>0</v>
      </c>
      <c r="I365" s="14">
        <v>0</v>
      </c>
      <c r="J365" s="14">
        <v>0</v>
      </c>
      <c r="K365" s="14">
        <v>0</v>
      </c>
      <c r="L365" s="14">
        <v>125</v>
      </c>
      <c r="M365" s="14">
        <v>117</v>
      </c>
      <c r="N365" s="14">
        <v>90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125</v>
      </c>
      <c r="AB365" s="14">
        <v>117</v>
      </c>
      <c r="AC365" s="14">
        <v>90</v>
      </c>
      <c r="AD365" s="14">
        <v>0</v>
      </c>
      <c r="AE365" s="14">
        <v>0</v>
      </c>
      <c r="AF365" s="14" t="s">
        <v>413</v>
      </c>
    </row>
    <row r="366" spans="1:32" ht="14.25" customHeight="1" x14ac:dyDescent="0.35">
      <c r="A366" s="16" t="s">
        <v>623</v>
      </c>
      <c r="B366" s="16" t="s">
        <v>427</v>
      </c>
      <c r="C366" s="16" t="s">
        <v>412</v>
      </c>
      <c r="D366" s="16" t="s">
        <v>409</v>
      </c>
      <c r="E366" s="17">
        <v>41640</v>
      </c>
      <c r="F366" s="17">
        <v>42004</v>
      </c>
      <c r="G366" s="16" t="s">
        <v>410</v>
      </c>
      <c r="H366" s="16">
        <v>0</v>
      </c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 t="s">
        <v>413</v>
      </c>
    </row>
    <row r="367" spans="1:32" ht="14.25" customHeight="1" x14ac:dyDescent="0.35">
      <c r="A367" s="14" t="s">
        <v>624</v>
      </c>
      <c r="B367" s="14" t="s">
        <v>427</v>
      </c>
      <c r="C367" s="14" t="s">
        <v>414</v>
      </c>
      <c r="D367" s="14" t="s">
        <v>409</v>
      </c>
      <c r="E367" s="15">
        <v>41640</v>
      </c>
      <c r="F367" s="15">
        <v>42004</v>
      </c>
      <c r="G367" s="14" t="s">
        <v>410</v>
      </c>
      <c r="H367" s="14">
        <v>15.6</v>
      </c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 t="s">
        <v>413</v>
      </c>
    </row>
    <row r="368" spans="1:32" ht="14.25" customHeight="1" x14ac:dyDescent="0.35">
      <c r="A368" s="16" t="s">
        <v>625</v>
      </c>
      <c r="B368" s="16" t="s">
        <v>408</v>
      </c>
      <c r="C368" s="16"/>
      <c r="D368" s="16" t="s">
        <v>409</v>
      </c>
      <c r="E368" s="17">
        <v>41640</v>
      </c>
      <c r="F368" s="17">
        <v>42004</v>
      </c>
      <c r="G368" s="16" t="s">
        <v>410</v>
      </c>
      <c r="H368" s="16">
        <v>0.05</v>
      </c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 t="s">
        <v>413</v>
      </c>
    </row>
    <row r="369" spans="1:32" ht="14.25" customHeight="1" x14ac:dyDescent="0.35">
      <c r="A369" s="14" t="s">
        <v>626</v>
      </c>
      <c r="B369" s="14" t="s">
        <v>408</v>
      </c>
      <c r="C369" s="14"/>
      <c r="D369" s="14" t="s">
        <v>409</v>
      </c>
      <c r="E369" s="15">
        <v>41640</v>
      </c>
      <c r="F369" s="15">
        <v>42004</v>
      </c>
      <c r="G369" s="14" t="s">
        <v>410</v>
      </c>
      <c r="H369" s="14">
        <v>0.2</v>
      </c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 t="s">
        <v>413</v>
      </c>
    </row>
    <row r="370" spans="1:32" ht="14.25" customHeight="1" x14ac:dyDescent="0.35">
      <c r="A370" s="16" t="s">
        <v>627</v>
      </c>
      <c r="B370" s="16" t="s">
        <v>408</v>
      </c>
      <c r="C370" s="16" t="s">
        <v>414</v>
      </c>
      <c r="D370" s="16" t="s">
        <v>409</v>
      </c>
      <c r="E370" s="17">
        <v>41640</v>
      </c>
      <c r="F370" s="17">
        <v>42004</v>
      </c>
      <c r="G370" s="16" t="s">
        <v>410</v>
      </c>
      <c r="H370" s="16">
        <v>60</v>
      </c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 t="s">
        <v>413</v>
      </c>
    </row>
    <row r="371" spans="1:32" ht="14.25" customHeight="1" x14ac:dyDescent="0.35">
      <c r="A371" s="14" t="s">
        <v>628</v>
      </c>
      <c r="B371" s="14" t="s">
        <v>408</v>
      </c>
      <c r="C371" s="14" t="s">
        <v>414</v>
      </c>
      <c r="D371" s="14" t="s">
        <v>409</v>
      </c>
      <c r="E371" s="15">
        <v>41640</v>
      </c>
      <c r="F371" s="15">
        <v>42004</v>
      </c>
      <c r="G371" s="14" t="s">
        <v>410</v>
      </c>
      <c r="H371" s="14">
        <v>55</v>
      </c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 t="s">
        <v>413</v>
      </c>
    </row>
    <row r="372" spans="1:32" ht="14.25" customHeight="1" x14ac:dyDescent="0.35">
      <c r="A372" s="16" t="s">
        <v>629</v>
      </c>
      <c r="B372" s="16" t="s">
        <v>408</v>
      </c>
      <c r="C372" s="16"/>
      <c r="D372" s="16" t="s">
        <v>409</v>
      </c>
      <c r="E372" s="17">
        <v>41640</v>
      </c>
      <c r="F372" s="17">
        <v>42004</v>
      </c>
      <c r="G372" s="16" t="s">
        <v>410</v>
      </c>
      <c r="H372" s="16">
        <v>0.05</v>
      </c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 t="s">
        <v>413</v>
      </c>
    </row>
    <row r="373" spans="1:32" ht="14.25" customHeight="1" x14ac:dyDescent="0.35">
      <c r="A373" s="14" t="s">
        <v>630</v>
      </c>
      <c r="B373" s="14" t="s">
        <v>408</v>
      </c>
      <c r="C373" s="14"/>
      <c r="D373" s="14" t="s">
        <v>409</v>
      </c>
      <c r="E373" s="15">
        <v>41640</v>
      </c>
      <c r="F373" s="15">
        <v>42004</v>
      </c>
      <c r="G373" s="14" t="s">
        <v>410</v>
      </c>
      <c r="H373" s="14">
        <v>0.2</v>
      </c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 t="s">
        <v>413</v>
      </c>
    </row>
    <row r="374" spans="1:32" ht="14.25" customHeight="1" x14ac:dyDescent="0.35">
      <c r="A374" s="16" t="s">
        <v>631</v>
      </c>
      <c r="B374" s="16" t="s">
        <v>408</v>
      </c>
      <c r="C374" s="16" t="s">
        <v>414</v>
      </c>
      <c r="D374" s="16" t="s">
        <v>409</v>
      </c>
      <c r="E374" s="17">
        <v>41640</v>
      </c>
      <c r="F374" s="17">
        <v>42004</v>
      </c>
      <c r="G374" s="16" t="s">
        <v>410</v>
      </c>
      <c r="H374" s="16">
        <v>60</v>
      </c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 t="s">
        <v>413</v>
      </c>
    </row>
    <row r="375" spans="1:32" ht="14.25" customHeight="1" x14ac:dyDescent="0.35">
      <c r="A375" s="14" t="s">
        <v>632</v>
      </c>
      <c r="B375" s="14" t="s">
        <v>408</v>
      </c>
      <c r="C375" s="14" t="s">
        <v>414</v>
      </c>
      <c r="D375" s="14" t="s">
        <v>409</v>
      </c>
      <c r="E375" s="15">
        <v>41640</v>
      </c>
      <c r="F375" s="15">
        <v>42004</v>
      </c>
      <c r="G375" s="14" t="s">
        <v>410</v>
      </c>
      <c r="H375" s="14">
        <v>55</v>
      </c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 t="s">
        <v>413</v>
      </c>
    </row>
    <row r="376" spans="1:32" ht="14.25" customHeight="1" x14ac:dyDescent="0.35">
      <c r="A376" s="16" t="s">
        <v>633</v>
      </c>
      <c r="B376" s="16" t="s">
        <v>408</v>
      </c>
      <c r="C376" s="16"/>
      <c r="D376" s="16" t="s">
        <v>409</v>
      </c>
      <c r="E376" s="17">
        <v>41640</v>
      </c>
      <c r="F376" s="17">
        <v>42004</v>
      </c>
      <c r="G376" s="16" t="s">
        <v>410</v>
      </c>
      <c r="H376" s="16">
        <v>1</v>
      </c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 t="s">
        <v>413</v>
      </c>
    </row>
    <row r="377" spans="1:32" ht="14.25" customHeight="1" x14ac:dyDescent="0.35">
      <c r="A377" s="14" t="s">
        <v>634</v>
      </c>
      <c r="B377" s="14" t="s">
        <v>408</v>
      </c>
      <c r="C377" s="14"/>
      <c r="D377" s="14" t="s">
        <v>409</v>
      </c>
      <c r="E377" s="15">
        <v>41640</v>
      </c>
      <c r="F377" s="15">
        <v>42004</v>
      </c>
      <c r="G377" s="14" t="s">
        <v>410</v>
      </c>
      <c r="H377" s="14">
        <v>1</v>
      </c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 t="s">
        <v>413</v>
      </c>
    </row>
    <row r="378" spans="1:32" ht="14.25" customHeight="1" x14ac:dyDescent="0.35">
      <c r="A378" s="16" t="s">
        <v>635</v>
      </c>
      <c r="B378" s="16" t="s">
        <v>427</v>
      </c>
      <c r="C378" s="16" t="s">
        <v>412</v>
      </c>
      <c r="D378" s="16" t="s">
        <v>409</v>
      </c>
      <c r="E378" s="17">
        <v>41640</v>
      </c>
      <c r="F378" s="17">
        <v>42004</v>
      </c>
      <c r="G378" s="16" t="s">
        <v>410</v>
      </c>
      <c r="H378" s="16">
        <v>82.22</v>
      </c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 t="s">
        <v>413</v>
      </c>
    </row>
    <row r="379" spans="1:32" ht="14.25" customHeight="1" x14ac:dyDescent="0.35">
      <c r="A379" s="14" t="s">
        <v>636</v>
      </c>
      <c r="B379" s="14" t="s">
        <v>427</v>
      </c>
      <c r="C379" s="14"/>
      <c r="D379" s="14" t="s">
        <v>409</v>
      </c>
      <c r="E379" s="15">
        <v>41640</v>
      </c>
      <c r="F379" s="15">
        <v>42004</v>
      </c>
      <c r="G379" s="14" t="s">
        <v>415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1</v>
      </c>
      <c r="Q379" s="14">
        <v>1</v>
      </c>
      <c r="R379" s="14">
        <v>1</v>
      </c>
      <c r="S379" s="14">
        <v>1</v>
      </c>
      <c r="T379" s="14">
        <v>1</v>
      </c>
      <c r="U379" s="14">
        <v>1</v>
      </c>
      <c r="V379" s="14">
        <v>1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 t="s">
        <v>413</v>
      </c>
    </row>
    <row r="380" spans="1:32" ht="14.25" customHeight="1" x14ac:dyDescent="0.35">
      <c r="A380" s="16" t="s">
        <v>637</v>
      </c>
      <c r="B380" s="16" t="s">
        <v>408</v>
      </c>
      <c r="C380" s="16"/>
      <c r="D380" s="16" t="s">
        <v>409</v>
      </c>
      <c r="E380" s="17">
        <v>41640</v>
      </c>
      <c r="F380" s="17">
        <v>42004</v>
      </c>
      <c r="G380" s="16" t="s">
        <v>410</v>
      </c>
      <c r="H380" s="16">
        <v>60</v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 t="s">
        <v>413</v>
      </c>
    </row>
    <row r="381" spans="1:32" ht="14.25" customHeight="1" x14ac:dyDescent="0.35">
      <c r="A381" s="14" t="s">
        <v>638</v>
      </c>
      <c r="B381" s="14" t="s">
        <v>550</v>
      </c>
      <c r="C381" s="14"/>
      <c r="D381" s="14" t="s">
        <v>409</v>
      </c>
      <c r="E381" s="15">
        <v>41640</v>
      </c>
      <c r="F381" s="15">
        <v>42004</v>
      </c>
      <c r="G381" s="14" t="s">
        <v>410</v>
      </c>
      <c r="H381" s="14">
        <v>1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 t="s">
        <v>413</v>
      </c>
    </row>
    <row r="382" spans="1:32" ht="14.25" customHeight="1" x14ac:dyDescent="0.35">
      <c r="A382" s="16" t="s">
        <v>639</v>
      </c>
      <c r="B382" s="16" t="s">
        <v>408</v>
      </c>
      <c r="C382" s="16"/>
      <c r="D382" s="16" t="s">
        <v>409</v>
      </c>
      <c r="E382" s="17">
        <v>41640</v>
      </c>
      <c r="F382" s="17">
        <v>42004</v>
      </c>
      <c r="G382" s="16" t="s">
        <v>410</v>
      </c>
      <c r="H382" s="16">
        <v>40</v>
      </c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 t="s">
        <v>413</v>
      </c>
    </row>
    <row r="383" spans="1:32" ht="14.25" customHeight="1" x14ac:dyDescent="0.35">
      <c r="A383" s="14" t="s">
        <v>640</v>
      </c>
      <c r="B383" s="14" t="s">
        <v>408</v>
      </c>
      <c r="C383" s="14"/>
      <c r="D383" s="14" t="s">
        <v>409</v>
      </c>
      <c r="E383" s="15">
        <v>41640</v>
      </c>
      <c r="F383" s="15">
        <v>42004</v>
      </c>
      <c r="G383" s="14" t="s">
        <v>410</v>
      </c>
      <c r="H383" s="14">
        <v>30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 t="s">
        <v>413</v>
      </c>
    </row>
    <row r="384" spans="1:32" ht="14.25" customHeight="1" x14ac:dyDescent="0.35">
      <c r="A384" s="16" t="s">
        <v>641</v>
      </c>
      <c r="B384" s="16" t="s">
        <v>408</v>
      </c>
      <c r="C384" s="16"/>
      <c r="D384" s="16" t="s">
        <v>409</v>
      </c>
      <c r="E384" s="17">
        <v>41640</v>
      </c>
      <c r="F384" s="17">
        <v>42004</v>
      </c>
      <c r="G384" s="16" t="s">
        <v>410</v>
      </c>
      <c r="H384" s="16">
        <v>35</v>
      </c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 t="s">
        <v>413</v>
      </c>
    </row>
    <row r="385" spans="1:32" ht="14.25" customHeight="1" x14ac:dyDescent="0.35">
      <c r="A385" s="14" t="s">
        <v>642</v>
      </c>
      <c r="B385" s="14" t="s">
        <v>420</v>
      </c>
      <c r="C385" s="14" t="s">
        <v>414</v>
      </c>
      <c r="D385" s="14" t="s">
        <v>409</v>
      </c>
      <c r="E385" s="15">
        <v>41640</v>
      </c>
      <c r="F385" s="15">
        <v>42004</v>
      </c>
      <c r="G385" s="14" t="s">
        <v>415</v>
      </c>
      <c r="H385" s="14">
        <v>22.2</v>
      </c>
      <c r="I385" s="14">
        <v>22.2</v>
      </c>
      <c r="J385" s="14">
        <v>22.2</v>
      </c>
      <c r="K385" s="14">
        <v>22.2</v>
      </c>
      <c r="L385" s="14">
        <v>22.2</v>
      </c>
      <c r="M385" s="14">
        <v>22.2</v>
      </c>
      <c r="N385" s="14">
        <v>18.3</v>
      </c>
      <c r="O385" s="14">
        <v>18.3</v>
      </c>
      <c r="P385" s="14">
        <v>18.3</v>
      </c>
      <c r="Q385" s="14">
        <v>18.3</v>
      </c>
      <c r="R385" s="14">
        <v>18.3</v>
      </c>
      <c r="S385" s="14">
        <v>18.3</v>
      </c>
      <c r="T385" s="14">
        <v>18.3</v>
      </c>
      <c r="U385" s="14">
        <v>18.3</v>
      </c>
      <c r="V385" s="14">
        <v>18.3</v>
      </c>
      <c r="W385" s="14">
        <v>18.3</v>
      </c>
      <c r="X385" s="14">
        <v>18.3</v>
      </c>
      <c r="Y385" s="14">
        <v>22.2</v>
      </c>
      <c r="Z385" s="14">
        <v>22.2</v>
      </c>
      <c r="AA385" s="14">
        <v>22.2</v>
      </c>
      <c r="AB385" s="14">
        <v>22.2</v>
      </c>
      <c r="AC385" s="14">
        <v>22.2</v>
      </c>
      <c r="AD385" s="14">
        <v>22.2</v>
      </c>
      <c r="AE385" s="14">
        <v>22.2</v>
      </c>
      <c r="AF385" s="14" t="s">
        <v>411</v>
      </c>
    </row>
    <row r="386" spans="1:32" ht="14.25" customHeight="1" x14ac:dyDescent="0.35">
      <c r="A386" s="16" t="s">
        <v>643</v>
      </c>
      <c r="B386" s="16" t="s">
        <v>420</v>
      </c>
      <c r="C386" s="16" t="s">
        <v>414</v>
      </c>
      <c r="D386" s="16" t="s">
        <v>409</v>
      </c>
      <c r="E386" s="17">
        <v>41640</v>
      </c>
      <c r="F386" s="17">
        <v>42004</v>
      </c>
      <c r="G386" s="16" t="s">
        <v>410</v>
      </c>
      <c r="H386" s="16">
        <v>18.3</v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 t="s">
        <v>411</v>
      </c>
    </row>
    <row r="387" spans="1:32" ht="14.25" customHeight="1" x14ac:dyDescent="0.35">
      <c r="A387" s="14" t="s">
        <v>644</v>
      </c>
      <c r="B387" s="14" t="s">
        <v>408</v>
      </c>
      <c r="C387" s="14"/>
      <c r="D387" s="14" t="s">
        <v>409</v>
      </c>
      <c r="E387" s="15">
        <v>41640</v>
      </c>
      <c r="F387" s="15">
        <v>42004</v>
      </c>
      <c r="G387" s="14" t="s">
        <v>410</v>
      </c>
      <c r="H387" s="14">
        <v>1</v>
      </c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 t="s">
        <v>413</v>
      </c>
    </row>
    <row r="388" spans="1:32" ht="14.25" customHeight="1" x14ac:dyDescent="0.35">
      <c r="A388" s="16" t="s">
        <v>645</v>
      </c>
      <c r="B388" s="16" t="s">
        <v>408</v>
      </c>
      <c r="C388" s="16"/>
      <c r="D388" s="16" t="s">
        <v>409</v>
      </c>
      <c r="E388" s="17">
        <v>41640</v>
      </c>
      <c r="F388" s="17">
        <v>42004</v>
      </c>
      <c r="G388" s="16" t="s">
        <v>410</v>
      </c>
      <c r="H388" s="16">
        <v>1</v>
      </c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 t="s">
        <v>413</v>
      </c>
    </row>
    <row r="389" spans="1:32" ht="14.25" customHeight="1" x14ac:dyDescent="0.35">
      <c r="A389" s="14" t="s">
        <v>646</v>
      </c>
      <c r="B389" s="14" t="s">
        <v>408</v>
      </c>
      <c r="C389" s="14"/>
      <c r="D389" s="14" t="s">
        <v>476</v>
      </c>
      <c r="E389" s="15">
        <v>41640</v>
      </c>
      <c r="F389" s="15">
        <v>42004</v>
      </c>
      <c r="G389" s="14" t="s">
        <v>410</v>
      </c>
      <c r="H389" s="14">
        <v>0.2</v>
      </c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 t="s">
        <v>413</v>
      </c>
    </row>
    <row r="390" spans="1:32" ht="14.25" customHeight="1" x14ac:dyDescent="0.35">
      <c r="A390" s="14" t="s">
        <v>646</v>
      </c>
      <c r="B390" s="14" t="s">
        <v>408</v>
      </c>
      <c r="C390" s="14"/>
      <c r="D390" s="14" t="s">
        <v>512</v>
      </c>
      <c r="E390" s="15">
        <v>41640</v>
      </c>
      <c r="F390" s="15">
        <v>42004</v>
      </c>
      <c r="G390" s="14" t="s">
        <v>415</v>
      </c>
      <c r="H390" s="14">
        <v>0.2</v>
      </c>
      <c r="I390" s="14">
        <v>0.2</v>
      </c>
      <c r="J390" s="14">
        <v>0.2</v>
      </c>
      <c r="K390" s="14">
        <v>0.2</v>
      </c>
      <c r="L390" s="14">
        <v>0.2</v>
      </c>
      <c r="M390" s="14">
        <v>0.2</v>
      </c>
      <c r="N390" s="14">
        <v>0.2</v>
      </c>
      <c r="O390" s="14">
        <v>0.2</v>
      </c>
      <c r="P390" s="14">
        <v>0.2</v>
      </c>
      <c r="Q390" s="14">
        <v>1</v>
      </c>
      <c r="R390" s="14">
        <v>1</v>
      </c>
      <c r="S390" s="14">
        <v>1</v>
      </c>
      <c r="T390" s="14">
        <v>1</v>
      </c>
      <c r="U390" s="14">
        <v>1</v>
      </c>
      <c r="V390" s="14">
        <v>1</v>
      </c>
      <c r="W390" s="14">
        <v>1</v>
      </c>
      <c r="X390" s="14">
        <v>1</v>
      </c>
      <c r="Y390" s="14">
        <v>0.2</v>
      </c>
      <c r="Z390" s="14">
        <v>0.2</v>
      </c>
      <c r="AA390" s="14">
        <v>0.2</v>
      </c>
      <c r="AB390" s="14">
        <v>0.2</v>
      </c>
      <c r="AC390" s="14">
        <v>0.2</v>
      </c>
      <c r="AD390" s="14">
        <v>0.2</v>
      </c>
      <c r="AE390" s="14">
        <v>0.2</v>
      </c>
      <c r="AF390" s="14" t="s">
        <v>413</v>
      </c>
    </row>
    <row r="391" spans="1:32" ht="14.25" customHeight="1" x14ac:dyDescent="0.35">
      <c r="A391" s="16" t="s">
        <v>646</v>
      </c>
      <c r="B391" s="16" t="s">
        <v>408</v>
      </c>
      <c r="C391" s="16"/>
      <c r="D391" s="16" t="s">
        <v>419</v>
      </c>
      <c r="E391" s="17">
        <v>41640</v>
      </c>
      <c r="F391" s="17">
        <v>42004</v>
      </c>
      <c r="G391" s="16" t="s">
        <v>410</v>
      </c>
      <c r="H391" s="16">
        <v>1</v>
      </c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 t="s">
        <v>413</v>
      </c>
    </row>
    <row r="392" spans="1:32" ht="14.25" customHeight="1" x14ac:dyDescent="0.35">
      <c r="A392" s="16" t="s">
        <v>646</v>
      </c>
      <c r="B392" s="16" t="s">
        <v>408</v>
      </c>
      <c r="C392" s="16"/>
      <c r="D392" s="16" t="s">
        <v>429</v>
      </c>
      <c r="E392" s="17">
        <v>41640</v>
      </c>
      <c r="F392" s="17">
        <v>42004</v>
      </c>
      <c r="G392" s="16" t="s">
        <v>415</v>
      </c>
      <c r="H392" s="16">
        <v>0.2</v>
      </c>
      <c r="I392" s="16">
        <v>0.2</v>
      </c>
      <c r="J392" s="16">
        <v>0.2</v>
      </c>
      <c r="K392" s="16">
        <v>0.2</v>
      </c>
      <c r="L392" s="16">
        <v>0.2</v>
      </c>
      <c r="M392" s="16">
        <v>0.2</v>
      </c>
      <c r="N392" s="16">
        <v>0.2</v>
      </c>
      <c r="O392" s="16">
        <v>0.2</v>
      </c>
      <c r="P392" s="16">
        <v>0.2</v>
      </c>
      <c r="Q392" s="16">
        <v>1</v>
      </c>
      <c r="R392" s="16">
        <v>1</v>
      </c>
      <c r="S392" s="16">
        <v>1</v>
      </c>
      <c r="T392" s="16">
        <v>1</v>
      </c>
      <c r="U392" s="16">
        <v>1</v>
      </c>
      <c r="V392" s="16">
        <v>1</v>
      </c>
      <c r="W392" s="16">
        <v>1</v>
      </c>
      <c r="X392" s="16">
        <v>1</v>
      </c>
      <c r="Y392" s="16">
        <v>1</v>
      </c>
      <c r="Z392" s="16">
        <v>0.2</v>
      </c>
      <c r="AA392" s="16">
        <v>0.2</v>
      </c>
      <c r="AB392" s="16">
        <v>0.2</v>
      </c>
      <c r="AC392" s="16">
        <v>0.2</v>
      </c>
      <c r="AD392" s="16">
        <v>0.2</v>
      </c>
      <c r="AE392" s="16">
        <v>0.2</v>
      </c>
      <c r="AF392" s="16" t="s">
        <v>413</v>
      </c>
    </row>
    <row r="393" spans="1:32" ht="14.25" customHeight="1" x14ac:dyDescent="0.35">
      <c r="A393" s="14" t="s">
        <v>647</v>
      </c>
      <c r="B393" s="14" t="s">
        <v>408</v>
      </c>
      <c r="C393" s="14"/>
      <c r="D393" s="14" t="s">
        <v>409</v>
      </c>
      <c r="E393" s="15">
        <v>41640</v>
      </c>
      <c r="F393" s="15">
        <v>42004</v>
      </c>
      <c r="G393" s="14" t="s">
        <v>410</v>
      </c>
      <c r="H393" s="14">
        <v>0.05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 t="s">
        <v>413</v>
      </c>
    </row>
    <row r="394" spans="1:32" ht="14.25" customHeight="1" x14ac:dyDescent="0.35">
      <c r="A394" s="16" t="s">
        <v>648</v>
      </c>
      <c r="B394" s="16" t="s">
        <v>408</v>
      </c>
      <c r="C394" s="16"/>
      <c r="D394" s="16" t="s">
        <v>409</v>
      </c>
      <c r="E394" s="17">
        <v>41640</v>
      </c>
      <c r="F394" s="17">
        <v>42004</v>
      </c>
      <c r="G394" s="16" t="s">
        <v>410</v>
      </c>
      <c r="H394" s="16">
        <v>0.2</v>
      </c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 t="s">
        <v>413</v>
      </c>
    </row>
    <row r="395" spans="1:32" ht="14.25" customHeight="1" x14ac:dyDescent="0.35">
      <c r="A395" s="14" t="s">
        <v>649</v>
      </c>
      <c r="B395" s="14" t="s">
        <v>408</v>
      </c>
      <c r="C395" s="14" t="s">
        <v>414</v>
      </c>
      <c r="D395" s="14" t="s">
        <v>409</v>
      </c>
      <c r="E395" s="15">
        <v>41640</v>
      </c>
      <c r="F395" s="15">
        <v>42004</v>
      </c>
      <c r="G395" s="14" t="s">
        <v>410</v>
      </c>
      <c r="H395" s="14">
        <v>60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 t="s">
        <v>413</v>
      </c>
    </row>
    <row r="396" spans="1:32" ht="14.25" customHeight="1" x14ac:dyDescent="0.35">
      <c r="A396" s="16" t="s">
        <v>650</v>
      </c>
      <c r="B396" s="16" t="s">
        <v>408</v>
      </c>
      <c r="C396" s="16" t="s">
        <v>414</v>
      </c>
      <c r="D396" s="16" t="s">
        <v>409</v>
      </c>
      <c r="E396" s="17">
        <v>41640</v>
      </c>
      <c r="F396" s="17">
        <v>42004</v>
      </c>
      <c r="G396" s="16" t="s">
        <v>410</v>
      </c>
      <c r="H396" s="16">
        <v>55</v>
      </c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 t="s">
        <v>413</v>
      </c>
    </row>
    <row r="397" spans="1:32" ht="14.25" customHeight="1" x14ac:dyDescent="0.35">
      <c r="A397" s="14" t="s">
        <v>651</v>
      </c>
      <c r="B397" s="14" t="s">
        <v>408</v>
      </c>
      <c r="C397" s="14"/>
      <c r="D397" s="14" t="s">
        <v>409</v>
      </c>
      <c r="E397" s="15">
        <v>41640</v>
      </c>
      <c r="F397" s="15">
        <v>42004</v>
      </c>
      <c r="G397" s="14" t="s">
        <v>410</v>
      </c>
      <c r="H397" s="14">
        <v>0.05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 t="s">
        <v>413</v>
      </c>
    </row>
    <row r="398" spans="1:32" ht="14.25" customHeight="1" x14ac:dyDescent="0.35">
      <c r="A398" s="16" t="s">
        <v>652</v>
      </c>
      <c r="B398" s="16" t="s">
        <v>408</v>
      </c>
      <c r="C398" s="16"/>
      <c r="D398" s="16" t="s">
        <v>409</v>
      </c>
      <c r="E398" s="17">
        <v>41640</v>
      </c>
      <c r="F398" s="17">
        <v>42004</v>
      </c>
      <c r="G398" s="16" t="s">
        <v>410</v>
      </c>
      <c r="H398" s="16">
        <v>0.2</v>
      </c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 t="s">
        <v>413</v>
      </c>
    </row>
    <row r="399" spans="1:32" ht="14.25" customHeight="1" x14ac:dyDescent="0.35">
      <c r="A399" s="14" t="s">
        <v>653</v>
      </c>
      <c r="B399" s="14" t="s">
        <v>408</v>
      </c>
      <c r="C399" s="14" t="s">
        <v>414</v>
      </c>
      <c r="D399" s="14" t="s">
        <v>409</v>
      </c>
      <c r="E399" s="15">
        <v>41640</v>
      </c>
      <c r="F399" s="15">
        <v>42004</v>
      </c>
      <c r="G399" s="14" t="s">
        <v>410</v>
      </c>
      <c r="H399" s="14">
        <v>60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 t="s">
        <v>413</v>
      </c>
    </row>
    <row r="400" spans="1:32" ht="14.25" customHeight="1" x14ac:dyDescent="0.35">
      <c r="A400" s="16" t="s">
        <v>654</v>
      </c>
      <c r="B400" s="16" t="s">
        <v>408</v>
      </c>
      <c r="C400" s="16" t="s">
        <v>414</v>
      </c>
      <c r="D400" s="16" t="s">
        <v>409</v>
      </c>
      <c r="E400" s="17">
        <v>41640</v>
      </c>
      <c r="F400" s="17">
        <v>42004</v>
      </c>
      <c r="G400" s="16" t="s">
        <v>410</v>
      </c>
      <c r="H400" s="16">
        <v>55</v>
      </c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 t="s">
        <v>413</v>
      </c>
    </row>
    <row r="401" spans="1:32" ht="14.25" customHeight="1" x14ac:dyDescent="0.35">
      <c r="A401" s="14" t="s">
        <v>655</v>
      </c>
      <c r="B401" s="14" t="s">
        <v>408</v>
      </c>
      <c r="C401" s="14"/>
      <c r="D401" s="14" t="s">
        <v>409</v>
      </c>
      <c r="E401" s="15">
        <v>41640</v>
      </c>
      <c r="F401" s="15">
        <v>42004</v>
      </c>
      <c r="G401" s="14" t="s">
        <v>410</v>
      </c>
      <c r="H401" s="14">
        <v>0.05</v>
      </c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 t="s">
        <v>413</v>
      </c>
    </row>
    <row r="402" spans="1:32" ht="14.25" customHeight="1" x14ac:dyDescent="0.35">
      <c r="A402" s="16" t="s">
        <v>656</v>
      </c>
      <c r="B402" s="16" t="s">
        <v>408</v>
      </c>
      <c r="C402" s="16"/>
      <c r="D402" s="16" t="s">
        <v>409</v>
      </c>
      <c r="E402" s="17">
        <v>41640</v>
      </c>
      <c r="F402" s="17">
        <v>42004</v>
      </c>
      <c r="G402" s="16" t="s">
        <v>410</v>
      </c>
      <c r="H402" s="16">
        <v>0.2</v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 t="s">
        <v>413</v>
      </c>
    </row>
    <row r="403" spans="1:32" ht="14.25" customHeight="1" x14ac:dyDescent="0.35">
      <c r="A403" s="14" t="s">
        <v>657</v>
      </c>
      <c r="B403" s="14" t="s">
        <v>408</v>
      </c>
      <c r="C403" s="14" t="s">
        <v>414</v>
      </c>
      <c r="D403" s="14" t="s">
        <v>409</v>
      </c>
      <c r="E403" s="15">
        <v>41640</v>
      </c>
      <c r="F403" s="15">
        <v>42004</v>
      </c>
      <c r="G403" s="14" t="s">
        <v>410</v>
      </c>
      <c r="H403" s="14">
        <v>60</v>
      </c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 t="s">
        <v>413</v>
      </c>
    </row>
    <row r="404" spans="1:32" ht="14.25" customHeight="1" x14ac:dyDescent="0.35">
      <c r="A404" s="16" t="s">
        <v>658</v>
      </c>
      <c r="B404" s="16" t="s">
        <v>408</v>
      </c>
      <c r="C404" s="16" t="s">
        <v>414</v>
      </c>
      <c r="D404" s="16" t="s">
        <v>409</v>
      </c>
      <c r="E404" s="17">
        <v>41640</v>
      </c>
      <c r="F404" s="17">
        <v>42004</v>
      </c>
      <c r="G404" s="16" t="s">
        <v>410</v>
      </c>
      <c r="H404" s="16">
        <v>55</v>
      </c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 t="s">
        <v>413</v>
      </c>
    </row>
    <row r="405" spans="1:32" ht="14.25" customHeight="1" x14ac:dyDescent="0.35">
      <c r="A405" s="14" t="s">
        <v>659</v>
      </c>
      <c r="B405" s="14" t="s">
        <v>408</v>
      </c>
      <c r="C405" s="14"/>
      <c r="D405" s="14" t="s">
        <v>409</v>
      </c>
      <c r="E405" s="15">
        <v>41640</v>
      </c>
      <c r="F405" s="15">
        <v>42004</v>
      </c>
      <c r="G405" s="14" t="s">
        <v>410</v>
      </c>
      <c r="H405" s="14">
        <v>0.05</v>
      </c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 t="s">
        <v>413</v>
      </c>
    </row>
    <row r="406" spans="1:32" ht="14.25" customHeight="1" x14ac:dyDescent="0.35">
      <c r="A406" s="16" t="s">
        <v>660</v>
      </c>
      <c r="B406" s="16" t="s">
        <v>408</v>
      </c>
      <c r="C406" s="16"/>
      <c r="D406" s="16" t="s">
        <v>409</v>
      </c>
      <c r="E406" s="17">
        <v>41640</v>
      </c>
      <c r="F406" s="17">
        <v>42004</v>
      </c>
      <c r="G406" s="16" t="s">
        <v>410</v>
      </c>
      <c r="H406" s="16">
        <v>0.2</v>
      </c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 t="s">
        <v>413</v>
      </c>
    </row>
    <row r="407" spans="1:32" ht="14.25" customHeight="1" x14ac:dyDescent="0.35">
      <c r="A407" s="14" t="s">
        <v>661</v>
      </c>
      <c r="B407" s="14" t="s">
        <v>408</v>
      </c>
      <c r="C407" s="14" t="s">
        <v>414</v>
      </c>
      <c r="D407" s="14" t="s">
        <v>409</v>
      </c>
      <c r="E407" s="15">
        <v>41640</v>
      </c>
      <c r="F407" s="15">
        <v>42004</v>
      </c>
      <c r="G407" s="14" t="s">
        <v>410</v>
      </c>
      <c r="H407" s="14">
        <v>60</v>
      </c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 t="s">
        <v>413</v>
      </c>
    </row>
    <row r="408" spans="1:32" ht="14.25" customHeight="1" x14ac:dyDescent="0.35">
      <c r="A408" s="16" t="s">
        <v>662</v>
      </c>
      <c r="B408" s="16" t="s">
        <v>408</v>
      </c>
      <c r="C408" s="16" t="s">
        <v>414</v>
      </c>
      <c r="D408" s="16" t="s">
        <v>409</v>
      </c>
      <c r="E408" s="17">
        <v>41640</v>
      </c>
      <c r="F408" s="17">
        <v>42004</v>
      </c>
      <c r="G408" s="16" t="s">
        <v>410</v>
      </c>
      <c r="H408" s="16">
        <v>55</v>
      </c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 t="s">
        <v>413</v>
      </c>
    </row>
    <row r="409" spans="1:32" ht="14.25" customHeight="1" x14ac:dyDescent="0.35">
      <c r="A409" s="14" t="s">
        <v>663</v>
      </c>
      <c r="B409" s="14" t="s">
        <v>408</v>
      </c>
      <c r="C409" s="14"/>
      <c r="D409" s="14" t="s">
        <v>409</v>
      </c>
      <c r="E409" s="15">
        <v>41640</v>
      </c>
      <c r="F409" s="15">
        <v>42004</v>
      </c>
      <c r="G409" s="14" t="s">
        <v>410</v>
      </c>
      <c r="H409" s="14">
        <v>1</v>
      </c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 t="s">
        <v>413</v>
      </c>
    </row>
    <row r="410" spans="1:32" ht="14.25" customHeight="1" x14ac:dyDescent="0.35">
      <c r="A410" s="16" t="s">
        <v>664</v>
      </c>
      <c r="B410" s="16" t="s">
        <v>408</v>
      </c>
      <c r="C410" s="16"/>
      <c r="D410" s="16" t="s">
        <v>409</v>
      </c>
      <c r="E410" s="17">
        <v>41640</v>
      </c>
      <c r="F410" s="17">
        <v>42004</v>
      </c>
      <c r="G410" s="16" t="s">
        <v>410</v>
      </c>
      <c r="H410" s="16">
        <v>1</v>
      </c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 t="s">
        <v>413</v>
      </c>
    </row>
    <row r="411" spans="1:32" ht="14.25" customHeight="1" x14ac:dyDescent="0.35">
      <c r="A411" s="14" t="s">
        <v>665</v>
      </c>
      <c r="B411" s="14" t="s">
        <v>408</v>
      </c>
      <c r="C411" s="14"/>
      <c r="D411" s="14" t="s">
        <v>409</v>
      </c>
      <c r="E411" s="15">
        <v>41640</v>
      </c>
      <c r="F411" s="15">
        <v>42004</v>
      </c>
      <c r="G411" s="14" t="s">
        <v>410</v>
      </c>
      <c r="H411" s="14">
        <v>0.05</v>
      </c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 t="s">
        <v>413</v>
      </c>
    </row>
    <row r="412" spans="1:32" ht="14.25" customHeight="1" x14ac:dyDescent="0.35">
      <c r="A412" s="16" t="s">
        <v>666</v>
      </c>
      <c r="B412" s="16" t="s">
        <v>408</v>
      </c>
      <c r="C412" s="16"/>
      <c r="D412" s="16" t="s">
        <v>409</v>
      </c>
      <c r="E412" s="17">
        <v>41640</v>
      </c>
      <c r="F412" s="17">
        <v>42004</v>
      </c>
      <c r="G412" s="16" t="s">
        <v>410</v>
      </c>
      <c r="H412" s="16">
        <v>0.2</v>
      </c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 t="s">
        <v>413</v>
      </c>
    </row>
    <row r="413" spans="1:32" ht="14.25" customHeight="1" x14ac:dyDescent="0.35">
      <c r="A413" s="14" t="s">
        <v>667</v>
      </c>
      <c r="B413" s="14" t="s">
        <v>408</v>
      </c>
      <c r="C413" s="14" t="s">
        <v>414</v>
      </c>
      <c r="D413" s="14" t="s">
        <v>409</v>
      </c>
      <c r="E413" s="15">
        <v>41640</v>
      </c>
      <c r="F413" s="15">
        <v>42004</v>
      </c>
      <c r="G413" s="14" t="s">
        <v>410</v>
      </c>
      <c r="H413" s="14">
        <v>60</v>
      </c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 t="s">
        <v>413</v>
      </c>
    </row>
    <row r="414" spans="1:32" ht="14.25" customHeight="1" x14ac:dyDescent="0.35">
      <c r="A414" s="16" t="s">
        <v>668</v>
      </c>
      <c r="B414" s="16" t="s">
        <v>408</v>
      </c>
      <c r="C414" s="16" t="s">
        <v>414</v>
      </c>
      <c r="D414" s="16" t="s">
        <v>409</v>
      </c>
      <c r="E414" s="17">
        <v>41640</v>
      </c>
      <c r="F414" s="17">
        <v>42004</v>
      </c>
      <c r="G414" s="16" t="s">
        <v>410</v>
      </c>
      <c r="H414" s="16">
        <v>55</v>
      </c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 t="s">
        <v>413</v>
      </c>
    </row>
    <row r="415" spans="1:32" ht="14.25" customHeight="1" x14ac:dyDescent="0.35">
      <c r="A415" s="14" t="s">
        <v>669</v>
      </c>
      <c r="B415" s="14" t="s">
        <v>408</v>
      </c>
      <c r="C415" s="14"/>
      <c r="D415" s="14" t="s">
        <v>409</v>
      </c>
      <c r="E415" s="15">
        <v>41640</v>
      </c>
      <c r="F415" s="15">
        <v>42004</v>
      </c>
      <c r="G415" s="14" t="s">
        <v>410</v>
      </c>
      <c r="H415" s="14">
        <v>0.05</v>
      </c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 t="s">
        <v>413</v>
      </c>
    </row>
    <row r="416" spans="1:32" ht="14.25" customHeight="1" x14ac:dyDescent="0.35">
      <c r="A416" s="16" t="s">
        <v>670</v>
      </c>
      <c r="B416" s="16" t="s">
        <v>408</v>
      </c>
      <c r="C416" s="16"/>
      <c r="D416" s="16" t="s">
        <v>409</v>
      </c>
      <c r="E416" s="17">
        <v>41640</v>
      </c>
      <c r="F416" s="17">
        <v>42004</v>
      </c>
      <c r="G416" s="16" t="s">
        <v>410</v>
      </c>
      <c r="H416" s="16">
        <v>0.2</v>
      </c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 t="s">
        <v>413</v>
      </c>
    </row>
    <row r="417" spans="1:32" ht="14.25" customHeight="1" x14ac:dyDescent="0.35">
      <c r="A417" s="14" t="s">
        <v>671</v>
      </c>
      <c r="B417" s="14" t="s">
        <v>408</v>
      </c>
      <c r="C417" s="14" t="s">
        <v>414</v>
      </c>
      <c r="D417" s="14" t="s">
        <v>409</v>
      </c>
      <c r="E417" s="15">
        <v>41640</v>
      </c>
      <c r="F417" s="15">
        <v>42004</v>
      </c>
      <c r="G417" s="14" t="s">
        <v>410</v>
      </c>
      <c r="H417" s="14">
        <v>60</v>
      </c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 t="s">
        <v>413</v>
      </c>
    </row>
    <row r="418" spans="1:32" ht="14.25" customHeight="1" x14ac:dyDescent="0.35">
      <c r="A418" s="16" t="s">
        <v>672</v>
      </c>
      <c r="B418" s="16" t="s">
        <v>408</v>
      </c>
      <c r="C418" s="16" t="s">
        <v>414</v>
      </c>
      <c r="D418" s="16" t="s">
        <v>409</v>
      </c>
      <c r="E418" s="17">
        <v>41640</v>
      </c>
      <c r="F418" s="17">
        <v>42004</v>
      </c>
      <c r="G418" s="16" t="s">
        <v>410</v>
      </c>
      <c r="H418" s="16">
        <v>55</v>
      </c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 t="s">
        <v>413</v>
      </c>
    </row>
    <row r="419" spans="1:32" ht="14.25" customHeight="1" x14ac:dyDescent="0.35">
      <c r="A419" s="14" t="s">
        <v>673</v>
      </c>
      <c r="B419" s="14" t="s">
        <v>408</v>
      </c>
      <c r="C419" s="14"/>
      <c r="D419" s="14" t="s">
        <v>409</v>
      </c>
      <c r="E419" s="15">
        <v>41640</v>
      </c>
      <c r="F419" s="15">
        <v>42004</v>
      </c>
      <c r="G419" s="14" t="s">
        <v>410</v>
      </c>
      <c r="H419" s="14">
        <v>0.05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 t="s">
        <v>413</v>
      </c>
    </row>
    <row r="420" spans="1:32" ht="14.25" customHeight="1" x14ac:dyDescent="0.35">
      <c r="A420" s="16" t="s">
        <v>674</v>
      </c>
      <c r="B420" s="16" t="s">
        <v>408</v>
      </c>
      <c r="C420" s="16"/>
      <c r="D420" s="16" t="s">
        <v>409</v>
      </c>
      <c r="E420" s="17">
        <v>41640</v>
      </c>
      <c r="F420" s="17">
        <v>42004</v>
      </c>
      <c r="G420" s="16" t="s">
        <v>410</v>
      </c>
      <c r="H420" s="16">
        <v>0.2</v>
      </c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 t="s">
        <v>413</v>
      </c>
    </row>
    <row r="421" spans="1:32" ht="14.25" customHeight="1" x14ac:dyDescent="0.35">
      <c r="A421" s="14" t="s">
        <v>675</v>
      </c>
      <c r="B421" s="14" t="s">
        <v>408</v>
      </c>
      <c r="C421" s="14" t="s">
        <v>414</v>
      </c>
      <c r="D421" s="14" t="s">
        <v>409</v>
      </c>
      <c r="E421" s="15">
        <v>41640</v>
      </c>
      <c r="F421" s="15">
        <v>42004</v>
      </c>
      <c r="G421" s="14" t="s">
        <v>410</v>
      </c>
      <c r="H421" s="14">
        <v>60</v>
      </c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 t="s">
        <v>413</v>
      </c>
    </row>
    <row r="422" spans="1:32" ht="14.25" customHeight="1" x14ac:dyDescent="0.35">
      <c r="A422" s="16" t="s">
        <v>676</v>
      </c>
      <c r="B422" s="16" t="s">
        <v>408</v>
      </c>
      <c r="C422" s="16" t="s">
        <v>414</v>
      </c>
      <c r="D422" s="16" t="s">
        <v>409</v>
      </c>
      <c r="E422" s="17">
        <v>41640</v>
      </c>
      <c r="F422" s="17">
        <v>42004</v>
      </c>
      <c r="G422" s="16" t="s">
        <v>410</v>
      </c>
      <c r="H422" s="16">
        <v>55</v>
      </c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 t="s">
        <v>413</v>
      </c>
    </row>
    <row r="423" spans="1:32" ht="14.25" customHeight="1" x14ac:dyDescent="0.35">
      <c r="A423" s="14" t="s">
        <v>677</v>
      </c>
      <c r="B423" s="14" t="s">
        <v>408</v>
      </c>
      <c r="C423" s="14"/>
      <c r="D423" s="14" t="s">
        <v>409</v>
      </c>
      <c r="E423" s="15">
        <v>41640</v>
      </c>
      <c r="F423" s="15">
        <v>42004</v>
      </c>
      <c r="G423" s="14" t="s">
        <v>410</v>
      </c>
      <c r="H423" s="14">
        <v>0.05</v>
      </c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 t="s">
        <v>413</v>
      </c>
    </row>
    <row r="424" spans="1:32" ht="14.25" customHeight="1" x14ac:dyDescent="0.35">
      <c r="A424" s="16" t="s">
        <v>678</v>
      </c>
      <c r="B424" s="16" t="s">
        <v>408</v>
      </c>
      <c r="C424" s="16"/>
      <c r="D424" s="16" t="s">
        <v>409</v>
      </c>
      <c r="E424" s="17">
        <v>41640</v>
      </c>
      <c r="F424" s="17">
        <v>42004</v>
      </c>
      <c r="G424" s="16" t="s">
        <v>410</v>
      </c>
      <c r="H424" s="16">
        <v>0.2</v>
      </c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 t="s">
        <v>413</v>
      </c>
    </row>
    <row r="425" spans="1:32" ht="14.25" customHeight="1" x14ac:dyDescent="0.35">
      <c r="A425" s="14" t="s">
        <v>679</v>
      </c>
      <c r="B425" s="14" t="s">
        <v>408</v>
      </c>
      <c r="C425" s="14" t="s">
        <v>414</v>
      </c>
      <c r="D425" s="14" t="s">
        <v>409</v>
      </c>
      <c r="E425" s="15">
        <v>41640</v>
      </c>
      <c r="F425" s="15">
        <v>42004</v>
      </c>
      <c r="G425" s="14" t="s">
        <v>410</v>
      </c>
      <c r="H425" s="14">
        <v>60</v>
      </c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 t="s">
        <v>413</v>
      </c>
    </row>
    <row r="426" spans="1:32" ht="14.25" customHeight="1" x14ac:dyDescent="0.35">
      <c r="A426" s="16" t="s">
        <v>680</v>
      </c>
      <c r="B426" s="16" t="s">
        <v>408</v>
      </c>
      <c r="C426" s="16" t="s">
        <v>414</v>
      </c>
      <c r="D426" s="16" t="s">
        <v>409</v>
      </c>
      <c r="E426" s="17">
        <v>41640</v>
      </c>
      <c r="F426" s="17">
        <v>42004</v>
      </c>
      <c r="G426" s="16" t="s">
        <v>410</v>
      </c>
      <c r="H426" s="16">
        <v>55</v>
      </c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 t="s">
        <v>413</v>
      </c>
    </row>
    <row r="427" spans="1:32" ht="14.25" customHeight="1" x14ac:dyDescent="0.35">
      <c r="A427" s="14" t="s">
        <v>681</v>
      </c>
      <c r="B427" s="14" t="s">
        <v>408</v>
      </c>
      <c r="C427" s="14"/>
      <c r="D427" s="14" t="s">
        <v>409</v>
      </c>
      <c r="E427" s="15">
        <v>41640</v>
      </c>
      <c r="F427" s="15">
        <v>42004</v>
      </c>
      <c r="G427" s="14" t="s">
        <v>410</v>
      </c>
      <c r="H427" s="14">
        <v>0.05</v>
      </c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 t="s">
        <v>413</v>
      </c>
    </row>
    <row r="428" spans="1:32" ht="14.25" customHeight="1" x14ac:dyDescent="0.35">
      <c r="A428" s="16" t="s">
        <v>682</v>
      </c>
      <c r="B428" s="16" t="s">
        <v>408</v>
      </c>
      <c r="C428" s="16"/>
      <c r="D428" s="16" t="s">
        <v>409</v>
      </c>
      <c r="E428" s="17">
        <v>41640</v>
      </c>
      <c r="F428" s="17">
        <v>42004</v>
      </c>
      <c r="G428" s="16" t="s">
        <v>410</v>
      </c>
      <c r="H428" s="16">
        <v>0.2</v>
      </c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 t="s">
        <v>413</v>
      </c>
    </row>
    <row r="429" spans="1:32" ht="14.25" customHeight="1" x14ac:dyDescent="0.35">
      <c r="A429" s="14" t="s">
        <v>683</v>
      </c>
      <c r="B429" s="14" t="s">
        <v>408</v>
      </c>
      <c r="C429" s="14" t="s">
        <v>414</v>
      </c>
      <c r="D429" s="14" t="s">
        <v>409</v>
      </c>
      <c r="E429" s="15">
        <v>41640</v>
      </c>
      <c r="F429" s="15">
        <v>42004</v>
      </c>
      <c r="G429" s="14" t="s">
        <v>410</v>
      </c>
      <c r="H429" s="14">
        <v>60</v>
      </c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 t="s">
        <v>413</v>
      </c>
    </row>
    <row r="430" spans="1:32" ht="14.25" customHeight="1" x14ac:dyDescent="0.35">
      <c r="A430" s="16" t="s">
        <v>684</v>
      </c>
      <c r="B430" s="16" t="s">
        <v>408</v>
      </c>
      <c r="C430" s="16" t="s">
        <v>414</v>
      </c>
      <c r="D430" s="16" t="s">
        <v>409</v>
      </c>
      <c r="E430" s="17">
        <v>41640</v>
      </c>
      <c r="F430" s="17">
        <v>42004</v>
      </c>
      <c r="G430" s="16" t="s">
        <v>410</v>
      </c>
      <c r="H430" s="16">
        <v>55</v>
      </c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 t="s">
        <v>413</v>
      </c>
    </row>
    <row r="431" spans="1:32" ht="14.25" customHeight="1" x14ac:dyDescent="0.35">
      <c r="A431" s="14" t="s">
        <v>685</v>
      </c>
      <c r="B431" s="14" t="s">
        <v>408</v>
      </c>
      <c r="C431" s="14"/>
      <c r="D431" s="14" t="s">
        <v>409</v>
      </c>
      <c r="E431" s="15">
        <v>41640</v>
      </c>
      <c r="F431" s="15">
        <v>42004</v>
      </c>
      <c r="G431" s="14" t="s">
        <v>410</v>
      </c>
      <c r="H431" s="14">
        <v>0.05</v>
      </c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 t="s">
        <v>413</v>
      </c>
    </row>
    <row r="432" spans="1:32" ht="14.25" customHeight="1" x14ac:dyDescent="0.35">
      <c r="A432" s="16" t="s">
        <v>686</v>
      </c>
      <c r="B432" s="16" t="s">
        <v>408</v>
      </c>
      <c r="C432" s="16"/>
      <c r="D432" s="16" t="s">
        <v>409</v>
      </c>
      <c r="E432" s="17">
        <v>41640</v>
      </c>
      <c r="F432" s="17">
        <v>42004</v>
      </c>
      <c r="G432" s="16" t="s">
        <v>410</v>
      </c>
      <c r="H432" s="16">
        <v>0.2</v>
      </c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 t="s">
        <v>413</v>
      </c>
    </row>
    <row r="433" spans="1:32" ht="14.25" customHeight="1" x14ac:dyDescent="0.35">
      <c r="A433" s="14" t="s">
        <v>687</v>
      </c>
      <c r="B433" s="14" t="s">
        <v>408</v>
      </c>
      <c r="C433" s="14" t="s">
        <v>414</v>
      </c>
      <c r="D433" s="14" t="s">
        <v>409</v>
      </c>
      <c r="E433" s="15">
        <v>41640</v>
      </c>
      <c r="F433" s="15">
        <v>42004</v>
      </c>
      <c r="G433" s="14" t="s">
        <v>410</v>
      </c>
      <c r="H433" s="14">
        <v>60</v>
      </c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 t="s">
        <v>413</v>
      </c>
    </row>
    <row r="434" spans="1:32" ht="14.25" customHeight="1" x14ac:dyDescent="0.35">
      <c r="A434" s="16" t="s">
        <v>688</v>
      </c>
      <c r="B434" s="16" t="s">
        <v>408</v>
      </c>
      <c r="C434" s="16" t="s">
        <v>414</v>
      </c>
      <c r="D434" s="16" t="s">
        <v>409</v>
      </c>
      <c r="E434" s="17">
        <v>41640</v>
      </c>
      <c r="F434" s="17">
        <v>42004</v>
      </c>
      <c r="G434" s="16" t="s">
        <v>410</v>
      </c>
      <c r="H434" s="16">
        <v>55</v>
      </c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 t="s">
        <v>413</v>
      </c>
    </row>
    <row r="435" spans="1:32" ht="14.25" customHeight="1" x14ac:dyDescent="0.35">
      <c r="A435" s="14" t="s">
        <v>689</v>
      </c>
      <c r="B435" s="14" t="s">
        <v>408</v>
      </c>
      <c r="C435" s="14"/>
      <c r="D435" s="14" t="s">
        <v>409</v>
      </c>
      <c r="E435" s="15">
        <v>41640</v>
      </c>
      <c r="F435" s="15">
        <v>42004</v>
      </c>
      <c r="G435" s="14" t="s">
        <v>410</v>
      </c>
      <c r="H435" s="14">
        <v>0.05</v>
      </c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 t="s">
        <v>413</v>
      </c>
    </row>
    <row r="436" spans="1:32" ht="14.25" customHeight="1" x14ac:dyDescent="0.35">
      <c r="A436" s="16" t="s">
        <v>690</v>
      </c>
      <c r="B436" s="16" t="s">
        <v>408</v>
      </c>
      <c r="C436" s="16"/>
      <c r="D436" s="16" t="s">
        <v>409</v>
      </c>
      <c r="E436" s="17">
        <v>41640</v>
      </c>
      <c r="F436" s="17">
        <v>42004</v>
      </c>
      <c r="G436" s="16" t="s">
        <v>410</v>
      </c>
      <c r="H436" s="16">
        <v>0.2</v>
      </c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 t="s">
        <v>413</v>
      </c>
    </row>
    <row r="437" spans="1:32" ht="14.25" customHeight="1" x14ac:dyDescent="0.35">
      <c r="A437" s="14" t="s">
        <v>691</v>
      </c>
      <c r="B437" s="14" t="s">
        <v>408</v>
      </c>
      <c r="C437" s="14" t="s">
        <v>414</v>
      </c>
      <c r="D437" s="14" t="s">
        <v>409</v>
      </c>
      <c r="E437" s="15">
        <v>41640</v>
      </c>
      <c r="F437" s="15">
        <v>42004</v>
      </c>
      <c r="G437" s="14" t="s">
        <v>410</v>
      </c>
      <c r="H437" s="14">
        <v>60</v>
      </c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 t="s">
        <v>413</v>
      </c>
    </row>
    <row r="438" spans="1:32" ht="14.25" customHeight="1" x14ac:dyDescent="0.35">
      <c r="A438" s="16" t="s">
        <v>692</v>
      </c>
      <c r="B438" s="16" t="s">
        <v>408</v>
      </c>
      <c r="C438" s="16" t="s">
        <v>414</v>
      </c>
      <c r="D438" s="16" t="s">
        <v>409</v>
      </c>
      <c r="E438" s="17">
        <v>41640</v>
      </c>
      <c r="F438" s="17">
        <v>42004</v>
      </c>
      <c r="G438" s="16" t="s">
        <v>410</v>
      </c>
      <c r="H438" s="16">
        <v>55</v>
      </c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 t="s">
        <v>413</v>
      </c>
    </row>
    <row r="439" spans="1:32" ht="14.25" customHeight="1" x14ac:dyDescent="0.35">
      <c r="A439" s="14" t="s">
        <v>693</v>
      </c>
      <c r="B439" s="14" t="s">
        <v>408</v>
      </c>
      <c r="C439" s="14"/>
      <c r="D439" s="14" t="s">
        <v>409</v>
      </c>
      <c r="E439" s="15">
        <v>41640</v>
      </c>
      <c r="F439" s="15">
        <v>42004</v>
      </c>
      <c r="G439" s="14" t="s">
        <v>410</v>
      </c>
      <c r="H439" s="14">
        <v>0.05</v>
      </c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 t="s">
        <v>413</v>
      </c>
    </row>
    <row r="440" spans="1:32" ht="14.25" customHeight="1" x14ac:dyDescent="0.35">
      <c r="A440" s="16" t="s">
        <v>694</v>
      </c>
      <c r="B440" s="16" t="s">
        <v>408</v>
      </c>
      <c r="C440" s="16"/>
      <c r="D440" s="16" t="s">
        <v>409</v>
      </c>
      <c r="E440" s="17">
        <v>41640</v>
      </c>
      <c r="F440" s="17">
        <v>42004</v>
      </c>
      <c r="G440" s="16" t="s">
        <v>410</v>
      </c>
      <c r="H440" s="16">
        <v>0.2</v>
      </c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 t="s">
        <v>413</v>
      </c>
    </row>
    <row r="441" spans="1:32" ht="14.25" customHeight="1" x14ac:dyDescent="0.35">
      <c r="A441" s="14" t="s">
        <v>695</v>
      </c>
      <c r="B441" s="14" t="s">
        <v>408</v>
      </c>
      <c r="C441" s="14" t="s">
        <v>414</v>
      </c>
      <c r="D441" s="14" t="s">
        <v>409</v>
      </c>
      <c r="E441" s="15">
        <v>41640</v>
      </c>
      <c r="F441" s="15">
        <v>42004</v>
      </c>
      <c r="G441" s="14" t="s">
        <v>410</v>
      </c>
      <c r="H441" s="14">
        <v>60</v>
      </c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 t="s">
        <v>413</v>
      </c>
    </row>
    <row r="442" spans="1:32" ht="14.25" customHeight="1" x14ac:dyDescent="0.35">
      <c r="A442" s="16" t="s">
        <v>696</v>
      </c>
      <c r="B442" s="16" t="s">
        <v>408</v>
      </c>
      <c r="C442" s="16" t="s">
        <v>414</v>
      </c>
      <c r="D442" s="16" t="s">
        <v>409</v>
      </c>
      <c r="E442" s="17">
        <v>41640</v>
      </c>
      <c r="F442" s="17">
        <v>42004</v>
      </c>
      <c r="G442" s="16" t="s">
        <v>410</v>
      </c>
      <c r="H442" s="16">
        <v>55</v>
      </c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 t="s">
        <v>413</v>
      </c>
    </row>
    <row r="443" spans="1:32" ht="14.25" customHeight="1" x14ac:dyDescent="0.35">
      <c r="A443" s="14" t="s">
        <v>697</v>
      </c>
      <c r="B443" s="14" t="s">
        <v>408</v>
      </c>
      <c r="C443" s="14"/>
      <c r="D443" s="14" t="s">
        <v>409</v>
      </c>
      <c r="E443" s="15">
        <v>41640</v>
      </c>
      <c r="F443" s="15">
        <v>42004</v>
      </c>
      <c r="G443" s="14" t="s">
        <v>410</v>
      </c>
      <c r="H443" s="14">
        <v>0.05</v>
      </c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 t="s">
        <v>413</v>
      </c>
    </row>
    <row r="444" spans="1:32" ht="14.25" customHeight="1" x14ac:dyDescent="0.35">
      <c r="A444" s="16" t="s">
        <v>698</v>
      </c>
      <c r="B444" s="16" t="s">
        <v>408</v>
      </c>
      <c r="C444" s="16"/>
      <c r="D444" s="16" t="s">
        <v>409</v>
      </c>
      <c r="E444" s="17">
        <v>41640</v>
      </c>
      <c r="F444" s="17">
        <v>42004</v>
      </c>
      <c r="G444" s="16" t="s">
        <v>410</v>
      </c>
      <c r="H444" s="16">
        <v>0.2</v>
      </c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 t="s">
        <v>413</v>
      </c>
    </row>
    <row r="445" spans="1:32" ht="14.25" customHeight="1" x14ac:dyDescent="0.35">
      <c r="A445" s="14" t="s">
        <v>699</v>
      </c>
      <c r="B445" s="14" t="s">
        <v>408</v>
      </c>
      <c r="C445" s="14" t="s">
        <v>414</v>
      </c>
      <c r="D445" s="14" t="s">
        <v>409</v>
      </c>
      <c r="E445" s="15">
        <v>41640</v>
      </c>
      <c r="F445" s="15">
        <v>42004</v>
      </c>
      <c r="G445" s="14" t="s">
        <v>410</v>
      </c>
      <c r="H445" s="14">
        <v>60</v>
      </c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 t="s">
        <v>413</v>
      </c>
    </row>
    <row r="446" spans="1:32" ht="14.25" customHeight="1" x14ac:dyDescent="0.35">
      <c r="A446" s="16" t="s">
        <v>700</v>
      </c>
      <c r="B446" s="16" t="s">
        <v>408</v>
      </c>
      <c r="C446" s="16" t="s">
        <v>414</v>
      </c>
      <c r="D446" s="16" t="s">
        <v>409</v>
      </c>
      <c r="E446" s="17">
        <v>41640</v>
      </c>
      <c r="F446" s="17">
        <v>42004</v>
      </c>
      <c r="G446" s="16" t="s">
        <v>410</v>
      </c>
      <c r="H446" s="16">
        <v>55</v>
      </c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 t="s">
        <v>413</v>
      </c>
    </row>
    <row r="447" spans="1:32" ht="14.25" customHeight="1" x14ac:dyDescent="0.35">
      <c r="A447" s="14" t="s">
        <v>701</v>
      </c>
      <c r="B447" s="14" t="s">
        <v>408</v>
      </c>
      <c r="C447" s="14"/>
      <c r="D447" s="14" t="s">
        <v>409</v>
      </c>
      <c r="E447" s="15">
        <v>41640</v>
      </c>
      <c r="F447" s="15">
        <v>42004</v>
      </c>
      <c r="G447" s="14" t="s">
        <v>410</v>
      </c>
      <c r="H447" s="14">
        <v>0.05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 t="s">
        <v>413</v>
      </c>
    </row>
    <row r="448" spans="1:32" ht="14.25" customHeight="1" x14ac:dyDescent="0.35">
      <c r="A448" s="16" t="s">
        <v>702</v>
      </c>
      <c r="B448" s="16" t="s">
        <v>408</v>
      </c>
      <c r="C448" s="16"/>
      <c r="D448" s="16" t="s">
        <v>409</v>
      </c>
      <c r="E448" s="17">
        <v>41640</v>
      </c>
      <c r="F448" s="17">
        <v>42004</v>
      </c>
      <c r="G448" s="16" t="s">
        <v>410</v>
      </c>
      <c r="H448" s="16">
        <v>0.2</v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 t="s">
        <v>413</v>
      </c>
    </row>
    <row r="449" spans="1:32" ht="14.25" customHeight="1" x14ac:dyDescent="0.35">
      <c r="A449" s="14" t="s">
        <v>703</v>
      </c>
      <c r="B449" s="14" t="s">
        <v>408</v>
      </c>
      <c r="C449" s="14" t="s">
        <v>414</v>
      </c>
      <c r="D449" s="14" t="s">
        <v>409</v>
      </c>
      <c r="E449" s="15">
        <v>41640</v>
      </c>
      <c r="F449" s="15">
        <v>42004</v>
      </c>
      <c r="G449" s="14" t="s">
        <v>410</v>
      </c>
      <c r="H449" s="14">
        <v>60</v>
      </c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 t="s">
        <v>413</v>
      </c>
    </row>
    <row r="450" spans="1:32" ht="14.25" customHeight="1" x14ac:dyDescent="0.35">
      <c r="A450" s="16" t="s">
        <v>704</v>
      </c>
      <c r="B450" s="16" t="s">
        <v>408</v>
      </c>
      <c r="C450" s="16" t="s">
        <v>414</v>
      </c>
      <c r="D450" s="16" t="s">
        <v>409</v>
      </c>
      <c r="E450" s="17">
        <v>41640</v>
      </c>
      <c r="F450" s="17">
        <v>42004</v>
      </c>
      <c r="G450" s="16" t="s">
        <v>410</v>
      </c>
      <c r="H450" s="16">
        <v>55</v>
      </c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 t="s">
        <v>413</v>
      </c>
    </row>
    <row r="451" spans="1:32" ht="14.25" customHeight="1" x14ac:dyDescent="0.35">
      <c r="A451" s="14" t="s">
        <v>705</v>
      </c>
      <c r="B451" s="14" t="s">
        <v>408</v>
      </c>
      <c r="C451" s="14"/>
      <c r="D451" s="14" t="s">
        <v>409</v>
      </c>
      <c r="E451" s="15">
        <v>41640</v>
      </c>
      <c r="F451" s="15">
        <v>42004</v>
      </c>
      <c r="G451" s="14" t="s">
        <v>410</v>
      </c>
      <c r="H451" s="14">
        <v>0.05</v>
      </c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 t="s">
        <v>413</v>
      </c>
    </row>
    <row r="452" spans="1:32" ht="14.25" customHeight="1" x14ac:dyDescent="0.35">
      <c r="A452" s="16" t="s">
        <v>706</v>
      </c>
      <c r="B452" s="16" t="s">
        <v>408</v>
      </c>
      <c r="C452" s="16"/>
      <c r="D452" s="16" t="s">
        <v>409</v>
      </c>
      <c r="E452" s="17">
        <v>41640</v>
      </c>
      <c r="F452" s="17">
        <v>42004</v>
      </c>
      <c r="G452" s="16" t="s">
        <v>410</v>
      </c>
      <c r="H452" s="16">
        <v>0.2</v>
      </c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 t="s">
        <v>413</v>
      </c>
    </row>
    <row r="453" spans="1:32" ht="14.25" customHeight="1" x14ac:dyDescent="0.35">
      <c r="A453" s="14" t="s">
        <v>707</v>
      </c>
      <c r="B453" s="14" t="s">
        <v>408</v>
      </c>
      <c r="C453" s="14" t="s">
        <v>414</v>
      </c>
      <c r="D453" s="14" t="s">
        <v>409</v>
      </c>
      <c r="E453" s="15">
        <v>41640</v>
      </c>
      <c r="F453" s="15">
        <v>42004</v>
      </c>
      <c r="G453" s="14" t="s">
        <v>410</v>
      </c>
      <c r="H453" s="14">
        <v>60</v>
      </c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 t="s">
        <v>413</v>
      </c>
    </row>
    <row r="454" spans="1:32" ht="14.25" customHeight="1" x14ac:dyDescent="0.35">
      <c r="A454" s="16" t="s">
        <v>708</v>
      </c>
      <c r="B454" s="16" t="s">
        <v>408</v>
      </c>
      <c r="C454" s="16" t="s">
        <v>414</v>
      </c>
      <c r="D454" s="16" t="s">
        <v>409</v>
      </c>
      <c r="E454" s="17">
        <v>41640</v>
      </c>
      <c r="F454" s="17">
        <v>42004</v>
      </c>
      <c r="G454" s="16" t="s">
        <v>410</v>
      </c>
      <c r="H454" s="16">
        <v>55</v>
      </c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 t="s">
        <v>413</v>
      </c>
    </row>
    <row r="455" spans="1:32" ht="14.25" customHeight="1" x14ac:dyDescent="0.35">
      <c r="A455" s="14" t="s">
        <v>709</v>
      </c>
      <c r="B455" s="14" t="s">
        <v>408</v>
      </c>
      <c r="C455" s="14"/>
      <c r="D455" s="14" t="s">
        <v>409</v>
      </c>
      <c r="E455" s="15">
        <v>41640</v>
      </c>
      <c r="F455" s="15">
        <v>42004</v>
      </c>
      <c r="G455" s="14" t="s">
        <v>410</v>
      </c>
      <c r="H455" s="14">
        <v>0.05</v>
      </c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 t="s">
        <v>413</v>
      </c>
    </row>
    <row r="456" spans="1:32" ht="14.25" customHeight="1" x14ac:dyDescent="0.35">
      <c r="A456" s="16" t="s">
        <v>710</v>
      </c>
      <c r="B456" s="16" t="s">
        <v>408</v>
      </c>
      <c r="C456" s="16"/>
      <c r="D456" s="16" t="s">
        <v>409</v>
      </c>
      <c r="E456" s="17">
        <v>41640</v>
      </c>
      <c r="F456" s="17">
        <v>42004</v>
      </c>
      <c r="G456" s="16" t="s">
        <v>410</v>
      </c>
      <c r="H456" s="16">
        <v>0.2</v>
      </c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 t="s">
        <v>413</v>
      </c>
    </row>
    <row r="457" spans="1:32" ht="14.25" customHeight="1" x14ac:dyDescent="0.35">
      <c r="A457" s="14" t="s">
        <v>711</v>
      </c>
      <c r="B457" s="14" t="s">
        <v>408</v>
      </c>
      <c r="C457" s="14" t="s">
        <v>414</v>
      </c>
      <c r="D457" s="14" t="s">
        <v>409</v>
      </c>
      <c r="E457" s="15">
        <v>41640</v>
      </c>
      <c r="F457" s="15">
        <v>42004</v>
      </c>
      <c r="G457" s="14" t="s">
        <v>410</v>
      </c>
      <c r="H457" s="14">
        <v>60</v>
      </c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 t="s">
        <v>413</v>
      </c>
    </row>
    <row r="458" spans="1:32" ht="14.25" customHeight="1" x14ac:dyDescent="0.35">
      <c r="A458" s="16" t="s">
        <v>712</v>
      </c>
      <c r="B458" s="16" t="s">
        <v>408</v>
      </c>
      <c r="C458" s="16" t="s">
        <v>414</v>
      </c>
      <c r="D458" s="16" t="s">
        <v>409</v>
      </c>
      <c r="E458" s="17">
        <v>41640</v>
      </c>
      <c r="F458" s="17">
        <v>42004</v>
      </c>
      <c r="G458" s="16" t="s">
        <v>410</v>
      </c>
      <c r="H458" s="16">
        <v>55</v>
      </c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 t="s">
        <v>413</v>
      </c>
    </row>
    <row r="459" spans="1:32" ht="14.25" customHeight="1" x14ac:dyDescent="0.35">
      <c r="A459" s="14" t="s">
        <v>713</v>
      </c>
      <c r="B459" s="14" t="s">
        <v>408</v>
      </c>
      <c r="C459" s="14"/>
      <c r="D459" s="14" t="s">
        <v>409</v>
      </c>
      <c r="E459" s="15">
        <v>41640</v>
      </c>
      <c r="F459" s="15">
        <v>42004</v>
      </c>
      <c r="G459" s="14" t="s">
        <v>410</v>
      </c>
      <c r="H459" s="14">
        <v>0.05</v>
      </c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 t="s">
        <v>413</v>
      </c>
    </row>
    <row r="460" spans="1:32" ht="14.25" customHeight="1" x14ac:dyDescent="0.35">
      <c r="A460" s="16" t="s">
        <v>714</v>
      </c>
      <c r="B460" s="16" t="s">
        <v>408</v>
      </c>
      <c r="C460" s="16"/>
      <c r="D460" s="16" t="s">
        <v>409</v>
      </c>
      <c r="E460" s="17">
        <v>41640</v>
      </c>
      <c r="F460" s="17">
        <v>42004</v>
      </c>
      <c r="G460" s="16" t="s">
        <v>410</v>
      </c>
      <c r="H460" s="16">
        <v>0.2</v>
      </c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 t="s">
        <v>413</v>
      </c>
    </row>
    <row r="461" spans="1:32" ht="14.25" customHeight="1" x14ac:dyDescent="0.35">
      <c r="A461" s="14" t="s">
        <v>715</v>
      </c>
      <c r="B461" s="14" t="s">
        <v>408</v>
      </c>
      <c r="C461" s="14" t="s">
        <v>414</v>
      </c>
      <c r="D461" s="14" t="s">
        <v>409</v>
      </c>
      <c r="E461" s="15">
        <v>41640</v>
      </c>
      <c r="F461" s="15">
        <v>42004</v>
      </c>
      <c r="G461" s="14" t="s">
        <v>410</v>
      </c>
      <c r="H461" s="14">
        <v>60</v>
      </c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 t="s">
        <v>413</v>
      </c>
    </row>
    <row r="462" spans="1:32" ht="14.25" customHeight="1" x14ac:dyDescent="0.35">
      <c r="A462" s="16" t="s">
        <v>716</v>
      </c>
      <c r="B462" s="16" t="s">
        <v>408</v>
      </c>
      <c r="C462" s="16" t="s">
        <v>414</v>
      </c>
      <c r="D462" s="16" t="s">
        <v>409</v>
      </c>
      <c r="E462" s="17">
        <v>41640</v>
      </c>
      <c r="F462" s="17">
        <v>42004</v>
      </c>
      <c r="G462" s="16" t="s">
        <v>410</v>
      </c>
      <c r="H462" s="16">
        <v>55</v>
      </c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 t="s">
        <v>413</v>
      </c>
    </row>
    <row r="463" spans="1:32" ht="14.25" customHeight="1" x14ac:dyDescent="0.35">
      <c r="A463" s="14" t="s">
        <v>717</v>
      </c>
      <c r="B463" s="14" t="s">
        <v>408</v>
      </c>
      <c r="C463" s="14"/>
      <c r="D463" s="14" t="s">
        <v>409</v>
      </c>
      <c r="E463" s="15">
        <v>41640</v>
      </c>
      <c r="F463" s="15">
        <v>42004</v>
      </c>
      <c r="G463" s="14" t="s">
        <v>410</v>
      </c>
      <c r="H463" s="14">
        <v>0.05</v>
      </c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 t="s">
        <v>413</v>
      </c>
    </row>
    <row r="464" spans="1:32" ht="14.25" customHeight="1" x14ac:dyDescent="0.35">
      <c r="A464" s="16" t="s">
        <v>718</v>
      </c>
      <c r="B464" s="16" t="s">
        <v>408</v>
      </c>
      <c r="C464" s="16"/>
      <c r="D464" s="16" t="s">
        <v>409</v>
      </c>
      <c r="E464" s="17">
        <v>41640</v>
      </c>
      <c r="F464" s="17">
        <v>42004</v>
      </c>
      <c r="G464" s="16" t="s">
        <v>410</v>
      </c>
      <c r="H464" s="16">
        <v>0.2</v>
      </c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 t="s">
        <v>413</v>
      </c>
    </row>
    <row r="465" spans="1:32" ht="14.25" customHeight="1" x14ac:dyDescent="0.35">
      <c r="A465" s="14" t="s">
        <v>719</v>
      </c>
      <c r="B465" s="14" t="s">
        <v>408</v>
      </c>
      <c r="C465" s="14" t="s">
        <v>414</v>
      </c>
      <c r="D465" s="14" t="s">
        <v>409</v>
      </c>
      <c r="E465" s="15">
        <v>41640</v>
      </c>
      <c r="F465" s="15">
        <v>42004</v>
      </c>
      <c r="G465" s="14" t="s">
        <v>410</v>
      </c>
      <c r="H465" s="14">
        <v>60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 t="s">
        <v>413</v>
      </c>
    </row>
    <row r="466" spans="1:32" ht="14.25" customHeight="1" x14ac:dyDescent="0.35">
      <c r="A466" s="16" t="s">
        <v>720</v>
      </c>
      <c r="B466" s="16" t="s">
        <v>408</v>
      </c>
      <c r="C466" s="16" t="s">
        <v>414</v>
      </c>
      <c r="D466" s="16" t="s">
        <v>409</v>
      </c>
      <c r="E466" s="17">
        <v>41640</v>
      </c>
      <c r="F466" s="17">
        <v>42004</v>
      </c>
      <c r="G466" s="16" t="s">
        <v>410</v>
      </c>
      <c r="H466" s="16">
        <v>55</v>
      </c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 t="s">
        <v>413</v>
      </c>
    </row>
    <row r="467" spans="1:32" ht="14.25" customHeight="1" x14ac:dyDescent="0.35">
      <c r="A467" s="14" t="s">
        <v>721</v>
      </c>
      <c r="B467" s="14" t="s">
        <v>408</v>
      </c>
      <c r="C467" s="14"/>
      <c r="D467" s="14" t="s">
        <v>409</v>
      </c>
      <c r="E467" s="15">
        <v>41640</v>
      </c>
      <c r="F467" s="15">
        <v>42004</v>
      </c>
      <c r="G467" s="14" t="s">
        <v>410</v>
      </c>
      <c r="H467" s="14">
        <v>0.05</v>
      </c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 t="s">
        <v>413</v>
      </c>
    </row>
    <row r="468" spans="1:32" ht="14.25" customHeight="1" x14ac:dyDescent="0.35">
      <c r="A468" s="16" t="s">
        <v>722</v>
      </c>
      <c r="B468" s="16" t="s">
        <v>408</v>
      </c>
      <c r="C468" s="16"/>
      <c r="D468" s="16" t="s">
        <v>409</v>
      </c>
      <c r="E468" s="17">
        <v>41640</v>
      </c>
      <c r="F468" s="17">
        <v>42004</v>
      </c>
      <c r="G468" s="16" t="s">
        <v>410</v>
      </c>
      <c r="H468" s="16">
        <v>0.2</v>
      </c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 t="s">
        <v>413</v>
      </c>
    </row>
    <row r="469" spans="1:32" ht="14.25" customHeight="1" x14ac:dyDescent="0.35">
      <c r="A469" s="14" t="s">
        <v>723</v>
      </c>
      <c r="B469" s="14" t="s">
        <v>408</v>
      </c>
      <c r="C469" s="14" t="s">
        <v>414</v>
      </c>
      <c r="D469" s="14" t="s">
        <v>409</v>
      </c>
      <c r="E469" s="15">
        <v>41640</v>
      </c>
      <c r="F469" s="15">
        <v>42004</v>
      </c>
      <c r="G469" s="14" t="s">
        <v>410</v>
      </c>
      <c r="H469" s="14">
        <v>60</v>
      </c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 t="s">
        <v>413</v>
      </c>
    </row>
    <row r="470" spans="1:32" ht="14.25" customHeight="1" x14ac:dyDescent="0.35">
      <c r="A470" s="16" t="s">
        <v>724</v>
      </c>
      <c r="B470" s="16" t="s">
        <v>408</v>
      </c>
      <c r="C470" s="16" t="s">
        <v>414</v>
      </c>
      <c r="D470" s="16" t="s">
        <v>409</v>
      </c>
      <c r="E470" s="17">
        <v>41640</v>
      </c>
      <c r="F470" s="17">
        <v>42004</v>
      </c>
      <c r="G470" s="16" t="s">
        <v>410</v>
      </c>
      <c r="H470" s="16">
        <v>55</v>
      </c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 t="s">
        <v>413</v>
      </c>
    </row>
    <row r="471" spans="1:32" ht="14.25" customHeight="1" x14ac:dyDescent="0.35">
      <c r="A471" s="14" t="s">
        <v>725</v>
      </c>
      <c r="B471" s="14" t="s">
        <v>408</v>
      </c>
      <c r="C471" s="14"/>
      <c r="D471" s="14" t="s">
        <v>409</v>
      </c>
      <c r="E471" s="15">
        <v>41640</v>
      </c>
      <c r="F471" s="15">
        <v>42004</v>
      </c>
      <c r="G471" s="14" t="s">
        <v>410</v>
      </c>
      <c r="H471" s="14">
        <v>0.05</v>
      </c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 t="s">
        <v>413</v>
      </c>
    </row>
    <row r="472" spans="1:32" ht="14.25" customHeight="1" x14ac:dyDescent="0.35">
      <c r="A472" s="16" t="s">
        <v>726</v>
      </c>
      <c r="B472" s="16" t="s">
        <v>408</v>
      </c>
      <c r="C472" s="16"/>
      <c r="D472" s="16" t="s">
        <v>409</v>
      </c>
      <c r="E472" s="17">
        <v>41640</v>
      </c>
      <c r="F472" s="17">
        <v>42004</v>
      </c>
      <c r="G472" s="16" t="s">
        <v>410</v>
      </c>
      <c r="H472" s="16">
        <v>0.2</v>
      </c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 t="s">
        <v>413</v>
      </c>
    </row>
    <row r="473" spans="1:32" ht="14.25" customHeight="1" x14ac:dyDescent="0.35">
      <c r="A473" s="14" t="s">
        <v>727</v>
      </c>
      <c r="B473" s="14" t="s">
        <v>408</v>
      </c>
      <c r="C473" s="14" t="s">
        <v>414</v>
      </c>
      <c r="D473" s="14" t="s">
        <v>409</v>
      </c>
      <c r="E473" s="15">
        <v>41640</v>
      </c>
      <c r="F473" s="15">
        <v>42004</v>
      </c>
      <c r="G473" s="14" t="s">
        <v>410</v>
      </c>
      <c r="H473" s="14">
        <v>60</v>
      </c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 t="s">
        <v>413</v>
      </c>
    </row>
    <row r="474" spans="1:32" ht="14.25" customHeight="1" x14ac:dyDescent="0.35">
      <c r="A474" s="16" t="s">
        <v>728</v>
      </c>
      <c r="B474" s="16" t="s">
        <v>408</v>
      </c>
      <c r="C474" s="16" t="s">
        <v>414</v>
      </c>
      <c r="D474" s="16" t="s">
        <v>409</v>
      </c>
      <c r="E474" s="17">
        <v>41640</v>
      </c>
      <c r="F474" s="17">
        <v>42004</v>
      </c>
      <c r="G474" s="16" t="s">
        <v>410</v>
      </c>
      <c r="H474" s="16">
        <v>55</v>
      </c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 t="s">
        <v>413</v>
      </c>
    </row>
    <row r="475" spans="1:32" ht="14.25" customHeight="1" x14ac:dyDescent="0.35">
      <c r="A475" s="14" t="s">
        <v>729</v>
      </c>
      <c r="B475" s="14" t="s">
        <v>408</v>
      </c>
      <c r="C475" s="14"/>
      <c r="D475" s="14" t="s">
        <v>409</v>
      </c>
      <c r="E475" s="15">
        <v>41640</v>
      </c>
      <c r="F475" s="15">
        <v>42004</v>
      </c>
      <c r="G475" s="14" t="s">
        <v>410</v>
      </c>
      <c r="H475" s="14">
        <v>0.05</v>
      </c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 t="s">
        <v>413</v>
      </c>
    </row>
    <row r="476" spans="1:32" ht="14.25" customHeight="1" x14ac:dyDescent="0.35">
      <c r="A476" s="16" t="s">
        <v>730</v>
      </c>
      <c r="B476" s="16" t="s">
        <v>408</v>
      </c>
      <c r="C476" s="16"/>
      <c r="D476" s="16" t="s">
        <v>409</v>
      </c>
      <c r="E476" s="17">
        <v>41640</v>
      </c>
      <c r="F476" s="17">
        <v>42004</v>
      </c>
      <c r="G476" s="16" t="s">
        <v>410</v>
      </c>
      <c r="H476" s="16">
        <v>0.2</v>
      </c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 t="s">
        <v>413</v>
      </c>
    </row>
    <row r="477" spans="1:32" ht="14.25" customHeight="1" x14ac:dyDescent="0.35">
      <c r="A477" s="14" t="s">
        <v>731</v>
      </c>
      <c r="B477" s="14" t="s">
        <v>408</v>
      </c>
      <c r="C477" s="14" t="s">
        <v>414</v>
      </c>
      <c r="D477" s="14" t="s">
        <v>409</v>
      </c>
      <c r="E477" s="15">
        <v>41640</v>
      </c>
      <c r="F477" s="15">
        <v>42004</v>
      </c>
      <c r="G477" s="14" t="s">
        <v>410</v>
      </c>
      <c r="H477" s="14">
        <v>60</v>
      </c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 t="s">
        <v>413</v>
      </c>
    </row>
    <row r="478" spans="1:32" ht="14.25" customHeight="1" x14ac:dyDescent="0.35">
      <c r="A478" s="16" t="s">
        <v>732</v>
      </c>
      <c r="B478" s="16" t="s">
        <v>408</v>
      </c>
      <c r="C478" s="16" t="s">
        <v>414</v>
      </c>
      <c r="D478" s="16" t="s">
        <v>409</v>
      </c>
      <c r="E478" s="17">
        <v>41640</v>
      </c>
      <c r="F478" s="17">
        <v>42004</v>
      </c>
      <c r="G478" s="16" t="s">
        <v>410</v>
      </c>
      <c r="H478" s="16">
        <v>55</v>
      </c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 t="s">
        <v>413</v>
      </c>
    </row>
    <row r="479" spans="1:32" ht="14.25" customHeight="1" x14ac:dyDescent="0.35">
      <c r="A479" s="14" t="s">
        <v>733</v>
      </c>
      <c r="B479" s="14" t="s">
        <v>408</v>
      </c>
      <c r="C479" s="14"/>
      <c r="D479" s="14" t="s">
        <v>409</v>
      </c>
      <c r="E479" s="15">
        <v>41640</v>
      </c>
      <c r="F479" s="15">
        <v>42004</v>
      </c>
      <c r="G479" s="14" t="s">
        <v>410</v>
      </c>
      <c r="H479" s="14">
        <v>1</v>
      </c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 t="s">
        <v>413</v>
      </c>
    </row>
    <row r="480" spans="1:32" ht="14.25" customHeight="1" x14ac:dyDescent="0.35">
      <c r="A480" s="16" t="s">
        <v>734</v>
      </c>
      <c r="B480" s="16" t="s">
        <v>408</v>
      </c>
      <c r="C480" s="16"/>
      <c r="D480" s="16" t="s">
        <v>409</v>
      </c>
      <c r="E480" s="17">
        <v>41640</v>
      </c>
      <c r="F480" s="17">
        <v>42004</v>
      </c>
      <c r="G480" s="16" t="s">
        <v>410</v>
      </c>
      <c r="H480" s="16">
        <v>0.05</v>
      </c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 t="s">
        <v>413</v>
      </c>
    </row>
    <row r="481" spans="1:32" ht="14.25" customHeight="1" x14ac:dyDescent="0.35">
      <c r="A481" s="14" t="s">
        <v>735</v>
      </c>
      <c r="B481" s="14" t="s">
        <v>408</v>
      </c>
      <c r="C481" s="14"/>
      <c r="D481" s="14" t="s">
        <v>409</v>
      </c>
      <c r="E481" s="15">
        <v>41640</v>
      </c>
      <c r="F481" s="15">
        <v>42004</v>
      </c>
      <c r="G481" s="14" t="s">
        <v>410</v>
      </c>
      <c r="H481" s="14">
        <v>0.2</v>
      </c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 t="s">
        <v>413</v>
      </c>
    </row>
    <row r="482" spans="1:32" ht="14.25" customHeight="1" x14ac:dyDescent="0.35">
      <c r="A482" s="16" t="s">
        <v>736</v>
      </c>
      <c r="B482" s="16" t="s">
        <v>408</v>
      </c>
      <c r="C482" s="16" t="s">
        <v>414</v>
      </c>
      <c r="D482" s="16" t="s">
        <v>409</v>
      </c>
      <c r="E482" s="17">
        <v>41640</v>
      </c>
      <c r="F482" s="17">
        <v>42004</v>
      </c>
      <c r="G482" s="16" t="s">
        <v>410</v>
      </c>
      <c r="H482" s="16">
        <v>60</v>
      </c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 t="s">
        <v>413</v>
      </c>
    </row>
    <row r="483" spans="1:32" ht="14.25" customHeight="1" x14ac:dyDescent="0.35">
      <c r="A483" s="14" t="s">
        <v>737</v>
      </c>
      <c r="B483" s="14" t="s">
        <v>408</v>
      </c>
      <c r="C483" s="14" t="s">
        <v>414</v>
      </c>
      <c r="D483" s="14" t="s">
        <v>409</v>
      </c>
      <c r="E483" s="15">
        <v>41640</v>
      </c>
      <c r="F483" s="15">
        <v>42004</v>
      </c>
      <c r="G483" s="14" t="s">
        <v>410</v>
      </c>
      <c r="H483" s="14">
        <v>55</v>
      </c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 t="s">
        <v>413</v>
      </c>
    </row>
    <row r="484" spans="1:32" ht="14.25" customHeight="1" x14ac:dyDescent="0.35">
      <c r="A484" s="16" t="s">
        <v>738</v>
      </c>
      <c r="B484" s="16" t="s">
        <v>408</v>
      </c>
      <c r="C484" s="16"/>
      <c r="D484" s="16" t="s">
        <v>409</v>
      </c>
      <c r="E484" s="17">
        <v>41640</v>
      </c>
      <c r="F484" s="17">
        <v>42004</v>
      </c>
      <c r="G484" s="16" t="s">
        <v>410</v>
      </c>
      <c r="H484" s="16">
        <v>1</v>
      </c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 t="s">
        <v>413</v>
      </c>
    </row>
    <row r="485" spans="1:32" ht="14.25" customHeight="1" x14ac:dyDescent="0.35">
      <c r="A485" s="14" t="s">
        <v>739</v>
      </c>
      <c r="B485" s="14" t="s">
        <v>408</v>
      </c>
      <c r="C485" s="14" t="s">
        <v>414</v>
      </c>
      <c r="D485" s="14" t="s">
        <v>409</v>
      </c>
      <c r="E485" s="15">
        <v>41640</v>
      </c>
      <c r="F485" s="15">
        <v>42004</v>
      </c>
      <c r="G485" s="14" t="s">
        <v>410</v>
      </c>
      <c r="H485" s="14">
        <v>0</v>
      </c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 t="s">
        <v>413</v>
      </c>
    </row>
    <row r="486" spans="1:32" ht="14.25" customHeight="1" x14ac:dyDescent="0.35">
      <c r="A486" s="16" t="s">
        <v>740</v>
      </c>
      <c r="B486" s="16" t="s">
        <v>408</v>
      </c>
      <c r="C486" s="16" t="s">
        <v>414</v>
      </c>
      <c r="D486" s="16" t="s">
        <v>409</v>
      </c>
      <c r="E486" s="17">
        <v>41640</v>
      </c>
      <c r="F486" s="17">
        <v>42004</v>
      </c>
      <c r="G486" s="16" t="s">
        <v>410</v>
      </c>
      <c r="H486" s="16">
        <v>0</v>
      </c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 t="s">
        <v>413</v>
      </c>
    </row>
    <row r="487" spans="1:32" ht="14.25" customHeight="1" x14ac:dyDescent="0.35">
      <c r="A487" s="14" t="s">
        <v>741</v>
      </c>
      <c r="B487" s="14" t="s">
        <v>408</v>
      </c>
      <c r="C487" s="14" t="s">
        <v>414</v>
      </c>
      <c r="D487" s="14" t="s">
        <v>409</v>
      </c>
      <c r="E487" s="15">
        <v>41640</v>
      </c>
      <c r="F487" s="15">
        <v>42004</v>
      </c>
      <c r="G487" s="14" t="s">
        <v>410</v>
      </c>
      <c r="H487" s="14">
        <v>0</v>
      </c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 t="s">
        <v>413</v>
      </c>
    </row>
    <row r="488" spans="1:32" ht="14.25" customHeight="1" x14ac:dyDescent="0.35">
      <c r="A488" s="16" t="s">
        <v>742</v>
      </c>
      <c r="B488" s="16" t="s">
        <v>408</v>
      </c>
      <c r="C488" s="16" t="s">
        <v>414</v>
      </c>
      <c r="D488" s="16" t="s">
        <v>409</v>
      </c>
      <c r="E488" s="17">
        <v>41640</v>
      </c>
      <c r="F488" s="17">
        <v>42004</v>
      </c>
      <c r="G488" s="16" t="s">
        <v>410</v>
      </c>
      <c r="H488" s="16">
        <v>0</v>
      </c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 t="s">
        <v>413</v>
      </c>
    </row>
    <row r="489" spans="1:32" ht="14.25" customHeight="1" x14ac:dyDescent="0.35">
      <c r="A489" s="14" t="s">
        <v>743</v>
      </c>
      <c r="B489" s="14" t="s">
        <v>408</v>
      </c>
      <c r="C489" s="14" t="s">
        <v>412</v>
      </c>
      <c r="D489" s="14" t="s">
        <v>409</v>
      </c>
      <c r="E489" s="15">
        <v>41640</v>
      </c>
      <c r="F489" s="15">
        <v>42004</v>
      </c>
      <c r="G489" s="14" t="s">
        <v>410</v>
      </c>
      <c r="H489" s="14">
        <v>0</v>
      </c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 t="s">
        <v>413</v>
      </c>
    </row>
    <row r="490" spans="1:32" ht="14.25" customHeight="1" x14ac:dyDescent="0.35">
      <c r="A490" s="16" t="s">
        <v>744</v>
      </c>
      <c r="B490" s="16" t="s">
        <v>460</v>
      </c>
      <c r="C490" s="16" t="s">
        <v>414</v>
      </c>
      <c r="D490" s="16" t="s">
        <v>409</v>
      </c>
      <c r="E490" s="17">
        <v>41640</v>
      </c>
      <c r="F490" s="17">
        <v>42004</v>
      </c>
      <c r="G490" s="16" t="s">
        <v>410</v>
      </c>
      <c r="H490" s="16">
        <v>22</v>
      </c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 t="s">
        <v>413</v>
      </c>
    </row>
    <row r="491" spans="1:32" ht="14.25" customHeight="1" x14ac:dyDescent="0.35">
      <c r="A491" s="14" t="s">
        <v>745</v>
      </c>
      <c r="B491" s="14" t="s">
        <v>460</v>
      </c>
      <c r="C491" s="14" t="s">
        <v>414</v>
      </c>
      <c r="D491" s="14" t="s">
        <v>409</v>
      </c>
      <c r="E491" s="15">
        <v>41640</v>
      </c>
      <c r="F491" s="15">
        <v>42004</v>
      </c>
      <c r="G491" s="14" t="s">
        <v>410</v>
      </c>
      <c r="H491" s="14">
        <v>60</v>
      </c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 t="s">
        <v>413</v>
      </c>
    </row>
    <row r="492" spans="1:32" ht="14.25" customHeight="1" x14ac:dyDescent="0.35">
      <c r="A492" s="16" t="s">
        <v>746</v>
      </c>
      <c r="B492" s="16" t="s">
        <v>460</v>
      </c>
      <c r="C492" s="16" t="s">
        <v>414</v>
      </c>
      <c r="D492" s="16" t="s">
        <v>409</v>
      </c>
      <c r="E492" s="17">
        <v>41640</v>
      </c>
      <c r="F492" s="17">
        <v>42004</v>
      </c>
      <c r="G492" s="16" t="s">
        <v>410</v>
      </c>
      <c r="H492" s="16">
        <v>60</v>
      </c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 t="s">
        <v>413</v>
      </c>
    </row>
    <row r="493" spans="1:32" ht="14.25" customHeight="1" x14ac:dyDescent="0.35">
      <c r="A493" s="14" t="s">
        <v>747</v>
      </c>
      <c r="B493" s="14" t="s">
        <v>408</v>
      </c>
      <c r="C493" s="14" t="s">
        <v>414</v>
      </c>
      <c r="D493" s="14" t="s">
        <v>409</v>
      </c>
      <c r="E493" s="15">
        <v>41640</v>
      </c>
      <c r="F493" s="15">
        <v>42004</v>
      </c>
      <c r="G493" s="14" t="s">
        <v>410</v>
      </c>
      <c r="H493" s="14">
        <v>21.1</v>
      </c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 t="s">
        <v>413</v>
      </c>
    </row>
    <row r="494" spans="1:32" ht="14.25" customHeight="1" x14ac:dyDescent="0.35">
      <c r="A494" s="16" t="s">
        <v>748</v>
      </c>
      <c r="B494" s="16" t="s">
        <v>550</v>
      </c>
      <c r="C494" s="16"/>
      <c r="D494" s="16" t="s">
        <v>409</v>
      </c>
      <c r="E494" s="17">
        <v>41640</v>
      </c>
      <c r="F494" s="17">
        <v>42004</v>
      </c>
      <c r="G494" s="16" t="s">
        <v>410</v>
      </c>
      <c r="H494" s="16">
        <v>0.33</v>
      </c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 t="s">
        <v>413</v>
      </c>
    </row>
    <row r="495" spans="1:32" ht="14.25" customHeight="1" x14ac:dyDescent="0.35">
      <c r="A495" s="14" t="s">
        <v>749</v>
      </c>
      <c r="B495" s="14" t="s">
        <v>550</v>
      </c>
      <c r="C495" s="14"/>
      <c r="D495" s="14" t="s">
        <v>409</v>
      </c>
      <c r="E495" s="15">
        <v>41640</v>
      </c>
      <c r="F495" s="15">
        <v>42004</v>
      </c>
      <c r="G495" s="14" t="s">
        <v>410</v>
      </c>
      <c r="H495" s="14">
        <v>0.33</v>
      </c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 t="s">
        <v>413</v>
      </c>
    </row>
    <row r="496" spans="1:32" ht="14.25" customHeight="1" x14ac:dyDescent="0.35">
      <c r="A496" s="16" t="s">
        <v>750</v>
      </c>
      <c r="B496" s="16" t="s">
        <v>550</v>
      </c>
      <c r="C496" s="16"/>
      <c r="D496" s="16" t="s">
        <v>409</v>
      </c>
      <c r="E496" s="17">
        <v>41640</v>
      </c>
      <c r="F496" s="17">
        <v>42004</v>
      </c>
      <c r="G496" s="16" t="s">
        <v>410</v>
      </c>
      <c r="H496" s="16">
        <v>1</v>
      </c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 t="s">
        <v>413</v>
      </c>
    </row>
    <row r="497" spans="1:32" ht="14.25" customHeight="1" x14ac:dyDescent="0.35">
      <c r="A497" s="14" t="s">
        <v>751</v>
      </c>
      <c r="B497" s="14" t="s">
        <v>550</v>
      </c>
      <c r="C497" s="14"/>
      <c r="D497" s="14" t="s">
        <v>409</v>
      </c>
      <c r="E497" s="15">
        <v>41640</v>
      </c>
      <c r="F497" s="15">
        <v>42004</v>
      </c>
      <c r="G497" s="14" t="s">
        <v>410</v>
      </c>
      <c r="H497" s="14">
        <v>0.33</v>
      </c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 t="s">
        <v>413</v>
      </c>
    </row>
    <row r="498" spans="1:32" ht="14.25" customHeight="1" x14ac:dyDescent="0.35">
      <c r="A498" s="16" t="s">
        <v>752</v>
      </c>
      <c r="B498" s="16" t="s">
        <v>550</v>
      </c>
      <c r="C498" s="16"/>
      <c r="D498" s="16" t="s">
        <v>409</v>
      </c>
      <c r="E498" s="17">
        <v>41640</v>
      </c>
      <c r="F498" s="17">
        <v>42004</v>
      </c>
      <c r="G498" s="16" t="s">
        <v>410</v>
      </c>
      <c r="H498" s="16">
        <v>0.33</v>
      </c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 t="s">
        <v>413</v>
      </c>
    </row>
    <row r="499" spans="1:32" ht="14.25" customHeight="1" x14ac:dyDescent="0.35">
      <c r="A499" s="14" t="s">
        <v>753</v>
      </c>
      <c r="B499" s="14" t="s">
        <v>408</v>
      </c>
      <c r="C499" s="14" t="s">
        <v>414</v>
      </c>
      <c r="D499" s="14" t="s">
        <v>409</v>
      </c>
      <c r="E499" s="15">
        <v>41640</v>
      </c>
      <c r="F499" s="15">
        <v>42004</v>
      </c>
      <c r="G499" s="14" t="s">
        <v>410</v>
      </c>
      <c r="H499" s="14">
        <v>12.8</v>
      </c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 t="s">
        <v>413</v>
      </c>
    </row>
    <row r="500" spans="1:32" ht="14.25" customHeight="1" x14ac:dyDescent="0.35">
      <c r="A500" s="16" t="s">
        <v>754</v>
      </c>
      <c r="B500" s="16" t="s">
        <v>448</v>
      </c>
      <c r="C500" s="16"/>
      <c r="D500" s="16" t="s">
        <v>417</v>
      </c>
      <c r="E500" s="17">
        <v>41640</v>
      </c>
      <c r="F500" s="17">
        <v>42004</v>
      </c>
      <c r="G500" s="16" t="s">
        <v>415</v>
      </c>
      <c r="H500" s="16">
        <v>0.05</v>
      </c>
      <c r="I500" s="16">
        <v>0.05</v>
      </c>
      <c r="J500" s="16">
        <v>0.05</v>
      </c>
      <c r="K500" s="16">
        <v>0.05</v>
      </c>
      <c r="L500" s="16">
        <v>0.05</v>
      </c>
      <c r="M500" s="16">
        <v>0.05</v>
      </c>
      <c r="N500" s="16">
        <v>0.05</v>
      </c>
      <c r="O500" s="16">
        <v>0.05</v>
      </c>
      <c r="P500" s="16">
        <v>5.1999999999999998E-2</v>
      </c>
      <c r="Q500" s="16">
        <v>5.1999999999999998E-2</v>
      </c>
      <c r="R500" s="16">
        <v>5.1999999999999998E-2</v>
      </c>
      <c r="S500" s="16">
        <v>5.1999999999999998E-2</v>
      </c>
      <c r="T500" s="16">
        <v>5.1999999999999998E-2</v>
      </c>
      <c r="U500" s="16">
        <v>5.1999999999999998E-2</v>
      </c>
      <c r="V500" s="16">
        <v>5.1999999999999998E-2</v>
      </c>
      <c r="W500" s="16">
        <v>5.1999999999999998E-2</v>
      </c>
      <c r="X500" s="16">
        <v>0.05</v>
      </c>
      <c r="Y500" s="16">
        <v>0.05</v>
      </c>
      <c r="Z500" s="16">
        <v>0.05</v>
      </c>
      <c r="AA500" s="16">
        <v>0.05</v>
      </c>
      <c r="AB500" s="16">
        <v>0.05</v>
      </c>
      <c r="AC500" s="16">
        <v>0.05</v>
      </c>
      <c r="AD500" s="16">
        <v>0.05</v>
      </c>
      <c r="AE500" s="16">
        <v>0.05</v>
      </c>
      <c r="AF500" s="16" t="s">
        <v>413</v>
      </c>
    </row>
    <row r="501" spans="1:32" ht="14.25" customHeight="1" x14ac:dyDescent="0.35">
      <c r="A501" s="14" t="s">
        <v>754</v>
      </c>
      <c r="B501" s="14" t="s">
        <v>448</v>
      </c>
      <c r="C501" s="14"/>
      <c r="D501" s="14" t="s">
        <v>512</v>
      </c>
      <c r="E501" s="15">
        <v>41640</v>
      </c>
      <c r="F501" s="15">
        <v>42004</v>
      </c>
      <c r="G501" s="14" t="s">
        <v>415</v>
      </c>
      <c r="H501" s="14">
        <v>0.1</v>
      </c>
      <c r="I501" s="14">
        <v>0.1</v>
      </c>
      <c r="J501" s="14">
        <v>0.1</v>
      </c>
      <c r="K501" s="14">
        <v>0.1</v>
      </c>
      <c r="L501" s="14">
        <v>0.1</v>
      </c>
      <c r="M501" s="14">
        <v>0.1</v>
      </c>
      <c r="N501" s="14">
        <v>0.1</v>
      </c>
      <c r="O501" s="14">
        <v>0.104</v>
      </c>
      <c r="P501" s="14">
        <v>0.20799999999999999</v>
      </c>
      <c r="Q501" s="14">
        <v>0.20799999999999999</v>
      </c>
      <c r="R501" s="14">
        <v>0.20799999999999999</v>
      </c>
      <c r="S501" s="14">
        <v>0.20799999999999999</v>
      </c>
      <c r="T501" s="14">
        <v>0.20799999999999999</v>
      </c>
      <c r="U501" s="14">
        <v>0.20799999999999999</v>
      </c>
      <c r="V501" s="14">
        <v>0.20799999999999999</v>
      </c>
      <c r="W501" s="14">
        <v>0.20799999999999999</v>
      </c>
      <c r="X501" s="14">
        <v>0.20799999999999999</v>
      </c>
      <c r="Y501" s="14">
        <v>0.20799999999999999</v>
      </c>
      <c r="Z501" s="14">
        <v>0.1</v>
      </c>
      <c r="AA501" s="14">
        <v>0.1</v>
      </c>
      <c r="AB501" s="14">
        <v>0.1</v>
      </c>
      <c r="AC501" s="14">
        <v>0.1</v>
      </c>
      <c r="AD501" s="14">
        <v>0.1</v>
      </c>
      <c r="AE501" s="14">
        <v>0.1</v>
      </c>
      <c r="AF501" s="14" t="s">
        <v>413</v>
      </c>
    </row>
    <row r="502" spans="1:32" ht="14.25" customHeight="1" x14ac:dyDescent="0.35">
      <c r="A502" s="16" t="s">
        <v>754</v>
      </c>
      <c r="B502" s="16" t="s">
        <v>448</v>
      </c>
      <c r="C502" s="16"/>
      <c r="D502" s="16" t="s">
        <v>419</v>
      </c>
      <c r="E502" s="17">
        <v>41640</v>
      </c>
      <c r="F502" s="17">
        <v>42004</v>
      </c>
      <c r="G502" s="16" t="s">
        <v>410</v>
      </c>
      <c r="H502" s="16">
        <v>1</v>
      </c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 t="s">
        <v>413</v>
      </c>
    </row>
    <row r="503" spans="1:32" ht="14.25" customHeight="1" x14ac:dyDescent="0.35">
      <c r="A503" s="16" t="s">
        <v>754</v>
      </c>
      <c r="B503" s="16" t="s">
        <v>448</v>
      </c>
      <c r="C503" s="16"/>
      <c r="D503" s="16" t="s">
        <v>429</v>
      </c>
      <c r="E503" s="17">
        <v>41640</v>
      </c>
      <c r="F503" s="17">
        <v>42004</v>
      </c>
      <c r="G503" s="16" t="s">
        <v>415</v>
      </c>
      <c r="H503" s="16">
        <v>0.1</v>
      </c>
      <c r="I503" s="16">
        <v>0.1</v>
      </c>
      <c r="J503" s="16">
        <v>0.1</v>
      </c>
      <c r="K503" s="16">
        <v>0.1</v>
      </c>
      <c r="L503" s="16">
        <v>0.1</v>
      </c>
      <c r="M503" s="16">
        <v>0.1</v>
      </c>
      <c r="N503" s="16">
        <v>0.1</v>
      </c>
      <c r="O503" s="16">
        <v>0.26</v>
      </c>
      <c r="P503" s="16">
        <v>0.46800000000000003</v>
      </c>
      <c r="Q503" s="16">
        <v>0.46800000000000003</v>
      </c>
      <c r="R503" s="16">
        <v>0.46800000000000003</v>
      </c>
      <c r="S503" s="16">
        <v>0.46800000000000003</v>
      </c>
      <c r="T503" s="16">
        <v>0.46800000000000003</v>
      </c>
      <c r="U503" s="16">
        <v>0.46800000000000003</v>
      </c>
      <c r="V503" s="16">
        <v>0.46800000000000003</v>
      </c>
      <c r="W503" s="16">
        <v>0.46800000000000003</v>
      </c>
      <c r="X503" s="16">
        <v>0.156</v>
      </c>
      <c r="Y503" s="16">
        <v>0.156</v>
      </c>
      <c r="Z503" s="16">
        <v>0.156</v>
      </c>
      <c r="AA503" s="16">
        <v>0.156</v>
      </c>
      <c r="AB503" s="16">
        <v>0.156</v>
      </c>
      <c r="AC503" s="16">
        <v>0.156</v>
      </c>
      <c r="AD503" s="16">
        <v>0.156</v>
      </c>
      <c r="AE503" s="16">
        <v>0.1</v>
      </c>
      <c r="AF503" s="16" t="s">
        <v>413</v>
      </c>
    </row>
    <row r="504" spans="1:32" ht="14.25" customHeight="1" x14ac:dyDescent="0.35">
      <c r="A504" s="14" t="s">
        <v>754</v>
      </c>
      <c r="B504" s="14" t="s">
        <v>448</v>
      </c>
      <c r="C504" s="14"/>
      <c r="D504" s="14" t="s">
        <v>418</v>
      </c>
      <c r="E504" s="15">
        <v>41640</v>
      </c>
      <c r="F504" s="15">
        <v>42004</v>
      </c>
      <c r="G504" s="14" t="s">
        <v>410</v>
      </c>
      <c r="H504" s="14">
        <v>0</v>
      </c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 t="s">
        <v>413</v>
      </c>
    </row>
    <row r="505" spans="1:32" ht="14.25" customHeight="1" x14ac:dyDescent="0.35">
      <c r="A505" s="14" t="s">
        <v>755</v>
      </c>
      <c r="B505" s="14" t="s">
        <v>408</v>
      </c>
      <c r="C505" s="14"/>
      <c r="D505" s="14" t="s">
        <v>409</v>
      </c>
      <c r="E505" s="15">
        <v>41640</v>
      </c>
      <c r="F505" s="15">
        <v>42004</v>
      </c>
      <c r="G505" s="14" t="s">
        <v>410</v>
      </c>
      <c r="H505" s="14">
        <v>0</v>
      </c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 t="s">
        <v>411</v>
      </c>
    </row>
    <row r="506" spans="1:32" ht="14.25" customHeight="1" x14ac:dyDescent="0.35">
      <c r="A506" s="14" t="s">
        <v>756</v>
      </c>
      <c r="B506" s="14" t="s">
        <v>408</v>
      </c>
      <c r="C506" s="14"/>
      <c r="D506" s="14" t="s">
        <v>409</v>
      </c>
      <c r="E506" s="15">
        <v>41640</v>
      </c>
      <c r="F506" s="15">
        <v>42004</v>
      </c>
      <c r="G506" s="14" t="s">
        <v>410</v>
      </c>
      <c r="H506" s="14">
        <v>0</v>
      </c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 t="s">
        <v>413</v>
      </c>
    </row>
    <row r="507" spans="1:32" ht="14.25" customHeight="1" x14ac:dyDescent="0.35">
      <c r="A507" s="14" t="s">
        <v>757</v>
      </c>
      <c r="B507" s="14" t="s">
        <v>420</v>
      </c>
      <c r="C507" s="14" t="s">
        <v>414</v>
      </c>
      <c r="D507" s="14" t="s">
        <v>417</v>
      </c>
      <c r="E507" s="15">
        <v>41640</v>
      </c>
      <c r="F507" s="15">
        <v>42004</v>
      </c>
      <c r="G507" s="14" t="s">
        <v>415</v>
      </c>
      <c r="H507" s="14">
        <v>21.11</v>
      </c>
      <c r="I507" s="14">
        <v>21.11</v>
      </c>
      <c r="J507" s="14">
        <v>21.11</v>
      </c>
      <c r="K507" s="14">
        <v>21.11</v>
      </c>
      <c r="L507" s="14">
        <v>21.11</v>
      </c>
      <c r="M507" s="14">
        <v>21.11</v>
      </c>
      <c r="N507" s="14">
        <v>21.11</v>
      </c>
      <c r="O507" s="14">
        <v>21.11</v>
      </c>
      <c r="P507" s="14">
        <v>21.11</v>
      </c>
      <c r="Q507" s="14">
        <v>23.332999999999998</v>
      </c>
      <c r="R507" s="14">
        <v>23.332999999999998</v>
      </c>
      <c r="S507" s="14">
        <v>23.332999999999998</v>
      </c>
      <c r="T507" s="14">
        <v>23.332999999999998</v>
      </c>
      <c r="U507" s="14">
        <v>23.332999999999998</v>
      </c>
      <c r="V507" s="14">
        <v>23.332999999999998</v>
      </c>
      <c r="W507" s="14">
        <v>23.332999999999998</v>
      </c>
      <c r="X507" s="14">
        <v>21.11</v>
      </c>
      <c r="Y507" s="14">
        <v>21.11</v>
      </c>
      <c r="Z507" s="14">
        <v>21.11</v>
      </c>
      <c r="AA507" s="14">
        <v>21.11</v>
      </c>
      <c r="AB507" s="14">
        <v>21.11</v>
      </c>
      <c r="AC507" s="14">
        <v>21.11</v>
      </c>
      <c r="AD507" s="14">
        <v>21.11</v>
      </c>
      <c r="AE507" s="14">
        <v>21.11</v>
      </c>
      <c r="AF507" s="14" t="s">
        <v>413</v>
      </c>
    </row>
    <row r="508" spans="1:32" ht="14.25" customHeight="1" x14ac:dyDescent="0.35">
      <c r="A508" s="16" t="s">
        <v>757</v>
      </c>
      <c r="B508" s="16" t="s">
        <v>420</v>
      </c>
      <c r="C508" s="16" t="s">
        <v>414</v>
      </c>
      <c r="D508" s="16" t="s">
        <v>421</v>
      </c>
      <c r="E508" s="17">
        <v>41640</v>
      </c>
      <c r="F508" s="17">
        <v>42004</v>
      </c>
      <c r="G508" s="16" t="s">
        <v>410</v>
      </c>
      <c r="H508" s="16">
        <v>21.11</v>
      </c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 t="s">
        <v>413</v>
      </c>
    </row>
    <row r="509" spans="1:32" ht="14.25" customHeight="1" x14ac:dyDescent="0.35">
      <c r="A509" s="14" t="s">
        <v>758</v>
      </c>
      <c r="B509" s="14" t="s">
        <v>420</v>
      </c>
      <c r="C509" s="14" t="s">
        <v>414</v>
      </c>
      <c r="D509" s="14" t="s">
        <v>417</v>
      </c>
      <c r="E509" s="15">
        <v>41640</v>
      </c>
      <c r="F509" s="15">
        <v>42004</v>
      </c>
      <c r="G509" s="14" t="s">
        <v>415</v>
      </c>
      <c r="H509" s="14">
        <v>21.11</v>
      </c>
      <c r="I509" s="14">
        <v>21.11</v>
      </c>
      <c r="J509" s="14">
        <v>21.11</v>
      </c>
      <c r="K509" s="14">
        <v>21.11</v>
      </c>
      <c r="L509" s="14">
        <v>21.11</v>
      </c>
      <c r="M509" s="14">
        <v>21.11</v>
      </c>
      <c r="N509" s="14">
        <v>21.11</v>
      </c>
      <c r="O509" s="14">
        <v>21.11</v>
      </c>
      <c r="P509" s="14">
        <v>21.11</v>
      </c>
      <c r="Q509" s="14">
        <v>18.888999999999999</v>
      </c>
      <c r="R509" s="14">
        <v>18.888999999999999</v>
      </c>
      <c r="S509" s="14">
        <v>18.888999999999999</v>
      </c>
      <c r="T509" s="14">
        <v>18.888999999999999</v>
      </c>
      <c r="U509" s="14">
        <v>18.888999999999999</v>
      </c>
      <c r="V509" s="14">
        <v>18.888999999999999</v>
      </c>
      <c r="W509" s="14">
        <v>18.888999999999999</v>
      </c>
      <c r="X509" s="14">
        <v>21.11</v>
      </c>
      <c r="Y509" s="14">
        <v>21.11</v>
      </c>
      <c r="Z509" s="14">
        <v>21.11</v>
      </c>
      <c r="AA509" s="14">
        <v>21.11</v>
      </c>
      <c r="AB509" s="14">
        <v>21.11</v>
      </c>
      <c r="AC509" s="14">
        <v>21.11</v>
      </c>
      <c r="AD509" s="14">
        <v>21.11</v>
      </c>
      <c r="AE509" s="14">
        <v>21.11</v>
      </c>
      <c r="AF509" s="14" t="s">
        <v>413</v>
      </c>
    </row>
    <row r="510" spans="1:32" ht="14.25" customHeight="1" x14ac:dyDescent="0.35">
      <c r="A510" s="16" t="s">
        <v>758</v>
      </c>
      <c r="B510" s="16" t="s">
        <v>420</v>
      </c>
      <c r="C510" s="16" t="s">
        <v>414</v>
      </c>
      <c r="D510" s="16" t="s">
        <v>421</v>
      </c>
      <c r="E510" s="17">
        <v>41640</v>
      </c>
      <c r="F510" s="17">
        <v>42004</v>
      </c>
      <c r="G510" s="16" t="s">
        <v>410</v>
      </c>
      <c r="H510" s="16">
        <v>21.11</v>
      </c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 t="s">
        <v>413</v>
      </c>
    </row>
    <row r="511" spans="1:32" ht="14.25" customHeight="1" x14ac:dyDescent="0.35">
      <c r="A511" s="14" t="s">
        <v>759</v>
      </c>
      <c r="B511" s="14" t="s">
        <v>420</v>
      </c>
      <c r="C511" s="14" t="s">
        <v>414</v>
      </c>
      <c r="D511" s="14" t="s">
        <v>417</v>
      </c>
      <c r="E511" s="15">
        <v>41640</v>
      </c>
      <c r="F511" s="15">
        <v>42004</v>
      </c>
      <c r="G511" s="14" t="s">
        <v>415</v>
      </c>
      <c r="H511" s="14">
        <v>21.11</v>
      </c>
      <c r="I511" s="14">
        <v>21.11</v>
      </c>
      <c r="J511" s="14">
        <v>21.11</v>
      </c>
      <c r="K511" s="14">
        <v>21.11</v>
      </c>
      <c r="L511" s="14">
        <v>21.11</v>
      </c>
      <c r="M511" s="14">
        <v>21.11</v>
      </c>
      <c r="N511" s="14">
        <v>21.11</v>
      </c>
      <c r="O511" s="14">
        <v>21.11</v>
      </c>
      <c r="P511" s="14">
        <v>21.11</v>
      </c>
      <c r="Q511" s="14">
        <v>23.888000000000002</v>
      </c>
      <c r="R511" s="14">
        <v>23.888000000000002</v>
      </c>
      <c r="S511" s="14">
        <v>23.888000000000002</v>
      </c>
      <c r="T511" s="14">
        <v>23.888000000000002</v>
      </c>
      <c r="U511" s="14">
        <v>23.888000000000002</v>
      </c>
      <c r="V511" s="14">
        <v>23.888000000000002</v>
      </c>
      <c r="W511" s="14">
        <v>23.888000000000002</v>
      </c>
      <c r="X511" s="14">
        <v>21.11</v>
      </c>
      <c r="Y511" s="14">
        <v>21.11</v>
      </c>
      <c r="Z511" s="14">
        <v>21.11</v>
      </c>
      <c r="AA511" s="14">
        <v>21.11</v>
      </c>
      <c r="AB511" s="14">
        <v>21.11</v>
      </c>
      <c r="AC511" s="14">
        <v>21.11</v>
      </c>
      <c r="AD511" s="14">
        <v>21.11</v>
      </c>
      <c r="AE511" s="14">
        <v>21.11</v>
      </c>
      <c r="AF511" s="14" t="s">
        <v>413</v>
      </c>
    </row>
    <row r="512" spans="1:32" ht="14.25" customHeight="1" x14ac:dyDescent="0.35">
      <c r="A512" s="16" t="s">
        <v>759</v>
      </c>
      <c r="B512" s="16" t="s">
        <v>420</v>
      </c>
      <c r="C512" s="16" t="s">
        <v>414</v>
      </c>
      <c r="D512" s="16" t="s">
        <v>421</v>
      </c>
      <c r="E512" s="17">
        <v>41640</v>
      </c>
      <c r="F512" s="17">
        <v>42004</v>
      </c>
      <c r="G512" s="16" t="s">
        <v>410</v>
      </c>
      <c r="H512" s="16">
        <v>21.11</v>
      </c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 t="s">
        <v>413</v>
      </c>
    </row>
    <row r="513" spans="1:32" ht="14.25" customHeight="1" x14ac:dyDescent="0.35">
      <c r="A513" s="14" t="s">
        <v>760</v>
      </c>
      <c r="B513" s="14" t="s">
        <v>420</v>
      </c>
      <c r="C513" s="14" t="s">
        <v>414</v>
      </c>
      <c r="D513" s="14" t="s">
        <v>417</v>
      </c>
      <c r="E513" s="15">
        <v>41640</v>
      </c>
      <c r="F513" s="15">
        <v>42004</v>
      </c>
      <c r="G513" s="14" t="s">
        <v>415</v>
      </c>
      <c r="H513" s="14">
        <v>21.11</v>
      </c>
      <c r="I513" s="14">
        <v>21.11</v>
      </c>
      <c r="J513" s="14">
        <v>21.11</v>
      </c>
      <c r="K513" s="14">
        <v>21.11</v>
      </c>
      <c r="L513" s="14">
        <v>21.11</v>
      </c>
      <c r="M513" s="14">
        <v>21.11</v>
      </c>
      <c r="N513" s="14">
        <v>21.11</v>
      </c>
      <c r="O513" s="14">
        <v>21.11</v>
      </c>
      <c r="P513" s="14">
        <v>21.11</v>
      </c>
      <c r="Q513" s="14">
        <v>18.334</v>
      </c>
      <c r="R513" s="14">
        <v>18.334</v>
      </c>
      <c r="S513" s="14">
        <v>18.334</v>
      </c>
      <c r="T513" s="14">
        <v>18.334</v>
      </c>
      <c r="U513" s="14">
        <v>18.334</v>
      </c>
      <c r="V513" s="14">
        <v>18.334</v>
      </c>
      <c r="W513" s="14">
        <v>18.334</v>
      </c>
      <c r="X513" s="14">
        <v>21.11</v>
      </c>
      <c r="Y513" s="14">
        <v>21.11</v>
      </c>
      <c r="Z513" s="14">
        <v>21.11</v>
      </c>
      <c r="AA513" s="14">
        <v>21.11</v>
      </c>
      <c r="AB513" s="14">
        <v>21.11</v>
      </c>
      <c r="AC513" s="14">
        <v>21.11</v>
      </c>
      <c r="AD513" s="14">
        <v>21.11</v>
      </c>
      <c r="AE513" s="14">
        <v>21.11</v>
      </c>
      <c r="AF513" s="14" t="s">
        <v>413</v>
      </c>
    </row>
    <row r="514" spans="1:32" ht="14.25" customHeight="1" x14ac:dyDescent="0.35">
      <c r="A514" s="16" t="s">
        <v>760</v>
      </c>
      <c r="B514" s="16" t="s">
        <v>420</v>
      </c>
      <c r="C514" s="16" t="s">
        <v>414</v>
      </c>
      <c r="D514" s="16" t="s">
        <v>421</v>
      </c>
      <c r="E514" s="17">
        <v>41640</v>
      </c>
      <c r="F514" s="17">
        <v>42004</v>
      </c>
      <c r="G514" s="16" t="s">
        <v>410</v>
      </c>
      <c r="H514" s="16">
        <v>21.11</v>
      </c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 t="s">
        <v>413</v>
      </c>
    </row>
    <row r="515" spans="1:32" ht="14.25" customHeight="1" x14ac:dyDescent="0.35">
      <c r="A515" s="14" t="s">
        <v>761</v>
      </c>
      <c r="B515" s="14" t="s">
        <v>408</v>
      </c>
      <c r="C515" s="14" t="s">
        <v>412</v>
      </c>
      <c r="D515" s="14" t="s">
        <v>409</v>
      </c>
      <c r="E515" s="15">
        <v>41640</v>
      </c>
      <c r="F515" s="15">
        <v>42004</v>
      </c>
      <c r="G515" s="14" t="s">
        <v>410</v>
      </c>
      <c r="H515" s="14">
        <v>0.2</v>
      </c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 t="s">
        <v>413</v>
      </c>
    </row>
    <row r="516" spans="1:32" ht="14.25" customHeight="1" x14ac:dyDescent="0.35">
      <c r="A516" s="16" t="s">
        <v>762</v>
      </c>
      <c r="B516" s="16" t="s">
        <v>408</v>
      </c>
      <c r="C516" s="16"/>
      <c r="D516" s="16" t="s">
        <v>409</v>
      </c>
      <c r="E516" s="17">
        <v>41640</v>
      </c>
      <c r="F516" s="17">
        <v>42004</v>
      </c>
      <c r="G516" s="16" t="s">
        <v>410</v>
      </c>
      <c r="H516" s="16">
        <v>0</v>
      </c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 t="s">
        <v>413</v>
      </c>
    </row>
    <row r="517" spans="1:32" ht="14.25" customHeight="1" x14ac:dyDescent="0.35">
      <c r="A517" s="14" t="s">
        <v>763</v>
      </c>
      <c r="B517" s="14" t="s">
        <v>408</v>
      </c>
      <c r="C517" s="14"/>
      <c r="D517" s="14" t="s">
        <v>409</v>
      </c>
      <c r="E517" s="15">
        <v>41640</v>
      </c>
      <c r="F517" s="15">
        <v>42004</v>
      </c>
      <c r="G517" s="14" t="s">
        <v>410</v>
      </c>
      <c r="H517" s="14">
        <v>1</v>
      </c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 t="s">
        <v>413</v>
      </c>
    </row>
    <row r="518" spans="1:32" ht="14.25" customHeight="1" x14ac:dyDescent="0.35">
      <c r="A518" s="14" t="s">
        <v>764</v>
      </c>
      <c r="B518" s="14" t="s">
        <v>420</v>
      </c>
      <c r="C518" s="14" t="s">
        <v>414</v>
      </c>
      <c r="D518" s="14" t="s">
        <v>409</v>
      </c>
      <c r="E518" s="15">
        <v>41640</v>
      </c>
      <c r="F518" s="15">
        <v>42004</v>
      </c>
      <c r="G518" s="14" t="s">
        <v>410</v>
      </c>
      <c r="H518" s="14">
        <v>21.11</v>
      </c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 t="s">
        <v>413</v>
      </c>
    </row>
    <row r="519" spans="1:32" ht="14.25" customHeight="1" x14ac:dyDescent="0.35">
      <c r="A519" s="16" t="s">
        <v>765</v>
      </c>
      <c r="B519" s="16" t="s">
        <v>420</v>
      </c>
      <c r="C519" s="16" t="s">
        <v>414</v>
      </c>
      <c r="D519" s="16" t="s">
        <v>409</v>
      </c>
      <c r="E519" s="17">
        <v>41640</v>
      </c>
      <c r="F519" s="17">
        <v>42004</v>
      </c>
      <c r="G519" s="16" t="s">
        <v>410</v>
      </c>
      <c r="H519" s="16">
        <v>21.11</v>
      </c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 t="s">
        <v>413</v>
      </c>
    </row>
    <row r="520" spans="1:32" ht="14.25" customHeight="1" x14ac:dyDescent="0.35">
      <c r="A520" s="16" t="s">
        <v>766</v>
      </c>
      <c r="B520" s="16" t="s">
        <v>427</v>
      </c>
      <c r="C520" s="16"/>
      <c r="D520" s="16" t="s">
        <v>417</v>
      </c>
      <c r="E520" s="17">
        <v>41640</v>
      </c>
      <c r="F520" s="17">
        <v>42004</v>
      </c>
      <c r="G520" s="16" t="s">
        <v>415</v>
      </c>
      <c r="H520" s="16">
        <v>0.4</v>
      </c>
      <c r="I520" s="16">
        <v>0.4</v>
      </c>
      <c r="J520" s="16">
        <v>0.3</v>
      </c>
      <c r="K520" s="16">
        <v>0.3</v>
      </c>
      <c r="L520" s="16">
        <v>0.3</v>
      </c>
      <c r="M520" s="16">
        <v>0.3</v>
      </c>
      <c r="N520" s="16">
        <v>0.4</v>
      </c>
      <c r="O520" s="16">
        <v>0.5</v>
      </c>
      <c r="P520" s="16">
        <v>0.5</v>
      </c>
      <c r="Q520" s="16">
        <v>0.4</v>
      </c>
      <c r="R520" s="16">
        <v>0.4</v>
      </c>
      <c r="S520" s="16">
        <v>0.4</v>
      </c>
      <c r="T520" s="16">
        <v>0.4</v>
      </c>
      <c r="U520" s="16">
        <v>0.3</v>
      </c>
      <c r="V520" s="16">
        <v>0.3</v>
      </c>
      <c r="W520" s="16">
        <v>0.3</v>
      </c>
      <c r="X520" s="16">
        <v>0.3</v>
      </c>
      <c r="Y520" s="16">
        <v>0.3</v>
      </c>
      <c r="Z520" s="16">
        <v>0.6</v>
      </c>
      <c r="AA520" s="16">
        <v>0.8</v>
      </c>
      <c r="AB520" s="16">
        <v>0.9</v>
      </c>
      <c r="AC520" s="16">
        <v>0.7</v>
      </c>
      <c r="AD520" s="16">
        <v>0.6</v>
      </c>
      <c r="AE520" s="16">
        <v>0.4</v>
      </c>
      <c r="AF520" s="16" t="s">
        <v>413</v>
      </c>
    </row>
    <row r="521" spans="1:32" ht="14.25" customHeight="1" x14ac:dyDescent="0.35">
      <c r="A521" s="14" t="s">
        <v>766</v>
      </c>
      <c r="B521" s="14" t="s">
        <v>427</v>
      </c>
      <c r="C521" s="14"/>
      <c r="D521" s="14" t="s">
        <v>512</v>
      </c>
      <c r="E521" s="15">
        <v>41640</v>
      </c>
      <c r="F521" s="15">
        <v>42004</v>
      </c>
      <c r="G521" s="14" t="s">
        <v>415</v>
      </c>
      <c r="H521" s="14">
        <v>0.3</v>
      </c>
      <c r="I521" s="14">
        <v>0.3</v>
      </c>
      <c r="J521" s="14">
        <v>0.2</v>
      </c>
      <c r="K521" s="14">
        <v>0.2</v>
      </c>
      <c r="L521" s="14">
        <v>0.2</v>
      </c>
      <c r="M521" s="14">
        <v>0.2</v>
      </c>
      <c r="N521" s="14">
        <v>0.4</v>
      </c>
      <c r="O521" s="14">
        <v>0.4</v>
      </c>
      <c r="P521" s="14">
        <v>0.5</v>
      </c>
      <c r="Q521" s="14">
        <v>0.5</v>
      </c>
      <c r="R521" s="14">
        <v>0.4</v>
      </c>
      <c r="S521" s="14">
        <v>0.35</v>
      </c>
      <c r="T521" s="14">
        <v>0.35</v>
      </c>
      <c r="U521" s="14">
        <v>0.35</v>
      </c>
      <c r="V521" s="14">
        <v>0.35</v>
      </c>
      <c r="W521" s="14">
        <v>0.35</v>
      </c>
      <c r="X521" s="14">
        <v>0.35</v>
      </c>
      <c r="Y521" s="14">
        <v>0.35</v>
      </c>
      <c r="Z521" s="14">
        <v>0.7</v>
      </c>
      <c r="AA521" s="14">
        <v>0.8</v>
      </c>
      <c r="AB521" s="14">
        <v>0.8</v>
      </c>
      <c r="AC521" s="14">
        <v>0.8</v>
      </c>
      <c r="AD521" s="14">
        <v>0.7</v>
      </c>
      <c r="AE521" s="14">
        <v>0.4</v>
      </c>
      <c r="AF521" s="14" t="s">
        <v>413</v>
      </c>
    </row>
    <row r="522" spans="1:32" ht="14.25" customHeight="1" x14ac:dyDescent="0.35">
      <c r="A522" s="16" t="s">
        <v>766</v>
      </c>
      <c r="B522" s="16" t="s">
        <v>427</v>
      </c>
      <c r="C522" s="16"/>
      <c r="D522" s="16" t="s">
        <v>419</v>
      </c>
      <c r="E522" s="17">
        <v>41640</v>
      </c>
      <c r="F522" s="17">
        <v>42004</v>
      </c>
      <c r="G522" s="16" t="s">
        <v>410</v>
      </c>
      <c r="H522" s="16">
        <v>1</v>
      </c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 t="s">
        <v>413</v>
      </c>
    </row>
    <row r="523" spans="1:32" ht="14.25" customHeight="1" x14ac:dyDescent="0.35">
      <c r="A523" s="16" t="s">
        <v>766</v>
      </c>
      <c r="B523" s="16" t="s">
        <v>427</v>
      </c>
      <c r="C523" s="16"/>
      <c r="D523" s="16" t="s">
        <v>429</v>
      </c>
      <c r="E523" s="17">
        <v>41640</v>
      </c>
      <c r="F523" s="17">
        <v>42004</v>
      </c>
      <c r="G523" s="16" t="s">
        <v>415</v>
      </c>
      <c r="H523" s="16">
        <v>0.3</v>
      </c>
      <c r="I523" s="16">
        <v>0.25</v>
      </c>
      <c r="J523" s="16">
        <v>0.2</v>
      </c>
      <c r="K523" s="16">
        <v>0.2</v>
      </c>
      <c r="L523" s="16">
        <v>0.2</v>
      </c>
      <c r="M523" s="16">
        <v>0.3</v>
      </c>
      <c r="N523" s="16">
        <v>0.5</v>
      </c>
      <c r="O523" s="16">
        <v>0.6</v>
      </c>
      <c r="P523" s="16">
        <v>0.5</v>
      </c>
      <c r="Q523" s="16">
        <v>0.5</v>
      </c>
      <c r="R523" s="16">
        <v>0.35</v>
      </c>
      <c r="S523" s="16">
        <v>0.35</v>
      </c>
      <c r="T523" s="16">
        <v>0.35</v>
      </c>
      <c r="U523" s="16">
        <v>0.35</v>
      </c>
      <c r="V523" s="16">
        <v>0.35</v>
      </c>
      <c r="W523" s="16">
        <v>0.35</v>
      </c>
      <c r="X523" s="16">
        <v>0.35</v>
      </c>
      <c r="Y523" s="16">
        <v>0.35</v>
      </c>
      <c r="Z523" s="16">
        <v>0.7</v>
      </c>
      <c r="AA523" s="16">
        <v>0.9</v>
      </c>
      <c r="AB523" s="16">
        <v>0.95</v>
      </c>
      <c r="AC523" s="16">
        <v>0.9</v>
      </c>
      <c r="AD523" s="16">
        <v>0.7</v>
      </c>
      <c r="AE523" s="16">
        <v>0.4</v>
      </c>
      <c r="AF523" s="16" t="s">
        <v>413</v>
      </c>
    </row>
    <row r="524" spans="1:32" ht="14.25" customHeight="1" x14ac:dyDescent="0.35">
      <c r="A524" s="14" t="s">
        <v>766</v>
      </c>
      <c r="B524" s="14" t="s">
        <v>427</v>
      </c>
      <c r="C524" s="14"/>
      <c r="D524" s="14" t="s">
        <v>418</v>
      </c>
      <c r="E524" s="15">
        <v>41640</v>
      </c>
      <c r="F524" s="15">
        <v>42004</v>
      </c>
      <c r="G524" s="14" t="s">
        <v>410</v>
      </c>
      <c r="H524" s="14">
        <v>0</v>
      </c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 t="s">
        <v>413</v>
      </c>
    </row>
    <row r="525" spans="1:32" ht="14.25" customHeight="1" x14ac:dyDescent="0.35">
      <c r="A525" s="18" t="s">
        <v>767</v>
      </c>
      <c r="B525" s="18" t="s">
        <v>427</v>
      </c>
      <c r="C525" s="18"/>
      <c r="D525" s="18" t="s">
        <v>417</v>
      </c>
      <c r="E525" s="19">
        <v>41640</v>
      </c>
      <c r="F525" s="19">
        <v>42004</v>
      </c>
      <c r="G525" s="18" t="s">
        <v>415</v>
      </c>
      <c r="H525" s="18">
        <v>0.38414290000000001</v>
      </c>
      <c r="I525" s="18">
        <v>0.38414290000000001</v>
      </c>
      <c r="J525" s="18">
        <v>0.28810717499999999</v>
      </c>
      <c r="K525" s="18">
        <v>0.28810717499999999</v>
      </c>
      <c r="L525" s="18">
        <v>0.28810717499999999</v>
      </c>
      <c r="M525" s="18">
        <v>0.28810717499999999</v>
      </c>
      <c r="N525" s="18">
        <v>0.38414290000000001</v>
      </c>
      <c r="O525" s="18">
        <v>0.48017862500000003</v>
      </c>
      <c r="P525" s="18">
        <v>0.48017862500000003</v>
      </c>
      <c r="Q525" s="18">
        <v>0.38414290000000001</v>
      </c>
      <c r="R525" s="18">
        <v>0.38414290000000001</v>
      </c>
      <c r="S525" s="18">
        <v>0.38414290000000001</v>
      </c>
      <c r="T525" s="18">
        <v>0.38414290000000001</v>
      </c>
      <c r="U525" s="18">
        <v>0.28810717499999999</v>
      </c>
      <c r="V525" s="18">
        <v>0.28810717499999999</v>
      </c>
      <c r="W525" s="18">
        <v>0.28810717499999999</v>
      </c>
      <c r="X525" s="18">
        <v>0.28810717499999999</v>
      </c>
      <c r="Y525" s="18">
        <v>0.28810717499999999</v>
      </c>
      <c r="Z525" s="18">
        <v>0.57621434999999999</v>
      </c>
      <c r="AA525" s="18">
        <v>0.76828580000000002</v>
      </c>
      <c r="AB525" s="18">
        <v>0.86432152500000003</v>
      </c>
      <c r="AC525" s="18">
        <v>0.672250075</v>
      </c>
      <c r="AD525" s="18">
        <v>0.57621434999999999</v>
      </c>
      <c r="AE525" s="18">
        <v>0.38414290000000001</v>
      </c>
      <c r="AF525" s="18" t="s">
        <v>413</v>
      </c>
    </row>
    <row r="526" spans="1:32" ht="14.25" customHeight="1" x14ac:dyDescent="0.35">
      <c r="A526" s="18" t="s">
        <v>767</v>
      </c>
      <c r="B526" s="18" t="s">
        <v>427</v>
      </c>
      <c r="C526" s="18"/>
      <c r="D526" s="18" t="s">
        <v>512</v>
      </c>
      <c r="E526" s="19">
        <v>41640</v>
      </c>
      <c r="F526" s="19">
        <v>42004</v>
      </c>
      <c r="G526" s="18" t="s">
        <v>415</v>
      </c>
      <c r="H526" s="18">
        <v>0.28810717499999999</v>
      </c>
      <c r="I526" s="18">
        <v>0.28810717499999999</v>
      </c>
      <c r="J526" s="18">
        <v>0.19207145</v>
      </c>
      <c r="K526" s="18">
        <v>0.19207145</v>
      </c>
      <c r="L526" s="18">
        <v>0.19207145</v>
      </c>
      <c r="M526" s="18">
        <v>0.19207145</v>
      </c>
      <c r="N526" s="18">
        <v>0.38414290000000001</v>
      </c>
      <c r="O526" s="18">
        <v>0.38414290000000001</v>
      </c>
      <c r="P526" s="18">
        <v>0.48017862500000003</v>
      </c>
      <c r="Q526" s="18">
        <v>0.48017862500000003</v>
      </c>
      <c r="R526" s="18">
        <v>0.38414290000000001</v>
      </c>
      <c r="S526" s="18">
        <v>0.33612503799999999</v>
      </c>
      <c r="T526" s="18">
        <v>0.33612503799999999</v>
      </c>
      <c r="U526" s="18">
        <v>0.33612503799999999</v>
      </c>
      <c r="V526" s="18">
        <v>0.33612503799999999</v>
      </c>
      <c r="W526" s="18">
        <v>0.33612503799999999</v>
      </c>
      <c r="X526" s="18">
        <v>0.33612503799999999</v>
      </c>
      <c r="Y526" s="18">
        <v>0.33612503799999999</v>
      </c>
      <c r="Z526" s="18">
        <v>0.672250075</v>
      </c>
      <c r="AA526" s="18">
        <v>0.76828580000000002</v>
      </c>
      <c r="AB526" s="18">
        <v>0.76828580000000002</v>
      </c>
      <c r="AC526" s="18">
        <v>0.76828580000000002</v>
      </c>
      <c r="AD526" s="18">
        <v>0.672250075</v>
      </c>
      <c r="AE526" s="18">
        <v>0.38414290000000001</v>
      </c>
      <c r="AF526" s="18" t="s">
        <v>413</v>
      </c>
    </row>
    <row r="527" spans="1:32" ht="14.25" customHeight="1" x14ac:dyDescent="0.35">
      <c r="A527" s="18" t="s">
        <v>767</v>
      </c>
      <c r="B527" s="18" t="s">
        <v>427</v>
      </c>
      <c r="C527" s="18"/>
      <c r="D527" s="18" t="s">
        <v>419</v>
      </c>
      <c r="E527" s="19">
        <v>41640</v>
      </c>
      <c r="F527" s="19">
        <v>42004</v>
      </c>
      <c r="G527" s="18" t="s">
        <v>410</v>
      </c>
      <c r="H527" s="18">
        <v>1</v>
      </c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 t="s">
        <v>413</v>
      </c>
    </row>
    <row r="528" spans="1:32" ht="14.25" customHeight="1" x14ac:dyDescent="0.35">
      <c r="A528" s="18" t="s">
        <v>767</v>
      </c>
      <c r="B528" s="18" t="s">
        <v>427</v>
      </c>
      <c r="C528" s="18"/>
      <c r="D528" s="18" t="s">
        <v>429</v>
      </c>
      <c r="E528" s="19">
        <v>41640</v>
      </c>
      <c r="F528" s="19">
        <v>42004</v>
      </c>
      <c r="G528" s="18" t="s">
        <v>415</v>
      </c>
      <c r="H528" s="18">
        <v>0.28810717499999999</v>
      </c>
      <c r="I528" s="18">
        <v>0.240089313</v>
      </c>
      <c r="J528" s="18">
        <v>0.19207145</v>
      </c>
      <c r="K528" s="18">
        <v>0.19207145</v>
      </c>
      <c r="L528" s="18">
        <v>0.19207145</v>
      </c>
      <c r="M528" s="18">
        <v>0.28810717499999999</v>
      </c>
      <c r="N528" s="18">
        <v>0.48017862500000003</v>
      </c>
      <c r="O528" s="18">
        <v>0.57621434999999999</v>
      </c>
      <c r="P528" s="18">
        <v>0.48017862500000003</v>
      </c>
      <c r="Q528" s="18">
        <v>0.48017862500000003</v>
      </c>
      <c r="R528" s="18">
        <v>0.33612503799999999</v>
      </c>
      <c r="S528" s="18">
        <v>0.33612503799999999</v>
      </c>
      <c r="T528" s="18">
        <v>0.33612503799999999</v>
      </c>
      <c r="U528" s="18">
        <v>0.33612503799999999</v>
      </c>
      <c r="V528" s="18">
        <v>0.33612503799999999</v>
      </c>
      <c r="W528" s="18">
        <v>0.33612503799999999</v>
      </c>
      <c r="X528" s="18">
        <v>0.33612503799999999</v>
      </c>
      <c r="Y528" s="18">
        <v>0.33612503799999999</v>
      </c>
      <c r="Z528" s="18">
        <v>0.672250075</v>
      </c>
      <c r="AA528" s="18">
        <v>0.86432152500000003</v>
      </c>
      <c r="AB528" s="18">
        <v>0.91233938800000003</v>
      </c>
      <c r="AC528" s="18">
        <v>0.86432152500000003</v>
      </c>
      <c r="AD528" s="18">
        <v>0.672250075</v>
      </c>
      <c r="AE528" s="18">
        <v>0.38414290000000001</v>
      </c>
      <c r="AF528" s="18" t="s">
        <v>413</v>
      </c>
    </row>
    <row r="529" spans="1:32" ht="14.25" customHeight="1" x14ac:dyDescent="0.35">
      <c r="A529" s="18" t="s">
        <v>767</v>
      </c>
      <c r="B529" s="18" t="s">
        <v>427</v>
      </c>
      <c r="C529" s="18"/>
      <c r="D529" s="18" t="s">
        <v>418</v>
      </c>
      <c r="E529" s="19">
        <v>41640</v>
      </c>
      <c r="F529" s="19">
        <v>42004</v>
      </c>
      <c r="G529" s="18" t="s">
        <v>410</v>
      </c>
      <c r="H529" s="18">
        <v>0</v>
      </c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 t="s">
        <v>413</v>
      </c>
    </row>
    <row r="530" spans="1:32" ht="14.25" customHeight="1" x14ac:dyDescent="0.35">
      <c r="A530" s="14" t="s">
        <v>768</v>
      </c>
      <c r="B530" s="14" t="s">
        <v>416</v>
      </c>
      <c r="C530" s="14"/>
      <c r="D530" s="14" t="s">
        <v>417</v>
      </c>
      <c r="E530" s="15">
        <v>41640</v>
      </c>
      <c r="F530" s="15">
        <v>42004</v>
      </c>
      <c r="G530" s="14" t="s">
        <v>415</v>
      </c>
      <c r="H530" s="14">
        <v>0.05</v>
      </c>
      <c r="I530" s="14">
        <v>0.05</v>
      </c>
      <c r="J530" s="14">
        <v>0.05</v>
      </c>
      <c r="K530" s="14">
        <v>0.05</v>
      </c>
      <c r="L530" s="14">
        <v>0.1</v>
      </c>
      <c r="M530" s="14">
        <v>0.2</v>
      </c>
      <c r="N530" s="14">
        <v>0.4</v>
      </c>
      <c r="O530" s="14">
        <v>0.5</v>
      </c>
      <c r="P530" s="14">
        <v>0.5</v>
      </c>
      <c r="Q530" s="14">
        <v>0.35</v>
      </c>
      <c r="R530" s="14">
        <v>0.15</v>
      </c>
      <c r="S530" s="14">
        <v>0.15</v>
      </c>
      <c r="T530" s="14">
        <v>0.15</v>
      </c>
      <c r="U530" s="14">
        <v>0.15</v>
      </c>
      <c r="V530" s="14">
        <v>0.15</v>
      </c>
      <c r="W530" s="14">
        <v>0.15</v>
      </c>
      <c r="X530" s="14">
        <v>0.35</v>
      </c>
      <c r="Y530" s="14">
        <v>0.5</v>
      </c>
      <c r="Z530" s="14">
        <v>0.5</v>
      </c>
      <c r="AA530" s="14">
        <v>0.4</v>
      </c>
      <c r="AB530" s="14">
        <v>0.4</v>
      </c>
      <c r="AC530" s="14">
        <v>0.3</v>
      </c>
      <c r="AD530" s="14">
        <v>0.2</v>
      </c>
      <c r="AE530" s="14">
        <v>0.1</v>
      </c>
      <c r="AF530" s="14" t="s">
        <v>413</v>
      </c>
    </row>
    <row r="531" spans="1:32" ht="14.25" customHeight="1" x14ac:dyDescent="0.35">
      <c r="A531" s="14" t="s">
        <v>768</v>
      </c>
      <c r="B531" s="14" t="s">
        <v>416</v>
      </c>
      <c r="C531" s="14"/>
      <c r="D531" s="14" t="s">
        <v>419</v>
      </c>
      <c r="E531" s="15">
        <v>41640</v>
      </c>
      <c r="F531" s="15">
        <v>42004</v>
      </c>
      <c r="G531" s="14" t="s">
        <v>410</v>
      </c>
      <c r="H531" s="14">
        <v>0.5</v>
      </c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 t="s">
        <v>413</v>
      </c>
    </row>
    <row r="532" spans="1:32" ht="14.25" customHeight="1" x14ac:dyDescent="0.35">
      <c r="A532" s="16" t="s">
        <v>768</v>
      </c>
      <c r="B532" s="16" t="s">
        <v>416</v>
      </c>
      <c r="C532" s="16"/>
      <c r="D532" s="16" t="s">
        <v>418</v>
      </c>
      <c r="E532" s="17">
        <v>41640</v>
      </c>
      <c r="F532" s="17">
        <v>42004</v>
      </c>
      <c r="G532" s="16" t="s">
        <v>410</v>
      </c>
      <c r="H532" s="16">
        <v>0.05</v>
      </c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 t="s">
        <v>413</v>
      </c>
    </row>
    <row r="533" spans="1:32" ht="14.25" customHeight="1" x14ac:dyDescent="0.35">
      <c r="A533" s="16" t="s">
        <v>328</v>
      </c>
      <c r="B533" s="16" t="s">
        <v>427</v>
      </c>
      <c r="C533" s="16"/>
      <c r="D533" s="16" t="s">
        <v>417</v>
      </c>
      <c r="E533" s="17">
        <v>41640</v>
      </c>
      <c r="F533" s="17">
        <v>42004</v>
      </c>
      <c r="G533" s="16" t="s">
        <v>415</v>
      </c>
      <c r="H533" s="16">
        <v>0.4</v>
      </c>
      <c r="I533" s="16">
        <v>0.4</v>
      </c>
      <c r="J533" s="16">
        <v>0.3</v>
      </c>
      <c r="K533" s="16">
        <v>0.3</v>
      </c>
      <c r="L533" s="16">
        <v>0.3</v>
      </c>
      <c r="M533" s="16">
        <v>0.3</v>
      </c>
      <c r="N533" s="16">
        <v>0.4</v>
      </c>
      <c r="O533" s="16">
        <v>0.5</v>
      </c>
      <c r="P533" s="16">
        <v>0.5</v>
      </c>
      <c r="Q533" s="16">
        <v>0.4</v>
      </c>
      <c r="R533" s="16">
        <v>0.4</v>
      </c>
      <c r="S533" s="16">
        <v>0.4</v>
      </c>
      <c r="T533" s="16">
        <v>0.4</v>
      </c>
      <c r="U533" s="16">
        <v>0.3</v>
      </c>
      <c r="V533" s="16">
        <v>0.3</v>
      </c>
      <c r="W533" s="16">
        <v>0.3</v>
      </c>
      <c r="X533" s="16">
        <v>0.3</v>
      </c>
      <c r="Y533" s="16">
        <v>0.3</v>
      </c>
      <c r="Z533" s="16">
        <v>0.6</v>
      </c>
      <c r="AA533" s="16">
        <v>0.8</v>
      </c>
      <c r="AB533" s="16">
        <v>0.9</v>
      </c>
      <c r="AC533" s="16">
        <v>0.7</v>
      </c>
      <c r="AD533" s="16">
        <v>0.6</v>
      </c>
      <c r="AE533" s="16">
        <v>0.4</v>
      </c>
      <c r="AF533" s="16" t="s">
        <v>413</v>
      </c>
    </row>
    <row r="534" spans="1:32" ht="14.25" customHeight="1" x14ac:dyDescent="0.35">
      <c r="A534" s="14" t="s">
        <v>328</v>
      </c>
      <c r="B534" s="14" t="s">
        <v>427</v>
      </c>
      <c r="C534" s="14"/>
      <c r="D534" s="14" t="s">
        <v>512</v>
      </c>
      <c r="E534" s="15">
        <v>41640</v>
      </c>
      <c r="F534" s="15">
        <v>42004</v>
      </c>
      <c r="G534" s="14" t="s">
        <v>415</v>
      </c>
      <c r="H534" s="14">
        <v>0.3</v>
      </c>
      <c r="I534" s="14">
        <v>0.3</v>
      </c>
      <c r="J534" s="14">
        <v>0.2</v>
      </c>
      <c r="K534" s="14">
        <v>0.2</v>
      </c>
      <c r="L534" s="14">
        <v>0.2</v>
      </c>
      <c r="M534" s="14">
        <v>0.2</v>
      </c>
      <c r="N534" s="14">
        <v>0.4</v>
      </c>
      <c r="O534" s="14">
        <v>0.4</v>
      </c>
      <c r="P534" s="14">
        <v>0.5</v>
      </c>
      <c r="Q534" s="14">
        <v>0.5</v>
      </c>
      <c r="R534" s="14">
        <v>0.4</v>
      </c>
      <c r="S534" s="14">
        <v>0.35</v>
      </c>
      <c r="T534" s="14">
        <v>0.35</v>
      </c>
      <c r="U534" s="14">
        <v>0.35</v>
      </c>
      <c r="V534" s="14">
        <v>0.35</v>
      </c>
      <c r="W534" s="14">
        <v>0.35</v>
      </c>
      <c r="X534" s="14">
        <v>0.35</v>
      </c>
      <c r="Y534" s="14">
        <v>0.35</v>
      </c>
      <c r="Z534" s="14">
        <v>0.7</v>
      </c>
      <c r="AA534" s="14">
        <v>0.8</v>
      </c>
      <c r="AB534" s="14">
        <v>0.8</v>
      </c>
      <c r="AC534" s="14">
        <v>0.8</v>
      </c>
      <c r="AD534" s="14">
        <v>0.7</v>
      </c>
      <c r="AE534" s="14">
        <v>0.4</v>
      </c>
      <c r="AF534" s="14" t="s">
        <v>413</v>
      </c>
    </row>
    <row r="535" spans="1:32" ht="14.25" customHeight="1" x14ac:dyDescent="0.35">
      <c r="A535" s="16" t="s">
        <v>328</v>
      </c>
      <c r="B535" s="16" t="s">
        <v>427</v>
      </c>
      <c r="C535" s="16"/>
      <c r="D535" s="16" t="s">
        <v>419</v>
      </c>
      <c r="E535" s="17">
        <v>41640</v>
      </c>
      <c r="F535" s="17">
        <v>42004</v>
      </c>
      <c r="G535" s="16" t="s">
        <v>410</v>
      </c>
      <c r="H535" s="16">
        <v>1</v>
      </c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 t="s">
        <v>413</v>
      </c>
    </row>
    <row r="536" spans="1:32" ht="14.25" customHeight="1" x14ac:dyDescent="0.35">
      <c r="A536" s="16" t="s">
        <v>328</v>
      </c>
      <c r="B536" s="16" t="s">
        <v>427</v>
      </c>
      <c r="C536" s="16"/>
      <c r="D536" s="16" t="s">
        <v>429</v>
      </c>
      <c r="E536" s="17">
        <v>41640</v>
      </c>
      <c r="F536" s="17">
        <v>42004</v>
      </c>
      <c r="G536" s="16" t="s">
        <v>415</v>
      </c>
      <c r="H536" s="16">
        <v>0.3</v>
      </c>
      <c r="I536" s="16">
        <v>0.25</v>
      </c>
      <c r="J536" s="16">
        <v>0.2</v>
      </c>
      <c r="K536" s="16">
        <v>0.2</v>
      </c>
      <c r="L536" s="16">
        <v>0.2</v>
      </c>
      <c r="M536" s="16">
        <v>0.3</v>
      </c>
      <c r="N536" s="16">
        <v>0.5</v>
      </c>
      <c r="O536" s="16">
        <v>0.6</v>
      </c>
      <c r="P536" s="16">
        <v>0.5</v>
      </c>
      <c r="Q536" s="16">
        <v>0.5</v>
      </c>
      <c r="R536" s="16">
        <v>0.35</v>
      </c>
      <c r="S536" s="16">
        <v>0.35</v>
      </c>
      <c r="T536" s="16">
        <v>0.35</v>
      </c>
      <c r="U536" s="16">
        <v>0.35</v>
      </c>
      <c r="V536" s="16">
        <v>0.35</v>
      </c>
      <c r="W536" s="16">
        <v>0.35</v>
      </c>
      <c r="X536" s="16">
        <v>0.35</v>
      </c>
      <c r="Y536" s="16">
        <v>0.35</v>
      </c>
      <c r="Z536" s="16">
        <v>0.7</v>
      </c>
      <c r="AA536" s="16">
        <v>0.9</v>
      </c>
      <c r="AB536" s="16">
        <v>0.95</v>
      </c>
      <c r="AC536" s="16">
        <v>0.9</v>
      </c>
      <c r="AD536" s="16">
        <v>0.7</v>
      </c>
      <c r="AE536" s="16">
        <v>0.4</v>
      </c>
      <c r="AF536" s="16" t="s">
        <v>413</v>
      </c>
    </row>
    <row r="537" spans="1:32" ht="14.25" customHeight="1" x14ac:dyDescent="0.35">
      <c r="A537" s="14" t="s">
        <v>328</v>
      </c>
      <c r="B537" s="14" t="s">
        <v>427</v>
      </c>
      <c r="C537" s="14"/>
      <c r="D537" s="14" t="s">
        <v>418</v>
      </c>
      <c r="E537" s="15">
        <v>41640</v>
      </c>
      <c r="F537" s="15">
        <v>42004</v>
      </c>
      <c r="G537" s="14" t="s">
        <v>410</v>
      </c>
      <c r="H537" s="14">
        <v>0</v>
      </c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 t="s">
        <v>413</v>
      </c>
    </row>
    <row r="538" spans="1:32" ht="14.25" customHeight="1" x14ac:dyDescent="0.35">
      <c r="A538" s="14" t="s">
        <v>769</v>
      </c>
      <c r="B538" s="14" t="s">
        <v>424</v>
      </c>
      <c r="C538" s="14"/>
      <c r="D538" s="14" t="s">
        <v>417</v>
      </c>
      <c r="E538" s="15">
        <v>41640</v>
      </c>
      <c r="F538" s="15">
        <v>42004</v>
      </c>
      <c r="G538" s="14" t="s">
        <v>415</v>
      </c>
      <c r="H538" s="14">
        <v>0.3</v>
      </c>
      <c r="I538" s="14">
        <v>0.3</v>
      </c>
      <c r="J538" s="14">
        <v>0.2</v>
      </c>
      <c r="K538" s="14">
        <v>0.2</v>
      </c>
      <c r="L538" s="14">
        <v>0.2</v>
      </c>
      <c r="M538" s="14">
        <v>0.2</v>
      </c>
      <c r="N538" s="14">
        <v>0.3</v>
      </c>
      <c r="O538" s="14">
        <v>0.4</v>
      </c>
      <c r="P538" s="14">
        <v>0.4</v>
      </c>
      <c r="Q538" s="14">
        <v>0.3</v>
      </c>
      <c r="R538" s="14">
        <v>0.3</v>
      </c>
      <c r="S538" s="14">
        <v>0.3</v>
      </c>
      <c r="T538" s="14">
        <v>0.3</v>
      </c>
      <c r="U538" s="14">
        <v>0.2</v>
      </c>
      <c r="V538" s="14">
        <v>0.2</v>
      </c>
      <c r="W538" s="14">
        <v>0.2</v>
      </c>
      <c r="X538" s="14">
        <v>0.2</v>
      </c>
      <c r="Y538" s="14">
        <v>0.2</v>
      </c>
      <c r="Z538" s="14">
        <v>0.5</v>
      </c>
      <c r="AA538" s="14">
        <v>0.7</v>
      </c>
      <c r="AB538" s="14">
        <v>0.8</v>
      </c>
      <c r="AC538" s="14">
        <v>0.6</v>
      </c>
      <c r="AD538" s="14">
        <v>0.5</v>
      </c>
      <c r="AE538" s="14">
        <v>0.3</v>
      </c>
      <c r="AF538" s="14" t="s">
        <v>413</v>
      </c>
    </row>
    <row r="539" spans="1:32" ht="14.25" customHeight="1" x14ac:dyDescent="0.35">
      <c r="A539" s="16" t="s">
        <v>769</v>
      </c>
      <c r="B539" s="16" t="s">
        <v>424</v>
      </c>
      <c r="C539" s="16"/>
      <c r="D539" s="16" t="s">
        <v>512</v>
      </c>
      <c r="E539" s="17">
        <v>41640</v>
      </c>
      <c r="F539" s="17">
        <v>42004</v>
      </c>
      <c r="G539" s="16" t="s">
        <v>415</v>
      </c>
      <c r="H539" s="16">
        <v>0.2</v>
      </c>
      <c r="I539" s="16">
        <v>0.2</v>
      </c>
      <c r="J539" s="16">
        <v>0.1</v>
      </c>
      <c r="K539" s="16">
        <v>0.1</v>
      </c>
      <c r="L539" s="16">
        <v>0.1</v>
      </c>
      <c r="M539" s="16">
        <v>0.1</v>
      </c>
      <c r="N539" s="16">
        <v>0.3</v>
      </c>
      <c r="O539" s="16">
        <v>0.3</v>
      </c>
      <c r="P539" s="16">
        <v>0.4</v>
      </c>
      <c r="Q539" s="16">
        <v>0.4</v>
      </c>
      <c r="R539" s="16">
        <v>0.3</v>
      </c>
      <c r="S539" s="16">
        <v>0.25</v>
      </c>
      <c r="T539" s="16">
        <v>0.25</v>
      </c>
      <c r="U539" s="16">
        <v>0.25</v>
      </c>
      <c r="V539" s="16">
        <v>0.25</v>
      </c>
      <c r="W539" s="16">
        <v>0.25</v>
      </c>
      <c r="X539" s="16">
        <v>0.25</v>
      </c>
      <c r="Y539" s="16">
        <v>0.25</v>
      </c>
      <c r="Z539" s="16">
        <v>0.6</v>
      </c>
      <c r="AA539" s="16">
        <v>0.7</v>
      </c>
      <c r="AB539" s="16">
        <v>0.7</v>
      </c>
      <c r="AC539" s="16">
        <v>0.7</v>
      </c>
      <c r="AD539" s="16">
        <v>0.6</v>
      </c>
      <c r="AE539" s="16">
        <v>0.3</v>
      </c>
      <c r="AF539" s="16" t="s">
        <v>413</v>
      </c>
    </row>
    <row r="540" spans="1:32" ht="14.25" customHeight="1" x14ac:dyDescent="0.35">
      <c r="A540" s="14" t="s">
        <v>769</v>
      </c>
      <c r="B540" s="14" t="s">
        <v>424</v>
      </c>
      <c r="C540" s="14"/>
      <c r="D540" s="14" t="s">
        <v>419</v>
      </c>
      <c r="E540" s="15">
        <v>41640</v>
      </c>
      <c r="F540" s="15">
        <v>42004</v>
      </c>
      <c r="G540" s="14" t="s">
        <v>410</v>
      </c>
      <c r="H540" s="14">
        <v>1</v>
      </c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 t="s">
        <v>413</v>
      </c>
    </row>
    <row r="541" spans="1:32" ht="14.25" customHeight="1" x14ac:dyDescent="0.35">
      <c r="A541" s="14" t="s">
        <v>769</v>
      </c>
      <c r="B541" s="14" t="s">
        <v>424</v>
      </c>
      <c r="C541" s="14"/>
      <c r="D541" s="14" t="s">
        <v>429</v>
      </c>
      <c r="E541" s="15">
        <v>41640</v>
      </c>
      <c r="F541" s="15">
        <v>42004</v>
      </c>
      <c r="G541" s="14" t="s">
        <v>415</v>
      </c>
      <c r="H541" s="14">
        <v>0.2</v>
      </c>
      <c r="I541" s="14">
        <v>0.15</v>
      </c>
      <c r="J541" s="14">
        <v>0.1</v>
      </c>
      <c r="K541" s="14">
        <v>0.1</v>
      </c>
      <c r="L541" s="14">
        <v>0.1</v>
      </c>
      <c r="M541" s="14">
        <v>0.2</v>
      </c>
      <c r="N541" s="14">
        <v>0.4</v>
      </c>
      <c r="O541" s="14">
        <v>0.5</v>
      </c>
      <c r="P541" s="14">
        <v>0.4</v>
      </c>
      <c r="Q541" s="14">
        <v>0.4</v>
      </c>
      <c r="R541" s="14">
        <v>0.25</v>
      </c>
      <c r="S541" s="14">
        <v>0.25</v>
      </c>
      <c r="T541" s="14">
        <v>0.25</v>
      </c>
      <c r="U541" s="14">
        <v>0.25</v>
      </c>
      <c r="V541" s="14">
        <v>0.25</v>
      </c>
      <c r="W541" s="14">
        <v>0.25</v>
      </c>
      <c r="X541" s="14">
        <v>0.25</v>
      </c>
      <c r="Y541" s="14">
        <v>0.25</v>
      </c>
      <c r="Z541" s="14">
        <v>0.6</v>
      </c>
      <c r="AA541" s="14">
        <v>0.8</v>
      </c>
      <c r="AB541" s="14">
        <v>0.9</v>
      </c>
      <c r="AC541" s="14">
        <v>0.8</v>
      </c>
      <c r="AD541" s="14">
        <v>0.6</v>
      </c>
      <c r="AE541" s="14">
        <v>0.3</v>
      </c>
      <c r="AF541" s="14" t="s">
        <v>413</v>
      </c>
    </row>
    <row r="542" spans="1:32" ht="14.25" customHeight="1" x14ac:dyDescent="0.35">
      <c r="A542" s="16" t="s">
        <v>769</v>
      </c>
      <c r="B542" s="16" t="s">
        <v>424</v>
      </c>
      <c r="C542" s="16"/>
      <c r="D542" s="16" t="s">
        <v>418</v>
      </c>
      <c r="E542" s="17">
        <v>41640</v>
      </c>
      <c r="F542" s="17">
        <v>42004</v>
      </c>
      <c r="G542" s="16" t="s">
        <v>410</v>
      </c>
      <c r="H542" s="16">
        <v>0</v>
      </c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 t="s">
        <v>413</v>
      </c>
    </row>
    <row r="543" spans="1:32" ht="14.25" customHeight="1" x14ac:dyDescent="0.35">
      <c r="A543" s="18" t="s">
        <v>770</v>
      </c>
      <c r="B543" s="18" t="s">
        <v>424</v>
      </c>
      <c r="C543" s="18"/>
      <c r="D543" s="18" t="s">
        <v>417</v>
      </c>
      <c r="E543" s="19">
        <v>41640</v>
      </c>
      <c r="F543" s="19">
        <v>42004</v>
      </c>
      <c r="G543" s="18" t="s">
        <v>415</v>
      </c>
      <c r="H543" s="18">
        <v>0.25029000000000001</v>
      </c>
      <c r="I543" s="18">
        <v>0.25029000000000001</v>
      </c>
      <c r="J543" s="18">
        <v>0.16686000000000001</v>
      </c>
      <c r="K543" s="18">
        <v>0.16686000000000001</v>
      </c>
      <c r="L543" s="18">
        <v>0.16686000000000001</v>
      </c>
      <c r="M543" s="18">
        <v>0.16686000000000001</v>
      </c>
      <c r="N543" s="18">
        <v>0.25029000000000001</v>
      </c>
      <c r="O543" s="18">
        <v>0.33372000000000002</v>
      </c>
      <c r="P543" s="18">
        <v>0.33372000000000002</v>
      </c>
      <c r="Q543" s="18">
        <v>0.25029000000000001</v>
      </c>
      <c r="R543" s="18">
        <v>0.25029000000000001</v>
      </c>
      <c r="S543" s="18">
        <v>0.25029000000000001</v>
      </c>
      <c r="T543" s="18">
        <v>0.25029000000000001</v>
      </c>
      <c r="U543" s="18">
        <v>0.16686000000000001</v>
      </c>
      <c r="V543" s="18">
        <v>0.16686000000000001</v>
      </c>
      <c r="W543" s="18">
        <v>0.16686000000000001</v>
      </c>
      <c r="X543" s="18">
        <v>0.16686000000000001</v>
      </c>
      <c r="Y543" s="18">
        <v>0.16686000000000001</v>
      </c>
      <c r="Z543" s="18">
        <v>0.41715000000000002</v>
      </c>
      <c r="AA543" s="18">
        <v>0.58401000000000003</v>
      </c>
      <c r="AB543" s="18">
        <v>0.66744000000000003</v>
      </c>
      <c r="AC543" s="18">
        <v>0.50058000000000002</v>
      </c>
      <c r="AD543" s="18">
        <v>0.41715000000000002</v>
      </c>
      <c r="AE543" s="18">
        <v>0.25029000000000001</v>
      </c>
      <c r="AF543" s="18" t="s">
        <v>413</v>
      </c>
    </row>
    <row r="544" spans="1:32" ht="14.25" customHeight="1" x14ac:dyDescent="0.35">
      <c r="A544" s="18" t="s">
        <v>770</v>
      </c>
      <c r="B544" s="18" t="s">
        <v>424</v>
      </c>
      <c r="C544" s="18"/>
      <c r="D544" s="18" t="s">
        <v>512</v>
      </c>
      <c r="E544" s="19">
        <v>41640</v>
      </c>
      <c r="F544" s="19">
        <v>42004</v>
      </c>
      <c r="G544" s="18" t="s">
        <v>415</v>
      </c>
      <c r="H544" s="18">
        <v>0.16686000000000001</v>
      </c>
      <c r="I544" s="18">
        <v>0.16686000000000001</v>
      </c>
      <c r="J544" s="18">
        <v>8.3430000000000004E-2</v>
      </c>
      <c r="K544" s="18">
        <v>8.3430000000000004E-2</v>
      </c>
      <c r="L544" s="18">
        <v>8.3430000000000004E-2</v>
      </c>
      <c r="M544" s="18">
        <v>8.3430000000000004E-2</v>
      </c>
      <c r="N544" s="18">
        <v>0.25029000000000001</v>
      </c>
      <c r="O544" s="18">
        <v>0.25029000000000001</v>
      </c>
      <c r="P544" s="18">
        <v>0.33372000000000002</v>
      </c>
      <c r="Q544" s="18">
        <v>0.33372000000000002</v>
      </c>
      <c r="R544" s="18">
        <v>0.25029000000000001</v>
      </c>
      <c r="S544" s="18">
        <v>0.20857500000000001</v>
      </c>
      <c r="T544" s="18">
        <v>0.20857500000000001</v>
      </c>
      <c r="U544" s="18">
        <v>0.20857500000000001</v>
      </c>
      <c r="V544" s="18">
        <v>0.20857500000000001</v>
      </c>
      <c r="W544" s="18">
        <v>0.20857500000000001</v>
      </c>
      <c r="X544" s="18">
        <v>0.20857500000000001</v>
      </c>
      <c r="Y544" s="18">
        <v>0.20857500000000001</v>
      </c>
      <c r="Z544" s="18">
        <v>0.50058000000000002</v>
      </c>
      <c r="AA544" s="18">
        <v>0.58401000000000003</v>
      </c>
      <c r="AB544" s="18">
        <v>0.58401000000000003</v>
      </c>
      <c r="AC544" s="18">
        <v>0.58401000000000003</v>
      </c>
      <c r="AD544" s="18">
        <v>0.50058000000000002</v>
      </c>
      <c r="AE544" s="18">
        <v>0.25029000000000001</v>
      </c>
      <c r="AF544" s="18" t="s">
        <v>413</v>
      </c>
    </row>
    <row r="545" spans="1:32" ht="14.25" customHeight="1" x14ac:dyDescent="0.35">
      <c r="A545" s="18" t="s">
        <v>770</v>
      </c>
      <c r="B545" s="18" t="s">
        <v>424</v>
      </c>
      <c r="C545" s="18"/>
      <c r="D545" s="18" t="s">
        <v>419</v>
      </c>
      <c r="E545" s="19">
        <v>41640</v>
      </c>
      <c r="F545" s="19">
        <v>42004</v>
      </c>
      <c r="G545" s="18" t="s">
        <v>410</v>
      </c>
      <c r="H545" s="18">
        <v>1</v>
      </c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 t="s">
        <v>413</v>
      </c>
    </row>
    <row r="546" spans="1:32" ht="14.25" customHeight="1" x14ac:dyDescent="0.35">
      <c r="A546" s="18" t="s">
        <v>770</v>
      </c>
      <c r="B546" s="18" t="s">
        <v>424</v>
      </c>
      <c r="C546" s="18"/>
      <c r="D546" s="18" t="s">
        <v>429</v>
      </c>
      <c r="E546" s="19">
        <v>41640</v>
      </c>
      <c r="F546" s="19">
        <v>42004</v>
      </c>
      <c r="G546" s="18" t="s">
        <v>415</v>
      </c>
      <c r="H546" s="18">
        <v>0.16686000000000001</v>
      </c>
      <c r="I546" s="18">
        <v>0.12514500000000001</v>
      </c>
      <c r="J546" s="18">
        <v>8.3430000000000004E-2</v>
      </c>
      <c r="K546" s="18">
        <v>8.3430000000000004E-2</v>
      </c>
      <c r="L546" s="18">
        <v>8.3430000000000004E-2</v>
      </c>
      <c r="M546" s="18">
        <v>0.16686000000000001</v>
      </c>
      <c r="N546" s="18">
        <v>0.33372000000000002</v>
      </c>
      <c r="O546" s="18">
        <v>0.41715000000000002</v>
      </c>
      <c r="P546" s="18">
        <v>0.33372000000000002</v>
      </c>
      <c r="Q546" s="18">
        <v>0.33372000000000002</v>
      </c>
      <c r="R546" s="18">
        <v>0.20857500000000001</v>
      </c>
      <c r="S546" s="18">
        <v>0.20857500000000001</v>
      </c>
      <c r="T546" s="18">
        <v>0.20857500000000001</v>
      </c>
      <c r="U546" s="18">
        <v>0.20857500000000001</v>
      </c>
      <c r="V546" s="18">
        <v>0.20857500000000001</v>
      </c>
      <c r="W546" s="18">
        <v>0.20857500000000001</v>
      </c>
      <c r="X546" s="18">
        <v>0.20857500000000001</v>
      </c>
      <c r="Y546" s="18">
        <v>0.20857500000000001</v>
      </c>
      <c r="Z546" s="18">
        <v>0.50058000000000002</v>
      </c>
      <c r="AA546" s="18">
        <v>0.66744000000000003</v>
      </c>
      <c r="AB546" s="18">
        <v>0.75087000000000004</v>
      </c>
      <c r="AC546" s="18">
        <v>0.66744000000000003</v>
      </c>
      <c r="AD546" s="18">
        <v>0.50058000000000002</v>
      </c>
      <c r="AE546" s="18">
        <v>0.25029000000000001</v>
      </c>
      <c r="AF546" s="18" t="s">
        <v>413</v>
      </c>
    </row>
    <row r="547" spans="1:32" ht="14.25" customHeight="1" x14ac:dyDescent="0.35">
      <c r="A547" s="18" t="s">
        <v>770</v>
      </c>
      <c r="B547" s="18" t="s">
        <v>424</v>
      </c>
      <c r="C547" s="18"/>
      <c r="D547" s="18" t="s">
        <v>418</v>
      </c>
      <c r="E547" s="19">
        <v>41640</v>
      </c>
      <c r="F547" s="19">
        <v>42004</v>
      </c>
      <c r="G547" s="18" t="s">
        <v>410</v>
      </c>
      <c r="H547" s="18">
        <v>0</v>
      </c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 t="s">
        <v>413</v>
      </c>
    </row>
    <row r="548" spans="1:32" ht="14.25" customHeight="1" x14ac:dyDescent="0.35">
      <c r="A548" s="16" t="s">
        <v>771</v>
      </c>
      <c r="B548" s="16" t="s">
        <v>424</v>
      </c>
      <c r="C548" s="16"/>
      <c r="D548" s="16" t="s">
        <v>417</v>
      </c>
      <c r="E548" s="17">
        <v>41640</v>
      </c>
      <c r="F548" s="17">
        <v>42004</v>
      </c>
      <c r="G548" s="16" t="s">
        <v>415</v>
      </c>
      <c r="H548" s="16">
        <v>0.26</v>
      </c>
      <c r="I548" s="16">
        <v>0.26</v>
      </c>
      <c r="J548" s="16">
        <v>0.11</v>
      </c>
      <c r="K548" s="16">
        <v>0.11</v>
      </c>
      <c r="L548" s="16">
        <v>0.11</v>
      </c>
      <c r="M548" s="16">
        <v>0.11</v>
      </c>
      <c r="N548" s="16">
        <v>0.41</v>
      </c>
      <c r="O548" s="16">
        <v>0.41</v>
      </c>
      <c r="P548" s="16">
        <v>0.56000000000000005</v>
      </c>
      <c r="Q548" s="16">
        <v>0.56000000000000005</v>
      </c>
      <c r="R548" s="16">
        <v>0.41</v>
      </c>
      <c r="S548" s="16">
        <v>0.33</v>
      </c>
      <c r="T548" s="16">
        <v>0.33</v>
      </c>
      <c r="U548" s="16">
        <v>0.33</v>
      </c>
      <c r="V548" s="16">
        <v>0.33</v>
      </c>
      <c r="W548" s="16">
        <v>0.33</v>
      </c>
      <c r="X548" s="16">
        <v>0.33</v>
      </c>
      <c r="Y548" s="16">
        <v>0.33</v>
      </c>
      <c r="Z548" s="16">
        <v>0.85</v>
      </c>
      <c r="AA548" s="16">
        <v>1</v>
      </c>
      <c r="AB548" s="16">
        <v>1</v>
      </c>
      <c r="AC548" s="16">
        <v>1</v>
      </c>
      <c r="AD548" s="16">
        <v>0.85</v>
      </c>
      <c r="AE548" s="16">
        <v>0.41</v>
      </c>
      <c r="AF548" s="16" t="s">
        <v>413</v>
      </c>
    </row>
    <row r="549" spans="1:32" ht="14.25" customHeight="1" x14ac:dyDescent="0.35">
      <c r="A549" s="16" t="s">
        <v>771</v>
      </c>
      <c r="B549" s="16" t="s">
        <v>424</v>
      </c>
      <c r="C549" s="16"/>
      <c r="D549" s="16" t="s">
        <v>419</v>
      </c>
      <c r="E549" s="17">
        <v>41640</v>
      </c>
      <c r="F549" s="17">
        <v>42004</v>
      </c>
      <c r="G549" s="16" t="s">
        <v>410</v>
      </c>
      <c r="H549" s="16">
        <v>1</v>
      </c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 t="s">
        <v>413</v>
      </c>
    </row>
    <row r="550" spans="1:32" ht="14.25" customHeight="1" x14ac:dyDescent="0.35">
      <c r="A550" s="14" t="s">
        <v>771</v>
      </c>
      <c r="B550" s="14" t="s">
        <v>424</v>
      </c>
      <c r="C550" s="14"/>
      <c r="D550" s="14" t="s">
        <v>429</v>
      </c>
      <c r="E550" s="15">
        <v>41640</v>
      </c>
      <c r="F550" s="15">
        <v>42004</v>
      </c>
      <c r="G550" s="14" t="s">
        <v>415</v>
      </c>
      <c r="H550" s="14">
        <v>0.22</v>
      </c>
      <c r="I550" s="14">
        <v>0.17</v>
      </c>
      <c r="J550" s="14">
        <v>0.11</v>
      </c>
      <c r="K550" s="14">
        <v>0.11</v>
      </c>
      <c r="L550" s="14">
        <v>0.11</v>
      </c>
      <c r="M550" s="14">
        <v>0.22</v>
      </c>
      <c r="N550" s="14">
        <v>0.44</v>
      </c>
      <c r="O550" s="14">
        <v>0.56000000000000005</v>
      </c>
      <c r="P550" s="14">
        <v>0.44</v>
      </c>
      <c r="Q550" s="14">
        <v>0.44</v>
      </c>
      <c r="R550" s="14">
        <v>0.28000000000000003</v>
      </c>
      <c r="S550" s="14">
        <v>0.28000000000000003</v>
      </c>
      <c r="T550" s="14">
        <v>0.28000000000000003</v>
      </c>
      <c r="U550" s="14">
        <v>0.28000000000000003</v>
      </c>
      <c r="V550" s="14">
        <v>0.28000000000000003</v>
      </c>
      <c r="W550" s="14">
        <v>0.28000000000000003</v>
      </c>
      <c r="X550" s="14">
        <v>0.28000000000000003</v>
      </c>
      <c r="Y550" s="14">
        <v>0.28000000000000003</v>
      </c>
      <c r="Z550" s="14">
        <v>0.67</v>
      </c>
      <c r="AA550" s="14">
        <v>0.89</v>
      </c>
      <c r="AB550" s="14">
        <v>1</v>
      </c>
      <c r="AC550" s="14">
        <v>0.89</v>
      </c>
      <c r="AD550" s="14">
        <v>0.67</v>
      </c>
      <c r="AE550" s="14">
        <v>0.33</v>
      </c>
      <c r="AF550" s="14" t="s">
        <v>413</v>
      </c>
    </row>
    <row r="551" spans="1:32" ht="14.25" customHeight="1" x14ac:dyDescent="0.35">
      <c r="A551" s="14" t="s">
        <v>771</v>
      </c>
      <c r="B551" s="14" t="s">
        <v>424</v>
      </c>
      <c r="C551" s="14"/>
      <c r="D551" s="14" t="s">
        <v>418</v>
      </c>
      <c r="E551" s="15">
        <v>41640</v>
      </c>
      <c r="F551" s="15">
        <v>42004</v>
      </c>
      <c r="G551" s="14" t="s">
        <v>410</v>
      </c>
      <c r="H551" s="14">
        <v>0</v>
      </c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 t="s">
        <v>413</v>
      </c>
    </row>
    <row r="552" spans="1:32" ht="14.25" customHeight="1" x14ac:dyDescent="0.35">
      <c r="A552" s="14" t="s">
        <v>772</v>
      </c>
      <c r="B552" s="14" t="s">
        <v>424</v>
      </c>
      <c r="C552" s="14"/>
      <c r="D552" s="14" t="s">
        <v>417</v>
      </c>
      <c r="E552" s="15">
        <v>41640</v>
      </c>
      <c r="F552" s="15">
        <v>42004</v>
      </c>
      <c r="G552" s="14" t="s">
        <v>415</v>
      </c>
      <c r="H552" s="20">
        <v>0.21970000000000001</v>
      </c>
      <c r="I552" s="20">
        <v>0.21970000000000001</v>
      </c>
      <c r="J552" s="20">
        <v>9.4500000000000001E-2</v>
      </c>
      <c r="K552" s="20">
        <v>9.4500000000000001E-2</v>
      </c>
      <c r="L552" s="20">
        <v>9.4500000000000001E-2</v>
      </c>
      <c r="M552" s="20">
        <v>9.4500000000000001E-2</v>
      </c>
      <c r="N552" s="20">
        <v>0.38519999999999999</v>
      </c>
      <c r="O552" s="20">
        <v>0.38519999999999999</v>
      </c>
      <c r="P552" s="20">
        <v>0.52590000000000003</v>
      </c>
      <c r="Q552" s="20">
        <v>0.44426700000000002</v>
      </c>
      <c r="R552" s="20">
        <v>0.30215799999999998</v>
      </c>
      <c r="S552" s="20">
        <v>0.2432</v>
      </c>
      <c r="T552" s="20">
        <v>0.2432</v>
      </c>
      <c r="U552" s="20">
        <v>0.2432</v>
      </c>
      <c r="V552" s="20">
        <v>0.2432</v>
      </c>
      <c r="W552" s="20">
        <v>0.2432</v>
      </c>
      <c r="X552" s="20">
        <v>0.2432</v>
      </c>
      <c r="Y552" s="20">
        <v>0.25327499999999997</v>
      </c>
      <c r="Z552" s="20">
        <v>0.79730000000000001</v>
      </c>
      <c r="AA552" s="20">
        <v>0.93799999999999994</v>
      </c>
      <c r="AB552" s="20">
        <v>0.93799999999999994</v>
      </c>
      <c r="AC552" s="20">
        <v>0.93799999999999994</v>
      </c>
      <c r="AD552" s="20">
        <v>0.79730000000000001</v>
      </c>
      <c r="AE552" s="20">
        <v>0.38519999999999999</v>
      </c>
      <c r="AF552" s="14" t="s">
        <v>413</v>
      </c>
    </row>
    <row r="553" spans="1:32" ht="14.25" customHeight="1" x14ac:dyDescent="0.35">
      <c r="A553" s="14" t="s">
        <v>772</v>
      </c>
      <c r="B553" s="14" t="s">
        <v>424</v>
      </c>
      <c r="C553" s="14"/>
      <c r="D553" s="14" t="s">
        <v>419</v>
      </c>
      <c r="E553" s="15">
        <v>41640</v>
      </c>
      <c r="F553" s="15">
        <v>42004</v>
      </c>
      <c r="G553" s="14" t="s">
        <v>410</v>
      </c>
      <c r="H553" s="20">
        <v>1</v>
      </c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14" t="s">
        <v>413</v>
      </c>
    </row>
    <row r="554" spans="1:32" ht="14.25" customHeight="1" x14ac:dyDescent="0.35">
      <c r="A554" s="14" t="s">
        <v>772</v>
      </c>
      <c r="B554" s="14" t="s">
        <v>424</v>
      </c>
      <c r="C554" s="14"/>
      <c r="D554" s="14" t="s">
        <v>429</v>
      </c>
      <c r="E554" s="15">
        <v>41640</v>
      </c>
      <c r="F554" s="15">
        <v>42004</v>
      </c>
      <c r="G554" s="14" t="s">
        <v>415</v>
      </c>
      <c r="H554" s="20">
        <v>0.18590000000000001</v>
      </c>
      <c r="I554" s="20">
        <v>0.1452</v>
      </c>
      <c r="J554" s="20">
        <v>9.4500000000000001E-2</v>
      </c>
      <c r="K554" s="20">
        <v>9.4500000000000001E-2</v>
      </c>
      <c r="L554" s="20">
        <v>9.4500000000000001E-2</v>
      </c>
      <c r="M554" s="20">
        <v>0.18590000000000001</v>
      </c>
      <c r="N554" s="20">
        <v>0.41210000000000002</v>
      </c>
      <c r="O554" s="20">
        <v>0.52590000000000003</v>
      </c>
      <c r="P554" s="20">
        <v>0.41210000000000002</v>
      </c>
      <c r="Q554" s="20">
        <v>0.41210000000000002</v>
      </c>
      <c r="R554" s="20">
        <v>0.2087</v>
      </c>
      <c r="S554" s="20">
        <v>0.2087</v>
      </c>
      <c r="T554" s="20">
        <v>0.2087</v>
      </c>
      <c r="U554" s="20">
        <v>0.2087</v>
      </c>
      <c r="V554" s="20">
        <v>0.2087</v>
      </c>
      <c r="W554" s="20">
        <v>0.2087</v>
      </c>
      <c r="X554" s="20">
        <v>0.21304000000000001</v>
      </c>
      <c r="Y554" s="20">
        <v>0.21490000000000001</v>
      </c>
      <c r="Z554" s="20">
        <v>0.62970000000000004</v>
      </c>
      <c r="AA554" s="20">
        <v>0.83420000000000005</v>
      </c>
      <c r="AB554" s="20">
        <v>0.93799999999999994</v>
      </c>
      <c r="AC554" s="20">
        <v>0.83420000000000005</v>
      </c>
      <c r="AD554" s="20">
        <v>0.62970000000000004</v>
      </c>
      <c r="AE554" s="20">
        <v>0.30830000000000002</v>
      </c>
      <c r="AF554" s="14" t="s">
        <v>413</v>
      </c>
    </row>
    <row r="555" spans="1:32" ht="14.25" customHeight="1" x14ac:dyDescent="0.35">
      <c r="A555" s="14" t="s">
        <v>772</v>
      </c>
      <c r="B555" s="14" t="s">
        <v>424</v>
      </c>
      <c r="C555" s="14"/>
      <c r="D555" s="14" t="s">
        <v>418</v>
      </c>
      <c r="E555" s="15">
        <v>41640</v>
      </c>
      <c r="F555" s="15">
        <v>42004</v>
      </c>
      <c r="G555" s="14" t="s">
        <v>410</v>
      </c>
      <c r="H555" s="20">
        <v>0</v>
      </c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14" t="s">
        <v>413</v>
      </c>
    </row>
    <row r="556" spans="1:32" ht="14.25" customHeight="1" x14ac:dyDescent="0.35">
      <c r="A556" s="16" t="s">
        <v>773</v>
      </c>
      <c r="B556" s="16" t="s">
        <v>424</v>
      </c>
      <c r="C556" s="16"/>
      <c r="D556" s="16" t="s">
        <v>417</v>
      </c>
      <c r="E556" s="17">
        <v>41640</v>
      </c>
      <c r="F556" s="17">
        <v>42004</v>
      </c>
      <c r="G556" s="16" t="s">
        <v>415</v>
      </c>
      <c r="H556" s="16">
        <v>0.3</v>
      </c>
      <c r="I556" s="16">
        <v>0.3</v>
      </c>
      <c r="J556" s="16">
        <v>0.2</v>
      </c>
      <c r="K556" s="16">
        <v>0.2</v>
      </c>
      <c r="L556" s="16">
        <v>0.2</v>
      </c>
      <c r="M556" s="16">
        <v>0.2</v>
      </c>
      <c r="N556" s="16">
        <v>0.3</v>
      </c>
      <c r="O556" s="16">
        <v>0.4</v>
      </c>
      <c r="P556" s="16">
        <v>0.4</v>
      </c>
      <c r="Q556" s="16">
        <v>0.3</v>
      </c>
      <c r="R556" s="16">
        <v>0.3</v>
      </c>
      <c r="S556" s="16">
        <v>0.3</v>
      </c>
      <c r="T556" s="16">
        <v>0.3</v>
      </c>
      <c r="U556" s="16">
        <v>0.2</v>
      </c>
      <c r="V556" s="16">
        <v>0.2</v>
      </c>
      <c r="W556" s="16">
        <v>0.2</v>
      </c>
      <c r="X556" s="16">
        <v>0.2</v>
      </c>
      <c r="Y556" s="16">
        <v>0.2</v>
      </c>
      <c r="Z556" s="16">
        <v>0.5</v>
      </c>
      <c r="AA556" s="16">
        <v>0.7</v>
      </c>
      <c r="AB556" s="16">
        <v>0.8</v>
      </c>
      <c r="AC556" s="16">
        <v>0.6</v>
      </c>
      <c r="AD556" s="16">
        <v>0.5</v>
      </c>
      <c r="AE556" s="16">
        <v>0.3</v>
      </c>
      <c r="AF556" s="16" t="s">
        <v>413</v>
      </c>
    </row>
    <row r="557" spans="1:32" ht="14.25" customHeight="1" x14ac:dyDescent="0.35">
      <c r="A557" s="14" t="s">
        <v>773</v>
      </c>
      <c r="B557" s="14" t="s">
        <v>424</v>
      </c>
      <c r="C557" s="14"/>
      <c r="D557" s="14" t="s">
        <v>512</v>
      </c>
      <c r="E557" s="15">
        <v>41640</v>
      </c>
      <c r="F557" s="15">
        <v>42004</v>
      </c>
      <c r="G557" s="14" t="s">
        <v>415</v>
      </c>
      <c r="H557" s="14">
        <v>0.2</v>
      </c>
      <c r="I557" s="14">
        <v>0.2</v>
      </c>
      <c r="J557" s="14">
        <v>0.1</v>
      </c>
      <c r="K557" s="14">
        <v>0.1</v>
      </c>
      <c r="L557" s="14">
        <v>0.1</v>
      </c>
      <c r="M557" s="14">
        <v>0.1</v>
      </c>
      <c r="N557" s="14">
        <v>0.3</v>
      </c>
      <c r="O557" s="14">
        <v>0.3</v>
      </c>
      <c r="P557" s="14">
        <v>0.4</v>
      </c>
      <c r="Q557" s="14">
        <v>0.4</v>
      </c>
      <c r="R557" s="14">
        <v>0.3</v>
      </c>
      <c r="S557" s="14">
        <v>0.25</v>
      </c>
      <c r="T557" s="14">
        <v>0.25</v>
      </c>
      <c r="U557" s="14">
        <v>0.25</v>
      </c>
      <c r="V557" s="14">
        <v>0.25</v>
      </c>
      <c r="W557" s="14">
        <v>0.25</v>
      </c>
      <c r="X557" s="14">
        <v>0.25</v>
      </c>
      <c r="Y557" s="14">
        <v>0.25</v>
      </c>
      <c r="Z557" s="14">
        <v>0.6</v>
      </c>
      <c r="AA557" s="14">
        <v>0.7</v>
      </c>
      <c r="AB557" s="14">
        <v>0.7</v>
      </c>
      <c r="AC557" s="14">
        <v>0.7</v>
      </c>
      <c r="AD557" s="14">
        <v>0.6</v>
      </c>
      <c r="AE557" s="14">
        <v>0.3</v>
      </c>
      <c r="AF557" s="14" t="s">
        <v>413</v>
      </c>
    </row>
    <row r="558" spans="1:32" ht="14.25" customHeight="1" x14ac:dyDescent="0.35">
      <c r="A558" s="16" t="s">
        <v>773</v>
      </c>
      <c r="B558" s="16" t="s">
        <v>424</v>
      </c>
      <c r="C558" s="16"/>
      <c r="D558" s="16" t="s">
        <v>419</v>
      </c>
      <c r="E558" s="17">
        <v>41640</v>
      </c>
      <c r="F558" s="17">
        <v>42004</v>
      </c>
      <c r="G558" s="16" t="s">
        <v>410</v>
      </c>
      <c r="H558" s="16">
        <v>1</v>
      </c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 t="s">
        <v>413</v>
      </c>
    </row>
    <row r="559" spans="1:32" ht="14.25" customHeight="1" x14ac:dyDescent="0.35">
      <c r="A559" s="16" t="s">
        <v>773</v>
      </c>
      <c r="B559" s="16" t="s">
        <v>424</v>
      </c>
      <c r="C559" s="16"/>
      <c r="D559" s="16" t="s">
        <v>429</v>
      </c>
      <c r="E559" s="17">
        <v>41640</v>
      </c>
      <c r="F559" s="17">
        <v>42004</v>
      </c>
      <c r="G559" s="16" t="s">
        <v>415</v>
      </c>
      <c r="H559" s="16">
        <v>0.2</v>
      </c>
      <c r="I559" s="16">
        <v>0.15</v>
      </c>
      <c r="J559" s="16">
        <v>0.1</v>
      </c>
      <c r="K559" s="16">
        <v>0.1</v>
      </c>
      <c r="L559" s="16">
        <v>0.1</v>
      </c>
      <c r="M559" s="16">
        <v>0.2</v>
      </c>
      <c r="N559" s="16">
        <v>0.4</v>
      </c>
      <c r="O559" s="16">
        <v>0.5</v>
      </c>
      <c r="P559" s="16">
        <v>0.4</v>
      </c>
      <c r="Q559" s="16">
        <v>0.4</v>
      </c>
      <c r="R559" s="16">
        <v>0.25</v>
      </c>
      <c r="S559" s="16">
        <v>0.25</v>
      </c>
      <c r="T559" s="16">
        <v>0.25</v>
      </c>
      <c r="U559" s="16">
        <v>0.25</v>
      </c>
      <c r="V559" s="16">
        <v>0.25</v>
      </c>
      <c r="W559" s="16">
        <v>0.25</v>
      </c>
      <c r="X559" s="16">
        <v>0.25</v>
      </c>
      <c r="Y559" s="16">
        <v>0.25</v>
      </c>
      <c r="Z559" s="16">
        <v>0.6</v>
      </c>
      <c r="AA559" s="16">
        <v>0.8</v>
      </c>
      <c r="AB559" s="16">
        <v>0.9</v>
      </c>
      <c r="AC559" s="16">
        <v>0.8</v>
      </c>
      <c r="AD559" s="16">
        <v>0.6</v>
      </c>
      <c r="AE559" s="16">
        <v>0.3</v>
      </c>
      <c r="AF559" s="16" t="s">
        <v>413</v>
      </c>
    </row>
    <row r="560" spans="1:32" ht="14.25" customHeight="1" x14ac:dyDescent="0.35">
      <c r="A560" s="14" t="s">
        <v>773</v>
      </c>
      <c r="B560" s="14" t="s">
        <v>424</v>
      </c>
      <c r="C560" s="14"/>
      <c r="D560" s="14" t="s">
        <v>418</v>
      </c>
      <c r="E560" s="15">
        <v>41640</v>
      </c>
      <c r="F560" s="15">
        <v>42004</v>
      </c>
      <c r="G560" s="14" t="s">
        <v>410</v>
      </c>
      <c r="H560" s="14">
        <v>0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 t="s">
        <v>413</v>
      </c>
    </row>
    <row r="561" spans="1:32" ht="14.25" customHeight="1" x14ac:dyDescent="0.35">
      <c r="A561" s="18" t="s">
        <v>774</v>
      </c>
      <c r="B561" s="18" t="s">
        <v>424</v>
      </c>
      <c r="C561" s="18"/>
      <c r="D561" s="18" t="s">
        <v>417</v>
      </c>
      <c r="E561" s="19">
        <v>41640</v>
      </c>
      <c r="F561" s="19">
        <v>42004</v>
      </c>
      <c r="G561" s="18" t="s">
        <v>415</v>
      </c>
      <c r="H561" s="18">
        <v>0.28125</v>
      </c>
      <c r="I561" s="18">
        <v>0.28125</v>
      </c>
      <c r="J561" s="18">
        <v>0.1875</v>
      </c>
      <c r="K561" s="18">
        <v>0.1875</v>
      </c>
      <c r="L561" s="18">
        <v>0.1875</v>
      </c>
      <c r="M561" s="18">
        <v>0.1875</v>
      </c>
      <c r="N561" s="18">
        <v>0.28125</v>
      </c>
      <c r="O561" s="18">
        <v>0.375</v>
      </c>
      <c r="P561" s="18">
        <v>0.375</v>
      </c>
      <c r="Q561" s="18">
        <v>0.28125</v>
      </c>
      <c r="R561" s="18">
        <v>0.28125</v>
      </c>
      <c r="S561" s="18">
        <v>0.28125</v>
      </c>
      <c r="T561" s="18">
        <v>0.28125</v>
      </c>
      <c r="U561" s="18">
        <v>0.1875</v>
      </c>
      <c r="V561" s="18">
        <v>0.1875</v>
      </c>
      <c r="W561" s="18">
        <v>0.1875</v>
      </c>
      <c r="X561" s="18">
        <v>0.1875</v>
      </c>
      <c r="Y561" s="18">
        <v>0.1875</v>
      </c>
      <c r="Z561" s="18">
        <v>0.46875</v>
      </c>
      <c r="AA561" s="18">
        <v>0.65625</v>
      </c>
      <c r="AB561" s="18">
        <v>0.75</v>
      </c>
      <c r="AC561" s="18">
        <v>0.5625</v>
      </c>
      <c r="AD561" s="18">
        <v>0.46875</v>
      </c>
      <c r="AE561" s="18">
        <v>0.28125</v>
      </c>
      <c r="AF561" s="18" t="s">
        <v>413</v>
      </c>
    </row>
    <row r="562" spans="1:32" ht="14.25" customHeight="1" x14ac:dyDescent="0.35">
      <c r="A562" s="18" t="s">
        <v>774</v>
      </c>
      <c r="B562" s="18" t="s">
        <v>424</v>
      </c>
      <c r="C562" s="18"/>
      <c r="D562" s="18" t="s">
        <v>512</v>
      </c>
      <c r="E562" s="19">
        <v>41640</v>
      </c>
      <c r="F562" s="19">
        <v>42004</v>
      </c>
      <c r="G562" s="18" t="s">
        <v>415</v>
      </c>
      <c r="H562" s="18">
        <v>0.1875</v>
      </c>
      <c r="I562" s="18">
        <v>0.1875</v>
      </c>
      <c r="J562" s="18">
        <v>9.375E-2</v>
      </c>
      <c r="K562" s="18">
        <v>9.375E-2</v>
      </c>
      <c r="L562" s="18">
        <v>9.375E-2</v>
      </c>
      <c r="M562" s="18">
        <v>9.375E-2</v>
      </c>
      <c r="N562" s="18">
        <v>0.28125</v>
      </c>
      <c r="O562" s="18">
        <v>0.28125</v>
      </c>
      <c r="P562" s="18">
        <v>0.375</v>
      </c>
      <c r="Q562" s="18">
        <v>0.375</v>
      </c>
      <c r="R562" s="18">
        <v>0.28125</v>
      </c>
      <c r="S562" s="18">
        <v>0.234375</v>
      </c>
      <c r="T562" s="18">
        <v>0.234375</v>
      </c>
      <c r="U562" s="18">
        <v>0.234375</v>
      </c>
      <c r="V562" s="18">
        <v>0.234375</v>
      </c>
      <c r="W562" s="18">
        <v>0.234375</v>
      </c>
      <c r="X562" s="18">
        <v>0.234375</v>
      </c>
      <c r="Y562" s="18">
        <v>0.234375</v>
      </c>
      <c r="Z562" s="18">
        <v>0.5625</v>
      </c>
      <c r="AA562" s="18">
        <v>0.65625</v>
      </c>
      <c r="AB562" s="18">
        <v>0.65625</v>
      </c>
      <c r="AC562" s="18">
        <v>0.65625</v>
      </c>
      <c r="AD562" s="18">
        <v>0.5625</v>
      </c>
      <c r="AE562" s="18">
        <v>0.28125</v>
      </c>
      <c r="AF562" s="18" t="s">
        <v>413</v>
      </c>
    </row>
    <row r="563" spans="1:32" ht="14.25" customHeight="1" x14ac:dyDescent="0.35">
      <c r="A563" s="18" t="s">
        <v>774</v>
      </c>
      <c r="B563" s="18" t="s">
        <v>424</v>
      </c>
      <c r="C563" s="18"/>
      <c r="D563" s="18" t="s">
        <v>419</v>
      </c>
      <c r="E563" s="19">
        <v>41640</v>
      </c>
      <c r="F563" s="19">
        <v>42004</v>
      </c>
      <c r="G563" s="18" t="s">
        <v>410</v>
      </c>
      <c r="H563" s="18">
        <v>1</v>
      </c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 t="s">
        <v>413</v>
      </c>
    </row>
    <row r="564" spans="1:32" ht="14.25" customHeight="1" x14ac:dyDescent="0.35">
      <c r="A564" s="18" t="s">
        <v>774</v>
      </c>
      <c r="B564" s="18" t="s">
        <v>424</v>
      </c>
      <c r="C564" s="18"/>
      <c r="D564" s="18" t="s">
        <v>429</v>
      </c>
      <c r="E564" s="19">
        <v>41640</v>
      </c>
      <c r="F564" s="19">
        <v>42004</v>
      </c>
      <c r="G564" s="18" t="s">
        <v>415</v>
      </c>
      <c r="H564" s="18">
        <v>0.1875</v>
      </c>
      <c r="I564" s="18">
        <v>0.140625</v>
      </c>
      <c r="J564" s="18">
        <v>9.375E-2</v>
      </c>
      <c r="K564" s="18">
        <v>9.375E-2</v>
      </c>
      <c r="L564" s="18">
        <v>9.375E-2</v>
      </c>
      <c r="M564" s="18">
        <v>0.1875</v>
      </c>
      <c r="N564" s="18">
        <v>0.375</v>
      </c>
      <c r="O564" s="18">
        <v>0.46875</v>
      </c>
      <c r="P564" s="18">
        <v>0.375</v>
      </c>
      <c r="Q564" s="18">
        <v>0.375</v>
      </c>
      <c r="R564" s="18">
        <v>0.234375</v>
      </c>
      <c r="S564" s="18">
        <v>0.234375</v>
      </c>
      <c r="T564" s="18">
        <v>0.234375</v>
      </c>
      <c r="U564" s="18">
        <v>0.234375</v>
      </c>
      <c r="V564" s="18">
        <v>0.234375</v>
      </c>
      <c r="W564" s="18">
        <v>0.234375</v>
      </c>
      <c r="X564" s="18">
        <v>0.234375</v>
      </c>
      <c r="Y564" s="18">
        <v>0.234375</v>
      </c>
      <c r="Z564" s="18">
        <v>0.5625</v>
      </c>
      <c r="AA564" s="18">
        <v>0.75</v>
      </c>
      <c r="AB564" s="18">
        <v>0.84375</v>
      </c>
      <c r="AC564" s="18">
        <v>0.75</v>
      </c>
      <c r="AD564" s="18">
        <v>0.5625</v>
      </c>
      <c r="AE564" s="18">
        <v>0.28125</v>
      </c>
      <c r="AF564" s="18" t="s">
        <v>413</v>
      </c>
    </row>
    <row r="565" spans="1:32" ht="14.25" customHeight="1" x14ac:dyDescent="0.35">
      <c r="A565" s="18" t="s">
        <v>774</v>
      </c>
      <c r="B565" s="18" t="s">
        <v>424</v>
      </c>
      <c r="C565" s="18"/>
      <c r="D565" s="18" t="s">
        <v>418</v>
      </c>
      <c r="E565" s="19">
        <v>41640</v>
      </c>
      <c r="F565" s="19">
        <v>42004</v>
      </c>
      <c r="G565" s="18" t="s">
        <v>410</v>
      </c>
      <c r="H565" s="18">
        <v>0</v>
      </c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 t="s">
        <v>413</v>
      </c>
    </row>
    <row r="566" spans="1:32" ht="14.25" customHeight="1" x14ac:dyDescent="0.35">
      <c r="A566" s="14" t="s">
        <v>775</v>
      </c>
      <c r="B566" s="14" t="s">
        <v>424</v>
      </c>
      <c r="C566" s="14"/>
      <c r="D566" s="14" t="s">
        <v>417</v>
      </c>
      <c r="E566" s="15">
        <v>41640</v>
      </c>
      <c r="F566" s="15">
        <v>42004</v>
      </c>
      <c r="G566" s="14" t="s">
        <v>415</v>
      </c>
      <c r="H566" s="14">
        <v>0.3</v>
      </c>
      <c r="I566" s="14">
        <v>0.3</v>
      </c>
      <c r="J566" s="14">
        <v>0.2</v>
      </c>
      <c r="K566" s="14">
        <v>0.2</v>
      </c>
      <c r="L566" s="14">
        <v>0.2</v>
      </c>
      <c r="M566" s="14">
        <v>0.2</v>
      </c>
      <c r="N566" s="14">
        <v>0.3</v>
      </c>
      <c r="O566" s="14">
        <v>0.4</v>
      </c>
      <c r="P566" s="14">
        <v>0.4</v>
      </c>
      <c r="Q566" s="14">
        <v>0.3</v>
      </c>
      <c r="R566" s="14">
        <v>0.3</v>
      </c>
      <c r="S566" s="14">
        <v>0.3</v>
      </c>
      <c r="T566" s="14">
        <v>0.3</v>
      </c>
      <c r="U566" s="14">
        <v>0.2</v>
      </c>
      <c r="V566" s="14">
        <v>0.2</v>
      </c>
      <c r="W566" s="14">
        <v>0.2</v>
      </c>
      <c r="X566" s="14">
        <v>0.2</v>
      </c>
      <c r="Y566" s="14">
        <v>0.2</v>
      </c>
      <c r="Z566" s="14">
        <v>0.5</v>
      </c>
      <c r="AA566" s="14">
        <v>0.7</v>
      </c>
      <c r="AB566" s="14">
        <v>0.8</v>
      </c>
      <c r="AC566" s="14">
        <v>0.6</v>
      </c>
      <c r="AD566" s="14">
        <v>0.5</v>
      </c>
      <c r="AE566" s="14">
        <v>0.3</v>
      </c>
      <c r="AF566" s="14" t="s">
        <v>413</v>
      </c>
    </row>
    <row r="567" spans="1:32" ht="14.25" customHeight="1" x14ac:dyDescent="0.35">
      <c r="A567" s="16" t="s">
        <v>775</v>
      </c>
      <c r="B567" s="16" t="s">
        <v>424</v>
      </c>
      <c r="C567" s="16"/>
      <c r="D567" s="16" t="s">
        <v>512</v>
      </c>
      <c r="E567" s="17">
        <v>41640</v>
      </c>
      <c r="F567" s="17">
        <v>42004</v>
      </c>
      <c r="G567" s="16" t="s">
        <v>415</v>
      </c>
      <c r="H567" s="16">
        <v>0.2</v>
      </c>
      <c r="I567" s="16">
        <v>0.2</v>
      </c>
      <c r="J567" s="16">
        <v>0.1</v>
      </c>
      <c r="K567" s="16">
        <v>0.1</v>
      </c>
      <c r="L567" s="16">
        <v>0.1</v>
      </c>
      <c r="M567" s="16">
        <v>0.1</v>
      </c>
      <c r="N567" s="16">
        <v>0.3</v>
      </c>
      <c r="O567" s="16">
        <v>0.3</v>
      </c>
      <c r="P567" s="16">
        <v>0.4</v>
      </c>
      <c r="Q567" s="16">
        <v>0.4</v>
      </c>
      <c r="R567" s="16">
        <v>0.3</v>
      </c>
      <c r="S567" s="16">
        <v>0.25</v>
      </c>
      <c r="T567" s="16">
        <v>0.25</v>
      </c>
      <c r="U567" s="16">
        <v>0.25</v>
      </c>
      <c r="V567" s="16">
        <v>0.25</v>
      </c>
      <c r="W567" s="16">
        <v>0.25</v>
      </c>
      <c r="X567" s="16">
        <v>0.25</v>
      </c>
      <c r="Y567" s="16">
        <v>0.25</v>
      </c>
      <c r="Z567" s="16">
        <v>0.6</v>
      </c>
      <c r="AA567" s="16">
        <v>0.7</v>
      </c>
      <c r="AB567" s="16">
        <v>0.7</v>
      </c>
      <c r="AC567" s="16">
        <v>0.7</v>
      </c>
      <c r="AD567" s="16">
        <v>0.6</v>
      </c>
      <c r="AE567" s="16">
        <v>0.3</v>
      </c>
      <c r="AF567" s="16" t="s">
        <v>413</v>
      </c>
    </row>
    <row r="568" spans="1:32" ht="14.25" customHeight="1" x14ac:dyDescent="0.35">
      <c r="A568" s="14" t="s">
        <v>775</v>
      </c>
      <c r="B568" s="14" t="s">
        <v>424</v>
      </c>
      <c r="C568" s="14"/>
      <c r="D568" s="14" t="s">
        <v>419</v>
      </c>
      <c r="E568" s="15">
        <v>41640</v>
      </c>
      <c r="F568" s="15">
        <v>42004</v>
      </c>
      <c r="G568" s="14" t="s">
        <v>410</v>
      </c>
      <c r="H568" s="14">
        <v>1</v>
      </c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 t="s">
        <v>413</v>
      </c>
    </row>
    <row r="569" spans="1:32" ht="14.25" customHeight="1" x14ac:dyDescent="0.35">
      <c r="A569" s="14" t="s">
        <v>775</v>
      </c>
      <c r="B569" s="14" t="s">
        <v>424</v>
      </c>
      <c r="C569" s="14"/>
      <c r="D569" s="14" t="s">
        <v>429</v>
      </c>
      <c r="E569" s="15">
        <v>41640</v>
      </c>
      <c r="F569" s="15">
        <v>42004</v>
      </c>
      <c r="G569" s="14" t="s">
        <v>415</v>
      </c>
      <c r="H569" s="14">
        <v>0.2</v>
      </c>
      <c r="I569" s="14">
        <v>0.15</v>
      </c>
      <c r="J569" s="14">
        <v>0.1</v>
      </c>
      <c r="K569" s="14">
        <v>0.1</v>
      </c>
      <c r="L569" s="14">
        <v>0.1</v>
      </c>
      <c r="M569" s="14">
        <v>0.2</v>
      </c>
      <c r="N569" s="14">
        <v>0.4</v>
      </c>
      <c r="O569" s="14">
        <v>0.5</v>
      </c>
      <c r="P569" s="14">
        <v>0.4</v>
      </c>
      <c r="Q569" s="14">
        <v>0.4</v>
      </c>
      <c r="R569" s="14">
        <v>0.25</v>
      </c>
      <c r="S569" s="14">
        <v>0.25</v>
      </c>
      <c r="T569" s="14">
        <v>0.25</v>
      </c>
      <c r="U569" s="14">
        <v>0.25</v>
      </c>
      <c r="V569" s="14">
        <v>0.25</v>
      </c>
      <c r="W569" s="14">
        <v>0.25</v>
      </c>
      <c r="X569" s="14">
        <v>0.25</v>
      </c>
      <c r="Y569" s="14">
        <v>0.25</v>
      </c>
      <c r="Z569" s="14">
        <v>0.6</v>
      </c>
      <c r="AA569" s="14">
        <v>0.8</v>
      </c>
      <c r="AB569" s="14">
        <v>0.9</v>
      </c>
      <c r="AC569" s="14">
        <v>0.8</v>
      </c>
      <c r="AD569" s="14">
        <v>0.6</v>
      </c>
      <c r="AE569" s="14">
        <v>0.3</v>
      </c>
      <c r="AF569" s="14" t="s">
        <v>413</v>
      </c>
    </row>
    <row r="570" spans="1:32" ht="14.25" customHeight="1" x14ac:dyDescent="0.35">
      <c r="A570" s="16" t="s">
        <v>775</v>
      </c>
      <c r="B570" s="16" t="s">
        <v>424</v>
      </c>
      <c r="C570" s="16"/>
      <c r="D570" s="16" t="s">
        <v>418</v>
      </c>
      <c r="E570" s="17">
        <v>41640</v>
      </c>
      <c r="F570" s="17">
        <v>42004</v>
      </c>
      <c r="G570" s="16" t="s">
        <v>410</v>
      </c>
      <c r="H570" s="16">
        <v>0</v>
      </c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 t="s">
        <v>413</v>
      </c>
    </row>
    <row r="571" spans="1:32" ht="14.25" customHeight="1" x14ac:dyDescent="0.35">
      <c r="A571" s="16" t="s">
        <v>776</v>
      </c>
      <c r="B571" s="16" t="s">
        <v>424</v>
      </c>
      <c r="C571" s="16"/>
      <c r="D571" s="16" t="s">
        <v>417</v>
      </c>
      <c r="E571" s="17">
        <v>41640</v>
      </c>
      <c r="F571" s="17">
        <v>42004</v>
      </c>
      <c r="G571" s="16" t="s">
        <v>415</v>
      </c>
      <c r="H571" s="16">
        <v>0.3</v>
      </c>
      <c r="I571" s="16">
        <v>0.3</v>
      </c>
      <c r="J571" s="16">
        <v>0.2</v>
      </c>
      <c r="K571" s="16">
        <v>0.2</v>
      </c>
      <c r="L571" s="16">
        <v>0.2</v>
      </c>
      <c r="M571" s="16">
        <v>0.2</v>
      </c>
      <c r="N571" s="16">
        <v>0.3</v>
      </c>
      <c r="O571" s="16">
        <v>0.4</v>
      </c>
      <c r="P571" s="16">
        <v>0.4</v>
      </c>
      <c r="Q571" s="16">
        <v>0.3</v>
      </c>
      <c r="R571" s="16">
        <v>0.3</v>
      </c>
      <c r="S571" s="16">
        <v>0.3</v>
      </c>
      <c r="T571" s="16">
        <v>0.3</v>
      </c>
      <c r="U571" s="16">
        <v>0.2</v>
      </c>
      <c r="V571" s="16">
        <v>0.2</v>
      </c>
      <c r="W571" s="16">
        <v>0.2</v>
      </c>
      <c r="X571" s="16">
        <v>0.2</v>
      </c>
      <c r="Y571" s="16">
        <v>0.2</v>
      </c>
      <c r="Z571" s="16">
        <v>0.5</v>
      </c>
      <c r="AA571" s="16">
        <v>0.7</v>
      </c>
      <c r="AB571" s="16">
        <v>0.8</v>
      </c>
      <c r="AC571" s="16">
        <v>0.6</v>
      </c>
      <c r="AD571" s="16">
        <v>0.5</v>
      </c>
      <c r="AE571" s="16">
        <v>0.3</v>
      </c>
      <c r="AF571" s="16" t="s">
        <v>413</v>
      </c>
    </row>
    <row r="572" spans="1:32" ht="14.25" customHeight="1" x14ac:dyDescent="0.35">
      <c r="A572" s="14" t="s">
        <v>776</v>
      </c>
      <c r="B572" s="14" t="s">
        <v>424</v>
      </c>
      <c r="C572" s="14"/>
      <c r="D572" s="14" t="s">
        <v>512</v>
      </c>
      <c r="E572" s="15">
        <v>41640</v>
      </c>
      <c r="F572" s="15">
        <v>42004</v>
      </c>
      <c r="G572" s="14" t="s">
        <v>415</v>
      </c>
      <c r="H572" s="14">
        <v>0.2</v>
      </c>
      <c r="I572" s="14">
        <v>0.2</v>
      </c>
      <c r="J572" s="14">
        <v>0.1</v>
      </c>
      <c r="K572" s="14">
        <v>0.1</v>
      </c>
      <c r="L572" s="14">
        <v>0.1</v>
      </c>
      <c r="M572" s="14">
        <v>0.1</v>
      </c>
      <c r="N572" s="14">
        <v>0.3</v>
      </c>
      <c r="O572" s="14">
        <v>0.3</v>
      </c>
      <c r="P572" s="14">
        <v>0.4</v>
      </c>
      <c r="Q572" s="14">
        <v>0.4</v>
      </c>
      <c r="R572" s="14">
        <v>0.3</v>
      </c>
      <c r="S572" s="14">
        <v>0.25</v>
      </c>
      <c r="T572" s="14">
        <v>0.25</v>
      </c>
      <c r="U572" s="14">
        <v>0.25</v>
      </c>
      <c r="V572" s="14">
        <v>0.25</v>
      </c>
      <c r="W572" s="14">
        <v>0.25</v>
      </c>
      <c r="X572" s="14">
        <v>0.25</v>
      </c>
      <c r="Y572" s="14">
        <v>0.25</v>
      </c>
      <c r="Z572" s="14">
        <v>0.6</v>
      </c>
      <c r="AA572" s="14">
        <v>0.7</v>
      </c>
      <c r="AB572" s="14">
        <v>0.7</v>
      </c>
      <c r="AC572" s="14">
        <v>0.7</v>
      </c>
      <c r="AD572" s="14">
        <v>0.6</v>
      </c>
      <c r="AE572" s="14">
        <v>0.3</v>
      </c>
      <c r="AF572" s="14" t="s">
        <v>413</v>
      </c>
    </row>
    <row r="573" spans="1:32" ht="14.25" customHeight="1" x14ac:dyDescent="0.35">
      <c r="A573" s="16" t="s">
        <v>776</v>
      </c>
      <c r="B573" s="16" t="s">
        <v>424</v>
      </c>
      <c r="C573" s="16"/>
      <c r="D573" s="16" t="s">
        <v>419</v>
      </c>
      <c r="E573" s="17">
        <v>41640</v>
      </c>
      <c r="F573" s="17">
        <v>42004</v>
      </c>
      <c r="G573" s="16" t="s">
        <v>410</v>
      </c>
      <c r="H573" s="16">
        <v>1</v>
      </c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 t="s">
        <v>413</v>
      </c>
    </row>
    <row r="574" spans="1:32" ht="14.25" customHeight="1" x14ac:dyDescent="0.35">
      <c r="A574" s="16" t="s">
        <v>776</v>
      </c>
      <c r="B574" s="16" t="s">
        <v>424</v>
      </c>
      <c r="C574" s="16"/>
      <c r="D574" s="16" t="s">
        <v>429</v>
      </c>
      <c r="E574" s="17">
        <v>41640</v>
      </c>
      <c r="F574" s="17">
        <v>42004</v>
      </c>
      <c r="G574" s="16" t="s">
        <v>415</v>
      </c>
      <c r="H574" s="16">
        <v>0.2</v>
      </c>
      <c r="I574" s="16">
        <v>0.15</v>
      </c>
      <c r="J574" s="16">
        <v>0.1</v>
      </c>
      <c r="K574" s="16">
        <v>0.1</v>
      </c>
      <c r="L574" s="16">
        <v>0.1</v>
      </c>
      <c r="M574" s="16">
        <v>0.2</v>
      </c>
      <c r="N574" s="16">
        <v>0.4</v>
      </c>
      <c r="O574" s="16">
        <v>0.5</v>
      </c>
      <c r="P574" s="16">
        <v>0.4</v>
      </c>
      <c r="Q574" s="16">
        <v>0.4</v>
      </c>
      <c r="R574" s="16">
        <v>0.25</v>
      </c>
      <c r="S574" s="16">
        <v>0.25</v>
      </c>
      <c r="T574" s="16">
        <v>0.25</v>
      </c>
      <c r="U574" s="16">
        <v>0.25</v>
      </c>
      <c r="V574" s="16">
        <v>0.25</v>
      </c>
      <c r="W574" s="16">
        <v>0.25</v>
      </c>
      <c r="X574" s="16">
        <v>0.25</v>
      </c>
      <c r="Y574" s="16">
        <v>0.25</v>
      </c>
      <c r="Z574" s="16">
        <v>0.6</v>
      </c>
      <c r="AA574" s="16">
        <v>0.8</v>
      </c>
      <c r="AB574" s="16">
        <v>0.9</v>
      </c>
      <c r="AC574" s="16">
        <v>0.8</v>
      </c>
      <c r="AD574" s="16">
        <v>0.6</v>
      </c>
      <c r="AE574" s="16">
        <v>0.3</v>
      </c>
      <c r="AF574" s="16" t="s">
        <v>413</v>
      </c>
    </row>
    <row r="575" spans="1:32" ht="14.25" customHeight="1" x14ac:dyDescent="0.35">
      <c r="A575" s="14" t="s">
        <v>776</v>
      </c>
      <c r="B575" s="14" t="s">
        <v>424</v>
      </c>
      <c r="C575" s="14"/>
      <c r="D575" s="14" t="s">
        <v>418</v>
      </c>
      <c r="E575" s="15">
        <v>41640</v>
      </c>
      <c r="F575" s="15">
        <v>42004</v>
      </c>
      <c r="G575" s="14" t="s">
        <v>410</v>
      </c>
      <c r="H575" s="14">
        <v>0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 t="s">
        <v>413</v>
      </c>
    </row>
    <row r="576" spans="1:32" ht="14.25" customHeight="1" x14ac:dyDescent="0.35">
      <c r="A576" s="18" t="s">
        <v>777</v>
      </c>
      <c r="B576" s="18" t="s">
        <v>424</v>
      </c>
      <c r="C576" s="18"/>
      <c r="D576" s="18" t="s">
        <v>417</v>
      </c>
      <c r="E576" s="19">
        <v>41640</v>
      </c>
      <c r="F576" s="19">
        <v>42004</v>
      </c>
      <c r="G576" s="18" t="s">
        <v>415</v>
      </c>
      <c r="H576" s="18">
        <v>0.17565</v>
      </c>
      <c r="I576" s="18">
        <v>0.17565</v>
      </c>
      <c r="J576" s="18">
        <v>0.1171</v>
      </c>
      <c r="K576" s="18">
        <v>0.1171</v>
      </c>
      <c r="L576" s="18">
        <v>0.1171</v>
      </c>
      <c r="M576" s="18">
        <v>0.1171</v>
      </c>
      <c r="N576" s="18">
        <v>0.17565</v>
      </c>
      <c r="O576" s="18">
        <v>0.23419999999999999</v>
      </c>
      <c r="P576" s="18">
        <v>0.23419999999999999</v>
      </c>
      <c r="Q576" s="18">
        <v>0.17565</v>
      </c>
      <c r="R576" s="18">
        <v>0.17565</v>
      </c>
      <c r="S576" s="18">
        <v>0.17565</v>
      </c>
      <c r="T576" s="18">
        <v>0.17565</v>
      </c>
      <c r="U576" s="18">
        <v>0.1171</v>
      </c>
      <c r="V576" s="18">
        <v>0.1171</v>
      </c>
      <c r="W576" s="18">
        <v>0.1171</v>
      </c>
      <c r="X576" s="18">
        <v>0.1171</v>
      </c>
      <c r="Y576" s="18">
        <v>0.1171</v>
      </c>
      <c r="Z576" s="18">
        <v>0.29275000000000001</v>
      </c>
      <c r="AA576" s="18">
        <v>0.40984999999999999</v>
      </c>
      <c r="AB576" s="18">
        <v>0.46839999999999998</v>
      </c>
      <c r="AC576" s="18">
        <v>0.3513</v>
      </c>
      <c r="AD576" s="18">
        <v>0.29275000000000001</v>
      </c>
      <c r="AE576" s="18">
        <v>0.17565</v>
      </c>
      <c r="AF576" s="18" t="s">
        <v>413</v>
      </c>
    </row>
    <row r="577" spans="1:32" ht="14.25" customHeight="1" x14ac:dyDescent="0.35">
      <c r="A577" s="18" t="s">
        <v>777</v>
      </c>
      <c r="B577" s="18" t="s">
        <v>424</v>
      </c>
      <c r="C577" s="18"/>
      <c r="D577" s="18" t="s">
        <v>512</v>
      </c>
      <c r="E577" s="19">
        <v>41640</v>
      </c>
      <c r="F577" s="19">
        <v>42004</v>
      </c>
      <c r="G577" s="18" t="s">
        <v>415</v>
      </c>
      <c r="H577" s="18">
        <v>0.1171</v>
      </c>
      <c r="I577" s="18">
        <v>0.1171</v>
      </c>
      <c r="J577" s="18">
        <v>5.8549999999999998E-2</v>
      </c>
      <c r="K577" s="18">
        <v>5.8549999999999998E-2</v>
      </c>
      <c r="L577" s="18">
        <v>5.8549999999999998E-2</v>
      </c>
      <c r="M577" s="18">
        <v>5.8549999999999998E-2</v>
      </c>
      <c r="N577" s="18">
        <v>0.17565</v>
      </c>
      <c r="O577" s="18">
        <v>0.17565</v>
      </c>
      <c r="P577" s="18">
        <v>0.23419999999999999</v>
      </c>
      <c r="Q577" s="18">
        <v>0.23419999999999999</v>
      </c>
      <c r="R577" s="18">
        <v>0.17565</v>
      </c>
      <c r="S577" s="18">
        <v>0.14637500000000001</v>
      </c>
      <c r="T577" s="18">
        <v>0.14637500000000001</v>
      </c>
      <c r="U577" s="18">
        <v>0.14637500000000001</v>
      </c>
      <c r="V577" s="18">
        <v>0.14637500000000001</v>
      </c>
      <c r="W577" s="18">
        <v>0.14637500000000001</v>
      </c>
      <c r="X577" s="18">
        <v>0.14637500000000001</v>
      </c>
      <c r="Y577" s="18">
        <v>0.14637500000000001</v>
      </c>
      <c r="Z577" s="18">
        <v>0.3513</v>
      </c>
      <c r="AA577" s="18">
        <v>0.40984999999999999</v>
      </c>
      <c r="AB577" s="18">
        <v>0.40984999999999999</v>
      </c>
      <c r="AC577" s="18">
        <v>0.40984999999999999</v>
      </c>
      <c r="AD577" s="18">
        <v>0.3513</v>
      </c>
      <c r="AE577" s="18">
        <v>0.17565</v>
      </c>
      <c r="AF577" s="18" t="s">
        <v>413</v>
      </c>
    </row>
    <row r="578" spans="1:32" ht="14.25" customHeight="1" x14ac:dyDescent="0.35">
      <c r="A578" s="18" t="s">
        <v>777</v>
      </c>
      <c r="B578" s="18" t="s">
        <v>424</v>
      </c>
      <c r="C578" s="18"/>
      <c r="D578" s="18" t="s">
        <v>419</v>
      </c>
      <c r="E578" s="19">
        <v>41640</v>
      </c>
      <c r="F578" s="19">
        <v>42004</v>
      </c>
      <c r="G578" s="18" t="s">
        <v>410</v>
      </c>
      <c r="H578" s="18">
        <v>1</v>
      </c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 t="s">
        <v>413</v>
      </c>
    </row>
    <row r="579" spans="1:32" ht="14.25" customHeight="1" x14ac:dyDescent="0.35">
      <c r="A579" s="18" t="s">
        <v>777</v>
      </c>
      <c r="B579" s="18" t="s">
        <v>424</v>
      </c>
      <c r="C579" s="18"/>
      <c r="D579" s="18" t="s">
        <v>429</v>
      </c>
      <c r="E579" s="19">
        <v>41640</v>
      </c>
      <c r="F579" s="19">
        <v>42004</v>
      </c>
      <c r="G579" s="18" t="s">
        <v>415</v>
      </c>
      <c r="H579" s="18">
        <v>0.1171</v>
      </c>
      <c r="I579" s="18">
        <v>8.7825E-2</v>
      </c>
      <c r="J579" s="18">
        <v>5.8549999999999998E-2</v>
      </c>
      <c r="K579" s="18">
        <v>5.8549999999999998E-2</v>
      </c>
      <c r="L579" s="18">
        <v>5.8549999999999998E-2</v>
      </c>
      <c r="M579" s="18">
        <v>0.1171</v>
      </c>
      <c r="N579" s="18">
        <v>0.23419999999999999</v>
      </c>
      <c r="O579" s="18">
        <v>0.29275000000000001</v>
      </c>
      <c r="P579" s="18">
        <v>0.23419999999999999</v>
      </c>
      <c r="Q579" s="18">
        <v>0.23419999999999999</v>
      </c>
      <c r="R579" s="18">
        <v>0.14637500000000001</v>
      </c>
      <c r="S579" s="18">
        <v>0.14637500000000001</v>
      </c>
      <c r="T579" s="18">
        <v>0.14637500000000001</v>
      </c>
      <c r="U579" s="18">
        <v>0.14637500000000001</v>
      </c>
      <c r="V579" s="18">
        <v>0.14637500000000001</v>
      </c>
      <c r="W579" s="18">
        <v>0.14637500000000001</v>
      </c>
      <c r="X579" s="18">
        <v>0.14637500000000001</v>
      </c>
      <c r="Y579" s="18">
        <v>0.14637500000000001</v>
      </c>
      <c r="Z579" s="18">
        <v>0.3513</v>
      </c>
      <c r="AA579" s="18">
        <v>0.46839999999999998</v>
      </c>
      <c r="AB579" s="18">
        <v>0.52695000000000003</v>
      </c>
      <c r="AC579" s="18">
        <v>0.46839999999999998</v>
      </c>
      <c r="AD579" s="18">
        <v>0.3513</v>
      </c>
      <c r="AE579" s="18">
        <v>0.17565</v>
      </c>
      <c r="AF579" s="18" t="s">
        <v>413</v>
      </c>
    </row>
    <row r="580" spans="1:32" ht="14.25" customHeight="1" x14ac:dyDescent="0.35">
      <c r="A580" s="18" t="s">
        <v>777</v>
      </c>
      <c r="B580" s="18" t="s">
        <v>424</v>
      </c>
      <c r="C580" s="18"/>
      <c r="D580" s="18" t="s">
        <v>418</v>
      </c>
      <c r="E580" s="19">
        <v>41640</v>
      </c>
      <c r="F580" s="19">
        <v>42004</v>
      </c>
      <c r="G580" s="18" t="s">
        <v>410</v>
      </c>
      <c r="H580" s="18">
        <v>0</v>
      </c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 t="s">
        <v>413</v>
      </c>
    </row>
    <row r="581" spans="1:32" ht="14.25" customHeight="1" x14ac:dyDescent="0.35">
      <c r="A581" s="14" t="s">
        <v>778</v>
      </c>
      <c r="B581" s="14" t="s">
        <v>448</v>
      </c>
      <c r="C581" s="14"/>
      <c r="D581" s="14" t="s">
        <v>417</v>
      </c>
      <c r="E581" s="15">
        <v>41640</v>
      </c>
      <c r="F581" s="15">
        <v>42004</v>
      </c>
      <c r="G581" s="14" t="s">
        <v>415</v>
      </c>
      <c r="H581" s="14">
        <v>0.7</v>
      </c>
      <c r="I581" s="14">
        <v>0.7</v>
      </c>
      <c r="J581" s="14">
        <v>0.7</v>
      </c>
      <c r="K581" s="14">
        <v>0.7</v>
      </c>
      <c r="L581" s="14">
        <v>0.7</v>
      </c>
      <c r="M581" s="14">
        <v>0.7</v>
      </c>
      <c r="N581" s="14">
        <v>0.7</v>
      </c>
      <c r="O581" s="14">
        <v>0.7</v>
      </c>
      <c r="P581" s="14">
        <v>0.5</v>
      </c>
      <c r="Q581" s="14">
        <v>0.5</v>
      </c>
      <c r="R581" s="14">
        <v>0.5</v>
      </c>
      <c r="S581" s="14">
        <v>0.3</v>
      </c>
      <c r="T581" s="14">
        <v>0.3</v>
      </c>
      <c r="U581" s="14">
        <v>0.2</v>
      </c>
      <c r="V581" s="14">
        <v>0.2</v>
      </c>
      <c r="W581" s="14">
        <v>0.2</v>
      </c>
      <c r="X581" s="14">
        <v>0.3</v>
      </c>
      <c r="Y581" s="14">
        <v>0.4</v>
      </c>
      <c r="Z581" s="14">
        <v>0.4</v>
      </c>
      <c r="AA581" s="14">
        <v>0.6</v>
      </c>
      <c r="AB581" s="14">
        <v>0.6</v>
      </c>
      <c r="AC581" s="14">
        <v>0.8</v>
      </c>
      <c r="AD581" s="14">
        <v>0.8</v>
      </c>
      <c r="AE581" s="14">
        <v>0.8</v>
      </c>
      <c r="AF581" s="14" t="s">
        <v>413</v>
      </c>
    </row>
    <row r="582" spans="1:32" ht="14.25" customHeight="1" x14ac:dyDescent="0.35">
      <c r="A582" s="16" t="s">
        <v>778</v>
      </c>
      <c r="B582" s="16" t="s">
        <v>448</v>
      </c>
      <c r="C582" s="16"/>
      <c r="D582" s="16" t="s">
        <v>512</v>
      </c>
      <c r="E582" s="17">
        <v>41640</v>
      </c>
      <c r="F582" s="17">
        <v>42004</v>
      </c>
      <c r="G582" s="16" t="s">
        <v>415</v>
      </c>
      <c r="H582" s="16">
        <v>0.9</v>
      </c>
      <c r="I582" s="16">
        <v>0.9</v>
      </c>
      <c r="J582" s="16">
        <v>0.9</v>
      </c>
      <c r="K582" s="16">
        <v>0.9</v>
      </c>
      <c r="L582" s="16">
        <v>0.9</v>
      </c>
      <c r="M582" s="16">
        <v>0.9</v>
      </c>
      <c r="N582" s="16">
        <v>0.7</v>
      </c>
      <c r="O582" s="16">
        <v>0.5</v>
      </c>
      <c r="P582" s="16">
        <v>0.5</v>
      </c>
      <c r="Q582" s="16">
        <v>0.3</v>
      </c>
      <c r="R582" s="16">
        <v>0.3</v>
      </c>
      <c r="S582" s="16">
        <v>0.3</v>
      </c>
      <c r="T582" s="16">
        <v>0.3</v>
      </c>
      <c r="U582" s="16">
        <v>0.3</v>
      </c>
      <c r="V582" s="16">
        <v>0.3</v>
      </c>
      <c r="W582" s="16">
        <v>0.3</v>
      </c>
      <c r="X582" s="16">
        <v>0.3</v>
      </c>
      <c r="Y582" s="16">
        <v>0.5</v>
      </c>
      <c r="Z582" s="16">
        <v>0.6</v>
      </c>
      <c r="AA582" s="16">
        <v>0.6</v>
      </c>
      <c r="AB582" s="16">
        <v>0.6</v>
      </c>
      <c r="AC582" s="16">
        <v>0.7</v>
      </c>
      <c r="AD582" s="16">
        <v>0.7</v>
      </c>
      <c r="AE582" s="16">
        <v>0.7</v>
      </c>
      <c r="AF582" s="16" t="s">
        <v>413</v>
      </c>
    </row>
    <row r="583" spans="1:32" ht="14.25" customHeight="1" x14ac:dyDescent="0.35">
      <c r="A583" s="14" t="s">
        <v>778</v>
      </c>
      <c r="B583" s="14" t="s">
        <v>448</v>
      </c>
      <c r="C583" s="14"/>
      <c r="D583" s="14" t="s">
        <v>419</v>
      </c>
      <c r="E583" s="15">
        <v>41640</v>
      </c>
      <c r="F583" s="15">
        <v>42004</v>
      </c>
      <c r="G583" s="14" t="s">
        <v>410</v>
      </c>
      <c r="H583" s="14">
        <v>1</v>
      </c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 t="s">
        <v>413</v>
      </c>
    </row>
    <row r="584" spans="1:32" ht="14.25" customHeight="1" x14ac:dyDescent="0.35">
      <c r="A584" s="14" t="s">
        <v>778</v>
      </c>
      <c r="B584" s="14" t="s">
        <v>448</v>
      </c>
      <c r="C584" s="14"/>
      <c r="D584" s="14" t="s">
        <v>429</v>
      </c>
      <c r="E584" s="15">
        <v>41640</v>
      </c>
      <c r="F584" s="15">
        <v>42004</v>
      </c>
      <c r="G584" s="14" t="s">
        <v>415</v>
      </c>
      <c r="H584" s="14">
        <v>0.9</v>
      </c>
      <c r="I584" s="14">
        <v>0.9</v>
      </c>
      <c r="J584" s="14">
        <v>0.9</v>
      </c>
      <c r="K584" s="14">
        <v>0.9</v>
      </c>
      <c r="L584" s="14">
        <v>0.9</v>
      </c>
      <c r="M584" s="14">
        <v>0.9</v>
      </c>
      <c r="N584" s="14">
        <v>0.7</v>
      </c>
      <c r="O584" s="14">
        <v>0.4</v>
      </c>
      <c r="P584" s="14">
        <v>0.4</v>
      </c>
      <c r="Q584" s="14">
        <v>0.2</v>
      </c>
      <c r="R584" s="14">
        <v>0.2</v>
      </c>
      <c r="S584" s="14">
        <v>0.2</v>
      </c>
      <c r="T584" s="14">
        <v>0.2</v>
      </c>
      <c r="U584" s="14">
        <v>0.2</v>
      </c>
      <c r="V584" s="14">
        <v>0.2</v>
      </c>
      <c r="W584" s="14">
        <v>0.3</v>
      </c>
      <c r="X584" s="14">
        <v>0.5</v>
      </c>
      <c r="Y584" s="14">
        <v>0.5</v>
      </c>
      <c r="Z584" s="14">
        <v>0.5</v>
      </c>
      <c r="AA584" s="14">
        <v>0.7</v>
      </c>
      <c r="AB584" s="14">
        <v>0.7</v>
      </c>
      <c r="AC584" s="14">
        <v>0.8</v>
      </c>
      <c r="AD584" s="14">
        <v>0.9</v>
      </c>
      <c r="AE584" s="14">
        <v>0.9</v>
      </c>
      <c r="AF584" s="14" t="s">
        <v>413</v>
      </c>
    </row>
    <row r="585" spans="1:32" ht="14.25" customHeight="1" x14ac:dyDescent="0.35">
      <c r="A585" s="16" t="s">
        <v>778</v>
      </c>
      <c r="B585" s="16" t="s">
        <v>448</v>
      </c>
      <c r="C585" s="16"/>
      <c r="D585" s="16" t="s">
        <v>418</v>
      </c>
      <c r="E585" s="17">
        <v>41640</v>
      </c>
      <c r="F585" s="17">
        <v>42004</v>
      </c>
      <c r="G585" s="16" t="s">
        <v>410</v>
      </c>
      <c r="H585" s="16">
        <v>0</v>
      </c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 t="s">
        <v>413</v>
      </c>
    </row>
    <row r="586" spans="1:32" ht="14.25" customHeight="1" x14ac:dyDescent="0.35">
      <c r="A586" s="16" t="s">
        <v>779</v>
      </c>
      <c r="B586" s="16" t="s">
        <v>460</v>
      </c>
      <c r="C586" s="16"/>
      <c r="D586" s="16" t="s">
        <v>417</v>
      </c>
      <c r="E586" s="17">
        <v>41640</v>
      </c>
      <c r="F586" s="17">
        <v>42004</v>
      </c>
      <c r="G586" s="16" t="s">
        <v>415</v>
      </c>
      <c r="H586" s="16">
        <v>0.25</v>
      </c>
      <c r="I586" s="16">
        <v>0.2</v>
      </c>
      <c r="J586" s="16">
        <v>0.2</v>
      </c>
      <c r="K586" s="16">
        <v>0.2</v>
      </c>
      <c r="L586" s="16">
        <v>0.2</v>
      </c>
      <c r="M586" s="16">
        <v>0.3</v>
      </c>
      <c r="N586" s="16">
        <v>0.5</v>
      </c>
      <c r="O586" s="16">
        <v>0.5</v>
      </c>
      <c r="P586" s="16">
        <v>0.5</v>
      </c>
      <c r="Q586" s="16">
        <v>0.55000000000000004</v>
      </c>
      <c r="R586" s="16">
        <v>0.5</v>
      </c>
      <c r="S586" s="16">
        <v>0.5</v>
      </c>
      <c r="T586" s="16">
        <v>0.4</v>
      </c>
      <c r="U586" s="16">
        <v>0.4</v>
      </c>
      <c r="V586" s="16">
        <v>0.3</v>
      </c>
      <c r="W586" s="16">
        <v>0.3</v>
      </c>
      <c r="X586" s="16">
        <v>0.3</v>
      </c>
      <c r="Y586" s="16">
        <v>0.4</v>
      </c>
      <c r="Z586" s="16">
        <v>0.5</v>
      </c>
      <c r="AA586" s="16">
        <v>0.5</v>
      </c>
      <c r="AB586" s="16">
        <v>0.4</v>
      </c>
      <c r="AC586" s="16">
        <v>0.5</v>
      </c>
      <c r="AD586" s="16">
        <v>0.4</v>
      </c>
      <c r="AE586" s="16">
        <v>0.2</v>
      </c>
      <c r="AF586" s="16" t="s">
        <v>413</v>
      </c>
    </row>
    <row r="587" spans="1:32" ht="14.25" customHeight="1" x14ac:dyDescent="0.35">
      <c r="A587" s="16" t="s">
        <v>779</v>
      </c>
      <c r="B587" s="16" t="s">
        <v>460</v>
      </c>
      <c r="C587" s="16"/>
      <c r="D587" s="16" t="s">
        <v>556</v>
      </c>
      <c r="E587" s="17">
        <v>41640</v>
      </c>
      <c r="F587" s="17">
        <v>42004</v>
      </c>
      <c r="G587" s="16" t="s">
        <v>415</v>
      </c>
      <c r="H587" s="16">
        <v>0.2</v>
      </c>
      <c r="I587" s="16">
        <v>0.15</v>
      </c>
      <c r="J587" s="16">
        <v>0.15</v>
      </c>
      <c r="K587" s="16">
        <v>0.15</v>
      </c>
      <c r="L587" s="16">
        <v>0.2</v>
      </c>
      <c r="M587" s="16">
        <v>0.25</v>
      </c>
      <c r="N587" s="16">
        <v>0.5</v>
      </c>
      <c r="O587" s="16">
        <v>0.6</v>
      </c>
      <c r="P587" s="16">
        <v>0.55000000000000004</v>
      </c>
      <c r="Q587" s="16">
        <v>0.45</v>
      </c>
      <c r="R587" s="16">
        <v>0.4</v>
      </c>
      <c r="S587" s="16">
        <v>0.45</v>
      </c>
      <c r="T587" s="16">
        <v>0.4</v>
      </c>
      <c r="U587" s="16">
        <v>0.35</v>
      </c>
      <c r="V587" s="16">
        <v>0.3</v>
      </c>
      <c r="W587" s="16">
        <v>0.3</v>
      </c>
      <c r="X587" s="16">
        <v>0.3</v>
      </c>
      <c r="Y587" s="16">
        <v>0.4</v>
      </c>
      <c r="Z587" s="16">
        <v>0.55000000000000004</v>
      </c>
      <c r="AA587" s="16">
        <v>0.6</v>
      </c>
      <c r="AB587" s="16">
        <v>0.5</v>
      </c>
      <c r="AC587" s="16">
        <v>0.55000000000000004</v>
      </c>
      <c r="AD587" s="16">
        <v>0.45</v>
      </c>
      <c r="AE587" s="16">
        <v>0.25</v>
      </c>
      <c r="AF587" s="16" t="s">
        <v>413</v>
      </c>
    </row>
    <row r="588" spans="1:32" ht="14.25" customHeight="1" x14ac:dyDescent="0.35">
      <c r="A588" s="14" t="s">
        <v>779</v>
      </c>
      <c r="B588" s="14" t="s">
        <v>460</v>
      </c>
      <c r="C588" s="14"/>
      <c r="D588" s="14" t="s">
        <v>514</v>
      </c>
      <c r="E588" s="15">
        <v>41640</v>
      </c>
      <c r="F588" s="15">
        <v>42004</v>
      </c>
      <c r="G588" s="14" t="s">
        <v>415</v>
      </c>
      <c r="H588" s="14">
        <v>0.2</v>
      </c>
      <c r="I588" s="14">
        <v>0.15</v>
      </c>
      <c r="J588" s="14">
        <v>0.15</v>
      </c>
      <c r="K588" s="14">
        <v>0.15</v>
      </c>
      <c r="L588" s="14">
        <v>0.2</v>
      </c>
      <c r="M588" s="14">
        <v>0.25</v>
      </c>
      <c r="N588" s="14">
        <v>0.4</v>
      </c>
      <c r="O588" s="14">
        <v>0.5</v>
      </c>
      <c r="P588" s="14">
        <v>0.5</v>
      </c>
      <c r="Q588" s="14">
        <v>0.5</v>
      </c>
      <c r="R588" s="14">
        <v>0.45</v>
      </c>
      <c r="S588" s="14">
        <v>0.5</v>
      </c>
      <c r="T588" s="14">
        <v>0.5</v>
      </c>
      <c r="U588" s="14">
        <v>0.45</v>
      </c>
      <c r="V588" s="14">
        <v>0.4</v>
      </c>
      <c r="W588" s="14">
        <v>0.4</v>
      </c>
      <c r="X588" s="14">
        <v>0.35</v>
      </c>
      <c r="Y588" s="14">
        <v>0.4</v>
      </c>
      <c r="Z588" s="14">
        <v>0.55000000000000004</v>
      </c>
      <c r="AA588" s="14">
        <v>0.55000000000000004</v>
      </c>
      <c r="AB588" s="14">
        <v>0.5</v>
      </c>
      <c r="AC588" s="14">
        <v>0.55000000000000004</v>
      </c>
      <c r="AD588" s="14">
        <v>0.4</v>
      </c>
      <c r="AE588" s="14">
        <v>0.3</v>
      </c>
      <c r="AF588" s="14" t="s">
        <v>413</v>
      </c>
    </row>
    <row r="589" spans="1:32" ht="14.25" customHeight="1" x14ac:dyDescent="0.35">
      <c r="A589" s="14" t="s">
        <v>780</v>
      </c>
      <c r="B589" s="14" t="s">
        <v>408</v>
      </c>
      <c r="C589" s="14" t="s">
        <v>412</v>
      </c>
      <c r="D589" s="14" t="s">
        <v>409</v>
      </c>
      <c r="E589" s="15">
        <v>41640</v>
      </c>
      <c r="F589" s="15">
        <v>42004</v>
      </c>
      <c r="G589" s="14" t="s">
        <v>410</v>
      </c>
      <c r="H589" s="14">
        <v>60</v>
      </c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 t="s">
        <v>413</v>
      </c>
    </row>
    <row r="590" spans="1:32" ht="14.25" customHeight="1" x14ac:dyDescent="0.35">
      <c r="A590" s="16" t="s">
        <v>781</v>
      </c>
      <c r="B590" s="16" t="s">
        <v>408</v>
      </c>
      <c r="C590" s="16" t="s">
        <v>412</v>
      </c>
      <c r="D590" s="16" t="s">
        <v>409</v>
      </c>
      <c r="E590" s="17">
        <v>41640</v>
      </c>
      <c r="F590" s="17">
        <v>42004</v>
      </c>
      <c r="G590" s="16" t="s">
        <v>410</v>
      </c>
      <c r="H590" s="16">
        <v>82.22</v>
      </c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 t="s">
        <v>413</v>
      </c>
    </row>
    <row r="591" spans="1:32" ht="14.25" customHeight="1" x14ac:dyDescent="0.35">
      <c r="A591" s="14" t="s">
        <v>782</v>
      </c>
      <c r="B591" s="14" t="s">
        <v>420</v>
      </c>
      <c r="C591" s="14" t="s">
        <v>414</v>
      </c>
      <c r="D591" s="14" t="s">
        <v>409</v>
      </c>
      <c r="E591" s="15">
        <v>41640</v>
      </c>
      <c r="F591" s="15">
        <v>42004</v>
      </c>
      <c r="G591" s="14" t="s">
        <v>410</v>
      </c>
      <c r="H591" s="14">
        <v>24</v>
      </c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 t="s">
        <v>413</v>
      </c>
    </row>
    <row r="592" spans="1:32" ht="14.25" customHeight="1" x14ac:dyDescent="0.35">
      <c r="A592" s="16" t="s">
        <v>783</v>
      </c>
      <c r="B592" s="16" t="s">
        <v>518</v>
      </c>
      <c r="C592" s="16" t="s">
        <v>412</v>
      </c>
      <c r="D592" s="16" t="s">
        <v>453</v>
      </c>
      <c r="E592" s="17">
        <v>41640</v>
      </c>
      <c r="F592" s="17">
        <v>42004</v>
      </c>
      <c r="G592" s="16" t="s">
        <v>410</v>
      </c>
      <c r="H592" s="16">
        <v>0.5</v>
      </c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 t="s">
        <v>413</v>
      </c>
    </row>
    <row r="593" spans="1:32" ht="14.25" customHeight="1" x14ac:dyDescent="0.35">
      <c r="A593" s="16" t="s">
        <v>783</v>
      </c>
      <c r="B593" s="16" t="s">
        <v>518</v>
      </c>
      <c r="C593" s="16" t="s">
        <v>412</v>
      </c>
      <c r="D593" s="16" t="s">
        <v>454</v>
      </c>
      <c r="E593" s="17">
        <v>41913</v>
      </c>
      <c r="F593" s="17">
        <v>42004</v>
      </c>
      <c r="G593" s="16" t="s">
        <v>410</v>
      </c>
      <c r="H593" s="16">
        <v>1</v>
      </c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 t="s">
        <v>413</v>
      </c>
    </row>
    <row r="594" spans="1:32" ht="14.25" customHeight="1" x14ac:dyDescent="0.35">
      <c r="A594" s="14" t="s">
        <v>783</v>
      </c>
      <c r="B594" s="14" t="s">
        <v>518</v>
      </c>
      <c r="C594" s="14" t="s">
        <v>412</v>
      </c>
      <c r="D594" s="14" t="s">
        <v>454</v>
      </c>
      <c r="E594" s="15">
        <v>41640</v>
      </c>
      <c r="F594" s="15">
        <v>41759</v>
      </c>
      <c r="G594" s="14" t="s">
        <v>410</v>
      </c>
      <c r="H594" s="14">
        <v>1</v>
      </c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 t="s">
        <v>413</v>
      </c>
    </row>
    <row r="595" spans="1:32" ht="14.25" customHeight="1" x14ac:dyDescent="0.35">
      <c r="A595" s="14" t="s">
        <v>783</v>
      </c>
      <c r="B595" s="14" t="s">
        <v>518</v>
      </c>
      <c r="C595" s="14" t="s">
        <v>412</v>
      </c>
      <c r="D595" s="14" t="s">
        <v>418</v>
      </c>
      <c r="E595" s="15">
        <v>41640</v>
      </c>
      <c r="F595" s="15">
        <v>42004</v>
      </c>
      <c r="G595" s="14" t="s">
        <v>410</v>
      </c>
      <c r="H595" s="14">
        <v>1</v>
      </c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 t="s">
        <v>413</v>
      </c>
    </row>
    <row r="596" spans="1:32" ht="14.25" customHeight="1" x14ac:dyDescent="0.35">
      <c r="A596" s="14" t="s">
        <v>785</v>
      </c>
      <c r="B596" s="14" t="s">
        <v>408</v>
      </c>
      <c r="C596" s="14"/>
      <c r="D596" s="14" t="s">
        <v>409</v>
      </c>
      <c r="E596" s="15">
        <v>41640</v>
      </c>
      <c r="F596" s="15">
        <v>42004</v>
      </c>
      <c r="G596" s="14" t="s">
        <v>410</v>
      </c>
      <c r="H596" s="14">
        <v>1</v>
      </c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 t="s">
        <v>413</v>
      </c>
    </row>
    <row r="597" spans="1:32" ht="14.25" customHeight="1" x14ac:dyDescent="0.35">
      <c r="A597" s="16" t="s">
        <v>784</v>
      </c>
      <c r="B597" s="16" t="s">
        <v>408</v>
      </c>
      <c r="C597" s="16" t="s">
        <v>414</v>
      </c>
      <c r="D597" s="16" t="s">
        <v>409</v>
      </c>
      <c r="E597" s="17">
        <v>41640</v>
      </c>
      <c r="F597" s="17">
        <v>42004</v>
      </c>
      <c r="G597" s="16" t="s">
        <v>410</v>
      </c>
      <c r="H597" s="16">
        <v>12.8</v>
      </c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 t="s">
        <v>413</v>
      </c>
    </row>
    <row r="598" spans="1:32" ht="14.25" customHeight="1" x14ac:dyDescent="0.35">
      <c r="A598" s="16" t="s">
        <v>786</v>
      </c>
      <c r="B598" s="16" t="s">
        <v>408</v>
      </c>
      <c r="C598" s="16" t="s">
        <v>414</v>
      </c>
      <c r="D598" s="16" t="s">
        <v>409</v>
      </c>
      <c r="E598" s="17">
        <v>41640</v>
      </c>
      <c r="F598" s="17">
        <v>42004</v>
      </c>
      <c r="G598" s="16" t="s">
        <v>410</v>
      </c>
      <c r="H598" s="16">
        <v>6.7</v>
      </c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 t="s">
        <v>413</v>
      </c>
    </row>
    <row r="599" spans="1:32" ht="14.25" customHeight="1" x14ac:dyDescent="0.35">
      <c r="A599" s="14" t="s">
        <v>787</v>
      </c>
      <c r="B599" s="14" t="s">
        <v>408</v>
      </c>
      <c r="C599" s="14"/>
      <c r="D599" s="14" t="s">
        <v>409</v>
      </c>
      <c r="E599" s="15">
        <v>41640</v>
      </c>
      <c r="F599" s="15">
        <v>42004</v>
      </c>
      <c r="G599" s="14" t="s">
        <v>410</v>
      </c>
      <c r="H599" s="14">
        <v>4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 t="s">
        <v>413</v>
      </c>
    </row>
    <row r="600" spans="1:32" ht="14.25" customHeight="1" x14ac:dyDescent="0.35">
      <c r="A600" s="16" t="s">
        <v>788</v>
      </c>
      <c r="B600" s="16" t="s">
        <v>424</v>
      </c>
      <c r="C600" s="16"/>
      <c r="D600" s="16" t="s">
        <v>409</v>
      </c>
      <c r="E600" s="17">
        <v>41640</v>
      </c>
      <c r="F600" s="17">
        <v>42004</v>
      </c>
      <c r="G600" s="16" t="s">
        <v>410</v>
      </c>
      <c r="H600" s="16">
        <v>1</v>
      </c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 t="s">
        <v>413</v>
      </c>
    </row>
    <row r="601" spans="1:32" ht="14.25" customHeight="1" x14ac:dyDescent="0.35">
      <c r="A601" s="14" t="s">
        <v>789</v>
      </c>
      <c r="B601" s="14" t="s">
        <v>424</v>
      </c>
      <c r="C601" s="14"/>
      <c r="D601" s="14" t="s">
        <v>417</v>
      </c>
      <c r="E601" s="15">
        <v>41640</v>
      </c>
      <c r="F601" s="15">
        <v>42004</v>
      </c>
      <c r="G601" s="14" t="s">
        <v>415</v>
      </c>
      <c r="H601" s="14">
        <v>0.05</v>
      </c>
      <c r="I601" s="14">
        <v>0.05</v>
      </c>
      <c r="J601" s="14">
        <v>0.05</v>
      </c>
      <c r="K601" s="14">
        <v>0.05</v>
      </c>
      <c r="L601" s="14">
        <v>0.1</v>
      </c>
      <c r="M601" s="14">
        <v>0.2</v>
      </c>
      <c r="N601" s="14">
        <v>0.4</v>
      </c>
      <c r="O601" s="14">
        <v>0.5</v>
      </c>
      <c r="P601" s="14">
        <v>0.5</v>
      </c>
      <c r="Q601" s="14">
        <v>0.35</v>
      </c>
      <c r="R601" s="14">
        <v>0.15</v>
      </c>
      <c r="S601" s="14">
        <v>0.15</v>
      </c>
      <c r="T601" s="14">
        <v>0.15</v>
      </c>
      <c r="U601" s="14">
        <v>0.15</v>
      </c>
      <c r="V601" s="14">
        <v>0.15</v>
      </c>
      <c r="W601" s="14">
        <v>0.15</v>
      </c>
      <c r="X601" s="14">
        <v>0.35</v>
      </c>
      <c r="Y601" s="14">
        <v>0.5</v>
      </c>
      <c r="Z601" s="14">
        <v>0.5</v>
      </c>
      <c r="AA601" s="14">
        <v>0.4</v>
      </c>
      <c r="AB601" s="14">
        <v>0.4</v>
      </c>
      <c r="AC601" s="14">
        <v>0.3</v>
      </c>
      <c r="AD601" s="14">
        <v>0.2</v>
      </c>
      <c r="AE601" s="14">
        <v>0.1</v>
      </c>
      <c r="AF601" s="14" t="s">
        <v>413</v>
      </c>
    </row>
    <row r="602" spans="1:32" ht="14.25" customHeight="1" x14ac:dyDescent="0.35">
      <c r="A602" s="14" t="s">
        <v>789</v>
      </c>
      <c r="B602" s="14" t="s">
        <v>424</v>
      </c>
      <c r="C602" s="14"/>
      <c r="D602" s="14" t="s">
        <v>419</v>
      </c>
      <c r="E602" s="15">
        <v>41640</v>
      </c>
      <c r="F602" s="15">
        <v>42004</v>
      </c>
      <c r="G602" s="14" t="s">
        <v>410</v>
      </c>
      <c r="H602" s="14">
        <v>0.5</v>
      </c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 t="s">
        <v>413</v>
      </c>
    </row>
    <row r="603" spans="1:32" ht="14.25" customHeight="1" x14ac:dyDescent="0.35">
      <c r="A603" s="16" t="s">
        <v>789</v>
      </c>
      <c r="B603" s="16" t="s">
        <v>424</v>
      </c>
      <c r="C603" s="16"/>
      <c r="D603" s="16" t="s">
        <v>418</v>
      </c>
      <c r="E603" s="17">
        <v>41640</v>
      </c>
      <c r="F603" s="17">
        <v>42004</v>
      </c>
      <c r="G603" s="16" t="s">
        <v>410</v>
      </c>
      <c r="H603" s="16">
        <v>0.05</v>
      </c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 t="s">
        <v>413</v>
      </c>
    </row>
    <row r="604" spans="1:32" ht="14.25" customHeight="1" x14ac:dyDescent="0.35">
      <c r="A604" s="16" t="s">
        <v>790</v>
      </c>
      <c r="B604" s="16" t="s">
        <v>427</v>
      </c>
      <c r="C604" s="16"/>
      <c r="D604" s="16" t="s">
        <v>791</v>
      </c>
      <c r="E604" s="17">
        <v>41640</v>
      </c>
      <c r="F604" s="17">
        <v>42004</v>
      </c>
      <c r="G604" s="16" t="s">
        <v>415</v>
      </c>
      <c r="H604" s="16">
        <v>0.11</v>
      </c>
      <c r="I604" s="16">
        <v>0.11</v>
      </c>
      <c r="J604" s="16">
        <v>0.11</v>
      </c>
      <c r="K604" s="16">
        <v>0.11</v>
      </c>
      <c r="L604" s="16">
        <v>0.11</v>
      </c>
      <c r="M604" s="16">
        <v>0.19</v>
      </c>
      <c r="N604" s="16">
        <v>0.19</v>
      </c>
      <c r="O604" s="16">
        <v>0.25</v>
      </c>
      <c r="P604" s="16">
        <v>1</v>
      </c>
      <c r="Q604" s="16">
        <v>1</v>
      </c>
      <c r="R604" s="16">
        <v>0.86</v>
      </c>
      <c r="S604" s="16">
        <v>0.86</v>
      </c>
      <c r="T604" s="16">
        <v>1</v>
      </c>
      <c r="U604" s="16">
        <v>0.86</v>
      </c>
      <c r="V604" s="16">
        <v>0.86</v>
      </c>
      <c r="W604" s="16">
        <v>0.86</v>
      </c>
      <c r="X604" s="16">
        <v>0.86</v>
      </c>
      <c r="Y604" s="16">
        <v>0.86</v>
      </c>
      <c r="Z604" s="16">
        <v>0.25</v>
      </c>
      <c r="AA604" s="16">
        <v>0.19</v>
      </c>
      <c r="AB604" s="16">
        <v>0.11</v>
      </c>
      <c r="AC604" s="16">
        <v>0.11</v>
      </c>
      <c r="AD604" s="16">
        <v>0.11</v>
      </c>
      <c r="AE604" s="16">
        <v>0.11</v>
      </c>
      <c r="AF604" s="16" t="s">
        <v>413</v>
      </c>
    </row>
    <row r="605" spans="1:32" ht="14.25" customHeight="1" x14ac:dyDescent="0.35">
      <c r="A605" s="16" t="s">
        <v>790</v>
      </c>
      <c r="B605" s="16" t="s">
        <v>427</v>
      </c>
      <c r="C605" s="16"/>
      <c r="D605" s="16" t="s">
        <v>419</v>
      </c>
      <c r="E605" s="17">
        <v>41640</v>
      </c>
      <c r="F605" s="17">
        <v>42004</v>
      </c>
      <c r="G605" s="16" t="s">
        <v>410</v>
      </c>
      <c r="H605" s="16">
        <v>1</v>
      </c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 t="s">
        <v>413</v>
      </c>
    </row>
    <row r="606" spans="1:32" ht="14.25" customHeight="1" x14ac:dyDescent="0.35">
      <c r="A606" s="14" t="s">
        <v>790</v>
      </c>
      <c r="B606" s="14" t="s">
        <v>427</v>
      </c>
      <c r="C606" s="14"/>
      <c r="D606" s="14" t="s">
        <v>418</v>
      </c>
      <c r="E606" s="15">
        <v>41640</v>
      </c>
      <c r="F606" s="15">
        <v>42004</v>
      </c>
      <c r="G606" s="14" t="s">
        <v>410</v>
      </c>
      <c r="H606" s="14">
        <v>0</v>
      </c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 t="s">
        <v>413</v>
      </c>
    </row>
    <row r="607" spans="1:32" ht="14.25" customHeight="1" x14ac:dyDescent="0.35">
      <c r="A607" s="14" t="s">
        <v>792</v>
      </c>
      <c r="B607" s="14" t="s">
        <v>448</v>
      </c>
      <c r="C607" s="14"/>
      <c r="D607" s="14" t="s">
        <v>417</v>
      </c>
      <c r="E607" s="15">
        <v>41640</v>
      </c>
      <c r="F607" s="15">
        <v>42004</v>
      </c>
      <c r="G607" s="14" t="s">
        <v>415</v>
      </c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0.05</v>
      </c>
      <c r="N607" s="14">
        <v>0.05</v>
      </c>
      <c r="O607" s="14">
        <v>0.05</v>
      </c>
      <c r="P607" s="14">
        <v>0.1</v>
      </c>
      <c r="Q607" s="14">
        <v>0.1</v>
      </c>
      <c r="R607" s="14">
        <v>0.1</v>
      </c>
      <c r="S607" s="14">
        <v>0.1</v>
      </c>
      <c r="T607" s="14">
        <v>0.2</v>
      </c>
      <c r="U607" s="14">
        <v>0.1</v>
      </c>
      <c r="V607" s="14">
        <v>0.1</v>
      </c>
      <c r="W607" s="14">
        <v>0.1</v>
      </c>
      <c r="X607" s="14">
        <v>0.1</v>
      </c>
      <c r="Y607" s="14">
        <v>0.1</v>
      </c>
      <c r="Z607" s="14">
        <v>0.05</v>
      </c>
      <c r="AA607" s="14">
        <v>0.05</v>
      </c>
      <c r="AB607" s="14">
        <v>0</v>
      </c>
      <c r="AC607" s="14">
        <v>0</v>
      </c>
      <c r="AD607" s="14">
        <v>0</v>
      </c>
      <c r="AE607" s="14">
        <v>0</v>
      </c>
      <c r="AF607" s="14" t="s">
        <v>413</v>
      </c>
    </row>
    <row r="608" spans="1:32" ht="14.25" customHeight="1" x14ac:dyDescent="0.35">
      <c r="A608" s="14" t="s">
        <v>792</v>
      </c>
      <c r="B608" s="14" t="s">
        <v>448</v>
      </c>
      <c r="C608" s="14"/>
      <c r="D608" s="14" t="s">
        <v>419</v>
      </c>
      <c r="E608" s="15">
        <v>41640</v>
      </c>
      <c r="F608" s="15">
        <v>42004</v>
      </c>
      <c r="G608" s="14" t="s">
        <v>410</v>
      </c>
      <c r="H608" s="14">
        <v>1</v>
      </c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 t="s">
        <v>413</v>
      </c>
    </row>
    <row r="609" spans="1:32" ht="14.25" customHeight="1" x14ac:dyDescent="0.35">
      <c r="A609" s="16" t="s">
        <v>792</v>
      </c>
      <c r="B609" s="16" t="s">
        <v>448</v>
      </c>
      <c r="C609" s="16"/>
      <c r="D609" s="16" t="s">
        <v>429</v>
      </c>
      <c r="E609" s="17">
        <v>41640</v>
      </c>
      <c r="F609" s="17">
        <v>42004</v>
      </c>
      <c r="G609" s="16" t="s">
        <v>415</v>
      </c>
      <c r="H609" s="16">
        <v>0</v>
      </c>
      <c r="I609" s="16">
        <v>0</v>
      </c>
      <c r="J609" s="16">
        <v>0</v>
      </c>
      <c r="K609" s="16">
        <v>0</v>
      </c>
      <c r="L609" s="16">
        <v>0</v>
      </c>
      <c r="M609" s="16">
        <v>0.1</v>
      </c>
      <c r="N609" s="16">
        <v>0.1</v>
      </c>
      <c r="O609" s="16">
        <v>0.2</v>
      </c>
      <c r="P609" s="16">
        <v>0.2</v>
      </c>
      <c r="Q609" s="16">
        <v>0.2</v>
      </c>
      <c r="R609" s="16">
        <v>0.2</v>
      </c>
      <c r="S609" s="16">
        <v>0.2</v>
      </c>
      <c r="T609" s="16">
        <v>0.7</v>
      </c>
      <c r="U609" s="16">
        <v>0.2</v>
      </c>
      <c r="V609" s="16">
        <v>0.2</v>
      </c>
      <c r="W609" s="16">
        <v>0.2</v>
      </c>
      <c r="X609" s="16">
        <v>0.2</v>
      </c>
      <c r="Y609" s="16">
        <v>0.2</v>
      </c>
      <c r="Z609" s="16">
        <v>0.1</v>
      </c>
      <c r="AA609" s="16">
        <v>0.1</v>
      </c>
      <c r="AB609" s="16">
        <v>0</v>
      </c>
      <c r="AC609" s="16">
        <v>0</v>
      </c>
      <c r="AD609" s="16">
        <v>0</v>
      </c>
      <c r="AE609" s="16">
        <v>0</v>
      </c>
      <c r="AF609" s="16" t="s">
        <v>413</v>
      </c>
    </row>
    <row r="610" spans="1:32" ht="14.25" customHeight="1" x14ac:dyDescent="0.35">
      <c r="A610" s="16" t="s">
        <v>792</v>
      </c>
      <c r="B610" s="16" t="s">
        <v>448</v>
      </c>
      <c r="C610" s="16"/>
      <c r="D610" s="16" t="s">
        <v>418</v>
      </c>
      <c r="E610" s="17">
        <v>41640</v>
      </c>
      <c r="F610" s="17">
        <v>42004</v>
      </c>
      <c r="G610" s="16" t="s">
        <v>410</v>
      </c>
      <c r="H610" s="16">
        <v>0</v>
      </c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 t="s">
        <v>413</v>
      </c>
    </row>
    <row r="611" spans="1:32" ht="14.25" customHeight="1" x14ac:dyDescent="0.35">
      <c r="A611" s="14" t="s">
        <v>793</v>
      </c>
      <c r="B611" s="14" t="s">
        <v>427</v>
      </c>
      <c r="C611" s="14"/>
      <c r="D611" s="14" t="s">
        <v>409</v>
      </c>
      <c r="E611" s="15">
        <v>41640</v>
      </c>
      <c r="F611" s="15">
        <v>42004</v>
      </c>
      <c r="G611" s="14" t="s">
        <v>415</v>
      </c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0.5</v>
      </c>
      <c r="O611" s="14">
        <v>1</v>
      </c>
      <c r="P611" s="14">
        <v>1</v>
      </c>
      <c r="Q611" s="14">
        <v>0.5</v>
      </c>
      <c r="R611" s="14">
        <v>0.5</v>
      </c>
      <c r="S611" s="14">
        <v>0.5</v>
      </c>
      <c r="T611" s="14">
        <v>0</v>
      </c>
      <c r="U611" s="14">
        <v>0.5</v>
      </c>
      <c r="V611" s="14">
        <v>0.5</v>
      </c>
      <c r="W611" s="14">
        <v>0.5</v>
      </c>
      <c r="X611" s="14">
        <v>1</v>
      </c>
      <c r="Y611" s="14">
        <v>0.5</v>
      </c>
      <c r="Z611" s="14">
        <v>0.5</v>
      </c>
      <c r="AA611" s="14">
        <v>1</v>
      </c>
      <c r="AB611" s="14">
        <v>1</v>
      </c>
      <c r="AC611" s="14">
        <v>0.5</v>
      </c>
      <c r="AD611" s="14">
        <v>0.5</v>
      </c>
      <c r="AE611" s="14">
        <v>0</v>
      </c>
      <c r="AF611" s="14" t="s">
        <v>413</v>
      </c>
    </row>
    <row r="612" spans="1:32" ht="14.25" customHeight="1" x14ac:dyDescent="0.35">
      <c r="A612" s="16" t="s">
        <v>794</v>
      </c>
      <c r="B612" s="16" t="s">
        <v>448</v>
      </c>
      <c r="C612" s="16"/>
      <c r="D612" s="16" t="s">
        <v>409</v>
      </c>
      <c r="E612" s="17">
        <v>41640</v>
      </c>
      <c r="F612" s="17">
        <v>42004</v>
      </c>
      <c r="G612" s="16" t="s">
        <v>415</v>
      </c>
      <c r="H612" s="16">
        <v>0</v>
      </c>
      <c r="I612" s="16">
        <v>0</v>
      </c>
      <c r="J612" s="16">
        <v>0</v>
      </c>
      <c r="K612" s="16">
        <v>0</v>
      </c>
      <c r="L612" s="16">
        <v>0</v>
      </c>
      <c r="M612" s="16">
        <v>0</v>
      </c>
      <c r="N612" s="16">
        <v>0.5</v>
      </c>
      <c r="O612" s="16">
        <v>1</v>
      </c>
      <c r="P612" s="16">
        <v>1</v>
      </c>
      <c r="Q612" s="16">
        <v>1</v>
      </c>
      <c r="R612" s="16">
        <v>1</v>
      </c>
      <c r="S612" s="16">
        <v>0.5</v>
      </c>
      <c r="T612" s="16">
        <v>0</v>
      </c>
      <c r="U612" s="16">
        <v>1</v>
      </c>
      <c r="V612" s="16">
        <v>1</v>
      </c>
      <c r="W612" s="16">
        <v>1</v>
      </c>
      <c r="X612" s="16">
        <v>1</v>
      </c>
      <c r="Y612" s="16">
        <v>1</v>
      </c>
      <c r="Z612" s="16">
        <v>1</v>
      </c>
      <c r="AA612" s="16">
        <v>1</v>
      </c>
      <c r="AB612" s="16">
        <v>1</v>
      </c>
      <c r="AC612" s="16">
        <v>1</v>
      </c>
      <c r="AD612" s="16">
        <v>0.5</v>
      </c>
      <c r="AE612" s="16">
        <v>0</v>
      </c>
      <c r="AF612" s="16" t="s">
        <v>413</v>
      </c>
    </row>
    <row r="613" spans="1:32" ht="14.25" customHeight="1" x14ac:dyDescent="0.35">
      <c r="A613" s="14" t="s">
        <v>795</v>
      </c>
      <c r="B613" s="14" t="s">
        <v>408</v>
      </c>
      <c r="C613" s="14"/>
      <c r="D613" s="14" t="s">
        <v>409</v>
      </c>
      <c r="E613" s="15">
        <v>41640</v>
      </c>
      <c r="F613" s="15">
        <v>42004</v>
      </c>
      <c r="G613" s="14" t="s">
        <v>410</v>
      </c>
      <c r="H613" s="14">
        <v>1</v>
      </c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 t="s">
        <v>413</v>
      </c>
    </row>
    <row r="614" spans="1:32" ht="14.25" customHeight="1" x14ac:dyDescent="0.35">
      <c r="A614" s="16" t="s">
        <v>796</v>
      </c>
      <c r="B614" s="16" t="s">
        <v>408</v>
      </c>
      <c r="C614" s="16"/>
      <c r="D614" s="16" t="s">
        <v>409</v>
      </c>
      <c r="E614" s="17">
        <v>41640</v>
      </c>
      <c r="F614" s="17">
        <v>42004</v>
      </c>
      <c r="G614" s="16" t="s">
        <v>415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1</v>
      </c>
      <c r="AB614" s="16">
        <v>1</v>
      </c>
      <c r="AC614" s="16">
        <v>1</v>
      </c>
      <c r="AD614" s="16">
        <v>1</v>
      </c>
      <c r="AE614" s="16">
        <v>1</v>
      </c>
      <c r="AF614" s="16" t="s">
        <v>413</v>
      </c>
    </row>
    <row r="615" spans="1:32" ht="14.25" customHeight="1" x14ac:dyDescent="0.35">
      <c r="A615" s="14" t="s">
        <v>797</v>
      </c>
      <c r="B615" s="14" t="s">
        <v>408</v>
      </c>
      <c r="C615" s="14"/>
      <c r="D615" s="14" t="s">
        <v>409</v>
      </c>
      <c r="E615" s="15">
        <v>41640</v>
      </c>
      <c r="F615" s="15">
        <v>42004</v>
      </c>
      <c r="G615" s="14" t="s">
        <v>410</v>
      </c>
      <c r="H615" s="14">
        <v>1</v>
      </c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 t="s">
        <v>413</v>
      </c>
    </row>
    <row r="616" spans="1:32" ht="14.25" customHeight="1" x14ac:dyDescent="0.35">
      <c r="A616" s="16" t="s">
        <v>798</v>
      </c>
      <c r="B616" s="16" t="s">
        <v>550</v>
      </c>
      <c r="C616" s="16"/>
      <c r="D616" s="16" t="s">
        <v>409</v>
      </c>
      <c r="E616" s="17">
        <v>41640</v>
      </c>
      <c r="F616" s="17">
        <v>42004</v>
      </c>
      <c r="G616" s="16" t="s">
        <v>410</v>
      </c>
      <c r="H616" s="16">
        <v>1</v>
      </c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 t="s">
        <v>413</v>
      </c>
    </row>
    <row r="617" spans="1:32" ht="14.25" customHeight="1" x14ac:dyDescent="0.35">
      <c r="A617" s="14" t="s">
        <v>799</v>
      </c>
      <c r="B617" s="14" t="s">
        <v>427</v>
      </c>
      <c r="C617" s="14"/>
      <c r="D617" s="14" t="s">
        <v>417</v>
      </c>
      <c r="E617" s="15">
        <v>41640</v>
      </c>
      <c r="F617" s="15">
        <v>42004</v>
      </c>
      <c r="G617" s="14" t="s">
        <v>415</v>
      </c>
      <c r="H617" s="14">
        <v>0.17</v>
      </c>
      <c r="I617" s="14">
        <v>0.17</v>
      </c>
      <c r="J617" s="14">
        <v>0.17</v>
      </c>
      <c r="K617" s="14">
        <v>0.17</v>
      </c>
      <c r="L617" s="14">
        <v>0.17</v>
      </c>
      <c r="M617" s="14">
        <v>0.17</v>
      </c>
      <c r="N617" s="14">
        <v>0.3</v>
      </c>
      <c r="O617" s="14">
        <v>0.62</v>
      </c>
      <c r="P617" s="14">
        <v>0.9</v>
      </c>
      <c r="Q617" s="14">
        <v>0.62</v>
      </c>
      <c r="R617" s="14">
        <v>0.13</v>
      </c>
      <c r="S617" s="14">
        <v>0.13</v>
      </c>
      <c r="T617" s="14">
        <v>0.13</v>
      </c>
      <c r="U617" s="14">
        <v>0.13</v>
      </c>
      <c r="V617" s="14">
        <v>0.13</v>
      </c>
      <c r="W617" s="14">
        <v>0.13</v>
      </c>
      <c r="X617" s="14">
        <v>0.21</v>
      </c>
      <c r="Y617" s="14">
        <v>0.4</v>
      </c>
      <c r="Z617" s="14">
        <v>0.48</v>
      </c>
      <c r="AA617" s="14">
        <v>0.46</v>
      </c>
      <c r="AB617" s="14">
        <v>0.62</v>
      </c>
      <c r="AC617" s="14">
        <v>0.69</v>
      </c>
      <c r="AD617" s="14">
        <v>0.34</v>
      </c>
      <c r="AE617" s="14">
        <v>0.17</v>
      </c>
      <c r="AF617" s="14" t="s">
        <v>413</v>
      </c>
    </row>
    <row r="618" spans="1:32" ht="14.25" customHeight="1" x14ac:dyDescent="0.35">
      <c r="A618" s="14" t="s">
        <v>799</v>
      </c>
      <c r="B618" s="14" t="s">
        <v>427</v>
      </c>
      <c r="C618" s="14"/>
      <c r="D618" s="14" t="s">
        <v>419</v>
      </c>
      <c r="E618" s="15">
        <v>41640</v>
      </c>
      <c r="F618" s="15">
        <v>42004</v>
      </c>
      <c r="G618" s="14" t="s">
        <v>410</v>
      </c>
      <c r="H618" s="14">
        <v>1</v>
      </c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 t="s">
        <v>413</v>
      </c>
    </row>
    <row r="619" spans="1:32" ht="14.25" customHeight="1" x14ac:dyDescent="0.35">
      <c r="A619" s="16" t="s">
        <v>799</v>
      </c>
      <c r="B619" s="16" t="s">
        <v>427</v>
      </c>
      <c r="C619" s="16"/>
      <c r="D619" s="16" t="s">
        <v>429</v>
      </c>
      <c r="E619" s="17">
        <v>41640</v>
      </c>
      <c r="F619" s="17">
        <v>42004</v>
      </c>
      <c r="G619" s="16" t="s">
        <v>415</v>
      </c>
      <c r="H619" s="16">
        <v>0.17</v>
      </c>
      <c r="I619" s="16">
        <v>0.17</v>
      </c>
      <c r="J619" s="16">
        <v>0.17</v>
      </c>
      <c r="K619" s="16">
        <v>0.17</v>
      </c>
      <c r="L619" s="16">
        <v>0.17</v>
      </c>
      <c r="M619" s="16">
        <v>0.17</v>
      </c>
      <c r="N619" s="16">
        <v>0.62</v>
      </c>
      <c r="O619" s="16">
        <v>0.9</v>
      </c>
      <c r="P619" s="16">
        <v>0.43</v>
      </c>
      <c r="Q619" s="16">
        <v>0.43</v>
      </c>
      <c r="R619" s="16">
        <v>0.12</v>
      </c>
      <c r="S619" s="16">
        <v>0.12</v>
      </c>
      <c r="T619" s="16">
        <v>0.12</v>
      </c>
      <c r="U619" s="16">
        <v>0.12</v>
      </c>
      <c r="V619" s="16">
        <v>0.12</v>
      </c>
      <c r="W619" s="16">
        <v>0.12</v>
      </c>
      <c r="X619" s="16">
        <v>0.19</v>
      </c>
      <c r="Y619" s="16">
        <v>0.48</v>
      </c>
      <c r="Z619" s="16">
        <v>0.48</v>
      </c>
      <c r="AA619" s="16">
        <v>0.46</v>
      </c>
      <c r="AB619" s="16">
        <v>0.62</v>
      </c>
      <c r="AC619" s="16">
        <v>0.69</v>
      </c>
      <c r="AD619" s="16">
        <v>0.34</v>
      </c>
      <c r="AE619" s="16">
        <v>0.17</v>
      </c>
      <c r="AF619" s="16" t="s">
        <v>413</v>
      </c>
    </row>
    <row r="620" spans="1:32" ht="14.25" customHeight="1" x14ac:dyDescent="0.35">
      <c r="A620" s="16" t="s">
        <v>799</v>
      </c>
      <c r="B620" s="16" t="s">
        <v>427</v>
      </c>
      <c r="C620" s="16"/>
      <c r="D620" s="16" t="s">
        <v>418</v>
      </c>
      <c r="E620" s="17">
        <v>41640</v>
      </c>
      <c r="F620" s="17">
        <v>42004</v>
      </c>
      <c r="G620" s="16" t="s">
        <v>410</v>
      </c>
      <c r="H620" s="16">
        <v>0</v>
      </c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 t="s">
        <v>413</v>
      </c>
    </row>
    <row r="621" spans="1:32" ht="14.25" customHeight="1" x14ac:dyDescent="0.35">
      <c r="A621" s="14" t="s">
        <v>800</v>
      </c>
      <c r="B621" s="14" t="s">
        <v>427</v>
      </c>
      <c r="C621" s="14"/>
      <c r="D621" s="14" t="s">
        <v>417</v>
      </c>
      <c r="E621" s="15">
        <v>41640</v>
      </c>
      <c r="F621" s="15">
        <v>42004</v>
      </c>
      <c r="G621" s="14" t="s">
        <v>415</v>
      </c>
      <c r="H621" s="14">
        <v>0.2</v>
      </c>
      <c r="I621" s="14">
        <v>0.2</v>
      </c>
      <c r="J621" s="14">
        <v>0.2</v>
      </c>
      <c r="K621" s="14">
        <v>0.2</v>
      </c>
      <c r="L621" s="14">
        <v>0.2</v>
      </c>
      <c r="M621" s="14">
        <v>0.2</v>
      </c>
      <c r="N621" s="14">
        <v>0.3</v>
      </c>
      <c r="O621" s="14">
        <v>0.62</v>
      </c>
      <c r="P621" s="14">
        <v>0.9</v>
      </c>
      <c r="Q621" s="14">
        <v>0.62</v>
      </c>
      <c r="R621" s="14">
        <v>0.28999999999999998</v>
      </c>
      <c r="S621" s="14">
        <v>0.28999999999999998</v>
      </c>
      <c r="T621" s="14">
        <v>0.28999999999999998</v>
      </c>
      <c r="U621" s="14">
        <v>0.28999999999999998</v>
      </c>
      <c r="V621" s="14">
        <v>0.28999999999999998</v>
      </c>
      <c r="W621" s="14">
        <v>0.28999999999999998</v>
      </c>
      <c r="X621" s="14">
        <v>0.28999999999999998</v>
      </c>
      <c r="Y621" s="14">
        <v>0.43</v>
      </c>
      <c r="Z621" s="14">
        <v>0.51</v>
      </c>
      <c r="AA621" s="14">
        <v>0.49</v>
      </c>
      <c r="AB621" s="14">
        <v>0.66</v>
      </c>
      <c r="AC621" s="14">
        <v>0.7</v>
      </c>
      <c r="AD621" s="14">
        <v>0.35</v>
      </c>
      <c r="AE621" s="14">
        <v>0.2</v>
      </c>
      <c r="AF621" s="14" t="s">
        <v>413</v>
      </c>
    </row>
    <row r="622" spans="1:32" ht="14.25" customHeight="1" x14ac:dyDescent="0.35">
      <c r="A622" s="14" t="s">
        <v>800</v>
      </c>
      <c r="B622" s="14" t="s">
        <v>427</v>
      </c>
      <c r="C622" s="14"/>
      <c r="D622" s="14" t="s">
        <v>419</v>
      </c>
      <c r="E622" s="15">
        <v>41640</v>
      </c>
      <c r="F622" s="15">
        <v>42004</v>
      </c>
      <c r="G622" s="14" t="s">
        <v>410</v>
      </c>
      <c r="H622" s="14">
        <v>1</v>
      </c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 t="s">
        <v>413</v>
      </c>
    </row>
    <row r="623" spans="1:32" ht="14.25" customHeight="1" x14ac:dyDescent="0.35">
      <c r="A623" s="16" t="s">
        <v>800</v>
      </c>
      <c r="B623" s="16" t="s">
        <v>427</v>
      </c>
      <c r="C623" s="16"/>
      <c r="D623" s="16" t="s">
        <v>429</v>
      </c>
      <c r="E623" s="17">
        <v>41640</v>
      </c>
      <c r="F623" s="17">
        <v>42004</v>
      </c>
      <c r="G623" s="16" t="s">
        <v>415</v>
      </c>
      <c r="H623" s="16">
        <v>0.2</v>
      </c>
      <c r="I623" s="16">
        <v>0.2</v>
      </c>
      <c r="J623" s="16">
        <v>0.2</v>
      </c>
      <c r="K623" s="16">
        <v>0.2</v>
      </c>
      <c r="L623" s="16">
        <v>0.2</v>
      </c>
      <c r="M623" s="16">
        <v>0.2</v>
      </c>
      <c r="N623" s="16">
        <v>0.62</v>
      </c>
      <c r="O623" s="16">
        <v>0.9</v>
      </c>
      <c r="P623" s="16">
        <v>0.43</v>
      </c>
      <c r="Q623" s="16">
        <v>0.43</v>
      </c>
      <c r="R623" s="16">
        <v>0.26</v>
      </c>
      <c r="S623" s="16">
        <v>0.26</v>
      </c>
      <c r="T623" s="16">
        <v>0.26</v>
      </c>
      <c r="U623" s="16">
        <v>0.26</v>
      </c>
      <c r="V623" s="16">
        <v>0.26</v>
      </c>
      <c r="W623" s="16">
        <v>0.26</v>
      </c>
      <c r="X623" s="16">
        <v>0.26</v>
      </c>
      <c r="Y623" s="16">
        <v>0.51</v>
      </c>
      <c r="Z623" s="16">
        <v>0.51</v>
      </c>
      <c r="AA623" s="16">
        <v>0.49</v>
      </c>
      <c r="AB623" s="16">
        <v>0.66</v>
      </c>
      <c r="AC623" s="16">
        <v>0.7</v>
      </c>
      <c r="AD623" s="16">
        <v>0.35</v>
      </c>
      <c r="AE623" s="16">
        <v>0.2</v>
      </c>
      <c r="AF623" s="16" t="s">
        <v>413</v>
      </c>
    </row>
    <row r="624" spans="1:32" ht="14.25" customHeight="1" x14ac:dyDescent="0.35">
      <c r="A624" s="16" t="s">
        <v>800</v>
      </c>
      <c r="B624" s="16" t="s">
        <v>427</v>
      </c>
      <c r="C624" s="16"/>
      <c r="D624" s="16" t="s">
        <v>418</v>
      </c>
      <c r="E624" s="17">
        <v>41640</v>
      </c>
      <c r="F624" s="17">
        <v>42004</v>
      </c>
      <c r="G624" s="16" t="s">
        <v>410</v>
      </c>
      <c r="H624" s="16">
        <v>0</v>
      </c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 t="s">
        <v>413</v>
      </c>
    </row>
    <row r="625" spans="1:32" ht="14.25" customHeight="1" x14ac:dyDescent="0.35">
      <c r="A625" s="14" t="s">
        <v>801</v>
      </c>
      <c r="B625" s="14" t="s">
        <v>448</v>
      </c>
      <c r="C625" s="14"/>
      <c r="D625" s="14" t="s">
        <v>417</v>
      </c>
      <c r="E625" s="15">
        <v>41640</v>
      </c>
      <c r="F625" s="15">
        <v>42004</v>
      </c>
      <c r="G625" s="14" t="s">
        <v>415</v>
      </c>
      <c r="H625" s="14">
        <v>0.65</v>
      </c>
      <c r="I625" s="14">
        <v>0.65</v>
      </c>
      <c r="J625" s="14">
        <v>0.65</v>
      </c>
      <c r="K625" s="14">
        <v>0.65</v>
      </c>
      <c r="L625" s="14">
        <v>0.65</v>
      </c>
      <c r="M625" s="14">
        <v>0.65</v>
      </c>
      <c r="N625" s="14">
        <v>0.5</v>
      </c>
      <c r="O625" s="14">
        <v>0.34</v>
      </c>
      <c r="P625" s="14">
        <v>0.34</v>
      </c>
      <c r="Q625" s="14">
        <v>0.2</v>
      </c>
      <c r="R625" s="14">
        <v>0.2</v>
      </c>
      <c r="S625" s="14">
        <v>0.2</v>
      </c>
      <c r="T625" s="14">
        <v>0.2</v>
      </c>
      <c r="U625" s="14">
        <v>0.2</v>
      </c>
      <c r="V625" s="14">
        <v>0.2</v>
      </c>
      <c r="W625" s="14">
        <v>0.2</v>
      </c>
      <c r="X625" s="14">
        <v>0.2</v>
      </c>
      <c r="Y625" s="14">
        <v>0.34</v>
      </c>
      <c r="Z625" s="14">
        <v>0.35</v>
      </c>
      <c r="AA625" s="14">
        <v>0.65</v>
      </c>
      <c r="AB625" s="14">
        <v>0.65</v>
      </c>
      <c r="AC625" s="14">
        <v>0.5</v>
      </c>
      <c r="AD625" s="14">
        <v>0.5</v>
      </c>
      <c r="AE625" s="14">
        <v>0.5</v>
      </c>
      <c r="AF625" s="14" t="s">
        <v>413</v>
      </c>
    </row>
    <row r="626" spans="1:32" ht="14.25" customHeight="1" x14ac:dyDescent="0.35">
      <c r="A626" s="14" t="s">
        <v>801</v>
      </c>
      <c r="B626" s="14" t="s">
        <v>448</v>
      </c>
      <c r="C626" s="14"/>
      <c r="D626" s="14" t="s">
        <v>419</v>
      </c>
      <c r="E626" s="15">
        <v>41640</v>
      </c>
      <c r="F626" s="15">
        <v>42004</v>
      </c>
      <c r="G626" s="14" t="s">
        <v>410</v>
      </c>
      <c r="H626" s="14">
        <v>1</v>
      </c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 t="s">
        <v>413</v>
      </c>
    </row>
    <row r="627" spans="1:32" ht="14.25" customHeight="1" x14ac:dyDescent="0.35">
      <c r="A627" s="16" t="s">
        <v>801</v>
      </c>
      <c r="B627" s="16" t="s">
        <v>448</v>
      </c>
      <c r="C627" s="16"/>
      <c r="D627" s="16" t="s">
        <v>429</v>
      </c>
      <c r="E627" s="17">
        <v>41640</v>
      </c>
      <c r="F627" s="17">
        <v>42004</v>
      </c>
      <c r="G627" s="16" t="s">
        <v>415</v>
      </c>
      <c r="H627" s="16">
        <v>0.65</v>
      </c>
      <c r="I627" s="16">
        <v>0.65</v>
      </c>
      <c r="J627" s="16">
        <v>0.65</v>
      </c>
      <c r="K627" s="16">
        <v>0.65</v>
      </c>
      <c r="L627" s="16">
        <v>0.65</v>
      </c>
      <c r="M627" s="16">
        <v>0.65</v>
      </c>
      <c r="N627" s="16">
        <v>0.5</v>
      </c>
      <c r="O627" s="16">
        <v>0.28000000000000003</v>
      </c>
      <c r="P627" s="16">
        <v>0.28000000000000003</v>
      </c>
      <c r="Q627" s="16">
        <v>0.13</v>
      </c>
      <c r="R627" s="16">
        <v>0.13</v>
      </c>
      <c r="S627" s="16">
        <v>0.13</v>
      </c>
      <c r="T627" s="16">
        <v>0.13</v>
      </c>
      <c r="U627" s="16">
        <v>0.13</v>
      </c>
      <c r="V627" s="16">
        <v>0.13</v>
      </c>
      <c r="W627" s="16">
        <v>0.2</v>
      </c>
      <c r="X627" s="16">
        <v>0.35</v>
      </c>
      <c r="Y627" s="16">
        <v>0.35</v>
      </c>
      <c r="Z627" s="16">
        <v>0.35</v>
      </c>
      <c r="AA627" s="16">
        <v>0.5</v>
      </c>
      <c r="AB627" s="16">
        <v>0.5</v>
      </c>
      <c r="AC627" s="16">
        <v>0.57999999999999996</v>
      </c>
      <c r="AD627" s="16">
        <v>0.65</v>
      </c>
      <c r="AE627" s="16">
        <v>0.65</v>
      </c>
      <c r="AF627" s="16" t="s">
        <v>413</v>
      </c>
    </row>
    <row r="628" spans="1:32" ht="14.25" customHeight="1" x14ac:dyDescent="0.35">
      <c r="A628" s="16" t="s">
        <v>801</v>
      </c>
      <c r="B628" s="16" t="s">
        <v>448</v>
      </c>
      <c r="C628" s="16"/>
      <c r="D628" s="16" t="s">
        <v>418</v>
      </c>
      <c r="E628" s="17">
        <v>41640</v>
      </c>
      <c r="F628" s="17">
        <v>42004</v>
      </c>
      <c r="G628" s="16" t="s">
        <v>410</v>
      </c>
      <c r="H628" s="16">
        <v>0</v>
      </c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 t="s">
        <v>413</v>
      </c>
    </row>
    <row r="629" spans="1:32" ht="14.25" customHeight="1" x14ac:dyDescent="0.35">
      <c r="A629" s="14" t="s">
        <v>802</v>
      </c>
      <c r="B629" s="14" t="s">
        <v>460</v>
      </c>
      <c r="C629" s="14"/>
      <c r="D629" s="14" t="s">
        <v>409</v>
      </c>
      <c r="E629" s="15">
        <v>41640</v>
      </c>
      <c r="F629" s="15">
        <v>42004</v>
      </c>
      <c r="G629" s="14" t="s">
        <v>415</v>
      </c>
      <c r="H629" s="14">
        <v>0.2</v>
      </c>
      <c r="I629" s="14">
        <v>0.15</v>
      </c>
      <c r="J629" s="14">
        <v>0.15</v>
      </c>
      <c r="K629" s="14">
        <v>0.15</v>
      </c>
      <c r="L629" s="14">
        <v>0.2</v>
      </c>
      <c r="M629" s="14">
        <v>0.25</v>
      </c>
      <c r="N629" s="14">
        <v>0.35</v>
      </c>
      <c r="O629" s="14">
        <v>0.6</v>
      </c>
      <c r="P629" s="14">
        <v>0.8</v>
      </c>
      <c r="Q629" s="14">
        <v>0.55000000000000004</v>
      </c>
      <c r="R629" s="14">
        <v>0.4</v>
      </c>
      <c r="S629" s="14">
        <v>0.3</v>
      </c>
      <c r="T629" s="14">
        <v>0.2</v>
      </c>
      <c r="U629" s="14">
        <v>0.2</v>
      </c>
      <c r="V629" s="14">
        <v>0.2</v>
      </c>
      <c r="W629" s="14">
        <v>0.2</v>
      </c>
      <c r="X629" s="14">
        <v>0.2</v>
      </c>
      <c r="Y629" s="14">
        <v>0.25</v>
      </c>
      <c r="Z629" s="14">
        <v>0.3</v>
      </c>
      <c r="AA629" s="14">
        <v>0.4</v>
      </c>
      <c r="AB629" s="14">
        <v>0.4</v>
      </c>
      <c r="AC629" s="14">
        <v>0.4</v>
      </c>
      <c r="AD629" s="14">
        <v>0.6</v>
      </c>
      <c r="AE629" s="14">
        <v>0.35</v>
      </c>
      <c r="AF629" s="14" t="s">
        <v>413</v>
      </c>
    </row>
    <row r="630" spans="1:32" ht="14.25" customHeight="1" x14ac:dyDescent="0.35">
      <c r="A630" s="16" t="s">
        <v>802</v>
      </c>
      <c r="B630" s="16" t="s">
        <v>460</v>
      </c>
      <c r="C630" s="16"/>
      <c r="D630" s="16" t="s">
        <v>429</v>
      </c>
      <c r="E630" s="17">
        <v>41640</v>
      </c>
      <c r="F630" s="17">
        <v>42004</v>
      </c>
      <c r="G630" s="16" t="s">
        <v>415</v>
      </c>
      <c r="H630" s="16">
        <v>0.2</v>
      </c>
      <c r="I630" s="16">
        <v>0.15</v>
      </c>
      <c r="J630" s="16">
        <v>0.15</v>
      </c>
      <c r="K630" s="16">
        <v>0.15</v>
      </c>
      <c r="L630" s="16">
        <v>0.2</v>
      </c>
      <c r="M630" s="16">
        <v>0.35</v>
      </c>
      <c r="N630" s="16">
        <v>0.6</v>
      </c>
      <c r="O630" s="16">
        <v>0.8</v>
      </c>
      <c r="P630" s="16">
        <v>0.55000000000000004</v>
      </c>
      <c r="Q630" s="16">
        <v>0.4</v>
      </c>
      <c r="R630" s="16">
        <v>0.3</v>
      </c>
      <c r="S630" s="16">
        <v>0.2</v>
      </c>
      <c r="T630" s="16">
        <v>0.2</v>
      </c>
      <c r="U630" s="16">
        <v>0.2</v>
      </c>
      <c r="V630" s="16">
        <v>0.2</v>
      </c>
      <c r="W630" s="16">
        <v>0.2</v>
      </c>
      <c r="X630" s="16">
        <v>0.2</v>
      </c>
      <c r="Y630" s="16">
        <v>0.3</v>
      </c>
      <c r="Z630" s="16">
        <v>0.55000000000000004</v>
      </c>
      <c r="AA630" s="16">
        <v>0.4</v>
      </c>
      <c r="AB630" s="16">
        <v>0.4</v>
      </c>
      <c r="AC630" s="16">
        <v>0.6</v>
      </c>
      <c r="AD630" s="16">
        <v>0.45</v>
      </c>
      <c r="AE630" s="16">
        <v>0.25</v>
      </c>
      <c r="AF630" s="16" t="s">
        <v>413</v>
      </c>
    </row>
    <row r="631" spans="1:32" ht="14.25" customHeight="1" x14ac:dyDescent="0.35">
      <c r="A631" s="14" t="s">
        <v>803</v>
      </c>
      <c r="B631" s="14" t="s">
        <v>408</v>
      </c>
      <c r="C631" s="14" t="s">
        <v>414</v>
      </c>
      <c r="D631" s="14" t="s">
        <v>409</v>
      </c>
      <c r="E631" s="15">
        <v>41640</v>
      </c>
      <c r="F631" s="15">
        <v>42004</v>
      </c>
      <c r="G631" s="14" t="s">
        <v>410</v>
      </c>
      <c r="H631" s="14">
        <v>16</v>
      </c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 t="s">
        <v>413</v>
      </c>
    </row>
    <row r="632" spans="1:32" ht="14.25" customHeight="1" x14ac:dyDescent="0.35">
      <c r="A632" s="16" t="s">
        <v>804</v>
      </c>
      <c r="B632" s="16" t="s">
        <v>600</v>
      </c>
      <c r="C632" s="16"/>
      <c r="D632" s="16" t="s">
        <v>409</v>
      </c>
      <c r="E632" s="17">
        <v>41640</v>
      </c>
      <c r="F632" s="17">
        <v>42004</v>
      </c>
      <c r="G632" s="16" t="s">
        <v>410</v>
      </c>
      <c r="H632" s="16">
        <v>1</v>
      </c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 t="s">
        <v>413</v>
      </c>
    </row>
    <row r="633" spans="1:32" ht="14.25" customHeight="1" x14ac:dyDescent="0.35">
      <c r="A633" s="14" t="s">
        <v>805</v>
      </c>
      <c r="B633" s="14" t="s">
        <v>420</v>
      </c>
      <c r="C633" s="14" t="s">
        <v>414</v>
      </c>
      <c r="D633" s="14" t="s">
        <v>409</v>
      </c>
      <c r="E633" s="15">
        <v>41640</v>
      </c>
      <c r="F633" s="15">
        <v>42004</v>
      </c>
      <c r="G633" s="14" t="s">
        <v>410</v>
      </c>
      <c r="H633" s="14">
        <v>21</v>
      </c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 t="s">
        <v>413</v>
      </c>
    </row>
    <row r="634" spans="1:32" ht="14.25" customHeight="1" x14ac:dyDescent="0.35">
      <c r="A634" s="16" t="s">
        <v>806</v>
      </c>
      <c r="B634" s="16" t="s">
        <v>408</v>
      </c>
      <c r="C634" s="16"/>
      <c r="D634" s="16" t="s">
        <v>603</v>
      </c>
      <c r="E634" s="17">
        <v>41640</v>
      </c>
      <c r="F634" s="17">
        <v>42004</v>
      </c>
      <c r="G634" s="16" t="s">
        <v>410</v>
      </c>
      <c r="H634" s="16">
        <v>50</v>
      </c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 t="s">
        <v>413</v>
      </c>
    </row>
    <row r="635" spans="1:32" ht="14.25" customHeight="1" x14ac:dyDescent="0.35">
      <c r="A635" s="14" t="s">
        <v>807</v>
      </c>
      <c r="B635" s="14" t="s">
        <v>600</v>
      </c>
      <c r="C635" s="14"/>
      <c r="D635" s="14" t="s">
        <v>409</v>
      </c>
      <c r="E635" s="15">
        <v>41640</v>
      </c>
      <c r="F635" s="15">
        <v>42004</v>
      </c>
      <c r="G635" s="14" t="s">
        <v>410</v>
      </c>
      <c r="H635" s="14">
        <v>1</v>
      </c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 t="s">
        <v>413</v>
      </c>
    </row>
    <row r="636" spans="1:32" ht="14.25" customHeight="1" x14ac:dyDescent="0.35">
      <c r="A636" s="16" t="s">
        <v>808</v>
      </c>
      <c r="B636" s="16" t="s">
        <v>408</v>
      </c>
      <c r="C636" s="16" t="s">
        <v>414</v>
      </c>
      <c r="D636" s="16" t="s">
        <v>409</v>
      </c>
      <c r="E636" s="17">
        <v>41640</v>
      </c>
      <c r="F636" s="17">
        <v>42004</v>
      </c>
      <c r="G636" s="16" t="s">
        <v>410</v>
      </c>
      <c r="H636" s="16">
        <v>60</v>
      </c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 t="s">
        <v>413</v>
      </c>
    </row>
    <row r="637" spans="1:32" ht="14.25" customHeight="1" x14ac:dyDescent="0.35">
      <c r="A637" s="14" t="s">
        <v>809</v>
      </c>
      <c r="B637" s="14" t="s">
        <v>441</v>
      </c>
      <c r="C637" s="14"/>
      <c r="D637" s="14" t="s">
        <v>409</v>
      </c>
      <c r="E637" s="15">
        <v>41640</v>
      </c>
      <c r="F637" s="15">
        <v>42004</v>
      </c>
      <c r="G637" s="14" t="s">
        <v>410</v>
      </c>
      <c r="H637" s="14">
        <v>0.5</v>
      </c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 t="s">
        <v>413</v>
      </c>
    </row>
    <row r="638" spans="1:32" ht="14.25" customHeight="1" x14ac:dyDescent="0.35">
      <c r="A638" s="16" t="s">
        <v>321</v>
      </c>
      <c r="B638" s="16" t="s">
        <v>441</v>
      </c>
      <c r="C638" s="16"/>
      <c r="D638" s="16" t="s">
        <v>409</v>
      </c>
      <c r="E638" s="17">
        <v>41640</v>
      </c>
      <c r="F638" s="17">
        <v>42004</v>
      </c>
      <c r="G638" s="16" t="s">
        <v>410</v>
      </c>
      <c r="H638" s="16">
        <v>0.25</v>
      </c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 t="s">
        <v>413</v>
      </c>
    </row>
    <row r="639" spans="1:32" ht="14.25" customHeight="1" x14ac:dyDescent="0.35">
      <c r="A639" s="14" t="s">
        <v>810</v>
      </c>
      <c r="B639" s="14" t="s">
        <v>441</v>
      </c>
      <c r="C639" s="14"/>
      <c r="D639" s="14" t="s">
        <v>409</v>
      </c>
      <c r="E639" s="15">
        <v>41640</v>
      </c>
      <c r="F639" s="15">
        <v>42004</v>
      </c>
      <c r="G639" s="14" t="s">
        <v>410</v>
      </c>
      <c r="H639" s="14">
        <v>1</v>
      </c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 t="s">
        <v>413</v>
      </c>
    </row>
    <row r="640" spans="1:32" ht="14.25" customHeight="1" x14ac:dyDescent="0.35">
      <c r="A640" s="16" t="s">
        <v>811</v>
      </c>
      <c r="B640" s="16" t="s">
        <v>427</v>
      </c>
      <c r="C640" s="16"/>
      <c r="D640" s="16" t="s">
        <v>409</v>
      </c>
      <c r="E640" s="17">
        <v>41640</v>
      </c>
      <c r="F640" s="17">
        <v>42004</v>
      </c>
      <c r="G640" s="16" t="s">
        <v>415</v>
      </c>
      <c r="H640" s="16">
        <v>0</v>
      </c>
      <c r="I640" s="16">
        <v>0</v>
      </c>
      <c r="J640" s="16">
        <v>0</v>
      </c>
      <c r="K640" s="16">
        <v>0</v>
      </c>
      <c r="L640" s="16">
        <v>0</v>
      </c>
      <c r="M640" s="16">
        <v>0</v>
      </c>
      <c r="N640" s="16">
        <v>0</v>
      </c>
      <c r="O640" s="16">
        <v>0.50871548212460105</v>
      </c>
      <c r="P640" s="16">
        <v>0.50871548212460105</v>
      </c>
      <c r="Q640" s="16">
        <v>0.50871548212460105</v>
      </c>
      <c r="R640" s="16">
        <v>0.50871548212460105</v>
      </c>
      <c r="S640" s="16">
        <v>0.50871548212460105</v>
      </c>
      <c r="T640" s="16">
        <v>0.50871548212460105</v>
      </c>
      <c r="U640" s="16">
        <v>0.50871548212460105</v>
      </c>
      <c r="V640" s="16">
        <v>0.50871548212460105</v>
      </c>
      <c r="W640" s="16">
        <v>0.50871548212460105</v>
      </c>
      <c r="X640" s="16">
        <v>0.50871548212460105</v>
      </c>
      <c r="Y640" s="16">
        <v>0.50871548212460105</v>
      </c>
      <c r="Z640" s="16">
        <v>0.50871548212460105</v>
      </c>
      <c r="AA640" s="16">
        <v>0.50871548212460105</v>
      </c>
      <c r="AB640" s="16">
        <v>0.50871548212460105</v>
      </c>
      <c r="AC640" s="16">
        <v>0.50871548212460105</v>
      </c>
      <c r="AD640" s="16">
        <v>0.50871548212460105</v>
      </c>
      <c r="AE640" s="16">
        <v>0.50871548212460105</v>
      </c>
      <c r="AF640" s="16" t="s">
        <v>413</v>
      </c>
    </row>
    <row r="641" spans="1:32" ht="14.25" customHeight="1" x14ac:dyDescent="0.35">
      <c r="A641" s="14" t="s">
        <v>812</v>
      </c>
      <c r="B641" s="14" t="s">
        <v>427</v>
      </c>
      <c r="C641" s="14"/>
      <c r="D641" s="14" t="s">
        <v>508</v>
      </c>
      <c r="E641" s="15">
        <v>41640</v>
      </c>
      <c r="F641" s="15">
        <v>42004</v>
      </c>
      <c r="G641" s="14" t="s">
        <v>415</v>
      </c>
      <c r="H641" s="14">
        <v>0.1</v>
      </c>
      <c r="I641" s="14">
        <v>0.1</v>
      </c>
      <c r="J641" s="14">
        <v>0.1</v>
      </c>
      <c r="K641" s="14">
        <v>0.1</v>
      </c>
      <c r="L641" s="14">
        <v>0.1</v>
      </c>
      <c r="M641" s="14">
        <v>0.1</v>
      </c>
      <c r="N641" s="14">
        <v>0.25</v>
      </c>
      <c r="O641" s="14">
        <v>0.3</v>
      </c>
      <c r="P641" s="14">
        <v>0.3</v>
      </c>
      <c r="Q641" s="14">
        <v>0.3</v>
      </c>
      <c r="R641" s="14">
        <v>0.3</v>
      </c>
      <c r="S641" s="14">
        <v>0.3</v>
      </c>
      <c r="T641" s="14">
        <v>0.3</v>
      </c>
      <c r="U641" s="14">
        <v>0.3</v>
      </c>
      <c r="V641" s="14">
        <v>0.3</v>
      </c>
      <c r="W641" s="14">
        <v>0.3</v>
      </c>
      <c r="X641" s="14">
        <v>0.3</v>
      </c>
      <c r="Y641" s="14">
        <v>0.3</v>
      </c>
      <c r="Z641" s="14">
        <v>0.3</v>
      </c>
      <c r="AA641" s="14">
        <v>0.3</v>
      </c>
      <c r="AB641" s="14">
        <v>0.3</v>
      </c>
      <c r="AC641" s="14">
        <v>0.3</v>
      </c>
      <c r="AD641" s="14">
        <v>0.3</v>
      </c>
      <c r="AE641" s="14">
        <v>0.3</v>
      </c>
      <c r="AF641" s="14" t="s">
        <v>413</v>
      </c>
    </row>
    <row r="642" spans="1:32" ht="14.25" customHeight="1" x14ac:dyDescent="0.35">
      <c r="A642" s="14" t="s">
        <v>812</v>
      </c>
      <c r="B642" s="14" t="s">
        <v>427</v>
      </c>
      <c r="C642" s="14"/>
      <c r="D642" s="14" t="s">
        <v>419</v>
      </c>
      <c r="E642" s="15">
        <v>41640</v>
      </c>
      <c r="F642" s="15">
        <v>42004</v>
      </c>
      <c r="G642" s="14" t="s">
        <v>410</v>
      </c>
      <c r="H642" s="14">
        <v>0.3</v>
      </c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 t="s">
        <v>413</v>
      </c>
    </row>
    <row r="643" spans="1:32" ht="14.25" customHeight="1" x14ac:dyDescent="0.35">
      <c r="A643" s="16" t="s">
        <v>812</v>
      </c>
      <c r="B643" s="16" t="s">
        <v>427</v>
      </c>
      <c r="C643" s="16"/>
      <c r="D643" s="16" t="s">
        <v>418</v>
      </c>
      <c r="E643" s="17">
        <v>41640</v>
      </c>
      <c r="F643" s="17">
        <v>42004</v>
      </c>
      <c r="G643" s="16" t="s">
        <v>410</v>
      </c>
      <c r="H643" s="16">
        <v>0</v>
      </c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 t="s">
        <v>413</v>
      </c>
    </row>
    <row r="644" spans="1:32" ht="14.25" customHeight="1" x14ac:dyDescent="0.35">
      <c r="A644" s="16" t="s">
        <v>813</v>
      </c>
      <c r="B644" s="16" t="s">
        <v>427</v>
      </c>
      <c r="C644" s="16"/>
      <c r="D644" s="16" t="s">
        <v>409</v>
      </c>
      <c r="E644" s="17">
        <v>41640</v>
      </c>
      <c r="F644" s="17">
        <v>42004</v>
      </c>
      <c r="G644" s="16" t="s">
        <v>415</v>
      </c>
      <c r="H644" s="16">
        <v>0</v>
      </c>
      <c r="I644" s="16">
        <v>0</v>
      </c>
      <c r="J644" s="16">
        <v>0</v>
      </c>
      <c r="K644" s="16">
        <v>0</v>
      </c>
      <c r="L644" s="16">
        <v>0</v>
      </c>
      <c r="M644" s="16">
        <v>0</v>
      </c>
      <c r="N644" s="16">
        <v>0</v>
      </c>
      <c r="O644" s="16">
        <v>1</v>
      </c>
      <c r="P644" s="16">
        <v>1</v>
      </c>
      <c r="Q644" s="16">
        <v>1</v>
      </c>
      <c r="R644" s="16">
        <v>1</v>
      </c>
      <c r="S644" s="16">
        <v>1</v>
      </c>
      <c r="T644" s="16">
        <v>1</v>
      </c>
      <c r="U644" s="16">
        <v>1</v>
      </c>
      <c r="V644" s="16">
        <v>1</v>
      </c>
      <c r="W644" s="16">
        <v>1</v>
      </c>
      <c r="X644" s="16">
        <v>1</v>
      </c>
      <c r="Y644" s="16">
        <v>1</v>
      </c>
      <c r="Z644" s="16">
        <v>1</v>
      </c>
      <c r="AA644" s="16">
        <v>1</v>
      </c>
      <c r="AB644" s="16">
        <v>1</v>
      </c>
      <c r="AC644" s="16">
        <v>1</v>
      </c>
      <c r="AD644" s="16">
        <v>1</v>
      </c>
      <c r="AE644" s="16">
        <v>1</v>
      </c>
      <c r="AF644" s="16" t="s">
        <v>413</v>
      </c>
    </row>
    <row r="645" spans="1:32" ht="14.25" customHeight="1" x14ac:dyDescent="0.35">
      <c r="A645" s="14" t="s">
        <v>814</v>
      </c>
      <c r="B645" s="14" t="s">
        <v>427</v>
      </c>
      <c r="C645" s="14" t="s">
        <v>414</v>
      </c>
      <c r="D645" s="14" t="s">
        <v>409</v>
      </c>
      <c r="E645" s="15">
        <v>41640</v>
      </c>
      <c r="F645" s="15">
        <v>42004</v>
      </c>
      <c r="G645" s="14" t="s">
        <v>410</v>
      </c>
      <c r="H645" s="14">
        <v>55</v>
      </c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 t="s">
        <v>413</v>
      </c>
    </row>
    <row r="646" spans="1:32" ht="14.25" customHeight="1" x14ac:dyDescent="0.35">
      <c r="A646" s="16" t="s">
        <v>815</v>
      </c>
      <c r="B646" s="16" t="s">
        <v>427</v>
      </c>
      <c r="C646" s="16"/>
      <c r="D646" s="16" t="s">
        <v>409</v>
      </c>
      <c r="E646" s="17">
        <v>41640</v>
      </c>
      <c r="F646" s="17">
        <v>42004</v>
      </c>
      <c r="G646" s="16" t="s">
        <v>410</v>
      </c>
      <c r="H646" s="16">
        <v>0.05</v>
      </c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 t="s">
        <v>413</v>
      </c>
    </row>
    <row r="647" spans="1:32" ht="14.25" customHeight="1" x14ac:dyDescent="0.35">
      <c r="A647" s="14" t="s">
        <v>816</v>
      </c>
      <c r="B647" s="14" t="s">
        <v>427</v>
      </c>
      <c r="C647" s="14"/>
      <c r="D647" s="14" t="s">
        <v>409</v>
      </c>
      <c r="E647" s="15">
        <v>41640</v>
      </c>
      <c r="F647" s="15">
        <v>42004</v>
      </c>
      <c r="G647" s="14" t="s">
        <v>410</v>
      </c>
      <c r="H647" s="14">
        <v>0.2</v>
      </c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 t="s">
        <v>413</v>
      </c>
    </row>
    <row r="648" spans="1:32" ht="14.25" customHeight="1" x14ac:dyDescent="0.35">
      <c r="A648" s="16" t="s">
        <v>817</v>
      </c>
      <c r="B648" s="16" t="s">
        <v>427</v>
      </c>
      <c r="C648" s="16" t="s">
        <v>414</v>
      </c>
      <c r="D648" s="16" t="s">
        <v>409</v>
      </c>
      <c r="E648" s="17">
        <v>41640</v>
      </c>
      <c r="F648" s="17">
        <v>42004</v>
      </c>
      <c r="G648" s="16" t="s">
        <v>410</v>
      </c>
      <c r="H648" s="16">
        <v>60</v>
      </c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 t="s">
        <v>413</v>
      </c>
    </row>
    <row r="649" spans="1:32" ht="14.25" customHeight="1" x14ac:dyDescent="0.35">
      <c r="A649" s="14" t="s">
        <v>818</v>
      </c>
      <c r="B649" s="14" t="s">
        <v>427</v>
      </c>
      <c r="C649" s="14" t="s">
        <v>412</v>
      </c>
      <c r="D649" s="14" t="s">
        <v>417</v>
      </c>
      <c r="E649" s="15">
        <v>41640</v>
      </c>
      <c r="F649" s="15">
        <v>42004</v>
      </c>
      <c r="G649" s="14" t="s">
        <v>415</v>
      </c>
      <c r="H649" s="14">
        <v>0</v>
      </c>
      <c r="I649" s="14">
        <v>0</v>
      </c>
      <c r="J649" s="14">
        <v>0</v>
      </c>
      <c r="K649" s="14">
        <v>0</v>
      </c>
      <c r="L649" s="14">
        <v>725</v>
      </c>
      <c r="M649" s="14">
        <v>417</v>
      </c>
      <c r="N649" s="14">
        <v>290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 t="s">
        <v>413</v>
      </c>
    </row>
    <row r="650" spans="1:32" ht="14.25" customHeight="1" x14ac:dyDescent="0.35">
      <c r="A650" s="16" t="s">
        <v>818</v>
      </c>
      <c r="B650" s="16" t="s">
        <v>427</v>
      </c>
      <c r="C650" s="16" t="s">
        <v>412</v>
      </c>
      <c r="D650" s="16" t="s">
        <v>622</v>
      </c>
      <c r="E650" s="17">
        <v>41640</v>
      </c>
      <c r="F650" s="17">
        <v>42004</v>
      </c>
      <c r="G650" s="16" t="s">
        <v>415</v>
      </c>
      <c r="H650" s="16">
        <v>0</v>
      </c>
      <c r="I650" s="16">
        <v>0</v>
      </c>
      <c r="J650" s="16">
        <v>0</v>
      </c>
      <c r="K650" s="16">
        <v>0</v>
      </c>
      <c r="L650" s="16">
        <v>125</v>
      </c>
      <c r="M650" s="16">
        <v>117</v>
      </c>
      <c r="N650" s="16">
        <v>90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6">
        <v>0</v>
      </c>
      <c r="Y650" s="16">
        <v>0</v>
      </c>
      <c r="Z650" s="16">
        <v>0</v>
      </c>
      <c r="AA650" s="16">
        <v>125</v>
      </c>
      <c r="AB650" s="16">
        <v>117</v>
      </c>
      <c r="AC650" s="16">
        <v>90</v>
      </c>
      <c r="AD650" s="16">
        <v>0</v>
      </c>
      <c r="AE650" s="16">
        <v>0</v>
      </c>
      <c r="AF650" s="16" t="s">
        <v>413</v>
      </c>
    </row>
    <row r="651" spans="1:32" ht="14.25" customHeight="1" x14ac:dyDescent="0.35">
      <c r="A651" s="14" t="s">
        <v>819</v>
      </c>
      <c r="B651" s="14" t="s">
        <v>427</v>
      </c>
      <c r="C651" s="14" t="s">
        <v>412</v>
      </c>
      <c r="D651" s="14" t="s">
        <v>409</v>
      </c>
      <c r="E651" s="15">
        <v>41640</v>
      </c>
      <c r="F651" s="15">
        <v>42004</v>
      </c>
      <c r="G651" s="14" t="s">
        <v>410</v>
      </c>
      <c r="H651" s="14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50</v>
      </c>
      <c r="O651" s="14">
        <v>70</v>
      </c>
      <c r="P651" s="14">
        <v>70</v>
      </c>
      <c r="Q651" s="14">
        <v>80</v>
      </c>
      <c r="R651" s="14">
        <v>70</v>
      </c>
      <c r="S651" s="14">
        <v>50</v>
      </c>
      <c r="T651" s="14">
        <v>50</v>
      </c>
      <c r="U651" s="14">
        <v>80</v>
      </c>
      <c r="V651" s="14">
        <v>90</v>
      </c>
      <c r="W651" s="14">
        <v>80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 t="s">
        <v>413</v>
      </c>
    </row>
    <row r="652" spans="1:32" ht="14.25" customHeight="1" x14ac:dyDescent="0.35">
      <c r="A652" s="16" t="s">
        <v>820</v>
      </c>
      <c r="B652" s="16" t="s">
        <v>427</v>
      </c>
      <c r="C652" s="16"/>
      <c r="D652" s="16" t="s">
        <v>821</v>
      </c>
      <c r="E652" s="17">
        <v>41640</v>
      </c>
      <c r="F652" s="17">
        <v>42004</v>
      </c>
      <c r="G652" s="16" t="s">
        <v>415</v>
      </c>
      <c r="H652" s="16">
        <v>0.02</v>
      </c>
      <c r="I652" s="16">
        <v>0.02</v>
      </c>
      <c r="J652" s="16">
        <v>0.02</v>
      </c>
      <c r="K652" s="16">
        <v>0.02</v>
      </c>
      <c r="L652" s="16">
        <v>0.02</v>
      </c>
      <c r="M652" s="16">
        <v>0.05</v>
      </c>
      <c r="N652" s="16">
        <v>0.1</v>
      </c>
      <c r="O652" s="16">
        <v>0.15</v>
      </c>
      <c r="P652" s="16">
        <v>0.2</v>
      </c>
      <c r="Q652" s="16">
        <v>0.15</v>
      </c>
      <c r="R652" s="16">
        <v>0.25</v>
      </c>
      <c r="S652" s="16">
        <v>0.25</v>
      </c>
      <c r="T652" s="16">
        <v>0.25</v>
      </c>
      <c r="U652" s="16">
        <v>0.2</v>
      </c>
      <c r="V652" s="16">
        <v>0.15</v>
      </c>
      <c r="W652" s="16">
        <v>0.2</v>
      </c>
      <c r="X652" s="16">
        <v>0.3</v>
      </c>
      <c r="Y652" s="16">
        <v>0.3</v>
      </c>
      <c r="Z652" s="16">
        <v>0.3</v>
      </c>
      <c r="AA652" s="16">
        <v>0.2</v>
      </c>
      <c r="AB652" s="16">
        <v>0.2</v>
      </c>
      <c r="AC652" s="16">
        <v>0.15</v>
      </c>
      <c r="AD652" s="16">
        <v>0.1</v>
      </c>
      <c r="AE652" s="16">
        <v>0.05</v>
      </c>
      <c r="AF652" s="16" t="s">
        <v>413</v>
      </c>
    </row>
    <row r="653" spans="1:32" ht="14.25" customHeight="1" x14ac:dyDescent="0.35">
      <c r="A653" s="16" t="s">
        <v>820</v>
      </c>
      <c r="B653" s="16" t="s">
        <v>427</v>
      </c>
      <c r="C653" s="16"/>
      <c r="D653" s="16" t="s">
        <v>419</v>
      </c>
      <c r="E653" s="17">
        <v>41640</v>
      </c>
      <c r="F653" s="17">
        <v>42004</v>
      </c>
      <c r="G653" s="16" t="s">
        <v>410</v>
      </c>
      <c r="H653" s="16">
        <v>0.25</v>
      </c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 t="s">
        <v>413</v>
      </c>
    </row>
    <row r="654" spans="1:32" ht="14.25" customHeight="1" x14ac:dyDescent="0.35">
      <c r="A654" s="14" t="s">
        <v>820</v>
      </c>
      <c r="B654" s="14" t="s">
        <v>427</v>
      </c>
      <c r="C654" s="14"/>
      <c r="D654" s="14" t="s">
        <v>418</v>
      </c>
      <c r="E654" s="15">
        <v>41640</v>
      </c>
      <c r="F654" s="15">
        <v>42004</v>
      </c>
      <c r="G654" s="14" t="s">
        <v>410</v>
      </c>
      <c r="H654" s="14">
        <v>0</v>
      </c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 t="s">
        <v>413</v>
      </c>
    </row>
    <row r="655" spans="1:32" ht="14.25" customHeight="1" x14ac:dyDescent="0.35">
      <c r="A655" s="14" t="s">
        <v>822</v>
      </c>
      <c r="B655" s="14" t="s">
        <v>427</v>
      </c>
      <c r="C655" s="14" t="s">
        <v>412</v>
      </c>
      <c r="D655" s="14" t="s">
        <v>409</v>
      </c>
      <c r="E655" s="15">
        <v>41640</v>
      </c>
      <c r="F655" s="15">
        <v>42004</v>
      </c>
      <c r="G655" s="14" t="s">
        <v>410</v>
      </c>
      <c r="H655" s="14">
        <v>82.22</v>
      </c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 t="s">
        <v>413</v>
      </c>
    </row>
    <row r="656" spans="1:32" ht="14.25" customHeight="1" x14ac:dyDescent="0.35">
      <c r="A656" s="16" t="s">
        <v>823</v>
      </c>
      <c r="B656" s="16" t="s">
        <v>427</v>
      </c>
      <c r="C656" s="16"/>
      <c r="D656" s="16" t="s">
        <v>409</v>
      </c>
      <c r="E656" s="17">
        <v>41640</v>
      </c>
      <c r="F656" s="17">
        <v>42004</v>
      </c>
      <c r="G656" s="16" t="s">
        <v>415</v>
      </c>
      <c r="H656" s="16">
        <v>0</v>
      </c>
      <c r="I656" s="16">
        <v>0</v>
      </c>
      <c r="J656" s="16">
        <v>0</v>
      </c>
      <c r="K656" s="16">
        <v>0</v>
      </c>
      <c r="L656" s="16">
        <v>0</v>
      </c>
      <c r="M656" s="16">
        <v>0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1</v>
      </c>
      <c r="Z656" s="16">
        <v>1</v>
      </c>
      <c r="AA656" s="16">
        <v>1</v>
      </c>
      <c r="AB656" s="16">
        <v>1</v>
      </c>
      <c r="AC656" s="16">
        <v>1</v>
      </c>
      <c r="AD656" s="16">
        <v>1</v>
      </c>
      <c r="AE656" s="16">
        <v>1</v>
      </c>
      <c r="AF656" s="16" t="s">
        <v>413</v>
      </c>
    </row>
    <row r="657" spans="1:32" ht="14.25" customHeight="1" x14ac:dyDescent="0.35">
      <c r="A657" s="16" t="s">
        <v>824</v>
      </c>
      <c r="B657" s="16" t="s">
        <v>427</v>
      </c>
      <c r="C657" s="16"/>
      <c r="D657" s="16" t="s">
        <v>417</v>
      </c>
      <c r="E657" s="17">
        <v>41640</v>
      </c>
      <c r="F657" s="17">
        <v>42004</v>
      </c>
      <c r="G657" s="16" t="s">
        <v>415</v>
      </c>
      <c r="H657" s="16">
        <v>0</v>
      </c>
      <c r="I657" s="16">
        <v>0</v>
      </c>
      <c r="J657" s="16">
        <v>0</v>
      </c>
      <c r="K657" s="16">
        <v>0</v>
      </c>
      <c r="L657" s="16">
        <v>0</v>
      </c>
      <c r="M657" s="16">
        <v>0</v>
      </c>
      <c r="N657" s="16">
        <v>0</v>
      </c>
      <c r="O657" s="16">
        <v>0</v>
      </c>
      <c r="P657" s="16">
        <v>1</v>
      </c>
      <c r="Q657" s="16">
        <v>1</v>
      </c>
      <c r="R657" s="16">
        <v>1</v>
      </c>
      <c r="S657" s="16">
        <v>1</v>
      </c>
      <c r="T657" s="16">
        <v>1</v>
      </c>
      <c r="U657" s="16">
        <v>1</v>
      </c>
      <c r="V657" s="16">
        <v>1</v>
      </c>
      <c r="W657" s="16">
        <v>1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  <c r="AC657" s="16">
        <v>0</v>
      </c>
      <c r="AD657" s="16">
        <v>0</v>
      </c>
      <c r="AE657" s="16">
        <v>0</v>
      </c>
      <c r="AF657" s="16" t="s">
        <v>413</v>
      </c>
    </row>
    <row r="658" spans="1:32" ht="14.25" customHeight="1" x14ac:dyDescent="0.35">
      <c r="A658" s="16" t="s">
        <v>824</v>
      </c>
      <c r="B658" s="16" t="s">
        <v>427</v>
      </c>
      <c r="C658" s="16"/>
      <c r="D658" s="16" t="s">
        <v>419</v>
      </c>
      <c r="E658" s="17">
        <v>41640</v>
      </c>
      <c r="F658" s="17">
        <v>42004</v>
      </c>
      <c r="G658" s="16" t="s">
        <v>410</v>
      </c>
      <c r="H658" s="16">
        <v>1</v>
      </c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 t="s">
        <v>413</v>
      </c>
    </row>
    <row r="659" spans="1:32" ht="14.25" customHeight="1" x14ac:dyDescent="0.35">
      <c r="A659" s="14" t="s">
        <v>824</v>
      </c>
      <c r="B659" s="14" t="s">
        <v>427</v>
      </c>
      <c r="C659" s="14"/>
      <c r="D659" s="14" t="s">
        <v>418</v>
      </c>
      <c r="E659" s="15">
        <v>41640</v>
      </c>
      <c r="F659" s="15">
        <v>42004</v>
      </c>
      <c r="G659" s="14" t="s">
        <v>410</v>
      </c>
      <c r="H659" s="14">
        <v>0</v>
      </c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 t="s">
        <v>413</v>
      </c>
    </row>
    <row r="660" spans="1:32" ht="14.25" customHeight="1" x14ac:dyDescent="0.35">
      <c r="A660" s="14" t="s">
        <v>825</v>
      </c>
      <c r="B660" s="14" t="s">
        <v>427</v>
      </c>
      <c r="C660" s="14"/>
      <c r="D660" s="14" t="s">
        <v>417</v>
      </c>
      <c r="E660" s="15">
        <v>41640</v>
      </c>
      <c r="F660" s="15">
        <v>42004</v>
      </c>
      <c r="G660" s="14" t="s">
        <v>415</v>
      </c>
      <c r="H660" s="14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1</v>
      </c>
      <c r="R660" s="14">
        <v>1</v>
      </c>
      <c r="S660" s="14">
        <v>1</v>
      </c>
      <c r="T660" s="14">
        <v>1</v>
      </c>
      <c r="U660" s="14">
        <v>1</v>
      </c>
      <c r="V660" s="14">
        <v>1</v>
      </c>
      <c r="W660" s="14">
        <v>1</v>
      </c>
      <c r="X660" s="14">
        <v>1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 t="s">
        <v>413</v>
      </c>
    </row>
    <row r="661" spans="1:32" ht="14.25" customHeight="1" x14ac:dyDescent="0.35">
      <c r="A661" s="14" t="s">
        <v>825</v>
      </c>
      <c r="B661" s="14" t="s">
        <v>427</v>
      </c>
      <c r="C661" s="14"/>
      <c r="D661" s="14" t="s">
        <v>419</v>
      </c>
      <c r="E661" s="15">
        <v>41640</v>
      </c>
      <c r="F661" s="15">
        <v>42004</v>
      </c>
      <c r="G661" s="14" t="s">
        <v>410</v>
      </c>
      <c r="H661" s="14">
        <v>1</v>
      </c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 t="s">
        <v>413</v>
      </c>
    </row>
    <row r="662" spans="1:32" ht="14.25" customHeight="1" x14ac:dyDescent="0.35">
      <c r="A662" s="16" t="s">
        <v>825</v>
      </c>
      <c r="B662" s="16" t="s">
        <v>427</v>
      </c>
      <c r="C662" s="16"/>
      <c r="D662" s="16" t="s">
        <v>418</v>
      </c>
      <c r="E662" s="17">
        <v>41640</v>
      </c>
      <c r="F662" s="17">
        <v>42004</v>
      </c>
      <c r="G662" s="16" t="s">
        <v>410</v>
      </c>
      <c r="H662" s="16">
        <v>0</v>
      </c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 t="s">
        <v>413</v>
      </c>
    </row>
    <row r="663" spans="1:32" ht="14.25" customHeight="1" x14ac:dyDescent="0.35">
      <c r="A663" s="16" t="s">
        <v>826</v>
      </c>
      <c r="B663" s="16" t="s">
        <v>448</v>
      </c>
      <c r="C663" s="16"/>
      <c r="D663" s="16" t="s">
        <v>791</v>
      </c>
      <c r="E663" s="17">
        <v>41640</v>
      </c>
      <c r="F663" s="17">
        <v>42004</v>
      </c>
      <c r="G663" s="16" t="s">
        <v>415</v>
      </c>
      <c r="H663" s="16">
        <v>0</v>
      </c>
      <c r="I663" s="16">
        <v>0</v>
      </c>
      <c r="J663" s="16">
        <v>0</v>
      </c>
      <c r="K663" s="16">
        <v>0</v>
      </c>
      <c r="L663" s="16">
        <v>0</v>
      </c>
      <c r="M663" s="16">
        <v>0</v>
      </c>
      <c r="N663" s="16">
        <v>0</v>
      </c>
      <c r="O663" s="16">
        <v>0</v>
      </c>
      <c r="P663" s="16">
        <v>0.09</v>
      </c>
      <c r="Q663" s="16">
        <v>0.09</v>
      </c>
      <c r="R663" s="16">
        <v>0.18</v>
      </c>
      <c r="S663" s="16">
        <v>0.18</v>
      </c>
      <c r="T663" s="16">
        <v>0</v>
      </c>
      <c r="U663" s="16">
        <v>0.18</v>
      </c>
      <c r="V663" s="16">
        <v>0.18</v>
      </c>
      <c r="W663" s="16">
        <v>0.18</v>
      </c>
      <c r="X663" s="16">
        <v>0.09</v>
      </c>
      <c r="Y663" s="16"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6">
        <v>0</v>
      </c>
      <c r="AF663" s="16" t="s">
        <v>413</v>
      </c>
    </row>
    <row r="664" spans="1:32" ht="14.25" customHeight="1" x14ac:dyDescent="0.35">
      <c r="A664" s="16" t="s">
        <v>826</v>
      </c>
      <c r="B664" s="16" t="s">
        <v>448</v>
      </c>
      <c r="C664" s="16"/>
      <c r="D664" s="16" t="s">
        <v>419</v>
      </c>
      <c r="E664" s="17">
        <v>41640</v>
      </c>
      <c r="F664" s="17">
        <v>42004</v>
      </c>
      <c r="G664" s="16" t="s">
        <v>410</v>
      </c>
      <c r="H664" s="16">
        <v>1</v>
      </c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 t="s">
        <v>413</v>
      </c>
    </row>
    <row r="665" spans="1:32" ht="14.25" customHeight="1" x14ac:dyDescent="0.35">
      <c r="A665" s="14" t="s">
        <v>826</v>
      </c>
      <c r="B665" s="14" t="s">
        <v>448</v>
      </c>
      <c r="C665" s="14"/>
      <c r="D665" s="14" t="s">
        <v>418</v>
      </c>
      <c r="E665" s="15">
        <v>41640</v>
      </c>
      <c r="F665" s="15">
        <v>42004</v>
      </c>
      <c r="G665" s="14" t="s">
        <v>410</v>
      </c>
      <c r="H665" s="14">
        <v>0</v>
      </c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 t="s">
        <v>413</v>
      </c>
    </row>
    <row r="666" spans="1:32" ht="14.25" customHeight="1" x14ac:dyDescent="0.35">
      <c r="A666" s="14" t="s">
        <v>827</v>
      </c>
      <c r="B666" s="14" t="s">
        <v>427</v>
      </c>
      <c r="C666" s="14"/>
      <c r="D666" s="14" t="s">
        <v>409</v>
      </c>
      <c r="E666" s="15">
        <v>41640</v>
      </c>
      <c r="F666" s="15">
        <v>42004</v>
      </c>
      <c r="G666" s="14" t="s">
        <v>415</v>
      </c>
      <c r="H666" s="14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1</v>
      </c>
      <c r="Q666" s="14">
        <v>1</v>
      </c>
      <c r="R666" s="14">
        <v>1</v>
      </c>
      <c r="S666" s="14">
        <v>1</v>
      </c>
      <c r="T666" s="14">
        <v>1</v>
      </c>
      <c r="U666" s="14">
        <v>1</v>
      </c>
      <c r="V666" s="14">
        <v>1</v>
      </c>
      <c r="W666" s="14">
        <v>1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 t="s">
        <v>413</v>
      </c>
    </row>
    <row r="667" spans="1:32" ht="14.25" customHeight="1" x14ac:dyDescent="0.35">
      <c r="A667" s="14" t="s">
        <v>828</v>
      </c>
      <c r="B667" s="14" t="s">
        <v>427</v>
      </c>
      <c r="C667" s="14"/>
      <c r="D667" s="14" t="s">
        <v>417</v>
      </c>
      <c r="E667" s="15">
        <v>41640</v>
      </c>
      <c r="F667" s="15">
        <v>42004</v>
      </c>
      <c r="G667" s="14" t="s">
        <v>415</v>
      </c>
      <c r="H667" s="14">
        <v>0.21</v>
      </c>
      <c r="I667" s="14">
        <v>0.21</v>
      </c>
      <c r="J667" s="14">
        <v>0.21</v>
      </c>
      <c r="K667" s="14">
        <v>0.21</v>
      </c>
      <c r="L667" s="14">
        <v>0.21</v>
      </c>
      <c r="M667" s="14">
        <v>0.68</v>
      </c>
      <c r="N667" s="14">
        <v>1</v>
      </c>
      <c r="O667" s="14">
        <v>1</v>
      </c>
      <c r="P667" s="14">
        <v>1</v>
      </c>
      <c r="Q667" s="14">
        <v>1</v>
      </c>
      <c r="R667" s="14">
        <v>0.32</v>
      </c>
      <c r="S667" s="14">
        <v>0.23</v>
      </c>
      <c r="T667" s="14">
        <v>0.23</v>
      </c>
      <c r="U667" s="14">
        <v>0.23</v>
      </c>
      <c r="V667" s="14">
        <v>0.23</v>
      </c>
      <c r="W667" s="14">
        <v>0.23</v>
      </c>
      <c r="X667" s="14">
        <v>0.23</v>
      </c>
      <c r="Y667" s="14">
        <v>0.23</v>
      </c>
      <c r="Z667" s="14">
        <v>0.23</v>
      </c>
      <c r="AA667" s="14">
        <v>0.23</v>
      </c>
      <c r="AB667" s="14">
        <v>0.23</v>
      </c>
      <c r="AC667" s="14">
        <v>0.23</v>
      </c>
      <c r="AD667" s="14">
        <v>0.23</v>
      </c>
      <c r="AE667" s="14">
        <v>0.21</v>
      </c>
      <c r="AF667" s="14" t="s">
        <v>413</v>
      </c>
    </row>
    <row r="668" spans="1:32" ht="14.25" customHeight="1" x14ac:dyDescent="0.35">
      <c r="A668" s="14" t="s">
        <v>828</v>
      </c>
      <c r="B668" s="14" t="s">
        <v>427</v>
      </c>
      <c r="C668" s="14"/>
      <c r="D668" s="14" t="s">
        <v>419</v>
      </c>
      <c r="E668" s="15">
        <v>41640</v>
      </c>
      <c r="F668" s="15">
        <v>42004</v>
      </c>
      <c r="G668" s="14" t="s">
        <v>410</v>
      </c>
      <c r="H668" s="14">
        <v>1</v>
      </c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 t="s">
        <v>413</v>
      </c>
    </row>
    <row r="669" spans="1:32" ht="14.25" customHeight="1" x14ac:dyDescent="0.35">
      <c r="A669" s="16" t="s">
        <v>828</v>
      </c>
      <c r="B669" s="16" t="s">
        <v>427</v>
      </c>
      <c r="C669" s="16"/>
      <c r="D669" s="16" t="s">
        <v>418</v>
      </c>
      <c r="E669" s="17">
        <v>41640</v>
      </c>
      <c r="F669" s="17">
        <v>42004</v>
      </c>
      <c r="G669" s="16" t="s">
        <v>410</v>
      </c>
      <c r="H669" s="16">
        <v>0</v>
      </c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 t="s">
        <v>413</v>
      </c>
    </row>
    <row r="670" spans="1:32" ht="14.25" customHeight="1" x14ac:dyDescent="0.35">
      <c r="A670" s="16" t="s">
        <v>829</v>
      </c>
      <c r="B670" s="16" t="s">
        <v>448</v>
      </c>
      <c r="C670" s="16"/>
      <c r="D670" s="16" t="s">
        <v>417</v>
      </c>
      <c r="E670" s="17">
        <v>41640</v>
      </c>
      <c r="F670" s="17">
        <v>42004</v>
      </c>
      <c r="G670" s="16" t="s">
        <v>415</v>
      </c>
      <c r="H670" s="16">
        <v>0.1</v>
      </c>
      <c r="I670" s="16">
        <v>0.1</v>
      </c>
      <c r="J670" s="16">
        <v>0.1</v>
      </c>
      <c r="K670" s="16">
        <v>0.1</v>
      </c>
      <c r="L670" s="16">
        <v>0.1</v>
      </c>
      <c r="M670" s="16">
        <v>0.1</v>
      </c>
      <c r="N670" s="16">
        <v>0.3</v>
      </c>
      <c r="O670" s="16">
        <v>0.7</v>
      </c>
      <c r="P670" s="16">
        <v>0.7</v>
      </c>
      <c r="Q670" s="16">
        <v>0.7</v>
      </c>
      <c r="R670" s="16">
        <v>0.2</v>
      </c>
      <c r="S670" s="16">
        <v>0.2</v>
      </c>
      <c r="T670" s="16">
        <v>0.2</v>
      </c>
      <c r="U670" s="16">
        <v>0.2</v>
      </c>
      <c r="V670" s="16">
        <v>0.2</v>
      </c>
      <c r="W670" s="16">
        <v>0.2</v>
      </c>
      <c r="X670" s="16">
        <v>0.2</v>
      </c>
      <c r="Y670" s="16">
        <v>0.2</v>
      </c>
      <c r="Z670" s="16">
        <v>0.2</v>
      </c>
      <c r="AA670" s="16">
        <v>0.2</v>
      </c>
      <c r="AB670" s="16">
        <v>0.2</v>
      </c>
      <c r="AC670" s="16">
        <v>0.2</v>
      </c>
      <c r="AD670" s="16">
        <v>0.1</v>
      </c>
      <c r="AE670" s="16">
        <v>0.1</v>
      </c>
      <c r="AF670" s="16" t="s">
        <v>413</v>
      </c>
    </row>
    <row r="671" spans="1:32" ht="14.25" customHeight="1" x14ac:dyDescent="0.35">
      <c r="A671" s="16" t="s">
        <v>829</v>
      </c>
      <c r="B671" s="16" t="s">
        <v>448</v>
      </c>
      <c r="C671" s="16"/>
      <c r="D671" s="16" t="s">
        <v>419</v>
      </c>
      <c r="E671" s="17">
        <v>41640</v>
      </c>
      <c r="F671" s="17">
        <v>42004</v>
      </c>
      <c r="G671" s="16" t="s">
        <v>410</v>
      </c>
      <c r="H671" s="16">
        <v>1</v>
      </c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 t="s">
        <v>413</v>
      </c>
    </row>
    <row r="672" spans="1:32" ht="14.25" customHeight="1" x14ac:dyDescent="0.35">
      <c r="A672" s="14" t="s">
        <v>829</v>
      </c>
      <c r="B672" s="14" t="s">
        <v>448</v>
      </c>
      <c r="C672" s="14"/>
      <c r="D672" s="14" t="s">
        <v>429</v>
      </c>
      <c r="E672" s="15">
        <v>41640</v>
      </c>
      <c r="F672" s="15">
        <v>42004</v>
      </c>
      <c r="G672" s="14" t="s">
        <v>415</v>
      </c>
      <c r="H672" s="14">
        <v>0.1</v>
      </c>
      <c r="I672" s="14">
        <v>0.1</v>
      </c>
      <c r="J672" s="14">
        <v>0.1</v>
      </c>
      <c r="K672" s="14">
        <v>0.1</v>
      </c>
      <c r="L672" s="14">
        <v>0.1</v>
      </c>
      <c r="M672" s="14">
        <v>0.3</v>
      </c>
      <c r="N672" s="14">
        <v>0.7</v>
      </c>
      <c r="O672" s="14">
        <v>0.7</v>
      </c>
      <c r="P672" s="14">
        <v>0.7</v>
      </c>
      <c r="Q672" s="14">
        <v>0.7</v>
      </c>
      <c r="R672" s="14">
        <v>0.2</v>
      </c>
      <c r="S672" s="14">
        <v>0.2</v>
      </c>
      <c r="T672" s="14">
        <v>0.2</v>
      </c>
      <c r="U672" s="14">
        <v>0.2</v>
      </c>
      <c r="V672" s="14">
        <v>0.2</v>
      </c>
      <c r="W672" s="14">
        <v>0.2</v>
      </c>
      <c r="X672" s="14">
        <v>0.4</v>
      </c>
      <c r="Y672" s="14">
        <v>0.4</v>
      </c>
      <c r="Z672" s="14">
        <v>0.2</v>
      </c>
      <c r="AA672" s="14">
        <v>0.2</v>
      </c>
      <c r="AB672" s="14">
        <v>0.2</v>
      </c>
      <c r="AC672" s="14">
        <v>0.2</v>
      </c>
      <c r="AD672" s="14">
        <v>0.1</v>
      </c>
      <c r="AE672" s="14">
        <v>0.1</v>
      </c>
      <c r="AF672" s="14" t="s">
        <v>413</v>
      </c>
    </row>
    <row r="673" spans="1:32" ht="14.25" customHeight="1" x14ac:dyDescent="0.35">
      <c r="A673" s="14" t="s">
        <v>829</v>
      </c>
      <c r="B673" s="14" t="s">
        <v>448</v>
      </c>
      <c r="C673" s="14"/>
      <c r="D673" s="14" t="s">
        <v>418</v>
      </c>
      <c r="E673" s="15">
        <v>41640</v>
      </c>
      <c r="F673" s="15">
        <v>42004</v>
      </c>
      <c r="G673" s="14" t="s">
        <v>410</v>
      </c>
      <c r="H673" s="14">
        <v>0</v>
      </c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 t="s">
        <v>413</v>
      </c>
    </row>
    <row r="674" spans="1:32" ht="14.25" customHeight="1" x14ac:dyDescent="0.35">
      <c r="A674" s="16" t="s">
        <v>830</v>
      </c>
      <c r="B674" s="16" t="s">
        <v>408</v>
      </c>
      <c r="C674" s="16"/>
      <c r="D674" s="16" t="s">
        <v>409</v>
      </c>
      <c r="E674" s="17">
        <v>41640</v>
      </c>
      <c r="F674" s="17">
        <v>42004</v>
      </c>
      <c r="G674" s="16" t="s">
        <v>410</v>
      </c>
      <c r="H674" s="16">
        <v>60</v>
      </c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 t="s">
        <v>413</v>
      </c>
    </row>
    <row r="675" spans="1:32" ht="14.25" customHeight="1" x14ac:dyDescent="0.35">
      <c r="A675" s="14" t="s">
        <v>831</v>
      </c>
      <c r="B675" s="14" t="s">
        <v>427</v>
      </c>
      <c r="C675" s="14"/>
      <c r="D675" s="14" t="s">
        <v>409</v>
      </c>
      <c r="E675" s="15">
        <v>41640</v>
      </c>
      <c r="F675" s="15">
        <v>42004</v>
      </c>
      <c r="G675" s="14" t="s">
        <v>415</v>
      </c>
      <c r="H675" s="14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0.05</v>
      </c>
      <c r="P675" s="14">
        <v>0.54</v>
      </c>
      <c r="Q675" s="14">
        <v>0.54</v>
      </c>
      <c r="R675" s="14">
        <v>0.26</v>
      </c>
      <c r="S675" s="14">
        <v>0.26</v>
      </c>
      <c r="T675" s="14">
        <v>0.05</v>
      </c>
      <c r="U675" s="14">
        <v>0.54</v>
      </c>
      <c r="V675" s="14">
        <v>0.54</v>
      </c>
      <c r="W675" s="14">
        <v>0.26</v>
      </c>
      <c r="X675" s="14">
        <v>0.26</v>
      </c>
      <c r="Y675" s="14">
        <v>0.26</v>
      </c>
      <c r="Z675" s="14">
        <v>0.05</v>
      </c>
      <c r="AA675" s="14">
        <v>0.05</v>
      </c>
      <c r="AB675" s="14">
        <v>0</v>
      </c>
      <c r="AC675" s="14">
        <v>0</v>
      </c>
      <c r="AD675" s="14">
        <v>0</v>
      </c>
      <c r="AE675" s="14">
        <v>0</v>
      </c>
      <c r="AF675" s="14" t="s">
        <v>413</v>
      </c>
    </row>
    <row r="676" spans="1:32" ht="14.25" customHeight="1" x14ac:dyDescent="0.35">
      <c r="A676" s="16" t="s">
        <v>832</v>
      </c>
      <c r="B676" s="16" t="s">
        <v>448</v>
      </c>
      <c r="C676" s="16"/>
      <c r="D676" s="16" t="s">
        <v>791</v>
      </c>
      <c r="E676" s="17">
        <v>41640</v>
      </c>
      <c r="F676" s="17">
        <v>42004</v>
      </c>
      <c r="G676" s="16" t="s">
        <v>415</v>
      </c>
      <c r="H676" s="16">
        <v>0</v>
      </c>
      <c r="I676" s="16">
        <v>0</v>
      </c>
      <c r="J676" s="16">
        <v>0</v>
      </c>
      <c r="K676" s="16">
        <v>0</v>
      </c>
      <c r="L676" s="16">
        <v>0</v>
      </c>
      <c r="M676" s="16">
        <v>0</v>
      </c>
      <c r="N676" s="16">
        <v>0</v>
      </c>
      <c r="O676" s="16">
        <v>0.05</v>
      </c>
      <c r="P676" s="16">
        <v>0.5</v>
      </c>
      <c r="Q676" s="16">
        <v>0.5</v>
      </c>
      <c r="R676" s="16">
        <v>0.2</v>
      </c>
      <c r="S676" s="16">
        <v>0.2</v>
      </c>
      <c r="T676" s="16">
        <v>0.05</v>
      </c>
      <c r="U676" s="16">
        <v>0.5</v>
      </c>
      <c r="V676" s="16">
        <v>0.5</v>
      </c>
      <c r="W676" s="16">
        <v>0.2</v>
      </c>
      <c r="X676" s="16">
        <v>0.2</v>
      </c>
      <c r="Y676" s="16">
        <v>0.2</v>
      </c>
      <c r="Z676" s="16">
        <v>0.05</v>
      </c>
      <c r="AA676" s="16">
        <v>0.05</v>
      </c>
      <c r="AB676" s="16">
        <v>0</v>
      </c>
      <c r="AC676" s="16">
        <v>0</v>
      </c>
      <c r="AD676" s="16">
        <v>0</v>
      </c>
      <c r="AE676" s="16">
        <v>0</v>
      </c>
      <c r="AF676" s="16" t="s">
        <v>413</v>
      </c>
    </row>
    <row r="677" spans="1:32" ht="14.25" customHeight="1" x14ac:dyDescent="0.35">
      <c r="A677" s="16" t="s">
        <v>832</v>
      </c>
      <c r="B677" s="16" t="s">
        <v>448</v>
      </c>
      <c r="C677" s="16"/>
      <c r="D677" s="16" t="s">
        <v>419</v>
      </c>
      <c r="E677" s="17">
        <v>41640</v>
      </c>
      <c r="F677" s="17">
        <v>42004</v>
      </c>
      <c r="G677" s="16" t="s">
        <v>410</v>
      </c>
      <c r="H677" s="16">
        <v>1</v>
      </c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 t="s">
        <v>413</v>
      </c>
    </row>
    <row r="678" spans="1:32" ht="14.25" customHeight="1" x14ac:dyDescent="0.35">
      <c r="A678" s="14" t="s">
        <v>832</v>
      </c>
      <c r="B678" s="14" t="s">
        <v>448</v>
      </c>
      <c r="C678" s="14"/>
      <c r="D678" s="14" t="s">
        <v>418</v>
      </c>
      <c r="E678" s="15">
        <v>41640</v>
      </c>
      <c r="F678" s="15">
        <v>42004</v>
      </c>
      <c r="G678" s="14" t="s">
        <v>410</v>
      </c>
      <c r="H678" s="14">
        <v>0</v>
      </c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 t="s">
        <v>413</v>
      </c>
    </row>
    <row r="679" spans="1:32" ht="14.25" customHeight="1" x14ac:dyDescent="0.35">
      <c r="A679" s="14" t="s">
        <v>833</v>
      </c>
      <c r="B679" s="14" t="s">
        <v>550</v>
      </c>
      <c r="C679" s="14"/>
      <c r="D679" s="14" t="s">
        <v>409</v>
      </c>
      <c r="E679" s="15">
        <v>41640</v>
      </c>
      <c r="F679" s="15">
        <v>42004</v>
      </c>
      <c r="G679" s="14" t="s">
        <v>410</v>
      </c>
      <c r="H679" s="14">
        <v>1</v>
      </c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 t="s">
        <v>413</v>
      </c>
    </row>
    <row r="680" spans="1:32" ht="14.25" customHeight="1" x14ac:dyDescent="0.35">
      <c r="A680" s="16" t="s">
        <v>834</v>
      </c>
      <c r="B680" s="16" t="s">
        <v>550</v>
      </c>
      <c r="C680" s="16"/>
      <c r="D680" s="16" t="s">
        <v>409</v>
      </c>
      <c r="E680" s="17">
        <v>41640</v>
      </c>
      <c r="F680" s="17">
        <v>42004</v>
      </c>
      <c r="G680" s="16" t="s">
        <v>410</v>
      </c>
      <c r="H680" s="16">
        <v>1</v>
      </c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 t="s">
        <v>413</v>
      </c>
    </row>
    <row r="681" spans="1:32" ht="14.25" customHeight="1" x14ac:dyDescent="0.35">
      <c r="A681" s="14" t="s">
        <v>835</v>
      </c>
      <c r="B681" s="14" t="s">
        <v>408</v>
      </c>
      <c r="C681" s="14"/>
      <c r="D681" s="14" t="s">
        <v>409</v>
      </c>
      <c r="E681" s="15">
        <v>41640</v>
      </c>
      <c r="F681" s="15">
        <v>42004</v>
      </c>
      <c r="G681" s="14" t="s">
        <v>410</v>
      </c>
      <c r="H681" s="14">
        <v>30</v>
      </c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 t="s">
        <v>413</v>
      </c>
    </row>
    <row r="682" spans="1:32" ht="14.25" customHeight="1" x14ac:dyDescent="0.35">
      <c r="A682" s="16" t="s">
        <v>836</v>
      </c>
      <c r="B682" s="16" t="s">
        <v>420</v>
      </c>
      <c r="C682" s="16" t="s">
        <v>414</v>
      </c>
      <c r="D682" s="16" t="s">
        <v>417</v>
      </c>
      <c r="E682" s="17">
        <v>41640</v>
      </c>
      <c r="F682" s="17">
        <v>42004</v>
      </c>
      <c r="G682" s="16" t="s">
        <v>415</v>
      </c>
      <c r="H682" s="16">
        <v>21.111000000000001</v>
      </c>
      <c r="I682" s="16">
        <v>21.111000000000001</v>
      </c>
      <c r="J682" s="16">
        <v>21.111000000000001</v>
      </c>
      <c r="K682" s="16">
        <v>21.111000000000001</v>
      </c>
      <c r="L682" s="16">
        <v>21.111000000000001</v>
      </c>
      <c r="M682" s="16">
        <v>21.111000000000001</v>
      </c>
      <c r="N682" s="16">
        <v>21.111000000000001</v>
      </c>
      <c r="O682" s="16">
        <v>21.111000000000001</v>
      </c>
      <c r="P682" s="16">
        <v>21.111000000000001</v>
      </c>
      <c r="Q682" s="16">
        <v>23.332999999999998</v>
      </c>
      <c r="R682" s="16">
        <v>23.332999999999998</v>
      </c>
      <c r="S682" s="16">
        <v>23.332999999999998</v>
      </c>
      <c r="T682" s="16">
        <v>23.332999999999998</v>
      </c>
      <c r="U682" s="16">
        <v>23.332999999999998</v>
      </c>
      <c r="V682" s="16">
        <v>23.332999999999998</v>
      </c>
      <c r="W682" s="16">
        <v>23.332999999999998</v>
      </c>
      <c r="X682" s="16">
        <v>21.111000000000001</v>
      </c>
      <c r="Y682" s="16">
        <v>21.111000000000001</v>
      </c>
      <c r="Z682" s="16">
        <v>21.111000000000001</v>
      </c>
      <c r="AA682" s="16">
        <v>21.111000000000001</v>
      </c>
      <c r="AB682" s="16">
        <v>21.111000000000001</v>
      </c>
      <c r="AC682" s="16">
        <v>21.111000000000001</v>
      </c>
      <c r="AD682" s="16">
        <v>21.111000000000001</v>
      </c>
      <c r="AE682" s="16">
        <v>21.111000000000001</v>
      </c>
      <c r="AF682" s="16" t="s">
        <v>413</v>
      </c>
    </row>
    <row r="683" spans="1:32" ht="14.25" customHeight="1" x14ac:dyDescent="0.35">
      <c r="A683" s="14" t="s">
        <v>836</v>
      </c>
      <c r="B683" s="14" t="s">
        <v>420</v>
      </c>
      <c r="C683" s="14" t="s">
        <v>414</v>
      </c>
      <c r="D683" s="14" t="s">
        <v>421</v>
      </c>
      <c r="E683" s="15">
        <v>41640</v>
      </c>
      <c r="F683" s="15">
        <v>42004</v>
      </c>
      <c r="G683" s="14" t="s">
        <v>410</v>
      </c>
      <c r="H683" s="14">
        <v>21.111000000000001</v>
      </c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 t="s">
        <v>413</v>
      </c>
    </row>
    <row r="684" spans="1:32" ht="14.25" customHeight="1" x14ac:dyDescent="0.35">
      <c r="A684" s="16" t="s">
        <v>837</v>
      </c>
      <c r="B684" s="16" t="s">
        <v>420</v>
      </c>
      <c r="C684" s="16" t="s">
        <v>414</v>
      </c>
      <c r="D684" s="16" t="s">
        <v>417</v>
      </c>
      <c r="E684" s="17">
        <v>41640</v>
      </c>
      <c r="F684" s="17">
        <v>42004</v>
      </c>
      <c r="G684" s="16" t="s">
        <v>415</v>
      </c>
      <c r="H684" s="16">
        <v>21.111000000000001</v>
      </c>
      <c r="I684" s="16">
        <v>21.111000000000001</v>
      </c>
      <c r="J684" s="16">
        <v>21.111000000000001</v>
      </c>
      <c r="K684" s="16">
        <v>21.111000000000001</v>
      </c>
      <c r="L684" s="16">
        <v>21.111000000000001</v>
      </c>
      <c r="M684" s="16">
        <v>21.111000000000001</v>
      </c>
      <c r="N684" s="16">
        <v>21.111000000000001</v>
      </c>
      <c r="O684" s="16">
        <v>21.111000000000001</v>
      </c>
      <c r="P684" s="16">
        <v>21.111000000000001</v>
      </c>
      <c r="Q684" s="16">
        <v>18.888999999999999</v>
      </c>
      <c r="R684" s="16">
        <v>18.888999999999999</v>
      </c>
      <c r="S684" s="16">
        <v>18.888999999999999</v>
      </c>
      <c r="T684" s="16">
        <v>18.888999999999999</v>
      </c>
      <c r="U684" s="16">
        <v>18.888999999999999</v>
      </c>
      <c r="V684" s="16">
        <v>18.888999999999999</v>
      </c>
      <c r="W684" s="16">
        <v>18.888999999999999</v>
      </c>
      <c r="X684" s="16">
        <v>21.111000000000001</v>
      </c>
      <c r="Y684" s="16">
        <v>21.111000000000001</v>
      </c>
      <c r="Z684" s="16">
        <v>21.111000000000001</v>
      </c>
      <c r="AA684" s="16">
        <v>21.111000000000001</v>
      </c>
      <c r="AB684" s="16">
        <v>21.111000000000001</v>
      </c>
      <c r="AC684" s="16">
        <v>21.111000000000001</v>
      </c>
      <c r="AD684" s="16">
        <v>21.111000000000001</v>
      </c>
      <c r="AE684" s="16">
        <v>21.111000000000001</v>
      </c>
      <c r="AF684" s="16" t="s">
        <v>413</v>
      </c>
    </row>
    <row r="685" spans="1:32" ht="14.25" customHeight="1" x14ac:dyDescent="0.35">
      <c r="A685" s="14" t="s">
        <v>837</v>
      </c>
      <c r="B685" s="14" t="s">
        <v>420</v>
      </c>
      <c r="C685" s="14" t="s">
        <v>414</v>
      </c>
      <c r="D685" s="14" t="s">
        <v>421</v>
      </c>
      <c r="E685" s="15">
        <v>41640</v>
      </c>
      <c r="F685" s="15">
        <v>42004</v>
      </c>
      <c r="G685" s="14" t="s">
        <v>410</v>
      </c>
      <c r="H685" s="14">
        <v>21.111000000000001</v>
      </c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 t="s">
        <v>413</v>
      </c>
    </row>
    <row r="686" spans="1:32" ht="14.25" customHeight="1" x14ac:dyDescent="0.35">
      <c r="A686" s="16" t="s">
        <v>838</v>
      </c>
      <c r="B686" s="16" t="s">
        <v>448</v>
      </c>
      <c r="C686" s="16"/>
      <c r="D686" s="16" t="s">
        <v>409</v>
      </c>
      <c r="E686" s="17">
        <v>41640</v>
      </c>
      <c r="F686" s="17">
        <v>42004</v>
      </c>
      <c r="G686" s="16" t="s">
        <v>415</v>
      </c>
      <c r="H686" s="16">
        <v>0</v>
      </c>
      <c r="I686" s="16">
        <v>0</v>
      </c>
      <c r="J686" s="16">
        <v>0</v>
      </c>
      <c r="K686" s="16">
        <v>0</v>
      </c>
      <c r="L686" s="16">
        <v>0</v>
      </c>
      <c r="M686" s="16">
        <v>0</v>
      </c>
      <c r="N686" s="16">
        <v>0</v>
      </c>
      <c r="O686" s="16">
        <v>0</v>
      </c>
      <c r="P686" s="16">
        <v>1</v>
      </c>
      <c r="Q686" s="16">
        <v>1</v>
      </c>
      <c r="R686" s="16">
        <v>1</v>
      </c>
      <c r="S686" s="16">
        <v>1</v>
      </c>
      <c r="T686" s="16">
        <v>1</v>
      </c>
      <c r="U686" s="16">
        <v>1</v>
      </c>
      <c r="V686" s="16">
        <v>1</v>
      </c>
      <c r="W686" s="16">
        <v>1</v>
      </c>
      <c r="X686" s="16">
        <v>1</v>
      </c>
      <c r="Y686" s="16">
        <v>1</v>
      </c>
      <c r="Z686" s="16">
        <v>0</v>
      </c>
      <c r="AA686" s="16">
        <v>0</v>
      </c>
      <c r="AB686" s="16">
        <v>0</v>
      </c>
      <c r="AC686" s="16">
        <v>0</v>
      </c>
      <c r="AD686" s="16">
        <v>0</v>
      </c>
      <c r="AE686" s="16">
        <v>0</v>
      </c>
      <c r="AF686" s="16" t="s">
        <v>413</v>
      </c>
    </row>
    <row r="687" spans="1:32" ht="14.25" customHeight="1" x14ac:dyDescent="0.35">
      <c r="A687" s="14" t="s">
        <v>839</v>
      </c>
      <c r="B687" s="14" t="s">
        <v>427</v>
      </c>
      <c r="C687" s="14"/>
      <c r="D687" s="14" t="s">
        <v>417</v>
      </c>
      <c r="E687" s="15">
        <v>41640</v>
      </c>
      <c r="F687" s="15">
        <v>42004</v>
      </c>
      <c r="G687" s="14" t="s">
        <v>415</v>
      </c>
      <c r="H687" s="14">
        <v>0.33</v>
      </c>
      <c r="I687" s="14">
        <v>0.33</v>
      </c>
      <c r="J687" s="14">
        <v>0.33</v>
      </c>
      <c r="K687" s="14">
        <v>0.33</v>
      </c>
      <c r="L687" s="14">
        <v>0.33</v>
      </c>
      <c r="M687" s="14">
        <v>0.38</v>
      </c>
      <c r="N687" s="14">
        <v>0.38</v>
      </c>
      <c r="O687" s="14">
        <v>0.43</v>
      </c>
      <c r="P687" s="14">
        <v>0.63</v>
      </c>
      <c r="Q687" s="14">
        <v>0.63</v>
      </c>
      <c r="R687" s="14">
        <v>0.63</v>
      </c>
      <c r="S687" s="14">
        <v>0.63</v>
      </c>
      <c r="T687" s="14">
        <v>0.63</v>
      </c>
      <c r="U687" s="14">
        <v>0.63</v>
      </c>
      <c r="V687" s="14">
        <v>0.63</v>
      </c>
      <c r="W687" s="14">
        <v>0.63</v>
      </c>
      <c r="X687" s="14">
        <v>0.63</v>
      </c>
      <c r="Y687" s="14">
        <v>0.63</v>
      </c>
      <c r="Z687" s="14">
        <v>0.48</v>
      </c>
      <c r="AA687" s="14">
        <v>0.48</v>
      </c>
      <c r="AB687" s="14">
        <v>0.48</v>
      </c>
      <c r="AC687" s="14">
        <v>0.48</v>
      </c>
      <c r="AD687" s="14">
        <v>0.33</v>
      </c>
      <c r="AE687" s="14">
        <v>0.33</v>
      </c>
      <c r="AF687" s="14" t="s">
        <v>413</v>
      </c>
    </row>
    <row r="688" spans="1:32" ht="14.25" customHeight="1" x14ac:dyDescent="0.35">
      <c r="A688" s="14" t="s">
        <v>839</v>
      </c>
      <c r="B688" s="14" t="s">
        <v>427</v>
      </c>
      <c r="C688" s="14"/>
      <c r="D688" s="14" t="s">
        <v>419</v>
      </c>
      <c r="E688" s="15">
        <v>41640</v>
      </c>
      <c r="F688" s="15">
        <v>42004</v>
      </c>
      <c r="G688" s="14" t="s">
        <v>410</v>
      </c>
      <c r="H688" s="14">
        <v>1</v>
      </c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 t="s">
        <v>413</v>
      </c>
    </row>
    <row r="689" spans="1:32" ht="14.25" customHeight="1" x14ac:dyDescent="0.35">
      <c r="A689" s="16" t="s">
        <v>839</v>
      </c>
      <c r="B689" s="16" t="s">
        <v>427</v>
      </c>
      <c r="C689" s="16"/>
      <c r="D689" s="16" t="s">
        <v>429</v>
      </c>
      <c r="E689" s="17">
        <v>41640</v>
      </c>
      <c r="F689" s="17">
        <v>42004</v>
      </c>
      <c r="G689" s="16" t="s">
        <v>415</v>
      </c>
      <c r="H689" s="16">
        <v>0.33</v>
      </c>
      <c r="I689" s="16">
        <v>0.33</v>
      </c>
      <c r="J689" s="16">
        <v>0.33</v>
      </c>
      <c r="K689" s="16">
        <v>0.33</v>
      </c>
      <c r="L689" s="16">
        <v>0.33</v>
      </c>
      <c r="M689" s="16">
        <v>0.38</v>
      </c>
      <c r="N689" s="16">
        <v>0.38</v>
      </c>
      <c r="O689" s="16">
        <v>0.43</v>
      </c>
      <c r="P689" s="16">
        <v>0.43</v>
      </c>
      <c r="Q689" s="16">
        <v>0.43</v>
      </c>
      <c r="R689" s="16">
        <v>1</v>
      </c>
      <c r="S689" s="16">
        <v>1</v>
      </c>
      <c r="T689" s="16">
        <v>0.94</v>
      </c>
      <c r="U689" s="16">
        <v>1</v>
      </c>
      <c r="V689" s="16">
        <v>1</v>
      </c>
      <c r="W689" s="16">
        <v>1</v>
      </c>
      <c r="X689" s="16">
        <v>1</v>
      </c>
      <c r="Y689" s="16">
        <v>0.75</v>
      </c>
      <c r="Z689" s="16">
        <v>0.63</v>
      </c>
      <c r="AA689" s="16">
        <v>0.63</v>
      </c>
      <c r="AB689" s="16">
        <v>0.48</v>
      </c>
      <c r="AC689" s="16">
        <v>0.48</v>
      </c>
      <c r="AD689" s="16">
        <v>0.33</v>
      </c>
      <c r="AE689" s="16">
        <v>0.33</v>
      </c>
      <c r="AF689" s="16" t="s">
        <v>413</v>
      </c>
    </row>
    <row r="690" spans="1:32" ht="14.25" customHeight="1" x14ac:dyDescent="0.35">
      <c r="A690" s="16" t="s">
        <v>839</v>
      </c>
      <c r="B690" s="16" t="s">
        <v>427</v>
      </c>
      <c r="C690" s="16"/>
      <c r="D690" s="16" t="s">
        <v>418</v>
      </c>
      <c r="E690" s="17">
        <v>41640</v>
      </c>
      <c r="F690" s="17">
        <v>42004</v>
      </c>
      <c r="G690" s="16" t="s">
        <v>410</v>
      </c>
      <c r="H690" s="16">
        <v>0</v>
      </c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 t="s">
        <v>413</v>
      </c>
    </row>
    <row r="691" spans="1:32" ht="14.25" customHeight="1" x14ac:dyDescent="0.35">
      <c r="A691" s="14" t="s">
        <v>840</v>
      </c>
      <c r="B691" s="14" t="s">
        <v>448</v>
      </c>
      <c r="C691" s="14"/>
      <c r="D691" s="14" t="s">
        <v>417</v>
      </c>
      <c r="E691" s="15">
        <v>41640</v>
      </c>
      <c r="F691" s="15">
        <v>42004</v>
      </c>
      <c r="G691" s="14" t="s">
        <v>415</v>
      </c>
      <c r="H691" s="14">
        <v>0.2</v>
      </c>
      <c r="I691" s="14">
        <v>0.2</v>
      </c>
      <c r="J691" s="14">
        <v>0.2</v>
      </c>
      <c r="K691" s="14">
        <v>0.2</v>
      </c>
      <c r="L691" s="14">
        <v>0.2</v>
      </c>
      <c r="M691" s="14">
        <v>0.2</v>
      </c>
      <c r="N691" s="14">
        <v>0.2</v>
      </c>
      <c r="O691" s="14">
        <v>0.3</v>
      </c>
      <c r="P691" s="14">
        <v>0.5</v>
      </c>
      <c r="Q691" s="14">
        <v>0.5</v>
      </c>
      <c r="R691" s="14">
        <v>0.5</v>
      </c>
      <c r="S691" s="14">
        <v>0.5</v>
      </c>
      <c r="T691" s="14">
        <v>0.5</v>
      </c>
      <c r="U691" s="14">
        <v>0.5</v>
      </c>
      <c r="V691" s="14">
        <v>0.5</v>
      </c>
      <c r="W691" s="14">
        <v>0.5</v>
      </c>
      <c r="X691" s="14">
        <v>0.5</v>
      </c>
      <c r="Y691" s="14">
        <v>0.3</v>
      </c>
      <c r="Z691" s="14">
        <v>0.2</v>
      </c>
      <c r="AA691" s="14">
        <v>0.2</v>
      </c>
      <c r="AB691" s="14">
        <v>0.2</v>
      </c>
      <c r="AC691" s="14">
        <v>0.2</v>
      </c>
      <c r="AD691" s="14">
        <v>0.2</v>
      </c>
      <c r="AE691" s="14">
        <v>0.2</v>
      </c>
      <c r="AF691" s="14" t="s">
        <v>413</v>
      </c>
    </row>
    <row r="692" spans="1:32" ht="14.25" customHeight="1" x14ac:dyDescent="0.35">
      <c r="A692" s="14" t="s">
        <v>840</v>
      </c>
      <c r="B692" s="14" t="s">
        <v>448</v>
      </c>
      <c r="C692" s="14"/>
      <c r="D692" s="14" t="s">
        <v>419</v>
      </c>
      <c r="E692" s="15">
        <v>41640</v>
      </c>
      <c r="F692" s="15">
        <v>42004</v>
      </c>
      <c r="G692" s="14" t="s">
        <v>410</v>
      </c>
      <c r="H692" s="14">
        <v>1</v>
      </c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 t="s">
        <v>413</v>
      </c>
    </row>
    <row r="693" spans="1:32" ht="14.25" customHeight="1" x14ac:dyDescent="0.35">
      <c r="A693" s="16" t="s">
        <v>840</v>
      </c>
      <c r="B693" s="16" t="s">
        <v>448</v>
      </c>
      <c r="C693" s="16"/>
      <c r="D693" s="16" t="s">
        <v>429</v>
      </c>
      <c r="E693" s="17">
        <v>41640</v>
      </c>
      <c r="F693" s="17">
        <v>42004</v>
      </c>
      <c r="G693" s="16" t="s">
        <v>415</v>
      </c>
      <c r="H693" s="16">
        <v>0.2</v>
      </c>
      <c r="I693" s="16">
        <v>0.2</v>
      </c>
      <c r="J693" s="16">
        <v>0.2</v>
      </c>
      <c r="K693" s="16">
        <v>0.2</v>
      </c>
      <c r="L693" s="16">
        <v>0.2</v>
      </c>
      <c r="M693" s="16">
        <v>0.2</v>
      </c>
      <c r="N693" s="16">
        <v>0.3</v>
      </c>
      <c r="O693" s="16">
        <v>0.4</v>
      </c>
      <c r="P693" s="16">
        <v>1</v>
      </c>
      <c r="Q693" s="16">
        <v>1</v>
      </c>
      <c r="R693" s="16">
        <v>1</v>
      </c>
      <c r="S693" s="16">
        <v>1</v>
      </c>
      <c r="T693" s="16">
        <v>0.5</v>
      </c>
      <c r="U693" s="16">
        <v>1</v>
      </c>
      <c r="V693" s="16">
        <v>1</v>
      </c>
      <c r="W693" s="16">
        <v>1</v>
      </c>
      <c r="X693" s="16">
        <v>1</v>
      </c>
      <c r="Y693" s="16">
        <v>0.4</v>
      </c>
      <c r="Z693" s="16">
        <v>0.3</v>
      </c>
      <c r="AA693" s="16">
        <v>0.2</v>
      </c>
      <c r="AB693" s="16">
        <v>0.2</v>
      </c>
      <c r="AC693" s="16">
        <v>0.2</v>
      </c>
      <c r="AD693" s="16">
        <v>0.2</v>
      </c>
      <c r="AE693" s="16">
        <v>0.2</v>
      </c>
      <c r="AF693" s="16" t="s">
        <v>413</v>
      </c>
    </row>
    <row r="694" spans="1:32" ht="14.25" customHeight="1" x14ac:dyDescent="0.35">
      <c r="A694" s="16" t="s">
        <v>840</v>
      </c>
      <c r="B694" s="16" t="s">
        <v>448</v>
      </c>
      <c r="C694" s="16"/>
      <c r="D694" s="16" t="s">
        <v>418</v>
      </c>
      <c r="E694" s="17">
        <v>41640</v>
      </c>
      <c r="F694" s="17">
        <v>42004</v>
      </c>
      <c r="G694" s="16" t="s">
        <v>410</v>
      </c>
      <c r="H694" s="16">
        <v>0</v>
      </c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 t="s">
        <v>413</v>
      </c>
    </row>
    <row r="695" spans="1:32" ht="14.25" customHeight="1" x14ac:dyDescent="0.35">
      <c r="A695" s="14" t="s">
        <v>841</v>
      </c>
      <c r="B695" s="14" t="s">
        <v>408</v>
      </c>
      <c r="C695" s="14"/>
      <c r="D695" s="14" t="s">
        <v>409</v>
      </c>
      <c r="E695" s="15">
        <v>41640</v>
      </c>
      <c r="F695" s="15">
        <v>42004</v>
      </c>
      <c r="G695" s="14" t="s">
        <v>410</v>
      </c>
      <c r="H695" s="14">
        <v>1</v>
      </c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 t="s">
        <v>413</v>
      </c>
    </row>
    <row r="696" spans="1:32" ht="14.25" customHeight="1" x14ac:dyDescent="0.35">
      <c r="A696" s="16" t="s">
        <v>842</v>
      </c>
      <c r="B696" s="16" t="s">
        <v>408</v>
      </c>
      <c r="C696" s="16"/>
      <c r="D696" s="16" t="s">
        <v>409</v>
      </c>
      <c r="E696" s="17">
        <v>41640</v>
      </c>
      <c r="F696" s="17">
        <v>42004</v>
      </c>
      <c r="G696" s="16" t="s">
        <v>410</v>
      </c>
      <c r="H696" s="16">
        <v>1</v>
      </c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 t="s">
        <v>413</v>
      </c>
    </row>
    <row r="697" spans="1:32" ht="14.25" customHeight="1" x14ac:dyDescent="0.35">
      <c r="A697" s="14" t="s">
        <v>843</v>
      </c>
      <c r="B697" s="14" t="s">
        <v>427</v>
      </c>
      <c r="C697" s="14" t="s">
        <v>414</v>
      </c>
      <c r="D697" s="14" t="s">
        <v>409</v>
      </c>
      <c r="E697" s="15">
        <v>41640</v>
      </c>
      <c r="F697" s="15">
        <v>42004</v>
      </c>
      <c r="G697" s="14" t="s">
        <v>410</v>
      </c>
      <c r="H697" s="14">
        <v>55</v>
      </c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 t="s">
        <v>413</v>
      </c>
    </row>
    <row r="698" spans="1:32" ht="14.25" customHeight="1" x14ac:dyDescent="0.35">
      <c r="A698" s="16" t="s">
        <v>844</v>
      </c>
      <c r="B698" s="16" t="s">
        <v>427</v>
      </c>
      <c r="C698" s="16"/>
      <c r="D698" s="16" t="s">
        <v>409</v>
      </c>
      <c r="E698" s="17">
        <v>41640</v>
      </c>
      <c r="F698" s="17">
        <v>42004</v>
      </c>
      <c r="G698" s="16" t="s">
        <v>410</v>
      </c>
      <c r="H698" s="16">
        <v>0.05</v>
      </c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 t="s">
        <v>413</v>
      </c>
    </row>
    <row r="699" spans="1:32" ht="14.25" customHeight="1" x14ac:dyDescent="0.35">
      <c r="A699" s="14" t="s">
        <v>845</v>
      </c>
      <c r="B699" s="14" t="s">
        <v>427</v>
      </c>
      <c r="C699" s="14"/>
      <c r="D699" s="14" t="s">
        <v>409</v>
      </c>
      <c r="E699" s="15">
        <v>41640</v>
      </c>
      <c r="F699" s="15">
        <v>42004</v>
      </c>
      <c r="G699" s="14" t="s">
        <v>410</v>
      </c>
      <c r="H699" s="14">
        <v>0.2</v>
      </c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 t="s">
        <v>413</v>
      </c>
    </row>
    <row r="700" spans="1:32" ht="14.25" customHeight="1" x14ac:dyDescent="0.35">
      <c r="A700" s="16" t="s">
        <v>846</v>
      </c>
      <c r="B700" s="16" t="s">
        <v>427</v>
      </c>
      <c r="C700" s="16" t="s">
        <v>414</v>
      </c>
      <c r="D700" s="16" t="s">
        <v>409</v>
      </c>
      <c r="E700" s="17">
        <v>41640</v>
      </c>
      <c r="F700" s="17">
        <v>42004</v>
      </c>
      <c r="G700" s="16" t="s">
        <v>410</v>
      </c>
      <c r="H700" s="16">
        <v>60</v>
      </c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 t="s">
        <v>413</v>
      </c>
    </row>
    <row r="701" spans="1:32" ht="14.25" customHeight="1" x14ac:dyDescent="0.35">
      <c r="A701" s="14" t="s">
        <v>847</v>
      </c>
      <c r="B701" s="14" t="s">
        <v>427</v>
      </c>
      <c r="C701" s="14" t="s">
        <v>414</v>
      </c>
      <c r="D701" s="14" t="s">
        <v>409</v>
      </c>
      <c r="E701" s="15">
        <v>41640</v>
      </c>
      <c r="F701" s="15">
        <v>42004</v>
      </c>
      <c r="G701" s="14" t="s">
        <v>410</v>
      </c>
      <c r="H701" s="14">
        <v>55</v>
      </c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 t="s">
        <v>413</v>
      </c>
    </row>
    <row r="702" spans="1:32" ht="14.25" customHeight="1" x14ac:dyDescent="0.35">
      <c r="A702" s="16" t="s">
        <v>848</v>
      </c>
      <c r="B702" s="16" t="s">
        <v>427</v>
      </c>
      <c r="C702" s="16"/>
      <c r="D702" s="16" t="s">
        <v>409</v>
      </c>
      <c r="E702" s="17">
        <v>41640</v>
      </c>
      <c r="F702" s="17">
        <v>42004</v>
      </c>
      <c r="G702" s="16" t="s">
        <v>410</v>
      </c>
      <c r="H702" s="16">
        <v>0.05</v>
      </c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 t="s">
        <v>413</v>
      </c>
    </row>
    <row r="703" spans="1:32" ht="14.25" customHeight="1" x14ac:dyDescent="0.35">
      <c r="A703" s="14" t="s">
        <v>849</v>
      </c>
      <c r="B703" s="14" t="s">
        <v>427</v>
      </c>
      <c r="C703" s="14"/>
      <c r="D703" s="14" t="s">
        <v>409</v>
      </c>
      <c r="E703" s="15">
        <v>41640</v>
      </c>
      <c r="F703" s="15">
        <v>42004</v>
      </c>
      <c r="G703" s="14" t="s">
        <v>410</v>
      </c>
      <c r="H703" s="14">
        <v>0.2</v>
      </c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 t="s">
        <v>413</v>
      </c>
    </row>
    <row r="704" spans="1:32" ht="14.25" customHeight="1" x14ac:dyDescent="0.35">
      <c r="A704" s="16" t="s">
        <v>850</v>
      </c>
      <c r="B704" s="16" t="s">
        <v>427</v>
      </c>
      <c r="C704" s="16" t="s">
        <v>414</v>
      </c>
      <c r="D704" s="16" t="s">
        <v>409</v>
      </c>
      <c r="E704" s="17">
        <v>41640</v>
      </c>
      <c r="F704" s="17">
        <v>42004</v>
      </c>
      <c r="G704" s="16" t="s">
        <v>410</v>
      </c>
      <c r="H704" s="16">
        <v>60</v>
      </c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 t="s">
        <v>413</v>
      </c>
    </row>
    <row r="705" spans="1:32" ht="14.25" customHeight="1" x14ac:dyDescent="0.35">
      <c r="A705" s="14" t="s">
        <v>851</v>
      </c>
      <c r="B705" s="14" t="s">
        <v>427</v>
      </c>
      <c r="C705" s="14" t="s">
        <v>414</v>
      </c>
      <c r="D705" s="14" t="s">
        <v>409</v>
      </c>
      <c r="E705" s="15">
        <v>41640</v>
      </c>
      <c r="F705" s="15">
        <v>42004</v>
      </c>
      <c r="G705" s="14" t="s">
        <v>410</v>
      </c>
      <c r="H705" s="14">
        <v>55</v>
      </c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 t="s">
        <v>413</v>
      </c>
    </row>
    <row r="706" spans="1:32" ht="14.25" customHeight="1" x14ac:dyDescent="0.35">
      <c r="A706" s="16" t="s">
        <v>852</v>
      </c>
      <c r="B706" s="16" t="s">
        <v>427</v>
      </c>
      <c r="C706" s="16"/>
      <c r="D706" s="16" t="s">
        <v>409</v>
      </c>
      <c r="E706" s="17">
        <v>41640</v>
      </c>
      <c r="F706" s="17">
        <v>42004</v>
      </c>
      <c r="G706" s="16" t="s">
        <v>410</v>
      </c>
      <c r="H706" s="16">
        <v>0.05</v>
      </c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 t="s">
        <v>413</v>
      </c>
    </row>
    <row r="707" spans="1:32" ht="14.25" customHeight="1" x14ac:dyDescent="0.35">
      <c r="A707" s="14" t="s">
        <v>853</v>
      </c>
      <c r="B707" s="14" t="s">
        <v>427</v>
      </c>
      <c r="C707" s="14"/>
      <c r="D707" s="14" t="s">
        <v>409</v>
      </c>
      <c r="E707" s="15">
        <v>41640</v>
      </c>
      <c r="F707" s="15">
        <v>42004</v>
      </c>
      <c r="G707" s="14" t="s">
        <v>410</v>
      </c>
      <c r="H707" s="14">
        <v>0.2</v>
      </c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 t="s">
        <v>413</v>
      </c>
    </row>
    <row r="708" spans="1:32" ht="14.25" customHeight="1" x14ac:dyDescent="0.35">
      <c r="A708" s="16" t="s">
        <v>854</v>
      </c>
      <c r="B708" s="16" t="s">
        <v>427</v>
      </c>
      <c r="C708" s="16" t="s">
        <v>414</v>
      </c>
      <c r="D708" s="16" t="s">
        <v>409</v>
      </c>
      <c r="E708" s="17">
        <v>41640</v>
      </c>
      <c r="F708" s="17">
        <v>42004</v>
      </c>
      <c r="G708" s="16" t="s">
        <v>410</v>
      </c>
      <c r="H708" s="16">
        <v>60</v>
      </c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 t="s">
        <v>413</v>
      </c>
    </row>
    <row r="709" spans="1:32" ht="14.25" customHeight="1" x14ac:dyDescent="0.35">
      <c r="A709" s="14" t="s">
        <v>855</v>
      </c>
      <c r="B709" s="14" t="s">
        <v>427</v>
      </c>
      <c r="C709" s="14" t="s">
        <v>414</v>
      </c>
      <c r="D709" s="14" t="s">
        <v>409</v>
      </c>
      <c r="E709" s="15">
        <v>41640</v>
      </c>
      <c r="F709" s="15">
        <v>42004</v>
      </c>
      <c r="G709" s="14" t="s">
        <v>410</v>
      </c>
      <c r="H709" s="14">
        <v>55</v>
      </c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 t="s">
        <v>413</v>
      </c>
    </row>
    <row r="710" spans="1:32" ht="14.25" customHeight="1" x14ac:dyDescent="0.35">
      <c r="A710" s="16" t="s">
        <v>856</v>
      </c>
      <c r="B710" s="16" t="s">
        <v>427</v>
      </c>
      <c r="C710" s="16"/>
      <c r="D710" s="16" t="s">
        <v>409</v>
      </c>
      <c r="E710" s="17">
        <v>41640</v>
      </c>
      <c r="F710" s="17">
        <v>42004</v>
      </c>
      <c r="G710" s="16" t="s">
        <v>410</v>
      </c>
      <c r="H710" s="16">
        <v>0.05</v>
      </c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 t="s">
        <v>413</v>
      </c>
    </row>
    <row r="711" spans="1:32" ht="14.25" customHeight="1" x14ac:dyDescent="0.35">
      <c r="A711" s="14" t="s">
        <v>857</v>
      </c>
      <c r="B711" s="14" t="s">
        <v>427</v>
      </c>
      <c r="C711" s="14"/>
      <c r="D711" s="14" t="s">
        <v>409</v>
      </c>
      <c r="E711" s="15">
        <v>41640</v>
      </c>
      <c r="F711" s="15">
        <v>42004</v>
      </c>
      <c r="G711" s="14" t="s">
        <v>410</v>
      </c>
      <c r="H711" s="14">
        <v>0.2</v>
      </c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 t="s">
        <v>413</v>
      </c>
    </row>
    <row r="712" spans="1:32" ht="14.25" customHeight="1" x14ac:dyDescent="0.35">
      <c r="A712" s="16" t="s">
        <v>858</v>
      </c>
      <c r="B712" s="16" t="s">
        <v>427</v>
      </c>
      <c r="C712" s="16" t="s">
        <v>414</v>
      </c>
      <c r="D712" s="16" t="s">
        <v>409</v>
      </c>
      <c r="E712" s="17">
        <v>41640</v>
      </c>
      <c r="F712" s="17">
        <v>42004</v>
      </c>
      <c r="G712" s="16" t="s">
        <v>410</v>
      </c>
      <c r="H712" s="16">
        <v>60</v>
      </c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 t="s">
        <v>413</v>
      </c>
    </row>
    <row r="713" spans="1:32" ht="14.25" customHeight="1" x14ac:dyDescent="0.35">
      <c r="A713" s="14" t="s">
        <v>859</v>
      </c>
      <c r="B713" s="14" t="s">
        <v>427</v>
      </c>
      <c r="C713" s="14" t="s">
        <v>414</v>
      </c>
      <c r="D713" s="14" t="s">
        <v>409</v>
      </c>
      <c r="E713" s="15">
        <v>41640</v>
      </c>
      <c r="F713" s="15">
        <v>42004</v>
      </c>
      <c r="G713" s="14" t="s">
        <v>410</v>
      </c>
      <c r="H713" s="14">
        <v>55</v>
      </c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 t="s">
        <v>413</v>
      </c>
    </row>
    <row r="714" spans="1:32" ht="14.25" customHeight="1" x14ac:dyDescent="0.35">
      <c r="A714" s="16" t="s">
        <v>860</v>
      </c>
      <c r="B714" s="16" t="s">
        <v>427</v>
      </c>
      <c r="C714" s="16"/>
      <c r="D714" s="16" t="s">
        <v>409</v>
      </c>
      <c r="E714" s="17">
        <v>41640</v>
      </c>
      <c r="F714" s="17">
        <v>42004</v>
      </c>
      <c r="G714" s="16" t="s">
        <v>410</v>
      </c>
      <c r="H714" s="16">
        <v>0.05</v>
      </c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 t="s">
        <v>413</v>
      </c>
    </row>
    <row r="715" spans="1:32" ht="14.25" customHeight="1" x14ac:dyDescent="0.35">
      <c r="A715" s="14" t="s">
        <v>861</v>
      </c>
      <c r="B715" s="14" t="s">
        <v>427</v>
      </c>
      <c r="C715" s="14"/>
      <c r="D715" s="14" t="s">
        <v>409</v>
      </c>
      <c r="E715" s="15">
        <v>41640</v>
      </c>
      <c r="F715" s="15">
        <v>42004</v>
      </c>
      <c r="G715" s="14" t="s">
        <v>410</v>
      </c>
      <c r="H715" s="14">
        <v>0.2</v>
      </c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 t="s">
        <v>413</v>
      </c>
    </row>
    <row r="716" spans="1:32" ht="14.25" customHeight="1" x14ac:dyDescent="0.35">
      <c r="A716" s="16" t="s">
        <v>862</v>
      </c>
      <c r="B716" s="16" t="s">
        <v>427</v>
      </c>
      <c r="C716" s="16" t="s">
        <v>414</v>
      </c>
      <c r="D716" s="16" t="s">
        <v>409</v>
      </c>
      <c r="E716" s="17">
        <v>41640</v>
      </c>
      <c r="F716" s="17">
        <v>42004</v>
      </c>
      <c r="G716" s="16" t="s">
        <v>410</v>
      </c>
      <c r="H716" s="16">
        <v>60</v>
      </c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 t="s">
        <v>413</v>
      </c>
    </row>
    <row r="717" spans="1:32" ht="14.25" customHeight="1" x14ac:dyDescent="0.35">
      <c r="A717" s="14" t="s">
        <v>863</v>
      </c>
      <c r="B717" s="14" t="s">
        <v>427</v>
      </c>
      <c r="C717" s="14" t="s">
        <v>414</v>
      </c>
      <c r="D717" s="14" t="s">
        <v>409</v>
      </c>
      <c r="E717" s="15">
        <v>41640</v>
      </c>
      <c r="F717" s="15">
        <v>42004</v>
      </c>
      <c r="G717" s="14" t="s">
        <v>410</v>
      </c>
      <c r="H717" s="14">
        <v>55</v>
      </c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 t="s">
        <v>413</v>
      </c>
    </row>
    <row r="718" spans="1:32" ht="14.25" customHeight="1" x14ac:dyDescent="0.35">
      <c r="A718" s="16" t="s">
        <v>864</v>
      </c>
      <c r="B718" s="16" t="s">
        <v>427</v>
      </c>
      <c r="C718" s="16"/>
      <c r="D718" s="16" t="s">
        <v>409</v>
      </c>
      <c r="E718" s="17">
        <v>41640</v>
      </c>
      <c r="F718" s="17">
        <v>42004</v>
      </c>
      <c r="G718" s="16" t="s">
        <v>410</v>
      </c>
      <c r="H718" s="16">
        <v>0.05</v>
      </c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 t="s">
        <v>413</v>
      </c>
    </row>
    <row r="719" spans="1:32" ht="14.25" customHeight="1" x14ac:dyDescent="0.35">
      <c r="A719" s="14" t="s">
        <v>865</v>
      </c>
      <c r="B719" s="14" t="s">
        <v>427</v>
      </c>
      <c r="C719" s="14"/>
      <c r="D719" s="14" t="s">
        <v>409</v>
      </c>
      <c r="E719" s="15">
        <v>41640</v>
      </c>
      <c r="F719" s="15">
        <v>42004</v>
      </c>
      <c r="G719" s="14" t="s">
        <v>410</v>
      </c>
      <c r="H719" s="14">
        <v>0.2</v>
      </c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 t="s">
        <v>413</v>
      </c>
    </row>
    <row r="720" spans="1:32" ht="14.25" customHeight="1" x14ac:dyDescent="0.35">
      <c r="A720" s="16" t="s">
        <v>866</v>
      </c>
      <c r="B720" s="16" t="s">
        <v>427</v>
      </c>
      <c r="C720" s="16" t="s">
        <v>414</v>
      </c>
      <c r="D720" s="16" t="s">
        <v>409</v>
      </c>
      <c r="E720" s="17">
        <v>41640</v>
      </c>
      <c r="F720" s="17">
        <v>42004</v>
      </c>
      <c r="G720" s="16" t="s">
        <v>410</v>
      </c>
      <c r="H720" s="16">
        <v>60</v>
      </c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 t="s">
        <v>413</v>
      </c>
    </row>
    <row r="721" spans="1:32" ht="14.25" customHeight="1" x14ac:dyDescent="0.35">
      <c r="A721" s="14" t="s">
        <v>867</v>
      </c>
      <c r="B721" s="14" t="s">
        <v>427</v>
      </c>
      <c r="C721" s="14" t="s">
        <v>414</v>
      </c>
      <c r="D721" s="14" t="s">
        <v>409</v>
      </c>
      <c r="E721" s="15">
        <v>41640</v>
      </c>
      <c r="F721" s="15">
        <v>42004</v>
      </c>
      <c r="G721" s="14" t="s">
        <v>410</v>
      </c>
      <c r="H721" s="14">
        <v>55</v>
      </c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 t="s">
        <v>413</v>
      </c>
    </row>
    <row r="722" spans="1:32" ht="14.25" customHeight="1" x14ac:dyDescent="0.35">
      <c r="A722" s="16" t="s">
        <v>868</v>
      </c>
      <c r="B722" s="16" t="s">
        <v>427</v>
      </c>
      <c r="C722" s="16"/>
      <c r="D722" s="16" t="s">
        <v>409</v>
      </c>
      <c r="E722" s="17">
        <v>41640</v>
      </c>
      <c r="F722" s="17">
        <v>42004</v>
      </c>
      <c r="G722" s="16" t="s">
        <v>410</v>
      </c>
      <c r="H722" s="16">
        <v>0.05</v>
      </c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 t="s">
        <v>413</v>
      </c>
    </row>
    <row r="723" spans="1:32" ht="14.25" customHeight="1" x14ac:dyDescent="0.35">
      <c r="A723" s="14" t="s">
        <v>869</v>
      </c>
      <c r="B723" s="14" t="s">
        <v>427</v>
      </c>
      <c r="C723" s="14"/>
      <c r="D723" s="14" t="s">
        <v>409</v>
      </c>
      <c r="E723" s="15">
        <v>41640</v>
      </c>
      <c r="F723" s="15">
        <v>42004</v>
      </c>
      <c r="G723" s="14" t="s">
        <v>410</v>
      </c>
      <c r="H723" s="14">
        <v>0.2</v>
      </c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 t="s">
        <v>413</v>
      </c>
    </row>
    <row r="724" spans="1:32" ht="14.25" customHeight="1" x14ac:dyDescent="0.35">
      <c r="A724" s="16" t="s">
        <v>870</v>
      </c>
      <c r="B724" s="16" t="s">
        <v>427</v>
      </c>
      <c r="C724" s="16" t="s">
        <v>414</v>
      </c>
      <c r="D724" s="16" t="s">
        <v>409</v>
      </c>
      <c r="E724" s="17">
        <v>41640</v>
      </c>
      <c r="F724" s="17">
        <v>42004</v>
      </c>
      <c r="G724" s="16" t="s">
        <v>410</v>
      </c>
      <c r="H724" s="16">
        <v>60</v>
      </c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 t="s">
        <v>413</v>
      </c>
    </row>
    <row r="725" spans="1:32" ht="14.25" customHeight="1" x14ac:dyDescent="0.35">
      <c r="A725" s="14" t="s">
        <v>871</v>
      </c>
      <c r="B725" s="14" t="s">
        <v>427</v>
      </c>
      <c r="C725" s="14" t="s">
        <v>414</v>
      </c>
      <c r="D725" s="14" t="s">
        <v>409</v>
      </c>
      <c r="E725" s="15">
        <v>41640</v>
      </c>
      <c r="F725" s="15">
        <v>42004</v>
      </c>
      <c r="G725" s="14" t="s">
        <v>410</v>
      </c>
      <c r="H725" s="14">
        <v>55</v>
      </c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 t="s">
        <v>413</v>
      </c>
    </row>
    <row r="726" spans="1:32" ht="14.25" customHeight="1" x14ac:dyDescent="0.35">
      <c r="A726" s="16" t="s">
        <v>872</v>
      </c>
      <c r="B726" s="16" t="s">
        <v>427</v>
      </c>
      <c r="C726" s="16"/>
      <c r="D726" s="16" t="s">
        <v>409</v>
      </c>
      <c r="E726" s="17">
        <v>41640</v>
      </c>
      <c r="F726" s="17">
        <v>42004</v>
      </c>
      <c r="G726" s="16" t="s">
        <v>410</v>
      </c>
      <c r="H726" s="16">
        <v>0.05</v>
      </c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 t="s">
        <v>413</v>
      </c>
    </row>
    <row r="727" spans="1:32" ht="14.25" customHeight="1" x14ac:dyDescent="0.35">
      <c r="A727" s="14" t="s">
        <v>873</v>
      </c>
      <c r="B727" s="14" t="s">
        <v>427</v>
      </c>
      <c r="C727" s="14"/>
      <c r="D727" s="14" t="s">
        <v>409</v>
      </c>
      <c r="E727" s="15">
        <v>41640</v>
      </c>
      <c r="F727" s="15">
        <v>42004</v>
      </c>
      <c r="G727" s="14" t="s">
        <v>410</v>
      </c>
      <c r="H727" s="14">
        <v>0.2</v>
      </c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 t="s">
        <v>413</v>
      </c>
    </row>
    <row r="728" spans="1:32" ht="14.25" customHeight="1" x14ac:dyDescent="0.35">
      <c r="A728" s="16" t="s">
        <v>874</v>
      </c>
      <c r="B728" s="16" t="s">
        <v>427</v>
      </c>
      <c r="C728" s="16" t="s">
        <v>414</v>
      </c>
      <c r="D728" s="16" t="s">
        <v>409</v>
      </c>
      <c r="E728" s="17">
        <v>41640</v>
      </c>
      <c r="F728" s="17">
        <v>42004</v>
      </c>
      <c r="G728" s="16" t="s">
        <v>410</v>
      </c>
      <c r="H728" s="16">
        <v>60</v>
      </c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 t="s">
        <v>413</v>
      </c>
    </row>
    <row r="729" spans="1:32" ht="14.25" customHeight="1" x14ac:dyDescent="0.35">
      <c r="A729" s="14" t="s">
        <v>875</v>
      </c>
      <c r="B729" s="14" t="s">
        <v>427</v>
      </c>
      <c r="C729" s="14" t="s">
        <v>414</v>
      </c>
      <c r="D729" s="14" t="s">
        <v>409</v>
      </c>
      <c r="E729" s="15">
        <v>41640</v>
      </c>
      <c r="F729" s="15">
        <v>42004</v>
      </c>
      <c r="G729" s="14" t="s">
        <v>410</v>
      </c>
      <c r="H729" s="14">
        <v>55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 t="s">
        <v>413</v>
      </c>
    </row>
    <row r="730" spans="1:32" ht="14.25" customHeight="1" x14ac:dyDescent="0.35">
      <c r="A730" s="16" t="s">
        <v>876</v>
      </c>
      <c r="B730" s="16" t="s">
        <v>427</v>
      </c>
      <c r="C730" s="16"/>
      <c r="D730" s="16" t="s">
        <v>409</v>
      </c>
      <c r="E730" s="17">
        <v>41640</v>
      </c>
      <c r="F730" s="17">
        <v>42004</v>
      </c>
      <c r="G730" s="16" t="s">
        <v>410</v>
      </c>
      <c r="H730" s="16">
        <v>0.05</v>
      </c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 t="s">
        <v>413</v>
      </c>
    </row>
    <row r="731" spans="1:32" ht="14.25" customHeight="1" x14ac:dyDescent="0.35">
      <c r="A731" s="14" t="s">
        <v>877</v>
      </c>
      <c r="B731" s="14" t="s">
        <v>427</v>
      </c>
      <c r="C731" s="14"/>
      <c r="D731" s="14" t="s">
        <v>409</v>
      </c>
      <c r="E731" s="15">
        <v>41640</v>
      </c>
      <c r="F731" s="15">
        <v>42004</v>
      </c>
      <c r="G731" s="14" t="s">
        <v>410</v>
      </c>
      <c r="H731" s="14">
        <v>0.2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 t="s">
        <v>413</v>
      </c>
    </row>
    <row r="732" spans="1:32" ht="14.25" customHeight="1" x14ac:dyDescent="0.35">
      <c r="A732" s="16" t="s">
        <v>878</v>
      </c>
      <c r="B732" s="16" t="s">
        <v>427</v>
      </c>
      <c r="C732" s="16" t="s">
        <v>414</v>
      </c>
      <c r="D732" s="16" t="s">
        <v>409</v>
      </c>
      <c r="E732" s="17">
        <v>41640</v>
      </c>
      <c r="F732" s="17">
        <v>42004</v>
      </c>
      <c r="G732" s="16" t="s">
        <v>410</v>
      </c>
      <c r="H732" s="16">
        <v>60</v>
      </c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 t="s">
        <v>413</v>
      </c>
    </row>
    <row r="733" spans="1:32" ht="14.25" customHeight="1" x14ac:dyDescent="0.35">
      <c r="A733" s="14" t="s">
        <v>879</v>
      </c>
      <c r="B733" s="14" t="s">
        <v>420</v>
      </c>
      <c r="C733" s="14" t="s">
        <v>414</v>
      </c>
      <c r="D733" s="14" t="s">
        <v>417</v>
      </c>
      <c r="E733" s="15">
        <v>41640</v>
      </c>
      <c r="F733" s="15">
        <v>42004</v>
      </c>
      <c r="G733" s="14" t="s">
        <v>415</v>
      </c>
      <c r="H733" s="14">
        <v>21.111000000000001</v>
      </c>
      <c r="I733" s="14">
        <v>21.111000000000001</v>
      </c>
      <c r="J733" s="14">
        <v>21.111000000000001</v>
      </c>
      <c r="K733" s="14">
        <v>21.111000000000001</v>
      </c>
      <c r="L733" s="14">
        <v>21.111000000000001</v>
      </c>
      <c r="M733" s="14">
        <v>21.111000000000001</v>
      </c>
      <c r="N733" s="14">
        <v>21.111000000000001</v>
      </c>
      <c r="O733" s="14">
        <v>21.111000000000001</v>
      </c>
      <c r="P733" s="14">
        <v>21.111000000000001</v>
      </c>
      <c r="Q733" s="14">
        <v>23.332999999999998</v>
      </c>
      <c r="R733" s="14">
        <v>23.332999999999998</v>
      </c>
      <c r="S733" s="14">
        <v>23.332999999999998</v>
      </c>
      <c r="T733" s="14">
        <v>23.332999999999998</v>
      </c>
      <c r="U733" s="14">
        <v>23.332999999999998</v>
      </c>
      <c r="V733" s="14">
        <v>23.332999999999998</v>
      </c>
      <c r="W733" s="14">
        <v>23.332999999999998</v>
      </c>
      <c r="X733" s="14">
        <v>21.111000000000001</v>
      </c>
      <c r="Y733" s="14">
        <v>21.111000000000001</v>
      </c>
      <c r="Z733" s="14">
        <v>21.111000000000001</v>
      </c>
      <c r="AA733" s="14">
        <v>21.111000000000001</v>
      </c>
      <c r="AB733" s="14">
        <v>21.111000000000001</v>
      </c>
      <c r="AC733" s="14">
        <v>21.111000000000001</v>
      </c>
      <c r="AD733" s="14">
        <v>21.111000000000001</v>
      </c>
      <c r="AE733" s="14">
        <v>21.111000000000001</v>
      </c>
      <c r="AF733" s="14" t="s">
        <v>413</v>
      </c>
    </row>
    <row r="734" spans="1:32" ht="14.25" customHeight="1" x14ac:dyDescent="0.35">
      <c r="A734" s="16" t="s">
        <v>879</v>
      </c>
      <c r="B734" s="16" t="s">
        <v>420</v>
      </c>
      <c r="C734" s="16" t="s">
        <v>414</v>
      </c>
      <c r="D734" s="16" t="s">
        <v>421</v>
      </c>
      <c r="E734" s="17">
        <v>41640</v>
      </c>
      <c r="F734" s="17">
        <v>42004</v>
      </c>
      <c r="G734" s="16" t="s">
        <v>410</v>
      </c>
      <c r="H734" s="16">
        <v>21.111000000000001</v>
      </c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 t="s">
        <v>413</v>
      </c>
    </row>
    <row r="735" spans="1:32" ht="14.25" customHeight="1" x14ac:dyDescent="0.35">
      <c r="A735" s="14" t="s">
        <v>880</v>
      </c>
      <c r="B735" s="14" t="s">
        <v>420</v>
      </c>
      <c r="C735" s="14" t="s">
        <v>414</v>
      </c>
      <c r="D735" s="14" t="s">
        <v>417</v>
      </c>
      <c r="E735" s="15">
        <v>41640</v>
      </c>
      <c r="F735" s="15">
        <v>42004</v>
      </c>
      <c r="G735" s="14" t="s">
        <v>415</v>
      </c>
      <c r="H735" s="14">
        <v>21.111000000000001</v>
      </c>
      <c r="I735" s="14">
        <v>21.111000000000001</v>
      </c>
      <c r="J735" s="14">
        <v>21.111000000000001</v>
      </c>
      <c r="K735" s="14">
        <v>21.111000000000001</v>
      </c>
      <c r="L735" s="14">
        <v>21.111000000000001</v>
      </c>
      <c r="M735" s="14">
        <v>21.111000000000001</v>
      </c>
      <c r="N735" s="14">
        <v>21.111000000000001</v>
      </c>
      <c r="O735" s="14">
        <v>21.111000000000001</v>
      </c>
      <c r="P735" s="14">
        <v>21.111000000000001</v>
      </c>
      <c r="Q735" s="14">
        <v>18.888999999999999</v>
      </c>
      <c r="R735" s="14">
        <v>18.888999999999999</v>
      </c>
      <c r="S735" s="14">
        <v>18.888999999999999</v>
      </c>
      <c r="T735" s="14">
        <v>18.888999999999999</v>
      </c>
      <c r="U735" s="14">
        <v>18.888999999999999</v>
      </c>
      <c r="V735" s="14">
        <v>18.888999999999999</v>
      </c>
      <c r="W735" s="14">
        <v>18.888999999999999</v>
      </c>
      <c r="X735" s="14">
        <v>21.111000000000001</v>
      </c>
      <c r="Y735" s="14">
        <v>21.111000000000001</v>
      </c>
      <c r="Z735" s="14">
        <v>21.111000000000001</v>
      </c>
      <c r="AA735" s="14">
        <v>21.111000000000001</v>
      </c>
      <c r="AB735" s="14">
        <v>21.111000000000001</v>
      </c>
      <c r="AC735" s="14">
        <v>21.111000000000001</v>
      </c>
      <c r="AD735" s="14">
        <v>21.111000000000001</v>
      </c>
      <c r="AE735" s="14">
        <v>21.111000000000001</v>
      </c>
      <c r="AF735" s="14" t="s">
        <v>413</v>
      </c>
    </row>
    <row r="736" spans="1:32" ht="14.25" customHeight="1" x14ac:dyDescent="0.35">
      <c r="A736" s="16" t="s">
        <v>880</v>
      </c>
      <c r="B736" s="16" t="s">
        <v>420</v>
      </c>
      <c r="C736" s="16" t="s">
        <v>414</v>
      </c>
      <c r="D736" s="16" t="s">
        <v>421</v>
      </c>
      <c r="E736" s="17">
        <v>41640</v>
      </c>
      <c r="F736" s="17">
        <v>42004</v>
      </c>
      <c r="G736" s="16" t="s">
        <v>410</v>
      </c>
      <c r="H736" s="16">
        <v>21.111000000000001</v>
      </c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 t="s">
        <v>413</v>
      </c>
    </row>
    <row r="737" spans="1:32" ht="14.25" customHeight="1" x14ac:dyDescent="0.35">
      <c r="A737" s="14" t="s">
        <v>881</v>
      </c>
      <c r="B737" s="14" t="s">
        <v>408</v>
      </c>
      <c r="C737" s="14" t="s">
        <v>414</v>
      </c>
      <c r="D737" s="14" t="s">
        <v>409</v>
      </c>
      <c r="E737" s="15">
        <v>41640</v>
      </c>
      <c r="F737" s="15">
        <v>42004</v>
      </c>
      <c r="G737" s="14" t="s">
        <v>410</v>
      </c>
      <c r="H737" s="14">
        <v>0</v>
      </c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 t="s">
        <v>413</v>
      </c>
    </row>
    <row r="738" spans="1:32" ht="14.25" customHeight="1" x14ac:dyDescent="0.35">
      <c r="A738" s="16" t="s">
        <v>882</v>
      </c>
      <c r="B738" s="16" t="s">
        <v>408</v>
      </c>
      <c r="C738" s="16" t="s">
        <v>414</v>
      </c>
      <c r="D738" s="16" t="s">
        <v>409</v>
      </c>
      <c r="E738" s="17">
        <v>41640</v>
      </c>
      <c r="F738" s="17">
        <v>42004</v>
      </c>
      <c r="G738" s="16" t="s">
        <v>410</v>
      </c>
      <c r="H738" s="16">
        <v>0</v>
      </c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 t="s">
        <v>413</v>
      </c>
    </row>
    <row r="739" spans="1:32" ht="14.25" customHeight="1" x14ac:dyDescent="0.35">
      <c r="A739" s="14" t="s">
        <v>883</v>
      </c>
      <c r="B739" s="14" t="s">
        <v>408</v>
      </c>
      <c r="C739" s="14" t="s">
        <v>414</v>
      </c>
      <c r="D739" s="14" t="s">
        <v>409</v>
      </c>
      <c r="E739" s="15">
        <v>41640</v>
      </c>
      <c r="F739" s="15">
        <v>42004</v>
      </c>
      <c r="G739" s="14" t="s">
        <v>410</v>
      </c>
      <c r="H739" s="14">
        <v>0</v>
      </c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 t="s">
        <v>413</v>
      </c>
    </row>
    <row r="740" spans="1:32" ht="14.25" customHeight="1" x14ac:dyDescent="0.35">
      <c r="A740" s="16" t="s">
        <v>884</v>
      </c>
      <c r="B740" s="16" t="s">
        <v>408</v>
      </c>
      <c r="C740" s="16" t="s">
        <v>414</v>
      </c>
      <c r="D740" s="16" t="s">
        <v>409</v>
      </c>
      <c r="E740" s="17">
        <v>41640</v>
      </c>
      <c r="F740" s="17">
        <v>42004</v>
      </c>
      <c r="G740" s="16" t="s">
        <v>410</v>
      </c>
      <c r="H740" s="16">
        <v>0</v>
      </c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 t="s">
        <v>413</v>
      </c>
    </row>
    <row r="741" spans="1:32" ht="14.25" customHeight="1" x14ac:dyDescent="0.35">
      <c r="A741" s="14" t="s">
        <v>885</v>
      </c>
      <c r="B741" s="14" t="s">
        <v>408</v>
      </c>
      <c r="C741" s="14" t="s">
        <v>414</v>
      </c>
      <c r="D741" s="14" t="s">
        <v>409</v>
      </c>
      <c r="E741" s="15">
        <v>41640</v>
      </c>
      <c r="F741" s="15">
        <v>42004</v>
      </c>
      <c r="G741" s="14" t="s">
        <v>410</v>
      </c>
      <c r="H741" s="14">
        <v>13</v>
      </c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 t="s">
        <v>413</v>
      </c>
    </row>
    <row r="742" spans="1:32" ht="14.25" customHeight="1" x14ac:dyDescent="0.35">
      <c r="A742" s="16" t="s">
        <v>885</v>
      </c>
      <c r="B742" s="16" t="s">
        <v>408</v>
      </c>
      <c r="C742" s="16" t="s">
        <v>414</v>
      </c>
      <c r="D742" s="16" t="s">
        <v>454</v>
      </c>
      <c r="E742" s="17">
        <v>41913</v>
      </c>
      <c r="F742" s="17">
        <v>42004</v>
      </c>
      <c r="G742" s="16" t="s">
        <v>410</v>
      </c>
      <c r="H742" s="16">
        <v>13</v>
      </c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 t="s">
        <v>413</v>
      </c>
    </row>
    <row r="743" spans="1:32" ht="14.25" customHeight="1" x14ac:dyDescent="0.35">
      <c r="A743" s="14" t="s">
        <v>885</v>
      </c>
      <c r="B743" s="14" t="s">
        <v>408</v>
      </c>
      <c r="C743" s="14" t="s">
        <v>414</v>
      </c>
      <c r="D743" s="14" t="s">
        <v>454</v>
      </c>
      <c r="E743" s="15">
        <v>41640</v>
      </c>
      <c r="F743" s="15">
        <v>41729</v>
      </c>
      <c r="G743" s="14" t="s">
        <v>410</v>
      </c>
      <c r="H743" s="14">
        <v>13</v>
      </c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 t="s">
        <v>413</v>
      </c>
    </row>
    <row r="744" spans="1:32" ht="14.25" customHeight="1" x14ac:dyDescent="0.35">
      <c r="A744" s="16" t="s">
        <v>886</v>
      </c>
      <c r="B744" s="16" t="s">
        <v>408</v>
      </c>
      <c r="C744" s="16" t="s">
        <v>412</v>
      </c>
      <c r="D744" s="16" t="s">
        <v>409</v>
      </c>
      <c r="E744" s="17">
        <v>41640</v>
      </c>
      <c r="F744" s="17">
        <v>42004</v>
      </c>
      <c r="G744" s="16" t="s">
        <v>410</v>
      </c>
      <c r="H744" s="16">
        <v>0</v>
      </c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 t="s">
        <v>413</v>
      </c>
    </row>
    <row r="745" spans="1:32" ht="14.25" customHeight="1" x14ac:dyDescent="0.35">
      <c r="A745" s="14" t="s">
        <v>887</v>
      </c>
      <c r="B745" s="14" t="s">
        <v>408</v>
      </c>
      <c r="C745" s="14"/>
      <c r="D745" s="14" t="s">
        <v>417</v>
      </c>
      <c r="E745" s="15">
        <v>41640</v>
      </c>
      <c r="F745" s="15">
        <v>42004</v>
      </c>
      <c r="G745" s="14" t="s">
        <v>415</v>
      </c>
      <c r="H745" s="14">
        <v>0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1</v>
      </c>
      <c r="O745" s="14">
        <v>1</v>
      </c>
      <c r="P745" s="14">
        <v>1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1</v>
      </c>
      <c r="Y745" s="14">
        <v>1</v>
      </c>
      <c r="Z745" s="14">
        <v>1</v>
      </c>
      <c r="AA745" s="14">
        <v>1</v>
      </c>
      <c r="AB745" s="14">
        <v>1</v>
      </c>
      <c r="AC745" s="14">
        <v>1</v>
      </c>
      <c r="AD745" s="14">
        <v>0</v>
      </c>
      <c r="AE745" s="14">
        <v>0</v>
      </c>
      <c r="AF745" s="14" t="s">
        <v>413</v>
      </c>
    </row>
    <row r="746" spans="1:32" ht="14.25" customHeight="1" x14ac:dyDescent="0.35">
      <c r="A746" s="16" t="s">
        <v>887</v>
      </c>
      <c r="B746" s="16" t="s">
        <v>408</v>
      </c>
      <c r="C746" s="16"/>
      <c r="D746" s="16" t="s">
        <v>421</v>
      </c>
      <c r="E746" s="17">
        <v>41640</v>
      </c>
      <c r="F746" s="17">
        <v>42004</v>
      </c>
      <c r="G746" s="16" t="s">
        <v>410</v>
      </c>
      <c r="H746" s="16">
        <v>0</v>
      </c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 t="s">
        <v>413</v>
      </c>
    </row>
    <row r="747" spans="1:32" ht="14.25" customHeight="1" x14ac:dyDescent="0.35">
      <c r="A747" s="14" t="s">
        <v>888</v>
      </c>
      <c r="B747" s="14" t="s">
        <v>460</v>
      </c>
      <c r="C747" s="14" t="s">
        <v>414</v>
      </c>
      <c r="D747" s="14" t="s">
        <v>409</v>
      </c>
      <c r="E747" s="15">
        <v>41640</v>
      </c>
      <c r="F747" s="15">
        <v>42004</v>
      </c>
      <c r="G747" s="14" t="s">
        <v>410</v>
      </c>
      <c r="H747" s="14">
        <v>22</v>
      </c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 t="s">
        <v>413</v>
      </c>
    </row>
    <row r="748" spans="1:32" ht="14.25" customHeight="1" x14ac:dyDescent="0.35">
      <c r="A748" s="16" t="s">
        <v>889</v>
      </c>
      <c r="B748" s="16" t="s">
        <v>460</v>
      </c>
      <c r="C748" s="16" t="s">
        <v>414</v>
      </c>
      <c r="D748" s="16" t="s">
        <v>409</v>
      </c>
      <c r="E748" s="17">
        <v>41640</v>
      </c>
      <c r="F748" s="17">
        <v>42004</v>
      </c>
      <c r="G748" s="16" t="s">
        <v>410</v>
      </c>
      <c r="H748" s="16">
        <v>60</v>
      </c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 t="s">
        <v>413</v>
      </c>
    </row>
    <row r="749" spans="1:32" ht="14.25" customHeight="1" x14ac:dyDescent="0.35">
      <c r="A749" s="14" t="s">
        <v>890</v>
      </c>
      <c r="B749" s="14" t="s">
        <v>460</v>
      </c>
      <c r="C749" s="14" t="s">
        <v>414</v>
      </c>
      <c r="D749" s="14" t="s">
        <v>409</v>
      </c>
      <c r="E749" s="15">
        <v>41640</v>
      </c>
      <c r="F749" s="15">
        <v>42004</v>
      </c>
      <c r="G749" s="14" t="s">
        <v>410</v>
      </c>
      <c r="H749" s="14">
        <v>60</v>
      </c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 t="s">
        <v>413</v>
      </c>
    </row>
    <row r="750" spans="1:32" ht="14.25" customHeight="1" x14ac:dyDescent="0.35">
      <c r="A750" s="16" t="s">
        <v>891</v>
      </c>
      <c r="B750" s="16" t="s">
        <v>448</v>
      </c>
      <c r="C750" s="16"/>
      <c r="D750" s="16" t="s">
        <v>417</v>
      </c>
      <c r="E750" s="17">
        <v>41640</v>
      </c>
      <c r="F750" s="17">
        <v>42004</v>
      </c>
      <c r="G750" s="16" t="s">
        <v>415</v>
      </c>
      <c r="H750" s="16">
        <v>0.156</v>
      </c>
      <c r="I750" s="16">
        <v>0.156</v>
      </c>
      <c r="J750" s="16">
        <v>0.104</v>
      </c>
      <c r="K750" s="16">
        <v>0.104</v>
      </c>
      <c r="L750" s="16">
        <v>0.104</v>
      </c>
      <c r="M750" s="16">
        <v>0.104</v>
      </c>
      <c r="N750" s="16">
        <v>0.156</v>
      </c>
      <c r="O750" s="16">
        <v>0.20799999999999999</v>
      </c>
      <c r="P750" s="16">
        <v>0.20799999999999999</v>
      </c>
      <c r="Q750" s="16">
        <v>0.156</v>
      </c>
      <c r="R750" s="16">
        <v>0.156</v>
      </c>
      <c r="S750" s="16">
        <v>0.156</v>
      </c>
      <c r="T750" s="16">
        <v>0.156</v>
      </c>
      <c r="U750" s="16">
        <v>0.104</v>
      </c>
      <c r="V750" s="16">
        <v>0.104</v>
      </c>
      <c r="W750" s="16">
        <v>0.104</v>
      </c>
      <c r="X750" s="16">
        <v>0.104</v>
      </c>
      <c r="Y750" s="16">
        <v>0.104</v>
      </c>
      <c r="Z750" s="16">
        <v>0.26</v>
      </c>
      <c r="AA750" s="16">
        <v>0.36399999999999999</v>
      </c>
      <c r="AB750" s="16">
        <v>0.41599999999999998</v>
      </c>
      <c r="AC750" s="16">
        <v>0.312</v>
      </c>
      <c r="AD750" s="16">
        <v>0.26</v>
      </c>
      <c r="AE750" s="16">
        <v>0.156</v>
      </c>
      <c r="AF750" s="16" t="s">
        <v>413</v>
      </c>
    </row>
    <row r="751" spans="1:32" ht="14.25" customHeight="1" x14ac:dyDescent="0.35">
      <c r="A751" s="14" t="s">
        <v>891</v>
      </c>
      <c r="B751" s="14" t="s">
        <v>448</v>
      </c>
      <c r="C751" s="14"/>
      <c r="D751" s="14" t="s">
        <v>512</v>
      </c>
      <c r="E751" s="15">
        <v>41640</v>
      </c>
      <c r="F751" s="15">
        <v>42004</v>
      </c>
      <c r="G751" s="14" t="s">
        <v>415</v>
      </c>
      <c r="H751" s="14">
        <v>0.104</v>
      </c>
      <c r="I751" s="14">
        <v>0.104</v>
      </c>
      <c r="J751" s="14">
        <v>5.1999999999999998E-2</v>
      </c>
      <c r="K751" s="14">
        <v>5.1999999999999998E-2</v>
      </c>
      <c r="L751" s="14">
        <v>5.1999999999999998E-2</v>
      </c>
      <c r="M751" s="14">
        <v>5.1999999999999998E-2</v>
      </c>
      <c r="N751" s="14">
        <v>0.156</v>
      </c>
      <c r="O751" s="14">
        <v>0.156</v>
      </c>
      <c r="P751" s="14">
        <v>0.20799999999999999</v>
      </c>
      <c r="Q751" s="14">
        <v>0.20799999999999999</v>
      </c>
      <c r="R751" s="14">
        <v>0.156</v>
      </c>
      <c r="S751" s="14">
        <v>0.13</v>
      </c>
      <c r="T751" s="14">
        <v>0.13</v>
      </c>
      <c r="U751" s="14">
        <v>0.13</v>
      </c>
      <c r="V751" s="14">
        <v>0.13</v>
      </c>
      <c r="W751" s="14">
        <v>0.13</v>
      </c>
      <c r="X751" s="14">
        <v>0.13</v>
      </c>
      <c r="Y751" s="14">
        <v>0.13</v>
      </c>
      <c r="Z751" s="14">
        <v>0.312</v>
      </c>
      <c r="AA751" s="14">
        <v>0.36399999999999999</v>
      </c>
      <c r="AB751" s="14">
        <v>0.36399999999999999</v>
      </c>
      <c r="AC751" s="14">
        <v>0.36399999999999999</v>
      </c>
      <c r="AD751" s="14">
        <v>0.312</v>
      </c>
      <c r="AE751" s="14">
        <v>0.156</v>
      </c>
      <c r="AF751" s="14" t="s">
        <v>413</v>
      </c>
    </row>
    <row r="752" spans="1:32" ht="14.25" customHeight="1" x14ac:dyDescent="0.35">
      <c r="A752" s="16" t="s">
        <v>891</v>
      </c>
      <c r="B752" s="16" t="s">
        <v>448</v>
      </c>
      <c r="C752" s="16"/>
      <c r="D752" s="16" t="s">
        <v>419</v>
      </c>
      <c r="E752" s="17">
        <v>41640</v>
      </c>
      <c r="F752" s="17">
        <v>42004</v>
      </c>
      <c r="G752" s="16" t="s">
        <v>410</v>
      </c>
      <c r="H752" s="16">
        <v>1</v>
      </c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 t="s">
        <v>413</v>
      </c>
    </row>
    <row r="753" spans="1:32" ht="14.25" customHeight="1" x14ac:dyDescent="0.35">
      <c r="A753" s="16" t="s">
        <v>891</v>
      </c>
      <c r="B753" s="16" t="s">
        <v>448</v>
      </c>
      <c r="C753" s="16"/>
      <c r="D753" s="16" t="s">
        <v>429</v>
      </c>
      <c r="E753" s="17">
        <v>41640</v>
      </c>
      <c r="F753" s="17">
        <v>42004</v>
      </c>
      <c r="G753" s="16" t="s">
        <v>415</v>
      </c>
      <c r="H753" s="16">
        <v>0.104</v>
      </c>
      <c r="I753" s="16">
        <v>7.8E-2</v>
      </c>
      <c r="J753" s="16">
        <v>5.1999999999999998E-2</v>
      </c>
      <c r="K753" s="16">
        <v>5.1999999999999998E-2</v>
      </c>
      <c r="L753" s="16">
        <v>5.1999999999999998E-2</v>
      </c>
      <c r="M753" s="16">
        <v>0.104</v>
      </c>
      <c r="N753" s="16">
        <v>0.20799999999999999</v>
      </c>
      <c r="O753" s="16">
        <v>0.26</v>
      </c>
      <c r="P753" s="16">
        <v>0.20799999999999999</v>
      </c>
      <c r="Q753" s="16">
        <v>0.20799999999999999</v>
      </c>
      <c r="R753" s="16">
        <v>0.13</v>
      </c>
      <c r="S753" s="16">
        <v>0.13</v>
      </c>
      <c r="T753" s="16">
        <v>0.13</v>
      </c>
      <c r="U753" s="16">
        <v>0.13</v>
      </c>
      <c r="V753" s="16">
        <v>0.13</v>
      </c>
      <c r="W753" s="16">
        <v>0.13</v>
      </c>
      <c r="X753" s="16">
        <v>0.13</v>
      </c>
      <c r="Y753" s="16">
        <v>0.13</v>
      </c>
      <c r="Z753" s="16">
        <v>0.312</v>
      </c>
      <c r="AA753" s="16">
        <v>0.41599999999999998</v>
      </c>
      <c r="AB753" s="16">
        <v>0.46800000000000003</v>
      </c>
      <c r="AC753" s="16">
        <v>0.41599999999999998</v>
      </c>
      <c r="AD753" s="16">
        <v>0.312</v>
      </c>
      <c r="AE753" s="16">
        <v>0.156</v>
      </c>
      <c r="AF753" s="16" t="s">
        <v>413</v>
      </c>
    </row>
    <row r="754" spans="1:32" ht="14.25" customHeight="1" x14ac:dyDescent="0.35">
      <c r="A754" s="14" t="s">
        <v>891</v>
      </c>
      <c r="B754" s="14" t="s">
        <v>448</v>
      </c>
      <c r="C754" s="14"/>
      <c r="D754" s="14" t="s">
        <v>418</v>
      </c>
      <c r="E754" s="15">
        <v>41640</v>
      </c>
      <c r="F754" s="15">
        <v>42004</v>
      </c>
      <c r="G754" s="14" t="s">
        <v>410</v>
      </c>
      <c r="H754" s="14">
        <v>0</v>
      </c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 t="s">
        <v>413</v>
      </c>
    </row>
    <row r="755" spans="1:32" ht="14.25" customHeight="1" x14ac:dyDescent="0.35">
      <c r="A755" s="14" t="s">
        <v>892</v>
      </c>
      <c r="B755" s="14" t="s">
        <v>408</v>
      </c>
      <c r="C755" s="14"/>
      <c r="D755" s="14" t="s">
        <v>409</v>
      </c>
      <c r="E755" s="15">
        <v>41640</v>
      </c>
      <c r="F755" s="15">
        <v>42004</v>
      </c>
      <c r="G755" s="14" t="s">
        <v>410</v>
      </c>
      <c r="H755" s="14">
        <v>0</v>
      </c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 t="s">
        <v>413</v>
      </c>
    </row>
    <row r="756" spans="1:32" ht="14.25" customHeight="1" x14ac:dyDescent="0.35">
      <c r="A756" s="14" t="s">
        <v>893</v>
      </c>
      <c r="B756" s="14" t="s">
        <v>420</v>
      </c>
      <c r="C756" s="14" t="s">
        <v>414</v>
      </c>
      <c r="D756" s="14" t="s">
        <v>409</v>
      </c>
      <c r="E756" s="15">
        <v>41640</v>
      </c>
      <c r="F756" s="15">
        <v>42004</v>
      </c>
      <c r="G756" s="14" t="s">
        <v>415</v>
      </c>
      <c r="H756" s="14">
        <v>26.667000000000002</v>
      </c>
      <c r="I756" s="14">
        <v>26.667000000000002</v>
      </c>
      <c r="J756" s="14">
        <v>26.667000000000002</v>
      </c>
      <c r="K756" s="14">
        <v>26.667000000000002</v>
      </c>
      <c r="L756" s="14">
        <v>26.667000000000002</v>
      </c>
      <c r="M756" s="14">
        <v>23.888999999999999</v>
      </c>
      <c r="N756" s="14">
        <v>23.888999999999999</v>
      </c>
      <c r="O756" s="14">
        <v>23.888999999999999</v>
      </c>
      <c r="P756" s="14">
        <v>23.888999999999999</v>
      </c>
      <c r="Q756" s="14">
        <v>23.888999999999999</v>
      </c>
      <c r="R756" s="14">
        <v>23.888999999999999</v>
      </c>
      <c r="S756" s="14">
        <v>23.888999999999999</v>
      </c>
      <c r="T756" s="14">
        <v>23.888999999999999</v>
      </c>
      <c r="U756" s="14">
        <v>23.888999999999999</v>
      </c>
      <c r="V756" s="14">
        <v>23.888999999999999</v>
      </c>
      <c r="W756" s="14">
        <v>23.888999999999999</v>
      </c>
      <c r="X756" s="14">
        <v>23.888999999999999</v>
      </c>
      <c r="Y756" s="14">
        <v>23.888999999999999</v>
      </c>
      <c r="Z756" s="14">
        <v>23.888999999999999</v>
      </c>
      <c r="AA756" s="14">
        <v>23.888999999999999</v>
      </c>
      <c r="AB756" s="14">
        <v>26.667000000000002</v>
      </c>
      <c r="AC756" s="14">
        <v>26.667000000000002</v>
      </c>
      <c r="AD756" s="14">
        <v>26.667000000000002</v>
      </c>
      <c r="AE756" s="14">
        <v>26.667000000000002</v>
      </c>
      <c r="AF756" s="14" t="s">
        <v>413</v>
      </c>
    </row>
    <row r="757" spans="1:32" ht="14.25" customHeight="1" x14ac:dyDescent="0.35">
      <c r="A757" s="16" t="s">
        <v>894</v>
      </c>
      <c r="B757" s="16" t="s">
        <v>420</v>
      </c>
      <c r="C757" s="16" t="s">
        <v>414</v>
      </c>
      <c r="D757" s="16" t="s">
        <v>409</v>
      </c>
      <c r="E757" s="17">
        <v>41640</v>
      </c>
      <c r="F757" s="17">
        <v>42004</v>
      </c>
      <c r="G757" s="16" t="s">
        <v>415</v>
      </c>
      <c r="H757" s="16">
        <v>18.332999999999998</v>
      </c>
      <c r="I757" s="16">
        <v>18.332999999999998</v>
      </c>
      <c r="J757" s="16">
        <v>18.332999999999998</v>
      </c>
      <c r="K757" s="16">
        <v>18.332999999999998</v>
      </c>
      <c r="L757" s="16">
        <v>18.332999999999998</v>
      </c>
      <c r="M757" s="16">
        <v>21.111000000000001</v>
      </c>
      <c r="N757" s="16">
        <v>21.111000000000001</v>
      </c>
      <c r="O757" s="16">
        <v>21.111000000000001</v>
      </c>
      <c r="P757" s="16">
        <v>21.111000000000001</v>
      </c>
      <c r="Q757" s="16">
        <v>21.111000000000001</v>
      </c>
      <c r="R757" s="16">
        <v>21.111000000000001</v>
      </c>
      <c r="S757" s="16">
        <v>21.111000000000001</v>
      </c>
      <c r="T757" s="16">
        <v>21.111000000000001</v>
      </c>
      <c r="U757" s="16">
        <v>21.111000000000001</v>
      </c>
      <c r="V757" s="16">
        <v>21.111000000000001</v>
      </c>
      <c r="W757" s="16">
        <v>21.111000000000001</v>
      </c>
      <c r="X757" s="16">
        <v>21.111000000000001</v>
      </c>
      <c r="Y757" s="16">
        <v>21.111000000000001</v>
      </c>
      <c r="Z757" s="16">
        <v>21.111000000000001</v>
      </c>
      <c r="AA757" s="16">
        <v>21.111000000000001</v>
      </c>
      <c r="AB757" s="16">
        <v>18.332999999999998</v>
      </c>
      <c r="AC757" s="16">
        <v>18.332999999999998</v>
      </c>
      <c r="AD757" s="16">
        <v>18.332999999999998</v>
      </c>
      <c r="AE757" s="16">
        <v>18.332999999999998</v>
      </c>
      <c r="AF757" s="16" t="s">
        <v>413</v>
      </c>
    </row>
    <row r="758" spans="1:32" ht="14.25" customHeight="1" x14ac:dyDescent="0.35">
      <c r="A758" s="14" t="s">
        <v>895</v>
      </c>
      <c r="B758" s="14" t="s">
        <v>420</v>
      </c>
      <c r="C758" s="14" t="s">
        <v>414</v>
      </c>
      <c r="D758" s="14" t="s">
        <v>409</v>
      </c>
      <c r="E758" s="15">
        <v>41640</v>
      </c>
      <c r="F758" s="15">
        <v>42004</v>
      </c>
      <c r="G758" s="14" t="s">
        <v>415</v>
      </c>
      <c r="H758" s="14">
        <v>26.667000000000002</v>
      </c>
      <c r="I758" s="14">
        <v>26.667000000000002</v>
      </c>
      <c r="J758" s="14">
        <v>26.667000000000002</v>
      </c>
      <c r="K758" s="14">
        <v>26.667000000000002</v>
      </c>
      <c r="L758" s="14">
        <v>26.667000000000002</v>
      </c>
      <c r="M758" s="14">
        <v>26.667000000000002</v>
      </c>
      <c r="N758" s="14">
        <v>23.888999999999999</v>
      </c>
      <c r="O758" s="14">
        <v>23.888999999999999</v>
      </c>
      <c r="P758" s="14">
        <v>23.888999999999999</v>
      </c>
      <c r="Q758" s="14">
        <v>23.888999999999999</v>
      </c>
      <c r="R758" s="14">
        <v>23.888999999999999</v>
      </c>
      <c r="S758" s="14">
        <v>23.888999999999999</v>
      </c>
      <c r="T758" s="14">
        <v>23.888999999999999</v>
      </c>
      <c r="U758" s="14">
        <v>23.888999999999999</v>
      </c>
      <c r="V758" s="14">
        <v>23.888999999999999</v>
      </c>
      <c r="W758" s="14">
        <v>23.888999999999999</v>
      </c>
      <c r="X758" s="14">
        <v>23.888999999999999</v>
      </c>
      <c r="Y758" s="14">
        <v>23.888999999999999</v>
      </c>
      <c r="Z758" s="14">
        <v>23.888999999999999</v>
      </c>
      <c r="AA758" s="14">
        <v>23.888999999999999</v>
      </c>
      <c r="AB758" s="14">
        <v>23.888999999999999</v>
      </c>
      <c r="AC758" s="14">
        <v>23.888999999999999</v>
      </c>
      <c r="AD758" s="14">
        <v>23.888999999999999</v>
      </c>
      <c r="AE758" s="14">
        <v>26.667000000000002</v>
      </c>
      <c r="AF758" s="14" t="s">
        <v>413</v>
      </c>
    </row>
    <row r="759" spans="1:32" ht="14.25" customHeight="1" x14ac:dyDescent="0.35">
      <c r="A759" s="16" t="s">
        <v>896</v>
      </c>
      <c r="B759" s="16" t="s">
        <v>420</v>
      </c>
      <c r="C759" s="16" t="s">
        <v>414</v>
      </c>
      <c r="D759" s="16" t="s">
        <v>409</v>
      </c>
      <c r="E759" s="17">
        <v>41640</v>
      </c>
      <c r="F759" s="17">
        <v>42004</v>
      </c>
      <c r="G759" s="16" t="s">
        <v>415</v>
      </c>
      <c r="H759" s="16">
        <v>18.332999999999998</v>
      </c>
      <c r="I759" s="16">
        <v>18.332999999999998</v>
      </c>
      <c r="J759" s="16">
        <v>18.332999999999998</v>
      </c>
      <c r="K759" s="16">
        <v>18.332999999999998</v>
      </c>
      <c r="L759" s="16">
        <v>18.332999999999998</v>
      </c>
      <c r="M759" s="16">
        <v>18.332999999999998</v>
      </c>
      <c r="N759" s="16">
        <v>21.111000000000001</v>
      </c>
      <c r="O759" s="16">
        <v>21.111000000000001</v>
      </c>
      <c r="P759" s="16">
        <v>21.111000000000001</v>
      </c>
      <c r="Q759" s="16">
        <v>21.111000000000001</v>
      </c>
      <c r="R759" s="16">
        <v>21.111000000000001</v>
      </c>
      <c r="S759" s="16">
        <v>21.111000000000001</v>
      </c>
      <c r="T759" s="16">
        <v>21.111000000000001</v>
      </c>
      <c r="U759" s="16">
        <v>21.111000000000001</v>
      </c>
      <c r="V759" s="16">
        <v>21.111000000000001</v>
      </c>
      <c r="W759" s="16">
        <v>21.111000000000001</v>
      </c>
      <c r="X759" s="16">
        <v>21.111000000000001</v>
      </c>
      <c r="Y759" s="16">
        <v>21.111000000000001</v>
      </c>
      <c r="Z759" s="16">
        <v>21.111000000000001</v>
      </c>
      <c r="AA759" s="16">
        <v>21.111000000000001</v>
      </c>
      <c r="AB759" s="16">
        <v>21.111000000000001</v>
      </c>
      <c r="AC759" s="16">
        <v>21.111000000000001</v>
      </c>
      <c r="AD759" s="16">
        <v>21.111000000000001</v>
      </c>
      <c r="AE759" s="16">
        <v>18.332999999999998</v>
      </c>
      <c r="AF759" s="16" t="s">
        <v>413</v>
      </c>
    </row>
    <row r="760" spans="1:32" ht="14.25" customHeight="1" x14ac:dyDescent="0.35">
      <c r="A760" s="14" t="s">
        <v>897</v>
      </c>
      <c r="B760" s="14" t="s">
        <v>420</v>
      </c>
      <c r="C760" s="14" t="s">
        <v>414</v>
      </c>
      <c r="D760" s="14" t="s">
        <v>409</v>
      </c>
      <c r="E760" s="15">
        <v>41640</v>
      </c>
      <c r="F760" s="15">
        <v>42004</v>
      </c>
      <c r="G760" s="14" t="s">
        <v>415</v>
      </c>
      <c r="H760" s="14">
        <v>26.667000000000002</v>
      </c>
      <c r="I760" s="14">
        <v>26.667000000000002</v>
      </c>
      <c r="J760" s="14">
        <v>26.667000000000002</v>
      </c>
      <c r="K760" s="14">
        <v>26.667000000000002</v>
      </c>
      <c r="L760" s="14">
        <v>26.667000000000002</v>
      </c>
      <c r="M760" s="14">
        <v>26.667000000000002</v>
      </c>
      <c r="N760" s="14">
        <v>26.667000000000002</v>
      </c>
      <c r="O760" s="14">
        <v>23.888999999999999</v>
      </c>
      <c r="P760" s="14">
        <v>23.888999999999999</v>
      </c>
      <c r="Q760" s="14">
        <v>23.888999999999999</v>
      </c>
      <c r="R760" s="14">
        <v>23.888999999999999</v>
      </c>
      <c r="S760" s="14">
        <v>23.888999999999999</v>
      </c>
      <c r="T760" s="14">
        <v>23.888999999999999</v>
      </c>
      <c r="U760" s="14">
        <v>23.888999999999999</v>
      </c>
      <c r="V760" s="14">
        <v>23.888999999999999</v>
      </c>
      <c r="W760" s="14">
        <v>23.888999999999999</v>
      </c>
      <c r="X760" s="14">
        <v>23.888999999999999</v>
      </c>
      <c r="Y760" s="14">
        <v>23.888999999999999</v>
      </c>
      <c r="Z760" s="14">
        <v>23.888999999999999</v>
      </c>
      <c r="AA760" s="14">
        <v>26.667000000000002</v>
      </c>
      <c r="AB760" s="14">
        <v>26.667000000000002</v>
      </c>
      <c r="AC760" s="14">
        <v>26.667000000000002</v>
      </c>
      <c r="AD760" s="14">
        <v>26.667000000000002</v>
      </c>
      <c r="AE760" s="14">
        <v>26.667000000000002</v>
      </c>
      <c r="AF760" s="14" t="s">
        <v>413</v>
      </c>
    </row>
    <row r="761" spans="1:32" ht="14.25" customHeight="1" x14ac:dyDescent="0.35">
      <c r="A761" s="16" t="s">
        <v>898</v>
      </c>
      <c r="B761" s="16" t="s">
        <v>420</v>
      </c>
      <c r="C761" s="16" t="s">
        <v>414</v>
      </c>
      <c r="D761" s="16" t="s">
        <v>409</v>
      </c>
      <c r="E761" s="17">
        <v>41640</v>
      </c>
      <c r="F761" s="17">
        <v>42004</v>
      </c>
      <c r="G761" s="16" t="s">
        <v>415</v>
      </c>
      <c r="H761" s="16">
        <v>18.332999999999998</v>
      </c>
      <c r="I761" s="16">
        <v>18.332999999999998</v>
      </c>
      <c r="J761" s="16">
        <v>18.332999999999998</v>
      </c>
      <c r="K761" s="16">
        <v>18.332999999999998</v>
      </c>
      <c r="L761" s="16">
        <v>18.332999999999998</v>
      </c>
      <c r="M761" s="16">
        <v>18.332999999999998</v>
      </c>
      <c r="N761" s="16">
        <v>18.332999999999998</v>
      </c>
      <c r="O761" s="16">
        <v>21.111000000000001</v>
      </c>
      <c r="P761" s="16">
        <v>21.111000000000001</v>
      </c>
      <c r="Q761" s="16">
        <v>21.111000000000001</v>
      </c>
      <c r="R761" s="16">
        <v>21.111000000000001</v>
      </c>
      <c r="S761" s="16">
        <v>21.111000000000001</v>
      </c>
      <c r="T761" s="16">
        <v>21.111000000000001</v>
      </c>
      <c r="U761" s="16">
        <v>21.111000000000001</v>
      </c>
      <c r="V761" s="16">
        <v>21.111000000000001</v>
      </c>
      <c r="W761" s="16">
        <v>21.111000000000001</v>
      </c>
      <c r="X761" s="16">
        <v>21.111000000000001</v>
      </c>
      <c r="Y761" s="16">
        <v>21.111000000000001</v>
      </c>
      <c r="Z761" s="16">
        <v>21.111000000000001</v>
      </c>
      <c r="AA761" s="16">
        <v>18.332999999999998</v>
      </c>
      <c r="AB761" s="16">
        <v>18.332999999999998</v>
      </c>
      <c r="AC761" s="16">
        <v>18.332999999999998</v>
      </c>
      <c r="AD761" s="16">
        <v>18.332999999999998</v>
      </c>
      <c r="AE761" s="16">
        <v>18.332999999999998</v>
      </c>
      <c r="AF761" s="16" t="s">
        <v>413</v>
      </c>
    </row>
    <row r="762" spans="1:32" ht="14.25" customHeight="1" x14ac:dyDescent="0.35">
      <c r="A762" s="14" t="s">
        <v>899</v>
      </c>
      <c r="B762" s="14" t="s">
        <v>420</v>
      </c>
      <c r="C762" s="14" t="s">
        <v>414</v>
      </c>
      <c r="D762" s="14" t="s">
        <v>417</v>
      </c>
      <c r="E762" s="15">
        <v>41640</v>
      </c>
      <c r="F762" s="15">
        <v>42004</v>
      </c>
      <c r="G762" s="14" t="s">
        <v>415</v>
      </c>
      <c r="H762" s="14">
        <v>21.111000000000001</v>
      </c>
      <c r="I762" s="14">
        <v>21.111000000000001</v>
      </c>
      <c r="J762" s="14">
        <v>21.111000000000001</v>
      </c>
      <c r="K762" s="14">
        <v>21.111000000000001</v>
      </c>
      <c r="L762" s="14">
        <v>21.111000000000001</v>
      </c>
      <c r="M762" s="14">
        <v>21.111000000000001</v>
      </c>
      <c r="N762" s="14">
        <v>21.111000000000001</v>
      </c>
      <c r="O762" s="14">
        <v>21.111000000000001</v>
      </c>
      <c r="P762" s="14">
        <v>21.111000000000001</v>
      </c>
      <c r="Q762" s="14">
        <v>23.332999999999998</v>
      </c>
      <c r="R762" s="14">
        <v>23.332999999999998</v>
      </c>
      <c r="S762" s="14">
        <v>23.332999999999998</v>
      </c>
      <c r="T762" s="14">
        <v>23.332999999999998</v>
      </c>
      <c r="U762" s="14">
        <v>23.332999999999998</v>
      </c>
      <c r="V762" s="14">
        <v>23.332999999999998</v>
      </c>
      <c r="W762" s="14">
        <v>23.332999999999998</v>
      </c>
      <c r="X762" s="14">
        <v>21.111000000000001</v>
      </c>
      <c r="Y762" s="14">
        <v>21.111000000000001</v>
      </c>
      <c r="Z762" s="14">
        <v>21.111000000000001</v>
      </c>
      <c r="AA762" s="14">
        <v>21.111000000000001</v>
      </c>
      <c r="AB762" s="14">
        <v>21.111000000000001</v>
      </c>
      <c r="AC762" s="14">
        <v>21.111000000000001</v>
      </c>
      <c r="AD762" s="14">
        <v>21.111000000000001</v>
      </c>
      <c r="AE762" s="14">
        <v>21.111000000000001</v>
      </c>
      <c r="AF762" s="14" t="s">
        <v>413</v>
      </c>
    </row>
    <row r="763" spans="1:32" ht="14.25" customHeight="1" x14ac:dyDescent="0.35">
      <c r="A763" s="16" t="s">
        <v>899</v>
      </c>
      <c r="B763" s="16" t="s">
        <v>420</v>
      </c>
      <c r="C763" s="16" t="s">
        <v>414</v>
      </c>
      <c r="D763" s="16" t="s">
        <v>421</v>
      </c>
      <c r="E763" s="17">
        <v>41640</v>
      </c>
      <c r="F763" s="17">
        <v>42004</v>
      </c>
      <c r="G763" s="16" t="s">
        <v>410</v>
      </c>
      <c r="H763" s="16">
        <v>21.111000000000001</v>
      </c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 t="s">
        <v>413</v>
      </c>
    </row>
    <row r="764" spans="1:32" ht="14.25" customHeight="1" x14ac:dyDescent="0.35">
      <c r="A764" s="14" t="s">
        <v>900</v>
      </c>
      <c r="B764" s="14" t="s">
        <v>420</v>
      </c>
      <c r="C764" s="14" t="s">
        <v>414</v>
      </c>
      <c r="D764" s="14" t="s">
        <v>417</v>
      </c>
      <c r="E764" s="15">
        <v>41640</v>
      </c>
      <c r="F764" s="15">
        <v>42004</v>
      </c>
      <c r="G764" s="14" t="s">
        <v>415</v>
      </c>
      <c r="H764" s="14">
        <v>21.111000000000001</v>
      </c>
      <c r="I764" s="14">
        <v>21.111000000000001</v>
      </c>
      <c r="J764" s="14">
        <v>21.111000000000001</v>
      </c>
      <c r="K764" s="14">
        <v>21.111000000000001</v>
      </c>
      <c r="L764" s="14">
        <v>21.111000000000001</v>
      </c>
      <c r="M764" s="14">
        <v>21.111000000000001</v>
      </c>
      <c r="N764" s="14">
        <v>21.111000000000001</v>
      </c>
      <c r="O764" s="14">
        <v>21.111000000000001</v>
      </c>
      <c r="P764" s="14">
        <v>21.111000000000001</v>
      </c>
      <c r="Q764" s="14">
        <v>18.888999999999999</v>
      </c>
      <c r="R764" s="14">
        <v>18.888999999999999</v>
      </c>
      <c r="S764" s="14">
        <v>18.888999999999999</v>
      </c>
      <c r="T764" s="14">
        <v>18.888999999999999</v>
      </c>
      <c r="U764" s="14">
        <v>18.888999999999999</v>
      </c>
      <c r="V764" s="14">
        <v>18.888999999999999</v>
      </c>
      <c r="W764" s="14">
        <v>18.888999999999999</v>
      </c>
      <c r="X764" s="14">
        <v>21.111000000000001</v>
      </c>
      <c r="Y764" s="14">
        <v>21.111000000000001</v>
      </c>
      <c r="Z764" s="14">
        <v>21.111000000000001</v>
      </c>
      <c r="AA764" s="14">
        <v>21.111000000000001</v>
      </c>
      <c r="AB764" s="14">
        <v>21.111000000000001</v>
      </c>
      <c r="AC764" s="14">
        <v>21.111000000000001</v>
      </c>
      <c r="AD764" s="14">
        <v>21.111000000000001</v>
      </c>
      <c r="AE764" s="14">
        <v>21.111000000000001</v>
      </c>
      <c r="AF764" s="14" t="s">
        <v>413</v>
      </c>
    </row>
    <row r="765" spans="1:32" ht="14.25" customHeight="1" x14ac:dyDescent="0.35">
      <c r="A765" s="16" t="s">
        <v>900</v>
      </c>
      <c r="B765" s="16" t="s">
        <v>420</v>
      </c>
      <c r="C765" s="16" t="s">
        <v>414</v>
      </c>
      <c r="D765" s="16" t="s">
        <v>421</v>
      </c>
      <c r="E765" s="17">
        <v>41640</v>
      </c>
      <c r="F765" s="17">
        <v>42004</v>
      </c>
      <c r="G765" s="16" t="s">
        <v>410</v>
      </c>
      <c r="H765" s="16">
        <v>21.111000000000001</v>
      </c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 t="s">
        <v>413</v>
      </c>
    </row>
    <row r="766" spans="1:32" ht="14.25" customHeight="1" x14ac:dyDescent="0.35">
      <c r="A766" s="14" t="s">
        <v>901</v>
      </c>
      <c r="B766" s="14" t="s">
        <v>420</v>
      </c>
      <c r="C766" s="14" t="s">
        <v>414</v>
      </c>
      <c r="D766" s="14" t="s">
        <v>417</v>
      </c>
      <c r="E766" s="15">
        <v>41640</v>
      </c>
      <c r="F766" s="15">
        <v>42004</v>
      </c>
      <c r="G766" s="14" t="s">
        <v>415</v>
      </c>
      <c r="H766" s="14">
        <v>21.111000000000001</v>
      </c>
      <c r="I766" s="14">
        <v>21.111000000000001</v>
      </c>
      <c r="J766" s="14">
        <v>21.111000000000001</v>
      </c>
      <c r="K766" s="14">
        <v>21.111000000000001</v>
      </c>
      <c r="L766" s="14">
        <v>21.111000000000001</v>
      </c>
      <c r="M766" s="14">
        <v>21.111000000000001</v>
      </c>
      <c r="N766" s="14">
        <v>21.111000000000001</v>
      </c>
      <c r="O766" s="14">
        <v>21.111000000000001</v>
      </c>
      <c r="P766" s="14">
        <v>21.111000000000001</v>
      </c>
      <c r="Q766" s="14">
        <v>23.888000000000002</v>
      </c>
      <c r="R766" s="14">
        <v>23.888000000000002</v>
      </c>
      <c r="S766" s="14">
        <v>23.888000000000002</v>
      </c>
      <c r="T766" s="14">
        <v>23.888000000000002</v>
      </c>
      <c r="U766" s="14">
        <v>23.888000000000002</v>
      </c>
      <c r="V766" s="14">
        <v>23.888000000000002</v>
      </c>
      <c r="W766" s="14">
        <v>23.888000000000002</v>
      </c>
      <c r="X766" s="14">
        <v>21.111000000000001</v>
      </c>
      <c r="Y766" s="14">
        <v>21.111000000000001</v>
      </c>
      <c r="Z766" s="14">
        <v>21.111000000000001</v>
      </c>
      <c r="AA766" s="14">
        <v>21.111000000000001</v>
      </c>
      <c r="AB766" s="14">
        <v>21.111000000000001</v>
      </c>
      <c r="AC766" s="14">
        <v>21.111000000000001</v>
      </c>
      <c r="AD766" s="14">
        <v>21.111000000000001</v>
      </c>
      <c r="AE766" s="14">
        <v>21.111000000000001</v>
      </c>
      <c r="AF766" s="14" t="s">
        <v>413</v>
      </c>
    </row>
    <row r="767" spans="1:32" ht="14.25" customHeight="1" x14ac:dyDescent="0.35">
      <c r="A767" s="16" t="s">
        <v>901</v>
      </c>
      <c r="B767" s="16" t="s">
        <v>420</v>
      </c>
      <c r="C767" s="16" t="s">
        <v>414</v>
      </c>
      <c r="D767" s="16" t="s">
        <v>421</v>
      </c>
      <c r="E767" s="17">
        <v>41640</v>
      </c>
      <c r="F767" s="17">
        <v>42004</v>
      </c>
      <c r="G767" s="16" t="s">
        <v>410</v>
      </c>
      <c r="H767" s="16">
        <v>21.111000000000001</v>
      </c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 t="s">
        <v>413</v>
      </c>
    </row>
    <row r="768" spans="1:32" ht="14.25" customHeight="1" x14ac:dyDescent="0.35">
      <c r="A768" s="14" t="s">
        <v>902</v>
      </c>
      <c r="B768" s="14" t="s">
        <v>420</v>
      </c>
      <c r="C768" s="14" t="s">
        <v>414</v>
      </c>
      <c r="D768" s="14" t="s">
        <v>417</v>
      </c>
      <c r="E768" s="15">
        <v>41640</v>
      </c>
      <c r="F768" s="15">
        <v>42004</v>
      </c>
      <c r="G768" s="14" t="s">
        <v>415</v>
      </c>
      <c r="H768" s="14">
        <v>21.111000000000001</v>
      </c>
      <c r="I768" s="14">
        <v>21.111000000000001</v>
      </c>
      <c r="J768" s="14">
        <v>21.111000000000001</v>
      </c>
      <c r="K768" s="14">
        <v>21.111000000000001</v>
      </c>
      <c r="L768" s="14">
        <v>21.111000000000001</v>
      </c>
      <c r="M768" s="14">
        <v>21.111000000000001</v>
      </c>
      <c r="N768" s="14">
        <v>21.111000000000001</v>
      </c>
      <c r="O768" s="14">
        <v>21.111000000000001</v>
      </c>
      <c r="P768" s="14">
        <v>21.111000000000001</v>
      </c>
      <c r="Q768" s="14">
        <v>18.334</v>
      </c>
      <c r="R768" s="14">
        <v>18.334</v>
      </c>
      <c r="S768" s="14">
        <v>18.334</v>
      </c>
      <c r="T768" s="14">
        <v>18.334</v>
      </c>
      <c r="U768" s="14">
        <v>18.334</v>
      </c>
      <c r="V768" s="14">
        <v>18.334</v>
      </c>
      <c r="W768" s="14">
        <v>18.334</v>
      </c>
      <c r="X768" s="14">
        <v>21.111000000000001</v>
      </c>
      <c r="Y768" s="14">
        <v>21.111000000000001</v>
      </c>
      <c r="Z768" s="14">
        <v>21.111000000000001</v>
      </c>
      <c r="AA768" s="14">
        <v>21.111000000000001</v>
      </c>
      <c r="AB768" s="14">
        <v>21.111000000000001</v>
      </c>
      <c r="AC768" s="14">
        <v>21.111000000000001</v>
      </c>
      <c r="AD768" s="14">
        <v>21.111000000000001</v>
      </c>
      <c r="AE768" s="14">
        <v>21.111000000000001</v>
      </c>
      <c r="AF768" s="14" t="s">
        <v>413</v>
      </c>
    </row>
    <row r="769" spans="1:32" ht="14.25" customHeight="1" x14ac:dyDescent="0.35">
      <c r="A769" s="16" t="s">
        <v>902</v>
      </c>
      <c r="B769" s="16" t="s">
        <v>420</v>
      </c>
      <c r="C769" s="16" t="s">
        <v>414</v>
      </c>
      <c r="D769" s="16" t="s">
        <v>421</v>
      </c>
      <c r="E769" s="17">
        <v>41640</v>
      </c>
      <c r="F769" s="17">
        <v>42004</v>
      </c>
      <c r="G769" s="16" t="s">
        <v>410</v>
      </c>
      <c r="H769" s="16">
        <v>21.111000000000001</v>
      </c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 t="s">
        <v>413</v>
      </c>
    </row>
    <row r="770" spans="1:32" ht="14.25" customHeight="1" x14ac:dyDescent="0.35">
      <c r="A770" s="14" t="s">
        <v>903</v>
      </c>
      <c r="B770" s="14" t="s">
        <v>408</v>
      </c>
      <c r="C770" s="14"/>
      <c r="D770" s="14" t="s">
        <v>409</v>
      </c>
      <c r="E770" s="15">
        <v>41640</v>
      </c>
      <c r="F770" s="15">
        <v>42004</v>
      </c>
      <c r="G770" s="14" t="s">
        <v>410</v>
      </c>
      <c r="H770" s="14">
        <v>0</v>
      </c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 t="s">
        <v>413</v>
      </c>
    </row>
    <row r="771" spans="1:32" ht="14.25" customHeight="1" x14ac:dyDescent="0.35">
      <c r="A771" s="16" t="s">
        <v>904</v>
      </c>
      <c r="B771" s="16" t="s">
        <v>408</v>
      </c>
      <c r="C771" s="16"/>
      <c r="D771" s="16" t="s">
        <v>409</v>
      </c>
      <c r="E771" s="17">
        <v>41640</v>
      </c>
      <c r="F771" s="17">
        <v>42004</v>
      </c>
      <c r="G771" s="16" t="s">
        <v>410</v>
      </c>
      <c r="H771" s="16">
        <v>0</v>
      </c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 t="s">
        <v>413</v>
      </c>
    </row>
    <row r="772" spans="1:32" ht="14.25" customHeight="1" x14ac:dyDescent="0.35">
      <c r="A772" s="14" t="s">
        <v>905</v>
      </c>
      <c r="B772" s="14" t="s">
        <v>408</v>
      </c>
      <c r="C772" s="14"/>
      <c r="D772" s="14" t="s">
        <v>409</v>
      </c>
      <c r="E772" s="15">
        <v>41640</v>
      </c>
      <c r="F772" s="15">
        <v>42004</v>
      </c>
      <c r="G772" s="14" t="s">
        <v>410</v>
      </c>
      <c r="H772" s="14">
        <v>1</v>
      </c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 t="s">
        <v>413</v>
      </c>
    </row>
    <row r="773" spans="1:32" ht="14.25" customHeight="1" x14ac:dyDescent="0.35">
      <c r="A773" s="16" t="s">
        <v>906</v>
      </c>
      <c r="B773" s="16" t="s">
        <v>408</v>
      </c>
      <c r="C773" s="16"/>
      <c r="D773" s="16" t="s">
        <v>409</v>
      </c>
      <c r="E773" s="17">
        <v>41640</v>
      </c>
      <c r="F773" s="17">
        <v>42004</v>
      </c>
      <c r="G773" s="16" t="s">
        <v>410</v>
      </c>
      <c r="H773" s="16">
        <v>1</v>
      </c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 t="s">
        <v>413</v>
      </c>
    </row>
    <row r="774" spans="1:32" ht="14.25" customHeight="1" x14ac:dyDescent="0.35">
      <c r="A774" s="14" t="s">
        <v>907</v>
      </c>
      <c r="B774" s="14" t="s">
        <v>420</v>
      </c>
      <c r="C774" s="14" t="s">
        <v>414</v>
      </c>
      <c r="D774" s="14" t="s">
        <v>409</v>
      </c>
      <c r="E774" s="15">
        <v>41640</v>
      </c>
      <c r="F774" s="15">
        <v>42004</v>
      </c>
      <c r="G774" s="14" t="s">
        <v>410</v>
      </c>
      <c r="H774" s="14">
        <v>21.111000000000001</v>
      </c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 t="s">
        <v>413</v>
      </c>
    </row>
    <row r="775" spans="1:32" ht="14.25" customHeight="1" x14ac:dyDescent="0.35">
      <c r="A775" s="16" t="s">
        <v>908</v>
      </c>
      <c r="B775" s="16" t="s">
        <v>420</v>
      </c>
      <c r="C775" s="16" t="s">
        <v>414</v>
      </c>
      <c r="D775" s="16" t="s">
        <v>409</v>
      </c>
      <c r="E775" s="17">
        <v>41640</v>
      </c>
      <c r="F775" s="17">
        <v>42004</v>
      </c>
      <c r="G775" s="16" t="s">
        <v>410</v>
      </c>
      <c r="H775" s="16">
        <v>21.111000000000001</v>
      </c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 t="s">
        <v>413</v>
      </c>
    </row>
    <row r="776" spans="1:32" ht="14.25" customHeight="1" x14ac:dyDescent="0.35">
      <c r="A776" s="14" t="s">
        <v>909</v>
      </c>
      <c r="B776" s="14" t="s">
        <v>416</v>
      </c>
      <c r="C776" s="14"/>
      <c r="D776" s="14" t="s">
        <v>417</v>
      </c>
      <c r="E776" s="15">
        <v>41640</v>
      </c>
      <c r="F776" s="15">
        <v>42004</v>
      </c>
      <c r="G776" s="14" t="s">
        <v>415</v>
      </c>
      <c r="H776" s="14">
        <v>0.05</v>
      </c>
      <c r="I776" s="14">
        <v>0.05</v>
      </c>
      <c r="J776" s="14">
        <v>0.05</v>
      </c>
      <c r="K776" s="14">
        <v>0.05</v>
      </c>
      <c r="L776" s="14">
        <v>0.1</v>
      </c>
      <c r="M776" s="14">
        <v>0.2</v>
      </c>
      <c r="N776" s="14">
        <v>0.4</v>
      </c>
      <c r="O776" s="14">
        <v>0.5</v>
      </c>
      <c r="P776" s="14">
        <v>0.5</v>
      </c>
      <c r="Q776" s="14">
        <v>0.35</v>
      </c>
      <c r="R776" s="14">
        <v>0.15</v>
      </c>
      <c r="S776" s="14">
        <v>0.15</v>
      </c>
      <c r="T776" s="14">
        <v>0.15</v>
      </c>
      <c r="U776" s="14">
        <v>0.15</v>
      </c>
      <c r="V776" s="14">
        <v>0.15</v>
      </c>
      <c r="W776" s="14">
        <v>0.15</v>
      </c>
      <c r="X776" s="14">
        <v>0.35</v>
      </c>
      <c r="Y776" s="14">
        <v>0.5</v>
      </c>
      <c r="Z776" s="14">
        <v>0.5</v>
      </c>
      <c r="AA776" s="14">
        <v>0.4</v>
      </c>
      <c r="AB776" s="14">
        <v>0.4</v>
      </c>
      <c r="AC776" s="14">
        <v>0.3</v>
      </c>
      <c r="AD776" s="14">
        <v>0.2</v>
      </c>
      <c r="AE776" s="14">
        <v>0.1</v>
      </c>
      <c r="AF776" s="14" t="s">
        <v>413</v>
      </c>
    </row>
    <row r="777" spans="1:32" ht="14.25" customHeight="1" x14ac:dyDescent="0.35">
      <c r="A777" s="14" t="s">
        <v>909</v>
      </c>
      <c r="B777" s="14" t="s">
        <v>416</v>
      </c>
      <c r="C777" s="14"/>
      <c r="D777" s="14" t="s">
        <v>419</v>
      </c>
      <c r="E777" s="15">
        <v>41640</v>
      </c>
      <c r="F777" s="15">
        <v>42004</v>
      </c>
      <c r="G777" s="14" t="s">
        <v>410</v>
      </c>
      <c r="H777" s="14">
        <v>0.5</v>
      </c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 t="s">
        <v>413</v>
      </c>
    </row>
    <row r="778" spans="1:32" ht="14.25" customHeight="1" x14ac:dyDescent="0.35">
      <c r="A778" s="16" t="s">
        <v>909</v>
      </c>
      <c r="B778" s="16" t="s">
        <v>416</v>
      </c>
      <c r="C778" s="16"/>
      <c r="D778" s="16" t="s">
        <v>418</v>
      </c>
      <c r="E778" s="17">
        <v>41640</v>
      </c>
      <c r="F778" s="17">
        <v>42004</v>
      </c>
      <c r="G778" s="16" t="s">
        <v>410</v>
      </c>
      <c r="H778" s="16">
        <v>0.05</v>
      </c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 t="s">
        <v>413</v>
      </c>
    </row>
    <row r="779" spans="1:32" ht="14.25" customHeight="1" x14ac:dyDescent="0.35">
      <c r="A779" s="16" t="s">
        <v>910</v>
      </c>
      <c r="B779" s="16" t="s">
        <v>424</v>
      </c>
      <c r="C779" s="16"/>
      <c r="D779" s="16" t="s">
        <v>409</v>
      </c>
      <c r="E779" s="17">
        <v>41640</v>
      </c>
      <c r="F779" s="17">
        <v>42004</v>
      </c>
      <c r="G779" s="16" t="s">
        <v>410</v>
      </c>
      <c r="H779" s="16">
        <v>1</v>
      </c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 t="s">
        <v>413</v>
      </c>
    </row>
    <row r="780" spans="1:32" ht="14.25" customHeight="1" x14ac:dyDescent="0.35">
      <c r="A780" s="16" t="s">
        <v>911</v>
      </c>
      <c r="B780" s="16" t="s">
        <v>424</v>
      </c>
      <c r="C780" s="16"/>
      <c r="D780" s="16" t="s">
        <v>409</v>
      </c>
      <c r="E780" s="17">
        <v>41640</v>
      </c>
      <c r="F780" s="17">
        <v>42004</v>
      </c>
      <c r="G780" s="16" t="s">
        <v>410</v>
      </c>
      <c r="H780" s="16">
        <v>0.65</v>
      </c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 t="s">
        <v>413</v>
      </c>
    </row>
    <row r="781" spans="1:32" ht="14.25" customHeight="1" x14ac:dyDescent="0.35">
      <c r="A781" s="14" t="s">
        <v>912</v>
      </c>
      <c r="B781" s="14" t="s">
        <v>424</v>
      </c>
      <c r="C781" s="14"/>
      <c r="D781" s="14" t="s">
        <v>417</v>
      </c>
      <c r="E781" s="15">
        <v>41640</v>
      </c>
      <c r="F781" s="15">
        <v>42004</v>
      </c>
      <c r="G781" s="14" t="s">
        <v>415</v>
      </c>
      <c r="H781" s="14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0.2</v>
      </c>
      <c r="N781" s="14">
        <v>0.3</v>
      </c>
      <c r="O781" s="14">
        <v>0.5</v>
      </c>
      <c r="P781" s="14">
        <v>1</v>
      </c>
      <c r="Q781" s="14">
        <v>1</v>
      </c>
      <c r="R781" s="14">
        <v>1</v>
      </c>
      <c r="S781" s="14">
        <v>1</v>
      </c>
      <c r="T781" s="14">
        <v>1</v>
      </c>
      <c r="U781" s="14">
        <v>1</v>
      </c>
      <c r="V781" s="14">
        <v>1</v>
      </c>
      <c r="W781" s="14">
        <v>1</v>
      </c>
      <c r="X781" s="14">
        <v>1</v>
      </c>
      <c r="Y781" s="14">
        <v>1</v>
      </c>
      <c r="Z781" s="14">
        <v>0.5</v>
      </c>
      <c r="AA781" s="14">
        <v>0.3</v>
      </c>
      <c r="AB781" s="14">
        <v>0.2</v>
      </c>
      <c r="AC781" s="14">
        <v>0.05</v>
      </c>
      <c r="AD781" s="14">
        <v>0</v>
      </c>
      <c r="AE781" s="14">
        <v>0</v>
      </c>
      <c r="AF781" s="14" t="s">
        <v>413</v>
      </c>
    </row>
    <row r="782" spans="1:32" ht="14.25" customHeight="1" x14ac:dyDescent="0.35">
      <c r="A782" s="14" t="s">
        <v>912</v>
      </c>
      <c r="B782" s="14" t="s">
        <v>424</v>
      </c>
      <c r="C782" s="14"/>
      <c r="D782" s="14" t="s">
        <v>419</v>
      </c>
      <c r="E782" s="15">
        <v>41640</v>
      </c>
      <c r="F782" s="15">
        <v>42004</v>
      </c>
      <c r="G782" s="14" t="s">
        <v>410</v>
      </c>
      <c r="H782" s="14">
        <v>1</v>
      </c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 t="s">
        <v>413</v>
      </c>
    </row>
    <row r="783" spans="1:32" ht="14.25" customHeight="1" x14ac:dyDescent="0.35">
      <c r="A783" s="16" t="s">
        <v>912</v>
      </c>
      <c r="B783" s="16" t="s">
        <v>424</v>
      </c>
      <c r="C783" s="16"/>
      <c r="D783" s="16" t="s">
        <v>418</v>
      </c>
      <c r="E783" s="17">
        <v>41640</v>
      </c>
      <c r="F783" s="17">
        <v>42004</v>
      </c>
      <c r="G783" s="16" t="s">
        <v>410</v>
      </c>
      <c r="H783" s="16">
        <v>0</v>
      </c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 t="s">
        <v>413</v>
      </c>
    </row>
    <row r="784" spans="1:32" ht="14.25" customHeight="1" x14ac:dyDescent="0.35">
      <c r="A784" s="16" t="s">
        <v>913</v>
      </c>
      <c r="B784" s="16" t="s">
        <v>424</v>
      </c>
      <c r="C784" s="16"/>
      <c r="D784" s="16" t="s">
        <v>409</v>
      </c>
      <c r="E784" s="17">
        <v>41640</v>
      </c>
      <c r="F784" s="17">
        <v>42004</v>
      </c>
      <c r="G784" s="16" t="s">
        <v>415</v>
      </c>
      <c r="H784" s="16">
        <v>0</v>
      </c>
      <c r="I784" s="16">
        <v>0</v>
      </c>
      <c r="J784" s="16">
        <v>0</v>
      </c>
      <c r="K784" s="16">
        <v>0</v>
      </c>
      <c r="L784" s="16">
        <v>0</v>
      </c>
      <c r="M784" s="16">
        <v>0</v>
      </c>
      <c r="N784" s="16">
        <v>0.5</v>
      </c>
      <c r="O784" s="16">
        <v>1</v>
      </c>
      <c r="P784" s="16">
        <v>1</v>
      </c>
      <c r="Q784" s="16">
        <v>1</v>
      </c>
      <c r="R784" s="16">
        <v>1</v>
      </c>
      <c r="S784" s="16">
        <v>1</v>
      </c>
      <c r="T784" s="16">
        <v>1</v>
      </c>
      <c r="U784" s="16">
        <v>1</v>
      </c>
      <c r="V784" s="16">
        <v>1</v>
      </c>
      <c r="W784" s="16">
        <v>1</v>
      </c>
      <c r="X784" s="16">
        <v>1</v>
      </c>
      <c r="Y784" s="16">
        <v>1</v>
      </c>
      <c r="Z784" s="16">
        <v>1</v>
      </c>
      <c r="AA784" s="16">
        <v>1</v>
      </c>
      <c r="AB784" s="16">
        <v>1</v>
      </c>
      <c r="AC784" s="16">
        <v>1</v>
      </c>
      <c r="AD784" s="16">
        <v>0.5</v>
      </c>
      <c r="AE784" s="16">
        <v>0</v>
      </c>
      <c r="AF784" s="16" t="s">
        <v>413</v>
      </c>
    </row>
    <row r="785" spans="1:32" ht="14.25" customHeight="1" x14ac:dyDescent="0.35">
      <c r="A785" s="14" t="s">
        <v>914</v>
      </c>
      <c r="B785" s="14" t="s">
        <v>424</v>
      </c>
      <c r="C785" s="14"/>
      <c r="D785" s="14" t="s">
        <v>417</v>
      </c>
      <c r="E785" s="15">
        <v>41640</v>
      </c>
      <c r="F785" s="15">
        <v>42004</v>
      </c>
      <c r="G785" s="14" t="s">
        <v>415</v>
      </c>
      <c r="H785" s="14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0.2</v>
      </c>
      <c r="N785" s="14">
        <v>0.3</v>
      </c>
      <c r="O785" s="14">
        <v>0.5</v>
      </c>
      <c r="P785" s="14">
        <v>1</v>
      </c>
      <c r="Q785" s="14">
        <v>1</v>
      </c>
      <c r="R785" s="14">
        <v>1</v>
      </c>
      <c r="S785" s="14">
        <v>1</v>
      </c>
      <c r="T785" s="14">
        <v>1</v>
      </c>
      <c r="U785" s="14">
        <v>1</v>
      </c>
      <c r="V785" s="14">
        <v>1</v>
      </c>
      <c r="W785" s="14">
        <v>1</v>
      </c>
      <c r="X785" s="14">
        <v>1</v>
      </c>
      <c r="Y785" s="14">
        <v>1</v>
      </c>
      <c r="Z785" s="14">
        <v>0.5</v>
      </c>
      <c r="AA785" s="14">
        <v>0.3</v>
      </c>
      <c r="AB785" s="14">
        <v>0.2</v>
      </c>
      <c r="AC785" s="14">
        <v>0.05</v>
      </c>
      <c r="AD785" s="14">
        <v>0</v>
      </c>
      <c r="AE785" s="14">
        <v>0</v>
      </c>
      <c r="AF785" s="14" t="s">
        <v>413</v>
      </c>
    </row>
    <row r="786" spans="1:32" ht="14.25" customHeight="1" x14ac:dyDescent="0.35">
      <c r="A786" s="14" t="s">
        <v>914</v>
      </c>
      <c r="B786" s="14" t="s">
        <v>424</v>
      </c>
      <c r="C786" s="14"/>
      <c r="D786" s="14" t="s">
        <v>419</v>
      </c>
      <c r="E786" s="15">
        <v>41640</v>
      </c>
      <c r="F786" s="15">
        <v>42004</v>
      </c>
      <c r="G786" s="14" t="s">
        <v>410</v>
      </c>
      <c r="H786" s="14">
        <v>1</v>
      </c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 t="s">
        <v>413</v>
      </c>
    </row>
    <row r="787" spans="1:32" ht="14.25" customHeight="1" x14ac:dyDescent="0.35">
      <c r="A787" s="16" t="s">
        <v>914</v>
      </c>
      <c r="B787" s="16" t="s">
        <v>424</v>
      </c>
      <c r="C787" s="16"/>
      <c r="D787" s="16" t="s">
        <v>418</v>
      </c>
      <c r="E787" s="17">
        <v>41640</v>
      </c>
      <c r="F787" s="17">
        <v>42004</v>
      </c>
      <c r="G787" s="16" t="s">
        <v>410</v>
      </c>
      <c r="H787" s="16">
        <v>0</v>
      </c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 t="s">
        <v>413</v>
      </c>
    </row>
    <row r="788" spans="1:32" ht="14.25" customHeight="1" x14ac:dyDescent="0.35">
      <c r="A788" s="16" t="s">
        <v>915</v>
      </c>
      <c r="B788" s="16" t="s">
        <v>424</v>
      </c>
      <c r="C788" s="16"/>
      <c r="D788" s="16" t="s">
        <v>417</v>
      </c>
      <c r="E788" s="17">
        <v>41640</v>
      </c>
      <c r="F788" s="17">
        <v>42004</v>
      </c>
      <c r="G788" s="16" t="s">
        <v>415</v>
      </c>
      <c r="H788" s="22">
        <v>0.21970000000000001</v>
      </c>
      <c r="I788" s="22">
        <v>0.21970000000000001</v>
      </c>
      <c r="J788" s="22">
        <v>9.4500000000000001E-2</v>
      </c>
      <c r="K788" s="22">
        <v>9.4500000000000001E-2</v>
      </c>
      <c r="L788" s="22">
        <v>9.4500000000000001E-2</v>
      </c>
      <c r="M788" s="22">
        <v>9.4500000000000001E-2</v>
      </c>
      <c r="N788" s="22">
        <v>0.38519999999999999</v>
      </c>
      <c r="O788" s="22">
        <v>0.38519999999999999</v>
      </c>
      <c r="P788" s="22">
        <v>0.52590000000000003</v>
      </c>
      <c r="Q788" s="22">
        <v>0.44426700000000002</v>
      </c>
      <c r="R788" s="22">
        <v>0.30215799999999998</v>
      </c>
      <c r="S788" s="22">
        <v>0.2432</v>
      </c>
      <c r="T788" s="22">
        <v>0.2432</v>
      </c>
      <c r="U788" s="22">
        <v>0.2432</v>
      </c>
      <c r="V788" s="22">
        <v>0.2432</v>
      </c>
      <c r="W788" s="22">
        <v>0.2432</v>
      </c>
      <c r="X788" s="22">
        <v>0.2432</v>
      </c>
      <c r="Y788" s="22">
        <v>0.25327499999999997</v>
      </c>
      <c r="Z788" s="22">
        <v>0.79730000000000001</v>
      </c>
      <c r="AA788" s="22">
        <v>0.93899999999999995</v>
      </c>
      <c r="AB788" s="22">
        <v>0.93899999999999995</v>
      </c>
      <c r="AC788" s="22">
        <v>0.93899999999999995</v>
      </c>
      <c r="AD788" s="22">
        <v>0.79730000000000001</v>
      </c>
      <c r="AE788" s="22">
        <v>0.38519999999999999</v>
      </c>
      <c r="AF788" s="16" t="s">
        <v>413</v>
      </c>
    </row>
    <row r="789" spans="1:32" ht="14.25" customHeight="1" x14ac:dyDescent="0.35">
      <c r="A789" s="16" t="s">
        <v>915</v>
      </c>
      <c r="B789" s="16" t="s">
        <v>424</v>
      </c>
      <c r="C789" s="16"/>
      <c r="D789" s="16" t="s">
        <v>419</v>
      </c>
      <c r="E789" s="17">
        <v>41640</v>
      </c>
      <c r="F789" s="17">
        <v>42004</v>
      </c>
      <c r="G789" s="16" t="s">
        <v>410</v>
      </c>
      <c r="H789" s="16">
        <v>1</v>
      </c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 t="s">
        <v>413</v>
      </c>
    </row>
    <row r="790" spans="1:32" ht="14.25" customHeight="1" x14ac:dyDescent="0.35">
      <c r="A790" s="14" t="s">
        <v>915</v>
      </c>
      <c r="B790" s="14" t="s">
        <v>424</v>
      </c>
      <c r="C790" s="14"/>
      <c r="D790" s="14" t="s">
        <v>429</v>
      </c>
      <c r="E790" s="15">
        <v>41640</v>
      </c>
      <c r="F790" s="15">
        <v>42004</v>
      </c>
      <c r="G790" s="14" t="s">
        <v>415</v>
      </c>
      <c r="H790" s="23">
        <v>0.18590000000000001</v>
      </c>
      <c r="I790" s="23">
        <v>0.1452</v>
      </c>
      <c r="J790" s="23">
        <v>9.4500000000000001E-2</v>
      </c>
      <c r="K790" s="23">
        <v>9.4500000000000001E-2</v>
      </c>
      <c r="L790" s="23">
        <v>9.4500000000000001E-2</v>
      </c>
      <c r="M790" s="23">
        <v>0.18590000000000001</v>
      </c>
      <c r="N790" s="23">
        <v>0.41210000000000002</v>
      </c>
      <c r="O790" s="23">
        <v>0.52590000000000003</v>
      </c>
      <c r="P790" s="23">
        <v>0.41210000000000002</v>
      </c>
      <c r="Q790" s="23">
        <v>0.41210000000000002</v>
      </c>
      <c r="R790" s="23">
        <v>0.2087</v>
      </c>
      <c r="S790" s="23">
        <v>0.2087</v>
      </c>
      <c r="T790" s="23">
        <v>0.2087</v>
      </c>
      <c r="U790" s="23">
        <v>0.2087</v>
      </c>
      <c r="V790" s="23">
        <v>0.2087</v>
      </c>
      <c r="W790" s="23">
        <v>0.2087</v>
      </c>
      <c r="X790" s="23">
        <v>0.21304000000000001</v>
      </c>
      <c r="Y790" s="23">
        <v>0.21490000000000001</v>
      </c>
      <c r="Z790" s="23">
        <v>0.62970000000000004</v>
      </c>
      <c r="AA790" s="23">
        <v>0.83420000000000005</v>
      </c>
      <c r="AB790" s="23">
        <v>0.93799999999999994</v>
      </c>
      <c r="AC790" s="23">
        <v>0.83420000000000005</v>
      </c>
      <c r="AD790" s="23">
        <v>0.62970000000000004</v>
      </c>
      <c r="AE790" s="23">
        <v>0.30830000000000002</v>
      </c>
      <c r="AF790" s="14" t="s">
        <v>413</v>
      </c>
    </row>
    <row r="791" spans="1:32" ht="14.25" customHeight="1" x14ac:dyDescent="0.35">
      <c r="A791" s="14" t="s">
        <v>915</v>
      </c>
      <c r="B791" s="14" t="s">
        <v>424</v>
      </c>
      <c r="C791" s="14"/>
      <c r="D791" s="14" t="s">
        <v>418</v>
      </c>
      <c r="E791" s="15">
        <v>41640</v>
      </c>
      <c r="F791" s="15">
        <v>42004</v>
      </c>
      <c r="G791" s="14" t="s">
        <v>410</v>
      </c>
      <c r="H791" s="14">
        <v>0</v>
      </c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 t="s">
        <v>413</v>
      </c>
    </row>
    <row r="792" spans="1:32" ht="14.25" customHeight="1" x14ac:dyDescent="0.35">
      <c r="A792" s="16" t="s">
        <v>916</v>
      </c>
      <c r="B792" s="16" t="s">
        <v>424</v>
      </c>
      <c r="C792" s="16"/>
      <c r="D792" s="16" t="s">
        <v>417</v>
      </c>
      <c r="E792" s="17">
        <v>41640</v>
      </c>
      <c r="F792" s="17">
        <v>42004</v>
      </c>
      <c r="G792" s="16" t="s">
        <v>415</v>
      </c>
      <c r="H792" s="16">
        <v>0.13</v>
      </c>
      <c r="I792" s="16">
        <v>0.13</v>
      </c>
      <c r="J792" s="16">
        <v>0.06</v>
      </c>
      <c r="K792" s="16">
        <v>0.06</v>
      </c>
      <c r="L792" s="16">
        <v>0.06</v>
      </c>
      <c r="M792" s="16">
        <v>0.06</v>
      </c>
      <c r="N792" s="16">
        <v>0.33</v>
      </c>
      <c r="O792" s="16">
        <v>0.33</v>
      </c>
      <c r="P792" s="16">
        <v>0.45</v>
      </c>
      <c r="Q792" s="16">
        <v>0.18667</v>
      </c>
      <c r="R792" s="16">
        <v>6.2121000000000003E-2</v>
      </c>
      <c r="S792" s="16">
        <v>0.05</v>
      </c>
      <c r="T792" s="16">
        <v>0.05</v>
      </c>
      <c r="U792" s="16">
        <v>0.05</v>
      </c>
      <c r="V792" s="16">
        <v>0.05</v>
      </c>
      <c r="W792" s="16">
        <v>0.05</v>
      </c>
      <c r="X792" s="16">
        <v>0.05</v>
      </c>
      <c r="Y792" s="16">
        <v>8.2500000000000004E-2</v>
      </c>
      <c r="Z792" s="16">
        <v>0.68</v>
      </c>
      <c r="AA792" s="16">
        <v>0.8</v>
      </c>
      <c r="AB792" s="16">
        <v>0.8</v>
      </c>
      <c r="AC792" s="16">
        <v>0.8</v>
      </c>
      <c r="AD792" s="16">
        <v>0.68</v>
      </c>
      <c r="AE792" s="16">
        <v>0.33</v>
      </c>
      <c r="AF792" s="16" t="s">
        <v>413</v>
      </c>
    </row>
    <row r="793" spans="1:32" ht="14.25" customHeight="1" x14ac:dyDescent="0.35">
      <c r="A793" s="16" t="s">
        <v>916</v>
      </c>
      <c r="B793" s="16" t="s">
        <v>424</v>
      </c>
      <c r="C793" s="16"/>
      <c r="D793" s="16" t="s">
        <v>419</v>
      </c>
      <c r="E793" s="17">
        <v>41640</v>
      </c>
      <c r="F793" s="17">
        <v>42004</v>
      </c>
      <c r="G793" s="16" t="s">
        <v>410</v>
      </c>
      <c r="H793" s="16">
        <v>1</v>
      </c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 t="s">
        <v>413</v>
      </c>
    </row>
    <row r="794" spans="1:32" ht="14.25" customHeight="1" x14ac:dyDescent="0.35">
      <c r="A794" s="14" t="s">
        <v>916</v>
      </c>
      <c r="B794" s="14" t="s">
        <v>424</v>
      </c>
      <c r="C794" s="14"/>
      <c r="D794" s="14" t="s">
        <v>429</v>
      </c>
      <c r="E794" s="15">
        <v>41640</v>
      </c>
      <c r="F794" s="15">
        <v>42004</v>
      </c>
      <c r="G794" s="14" t="s">
        <v>415</v>
      </c>
      <c r="H794" s="14">
        <v>0.11</v>
      </c>
      <c r="I794" s="14">
        <v>0.09</v>
      </c>
      <c r="J794" s="14">
        <v>0.06</v>
      </c>
      <c r="K794" s="14">
        <v>0.06</v>
      </c>
      <c r="L794" s="14">
        <v>0.06</v>
      </c>
      <c r="M794" s="14">
        <v>0.11</v>
      </c>
      <c r="N794" s="14">
        <v>0.35</v>
      </c>
      <c r="O794" s="14">
        <v>0.45</v>
      </c>
      <c r="P794" s="14">
        <v>0.45</v>
      </c>
      <c r="Q794" s="14">
        <v>0.35</v>
      </c>
      <c r="R794" s="14">
        <v>0.35</v>
      </c>
      <c r="S794" s="14">
        <v>0.35</v>
      </c>
      <c r="T794" s="14">
        <v>0.35</v>
      </c>
      <c r="U794" s="14">
        <v>0.35</v>
      </c>
      <c r="V794" s="14">
        <v>0.35</v>
      </c>
      <c r="W794" s="14">
        <v>0.05</v>
      </c>
      <c r="X794" s="14">
        <v>6.4000000000000001E-2</v>
      </c>
      <c r="Y794" s="14">
        <v>7.0000000000000007E-2</v>
      </c>
      <c r="Z794" s="14">
        <v>0.54</v>
      </c>
      <c r="AA794" s="14">
        <v>0.71</v>
      </c>
      <c r="AB794" s="14">
        <v>0.8</v>
      </c>
      <c r="AC794" s="14">
        <v>0.71</v>
      </c>
      <c r="AD794" s="14">
        <v>0.54</v>
      </c>
      <c r="AE794" s="14">
        <v>0.26</v>
      </c>
      <c r="AF794" s="14" t="s">
        <v>413</v>
      </c>
    </row>
    <row r="795" spans="1:32" ht="14.25" customHeight="1" x14ac:dyDescent="0.35">
      <c r="A795" s="14" t="s">
        <v>916</v>
      </c>
      <c r="B795" s="14" t="s">
        <v>424</v>
      </c>
      <c r="C795" s="14"/>
      <c r="D795" s="14" t="s">
        <v>418</v>
      </c>
      <c r="E795" s="15">
        <v>41640</v>
      </c>
      <c r="F795" s="15">
        <v>42004</v>
      </c>
      <c r="G795" s="14" t="s">
        <v>410</v>
      </c>
      <c r="H795" s="14">
        <v>0</v>
      </c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 t="s">
        <v>413</v>
      </c>
    </row>
    <row r="796" spans="1:32" ht="14.25" customHeight="1" x14ac:dyDescent="0.35">
      <c r="A796" s="16" t="s">
        <v>917</v>
      </c>
      <c r="B796" s="16" t="s">
        <v>424</v>
      </c>
      <c r="C796" s="16"/>
      <c r="D796" s="16" t="s">
        <v>409</v>
      </c>
      <c r="E796" s="17">
        <v>41640</v>
      </c>
      <c r="F796" s="17">
        <v>42004</v>
      </c>
      <c r="G796" s="16" t="s">
        <v>415</v>
      </c>
      <c r="H796" s="16">
        <v>0</v>
      </c>
      <c r="I796" s="16">
        <v>0</v>
      </c>
      <c r="J796" s="16">
        <v>0</v>
      </c>
      <c r="K796" s="16">
        <v>0</v>
      </c>
      <c r="L796" s="16">
        <v>0</v>
      </c>
      <c r="M796" s="16">
        <v>0</v>
      </c>
      <c r="N796" s="16">
        <v>0</v>
      </c>
      <c r="O796" s="16">
        <v>0</v>
      </c>
      <c r="P796" s="16">
        <v>1</v>
      </c>
      <c r="Q796" s="16">
        <v>1</v>
      </c>
      <c r="R796" s="16">
        <v>1</v>
      </c>
      <c r="S796" s="16">
        <v>1</v>
      </c>
      <c r="T796" s="16">
        <v>1</v>
      </c>
      <c r="U796" s="16">
        <v>1</v>
      </c>
      <c r="V796" s="16">
        <v>1</v>
      </c>
      <c r="W796" s="16">
        <v>1</v>
      </c>
      <c r="X796" s="16">
        <v>1</v>
      </c>
      <c r="Y796" s="16">
        <v>0</v>
      </c>
      <c r="Z796" s="16">
        <v>0</v>
      </c>
      <c r="AA796" s="16">
        <v>0</v>
      </c>
      <c r="AB796" s="16">
        <v>0</v>
      </c>
      <c r="AC796" s="16">
        <v>0</v>
      </c>
      <c r="AD796" s="16">
        <v>0</v>
      </c>
      <c r="AE796" s="16">
        <v>0</v>
      </c>
      <c r="AF796" s="16" t="s">
        <v>413</v>
      </c>
    </row>
    <row r="797" spans="1:32" ht="14.25" customHeight="1" x14ac:dyDescent="0.35">
      <c r="A797" s="14" t="s">
        <v>918</v>
      </c>
      <c r="B797" s="14" t="s">
        <v>424</v>
      </c>
      <c r="C797" s="14"/>
      <c r="D797" s="14" t="s">
        <v>791</v>
      </c>
      <c r="E797" s="15">
        <v>41640</v>
      </c>
      <c r="F797" s="15">
        <v>42004</v>
      </c>
      <c r="G797" s="14" t="s">
        <v>415</v>
      </c>
      <c r="H797" s="14">
        <v>0.1</v>
      </c>
      <c r="I797" s="14">
        <v>0.1</v>
      </c>
      <c r="J797" s="14">
        <v>0.1</v>
      </c>
      <c r="K797" s="14">
        <v>0.1</v>
      </c>
      <c r="L797" s="14">
        <v>0.1</v>
      </c>
      <c r="M797" s="14">
        <v>0.1</v>
      </c>
      <c r="N797" s="14">
        <v>0.1</v>
      </c>
      <c r="O797" s="14">
        <v>0.2</v>
      </c>
      <c r="P797" s="14">
        <v>0.4</v>
      </c>
      <c r="Q797" s="14">
        <v>0.4</v>
      </c>
      <c r="R797" s="14">
        <v>0.4</v>
      </c>
      <c r="S797" s="14">
        <v>0.4</v>
      </c>
      <c r="T797" s="14">
        <v>0.4</v>
      </c>
      <c r="U797" s="14">
        <v>0.4</v>
      </c>
      <c r="V797" s="14">
        <v>0.4</v>
      </c>
      <c r="W797" s="14">
        <v>0.4</v>
      </c>
      <c r="X797" s="14">
        <v>0.4</v>
      </c>
      <c r="Y797" s="14">
        <v>0.4</v>
      </c>
      <c r="Z797" s="14">
        <v>0.2</v>
      </c>
      <c r="AA797" s="14">
        <v>0.2</v>
      </c>
      <c r="AB797" s="14">
        <v>0.2</v>
      </c>
      <c r="AC797" s="14">
        <v>0.2</v>
      </c>
      <c r="AD797" s="14">
        <v>0.1</v>
      </c>
      <c r="AE797" s="14">
        <v>0.1</v>
      </c>
      <c r="AF797" s="14" t="s">
        <v>413</v>
      </c>
    </row>
    <row r="798" spans="1:32" ht="14.25" customHeight="1" x14ac:dyDescent="0.35">
      <c r="A798" s="14" t="s">
        <v>918</v>
      </c>
      <c r="B798" s="14" t="s">
        <v>424</v>
      </c>
      <c r="C798" s="14"/>
      <c r="D798" s="14" t="s">
        <v>419</v>
      </c>
      <c r="E798" s="15">
        <v>41640</v>
      </c>
      <c r="F798" s="15">
        <v>42004</v>
      </c>
      <c r="G798" s="14" t="s">
        <v>410</v>
      </c>
      <c r="H798" s="14">
        <v>1</v>
      </c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 t="s">
        <v>413</v>
      </c>
    </row>
    <row r="799" spans="1:32" ht="14.25" customHeight="1" x14ac:dyDescent="0.35">
      <c r="A799" s="16" t="s">
        <v>918</v>
      </c>
      <c r="B799" s="16" t="s">
        <v>424</v>
      </c>
      <c r="C799" s="16"/>
      <c r="D799" s="16" t="s">
        <v>418</v>
      </c>
      <c r="E799" s="17">
        <v>41640</v>
      </c>
      <c r="F799" s="17">
        <v>42004</v>
      </c>
      <c r="G799" s="16" t="s">
        <v>410</v>
      </c>
      <c r="H799" s="16">
        <v>0</v>
      </c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 t="s">
        <v>413</v>
      </c>
    </row>
    <row r="800" spans="1:32" ht="14.25" customHeight="1" x14ac:dyDescent="0.35">
      <c r="A800" s="16" t="s">
        <v>919</v>
      </c>
      <c r="B800" s="16" t="s">
        <v>424</v>
      </c>
      <c r="C800" s="16"/>
      <c r="D800" s="16" t="s">
        <v>417</v>
      </c>
      <c r="E800" s="17">
        <v>41640</v>
      </c>
      <c r="F800" s="17">
        <v>42004</v>
      </c>
      <c r="G800" s="16" t="s">
        <v>415</v>
      </c>
      <c r="H800" s="16">
        <v>0</v>
      </c>
      <c r="I800" s="16">
        <v>0</v>
      </c>
      <c r="J800" s="16">
        <v>0</v>
      </c>
      <c r="K800" s="16">
        <v>0</v>
      </c>
      <c r="L800" s="16">
        <v>0</v>
      </c>
      <c r="M800" s="16">
        <v>0.2</v>
      </c>
      <c r="N800" s="16">
        <v>0.3</v>
      </c>
      <c r="O800" s="16">
        <v>0.5</v>
      </c>
      <c r="P800" s="16">
        <v>1</v>
      </c>
      <c r="Q800" s="16">
        <v>1</v>
      </c>
      <c r="R800" s="16">
        <v>1</v>
      </c>
      <c r="S800" s="16">
        <v>1</v>
      </c>
      <c r="T800" s="16">
        <v>1</v>
      </c>
      <c r="U800" s="16">
        <v>1</v>
      </c>
      <c r="V800" s="16">
        <v>1</v>
      </c>
      <c r="W800" s="16">
        <v>1</v>
      </c>
      <c r="X800" s="16">
        <v>1</v>
      </c>
      <c r="Y800" s="16">
        <v>1</v>
      </c>
      <c r="Z800" s="16">
        <v>0.5</v>
      </c>
      <c r="AA800" s="16">
        <v>0.3</v>
      </c>
      <c r="AB800" s="16">
        <v>0.2</v>
      </c>
      <c r="AC800" s="16">
        <v>0.05</v>
      </c>
      <c r="AD800" s="16">
        <v>0</v>
      </c>
      <c r="AE800" s="16">
        <v>0</v>
      </c>
      <c r="AF800" s="16" t="s">
        <v>413</v>
      </c>
    </row>
    <row r="801" spans="1:32" ht="14.25" customHeight="1" x14ac:dyDescent="0.35">
      <c r="A801" s="16" t="s">
        <v>919</v>
      </c>
      <c r="B801" s="16" t="s">
        <v>424</v>
      </c>
      <c r="C801" s="16"/>
      <c r="D801" s="16" t="s">
        <v>419</v>
      </c>
      <c r="E801" s="17">
        <v>41640</v>
      </c>
      <c r="F801" s="17">
        <v>42004</v>
      </c>
      <c r="G801" s="16" t="s">
        <v>410</v>
      </c>
      <c r="H801" s="16">
        <v>1</v>
      </c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 t="s">
        <v>413</v>
      </c>
    </row>
    <row r="802" spans="1:32" ht="14.25" customHeight="1" x14ac:dyDescent="0.35">
      <c r="A802" s="14" t="s">
        <v>919</v>
      </c>
      <c r="B802" s="14" t="s">
        <v>424</v>
      </c>
      <c r="C802" s="14"/>
      <c r="D802" s="14" t="s">
        <v>418</v>
      </c>
      <c r="E802" s="15">
        <v>41640</v>
      </c>
      <c r="F802" s="15">
        <v>42004</v>
      </c>
      <c r="G802" s="14" t="s">
        <v>410</v>
      </c>
      <c r="H802" s="14">
        <v>0</v>
      </c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 t="s">
        <v>413</v>
      </c>
    </row>
    <row r="803" spans="1:32" ht="14.25" customHeight="1" x14ac:dyDescent="0.35">
      <c r="A803" s="14" t="s">
        <v>920</v>
      </c>
      <c r="B803" s="14" t="s">
        <v>424</v>
      </c>
      <c r="C803" s="14"/>
      <c r="D803" s="14" t="s">
        <v>417</v>
      </c>
      <c r="E803" s="15">
        <v>41640</v>
      </c>
      <c r="F803" s="15">
        <v>42004</v>
      </c>
      <c r="G803" s="14" t="s">
        <v>415</v>
      </c>
      <c r="H803" s="14">
        <v>0.41749999999999998</v>
      </c>
      <c r="I803" s="14">
        <v>0.41749999999999998</v>
      </c>
      <c r="J803" s="14">
        <v>0.41749999999999998</v>
      </c>
      <c r="K803" s="14">
        <v>0.41749999999999998</v>
      </c>
      <c r="L803" s="14">
        <v>0.41749999999999998</v>
      </c>
      <c r="M803" s="14">
        <v>0.41749999999999998</v>
      </c>
      <c r="N803" s="14">
        <v>0.41749999999999998</v>
      </c>
      <c r="O803" s="14">
        <v>0.50934999999999997</v>
      </c>
      <c r="P803" s="14">
        <v>0.75149999999999995</v>
      </c>
      <c r="Q803" s="14">
        <v>0.75149999999999995</v>
      </c>
      <c r="R803" s="14">
        <v>0.75149999999999995</v>
      </c>
      <c r="S803" s="14">
        <v>0.75149999999999995</v>
      </c>
      <c r="T803" s="14">
        <v>0.66800000000000004</v>
      </c>
      <c r="U803" s="14">
        <v>0.75149999999999995</v>
      </c>
      <c r="V803" s="14">
        <v>0.75149999999999995</v>
      </c>
      <c r="W803" s="14">
        <v>0.75149999999999995</v>
      </c>
      <c r="X803" s="14">
        <v>0.75149999999999995</v>
      </c>
      <c r="Y803" s="14">
        <v>0.50934999999999997</v>
      </c>
      <c r="Z803" s="14">
        <v>0.41749999999999998</v>
      </c>
      <c r="AA803" s="14">
        <v>0.41749999999999998</v>
      </c>
      <c r="AB803" s="14">
        <v>0.41749999999999998</v>
      </c>
      <c r="AC803" s="14">
        <v>0.41749999999999998</v>
      </c>
      <c r="AD803" s="14">
        <v>0.41749999999999998</v>
      </c>
      <c r="AE803" s="14">
        <v>0.41749999999999998</v>
      </c>
      <c r="AF803" s="14" t="s">
        <v>413</v>
      </c>
    </row>
    <row r="804" spans="1:32" ht="14.25" customHeight="1" x14ac:dyDescent="0.35">
      <c r="A804" s="14" t="s">
        <v>920</v>
      </c>
      <c r="B804" s="14" t="s">
        <v>424</v>
      </c>
      <c r="C804" s="14"/>
      <c r="D804" s="14" t="s">
        <v>419</v>
      </c>
      <c r="E804" s="15">
        <v>41640</v>
      </c>
      <c r="F804" s="15">
        <v>42004</v>
      </c>
      <c r="G804" s="14" t="s">
        <v>410</v>
      </c>
      <c r="H804" s="14">
        <v>1</v>
      </c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 t="s">
        <v>413</v>
      </c>
    </row>
    <row r="805" spans="1:32" ht="14.25" customHeight="1" x14ac:dyDescent="0.35">
      <c r="A805" s="16" t="s">
        <v>920</v>
      </c>
      <c r="B805" s="16" t="s">
        <v>424</v>
      </c>
      <c r="C805" s="16"/>
      <c r="D805" s="16" t="s">
        <v>418</v>
      </c>
      <c r="E805" s="17">
        <v>41640</v>
      </c>
      <c r="F805" s="17">
        <v>42004</v>
      </c>
      <c r="G805" s="16" t="s">
        <v>410</v>
      </c>
      <c r="H805" s="16">
        <v>0</v>
      </c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 t="s">
        <v>413</v>
      </c>
    </row>
    <row r="806" spans="1:32" ht="14.25" customHeight="1" x14ac:dyDescent="0.35">
      <c r="A806" s="16" t="s">
        <v>921</v>
      </c>
      <c r="B806" s="16" t="s">
        <v>424</v>
      </c>
      <c r="C806" s="16"/>
      <c r="D806" s="16" t="s">
        <v>409</v>
      </c>
      <c r="E806" s="17">
        <v>41640</v>
      </c>
      <c r="F806" s="17">
        <v>42004</v>
      </c>
      <c r="G806" s="16" t="s">
        <v>410</v>
      </c>
      <c r="H806" s="16">
        <v>0.66</v>
      </c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 t="s">
        <v>413</v>
      </c>
    </row>
    <row r="807" spans="1:32" ht="14.25" customHeight="1" x14ac:dyDescent="0.35">
      <c r="A807" s="14" t="s">
        <v>922</v>
      </c>
      <c r="B807" s="14" t="s">
        <v>424</v>
      </c>
      <c r="C807" s="14"/>
      <c r="D807" s="14" t="s">
        <v>409</v>
      </c>
      <c r="E807" s="15">
        <v>41640</v>
      </c>
      <c r="F807" s="15">
        <v>42004</v>
      </c>
      <c r="G807" s="14" t="s">
        <v>410</v>
      </c>
      <c r="H807" s="14">
        <v>0.55000000000000004</v>
      </c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 t="s">
        <v>413</v>
      </c>
    </row>
    <row r="808" spans="1:32" ht="14.25" customHeight="1" x14ac:dyDescent="0.35">
      <c r="A808" s="16" t="s">
        <v>923</v>
      </c>
      <c r="B808" s="16" t="s">
        <v>424</v>
      </c>
      <c r="C808" s="16"/>
      <c r="D808" s="16" t="s">
        <v>791</v>
      </c>
      <c r="E808" s="17">
        <v>41640</v>
      </c>
      <c r="F808" s="17">
        <v>42004</v>
      </c>
      <c r="G808" s="16" t="s">
        <v>415</v>
      </c>
      <c r="H808" s="22">
        <v>5.4179999999999999E-2</v>
      </c>
      <c r="I808" s="22">
        <v>5.4179999999999999E-2</v>
      </c>
      <c r="J808" s="22">
        <v>5.4179999999999999E-2</v>
      </c>
      <c r="K808" s="22">
        <v>5.4179999999999999E-2</v>
      </c>
      <c r="L808" s="22">
        <v>5.4179999999999999E-2</v>
      </c>
      <c r="M808" s="22">
        <v>5.4179999999999999E-2</v>
      </c>
      <c r="N808" s="22">
        <v>5.4179999999999999E-2</v>
      </c>
      <c r="O808" s="22">
        <v>0.10836</v>
      </c>
      <c r="P808" s="22">
        <v>0.21672</v>
      </c>
      <c r="Q808" s="22">
        <v>0.21672</v>
      </c>
      <c r="R808" s="22">
        <v>0.21672</v>
      </c>
      <c r="S808" s="22">
        <v>0.21672</v>
      </c>
      <c r="T808" s="22">
        <v>0.21672</v>
      </c>
      <c r="U808" s="22">
        <v>0.21672</v>
      </c>
      <c r="V808" s="22">
        <v>0.21672</v>
      </c>
      <c r="W808" s="22">
        <v>0.21672</v>
      </c>
      <c r="X808" s="22">
        <v>0.21672</v>
      </c>
      <c r="Y808" s="22">
        <v>0.21672</v>
      </c>
      <c r="Z808" s="22">
        <v>0.10836</v>
      </c>
      <c r="AA808" s="22">
        <v>0.10836</v>
      </c>
      <c r="AB808" s="22">
        <v>0.10836</v>
      </c>
      <c r="AC808" s="22">
        <v>0.10836</v>
      </c>
      <c r="AD808" s="22">
        <v>5.4179999999999999E-2</v>
      </c>
      <c r="AE808" s="22">
        <v>5.4179999999999999E-2</v>
      </c>
      <c r="AF808" s="16" t="s">
        <v>413</v>
      </c>
    </row>
    <row r="809" spans="1:32" ht="14.25" customHeight="1" x14ac:dyDescent="0.35">
      <c r="A809" s="16" t="s">
        <v>923</v>
      </c>
      <c r="B809" s="16" t="s">
        <v>424</v>
      </c>
      <c r="C809" s="16"/>
      <c r="D809" s="16" t="s">
        <v>419</v>
      </c>
      <c r="E809" s="17">
        <v>41640</v>
      </c>
      <c r="F809" s="17">
        <v>42004</v>
      </c>
      <c r="G809" s="16" t="s">
        <v>410</v>
      </c>
      <c r="H809" s="16">
        <v>1</v>
      </c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 t="s">
        <v>413</v>
      </c>
    </row>
    <row r="810" spans="1:32" ht="14.25" customHeight="1" x14ac:dyDescent="0.35">
      <c r="A810" s="14" t="s">
        <v>923</v>
      </c>
      <c r="B810" s="14" t="s">
        <v>424</v>
      </c>
      <c r="C810" s="14"/>
      <c r="D810" s="14" t="s">
        <v>418</v>
      </c>
      <c r="E810" s="15">
        <v>41640</v>
      </c>
      <c r="F810" s="15">
        <v>42004</v>
      </c>
      <c r="G810" s="14" t="s">
        <v>410</v>
      </c>
      <c r="H810" s="14">
        <v>0</v>
      </c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 t="s">
        <v>413</v>
      </c>
    </row>
    <row r="811" spans="1:32" ht="14.25" customHeight="1" x14ac:dyDescent="0.35">
      <c r="A811" s="14" t="s">
        <v>924</v>
      </c>
      <c r="B811" s="14" t="s">
        <v>420</v>
      </c>
      <c r="C811" s="14" t="s">
        <v>414</v>
      </c>
      <c r="D811" s="14" t="s">
        <v>409</v>
      </c>
      <c r="E811" s="15">
        <v>41640</v>
      </c>
      <c r="F811" s="15">
        <v>42004</v>
      </c>
      <c r="G811" s="14" t="s">
        <v>410</v>
      </c>
      <c r="H811" s="14">
        <v>23.888999999999999</v>
      </c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 t="s">
        <v>413</v>
      </c>
    </row>
    <row r="812" spans="1:32" ht="14.25" customHeight="1" x14ac:dyDescent="0.35">
      <c r="A812" s="16" t="s">
        <v>925</v>
      </c>
      <c r="B812" s="16" t="s">
        <v>420</v>
      </c>
      <c r="C812" s="16" t="s">
        <v>414</v>
      </c>
      <c r="D812" s="16" t="s">
        <v>409</v>
      </c>
      <c r="E812" s="17">
        <v>41640</v>
      </c>
      <c r="F812" s="17">
        <v>42004</v>
      </c>
      <c r="G812" s="16" t="s">
        <v>410</v>
      </c>
      <c r="H812" s="16">
        <v>21.111000000000001</v>
      </c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 t="s">
        <v>413</v>
      </c>
    </row>
    <row r="813" spans="1:32" ht="14.25" customHeight="1" x14ac:dyDescent="0.35">
      <c r="A813" s="14" t="s">
        <v>926</v>
      </c>
      <c r="B813" s="14" t="s">
        <v>441</v>
      </c>
      <c r="C813" s="14"/>
      <c r="D813" s="14" t="s">
        <v>417</v>
      </c>
      <c r="E813" s="15">
        <v>41640</v>
      </c>
      <c r="F813" s="15">
        <v>42004</v>
      </c>
      <c r="G813" s="14" t="s">
        <v>410</v>
      </c>
      <c r="H813" s="14">
        <v>0.25</v>
      </c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 t="s">
        <v>413</v>
      </c>
    </row>
    <row r="814" spans="1:32" ht="14.25" customHeight="1" x14ac:dyDescent="0.35">
      <c r="A814" s="14" t="s">
        <v>926</v>
      </c>
      <c r="B814" s="14" t="s">
        <v>441</v>
      </c>
      <c r="C814" s="14"/>
      <c r="D814" s="14" t="s">
        <v>419</v>
      </c>
      <c r="E814" s="15">
        <v>41640</v>
      </c>
      <c r="F814" s="15">
        <v>42004</v>
      </c>
      <c r="G814" s="14" t="s">
        <v>410</v>
      </c>
      <c r="H814" s="14">
        <v>1</v>
      </c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 t="s">
        <v>413</v>
      </c>
    </row>
    <row r="815" spans="1:32" ht="14.25" customHeight="1" x14ac:dyDescent="0.35">
      <c r="A815" s="16" t="s">
        <v>926</v>
      </c>
      <c r="B815" s="16" t="s">
        <v>441</v>
      </c>
      <c r="C815" s="16"/>
      <c r="D815" s="16" t="s">
        <v>418</v>
      </c>
      <c r="E815" s="17">
        <v>41640</v>
      </c>
      <c r="F815" s="17">
        <v>42004</v>
      </c>
      <c r="G815" s="16" t="s">
        <v>410</v>
      </c>
      <c r="H815" s="16">
        <v>0</v>
      </c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 t="s">
        <v>413</v>
      </c>
    </row>
    <row r="816" spans="1:32" ht="14.25" customHeight="1" x14ac:dyDescent="0.35">
      <c r="A816" s="16" t="s">
        <v>927</v>
      </c>
      <c r="B816" s="16" t="s">
        <v>408</v>
      </c>
      <c r="C816" s="16"/>
      <c r="D816" s="16" t="s">
        <v>409</v>
      </c>
      <c r="E816" s="17">
        <v>41640</v>
      </c>
      <c r="F816" s="17">
        <v>42004</v>
      </c>
      <c r="G816" s="16" t="s">
        <v>410</v>
      </c>
      <c r="H816" s="16">
        <v>0</v>
      </c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 t="s">
        <v>413</v>
      </c>
    </row>
    <row r="817" spans="1:32" ht="14.25" customHeight="1" x14ac:dyDescent="0.35">
      <c r="A817" s="14" t="s">
        <v>928</v>
      </c>
      <c r="B817" s="14" t="s">
        <v>408</v>
      </c>
      <c r="C817" s="14"/>
      <c r="D817" s="14" t="s">
        <v>409</v>
      </c>
      <c r="E817" s="15">
        <v>41640</v>
      </c>
      <c r="F817" s="15">
        <v>42004</v>
      </c>
      <c r="G817" s="14" t="s">
        <v>410</v>
      </c>
      <c r="H817" s="14">
        <v>1</v>
      </c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 t="s">
        <v>413</v>
      </c>
    </row>
    <row r="818" spans="1:32" ht="14.25" customHeight="1" x14ac:dyDescent="0.35">
      <c r="A818" s="16" t="s">
        <v>929</v>
      </c>
      <c r="B818" s="16" t="s">
        <v>408</v>
      </c>
      <c r="C818" s="16"/>
      <c r="D818" s="16" t="s">
        <v>409</v>
      </c>
      <c r="E818" s="17">
        <v>41640</v>
      </c>
      <c r="F818" s="17">
        <v>42004</v>
      </c>
      <c r="G818" s="16" t="s">
        <v>410</v>
      </c>
      <c r="H818" s="16">
        <v>4</v>
      </c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 t="s">
        <v>413</v>
      </c>
    </row>
    <row r="819" spans="1:32" ht="14.25" customHeight="1" x14ac:dyDescent="0.35">
      <c r="A819" s="14" t="s">
        <v>930</v>
      </c>
      <c r="B819" s="14" t="s">
        <v>424</v>
      </c>
      <c r="C819" s="14"/>
      <c r="D819" s="14" t="s">
        <v>409</v>
      </c>
      <c r="E819" s="15">
        <v>41640</v>
      </c>
      <c r="F819" s="15">
        <v>42004</v>
      </c>
      <c r="G819" s="14" t="s">
        <v>410</v>
      </c>
      <c r="H819" s="14">
        <v>1</v>
      </c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 t="s">
        <v>413</v>
      </c>
    </row>
    <row r="820" spans="1:32" ht="14.25" customHeight="1" x14ac:dyDescent="0.35">
      <c r="A820" s="16" t="s">
        <v>931</v>
      </c>
      <c r="B820" s="16" t="s">
        <v>424</v>
      </c>
      <c r="C820" s="16"/>
      <c r="D820" s="16" t="s">
        <v>417</v>
      </c>
      <c r="E820" s="17">
        <v>41640</v>
      </c>
      <c r="F820" s="17">
        <v>42004</v>
      </c>
      <c r="G820" s="16" t="s">
        <v>415</v>
      </c>
      <c r="H820" s="16">
        <v>0.05</v>
      </c>
      <c r="I820" s="16">
        <v>0.05</v>
      </c>
      <c r="J820" s="16">
        <v>0.05</v>
      </c>
      <c r="K820" s="16">
        <v>0.05</v>
      </c>
      <c r="L820" s="16">
        <v>0.1</v>
      </c>
      <c r="M820" s="16">
        <v>0.2</v>
      </c>
      <c r="N820" s="16">
        <v>0.4</v>
      </c>
      <c r="O820" s="16">
        <v>0.5</v>
      </c>
      <c r="P820" s="16">
        <v>0.5</v>
      </c>
      <c r="Q820" s="16">
        <v>0.35</v>
      </c>
      <c r="R820" s="16">
        <v>0.15</v>
      </c>
      <c r="S820" s="16">
        <v>0.15</v>
      </c>
      <c r="T820" s="16">
        <v>0.15</v>
      </c>
      <c r="U820" s="16">
        <v>0.15</v>
      </c>
      <c r="V820" s="16">
        <v>0.15</v>
      </c>
      <c r="W820" s="16">
        <v>0.15</v>
      </c>
      <c r="X820" s="16">
        <v>0.35</v>
      </c>
      <c r="Y820" s="16">
        <v>0.5</v>
      </c>
      <c r="Z820" s="16">
        <v>0.5</v>
      </c>
      <c r="AA820" s="16">
        <v>0.4</v>
      </c>
      <c r="AB820" s="16">
        <v>0.4</v>
      </c>
      <c r="AC820" s="16">
        <v>0.3</v>
      </c>
      <c r="AD820" s="16">
        <v>0.2</v>
      </c>
      <c r="AE820" s="16">
        <v>0.1</v>
      </c>
      <c r="AF820" s="16" t="s">
        <v>413</v>
      </c>
    </row>
    <row r="821" spans="1:32" ht="14.25" customHeight="1" x14ac:dyDescent="0.35">
      <c r="A821" s="16" t="s">
        <v>931</v>
      </c>
      <c r="B821" s="16" t="s">
        <v>424</v>
      </c>
      <c r="C821" s="16"/>
      <c r="D821" s="16" t="s">
        <v>419</v>
      </c>
      <c r="E821" s="17">
        <v>41640</v>
      </c>
      <c r="F821" s="17">
        <v>42004</v>
      </c>
      <c r="G821" s="16" t="s">
        <v>410</v>
      </c>
      <c r="H821" s="16">
        <v>0.5</v>
      </c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 t="s">
        <v>413</v>
      </c>
    </row>
    <row r="822" spans="1:32" ht="14.25" customHeight="1" x14ac:dyDescent="0.35">
      <c r="A822" s="14" t="s">
        <v>931</v>
      </c>
      <c r="B822" s="14" t="s">
        <v>424</v>
      </c>
      <c r="C822" s="14"/>
      <c r="D822" s="14" t="s">
        <v>418</v>
      </c>
      <c r="E822" s="15">
        <v>41640</v>
      </c>
      <c r="F822" s="15">
        <v>42004</v>
      </c>
      <c r="G822" s="14" t="s">
        <v>410</v>
      </c>
      <c r="H822" s="14">
        <v>0.05</v>
      </c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 t="s">
        <v>413</v>
      </c>
    </row>
    <row r="823" spans="1:32" ht="14.25" customHeight="1" x14ac:dyDescent="0.35">
      <c r="A823" s="14" t="s">
        <v>932</v>
      </c>
      <c r="B823" s="14" t="s">
        <v>427</v>
      </c>
      <c r="C823" s="14"/>
      <c r="D823" s="14" t="s">
        <v>791</v>
      </c>
      <c r="E823" s="15">
        <v>41640</v>
      </c>
      <c r="F823" s="15">
        <v>42004</v>
      </c>
      <c r="G823" s="14" t="s">
        <v>415</v>
      </c>
      <c r="H823" s="14">
        <v>0.11</v>
      </c>
      <c r="I823" s="14">
        <v>0.11</v>
      </c>
      <c r="J823" s="14">
        <v>0.11</v>
      </c>
      <c r="K823" s="14">
        <v>0.11</v>
      </c>
      <c r="L823" s="14">
        <v>0.11</v>
      </c>
      <c r="M823" s="14">
        <v>0.19</v>
      </c>
      <c r="N823" s="14">
        <v>0.19</v>
      </c>
      <c r="O823" s="14">
        <v>0.25</v>
      </c>
      <c r="P823" s="14">
        <v>1</v>
      </c>
      <c r="Q823" s="14">
        <v>1</v>
      </c>
      <c r="R823" s="14">
        <v>0.86</v>
      </c>
      <c r="S823" s="14">
        <v>0.86</v>
      </c>
      <c r="T823" s="14">
        <v>1</v>
      </c>
      <c r="U823" s="14">
        <v>0.86</v>
      </c>
      <c r="V823" s="14">
        <v>0.86</v>
      </c>
      <c r="W823" s="14">
        <v>0.86</v>
      </c>
      <c r="X823" s="14">
        <v>0.86</v>
      </c>
      <c r="Y823" s="14">
        <v>0.86</v>
      </c>
      <c r="Z823" s="14">
        <v>0.25</v>
      </c>
      <c r="AA823" s="14">
        <v>0.19</v>
      </c>
      <c r="AB823" s="14">
        <v>0.11</v>
      </c>
      <c r="AC823" s="14">
        <v>0.11</v>
      </c>
      <c r="AD823" s="14">
        <v>0.11</v>
      </c>
      <c r="AE823" s="14">
        <v>0.11</v>
      </c>
      <c r="AF823" s="14" t="s">
        <v>413</v>
      </c>
    </row>
    <row r="824" spans="1:32" ht="14.25" customHeight="1" x14ac:dyDescent="0.35">
      <c r="A824" s="14" t="s">
        <v>932</v>
      </c>
      <c r="B824" s="14" t="s">
        <v>427</v>
      </c>
      <c r="C824" s="14"/>
      <c r="D824" s="14" t="s">
        <v>419</v>
      </c>
      <c r="E824" s="15">
        <v>41640</v>
      </c>
      <c r="F824" s="15">
        <v>42004</v>
      </c>
      <c r="G824" s="14" t="s">
        <v>410</v>
      </c>
      <c r="H824" s="14">
        <v>1</v>
      </c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 t="s">
        <v>413</v>
      </c>
    </row>
    <row r="825" spans="1:32" ht="14.25" customHeight="1" x14ac:dyDescent="0.35">
      <c r="A825" s="16" t="s">
        <v>932</v>
      </c>
      <c r="B825" s="16" t="s">
        <v>427</v>
      </c>
      <c r="C825" s="16"/>
      <c r="D825" s="16" t="s">
        <v>418</v>
      </c>
      <c r="E825" s="17">
        <v>41640</v>
      </c>
      <c r="F825" s="17">
        <v>42004</v>
      </c>
      <c r="G825" s="16" t="s">
        <v>410</v>
      </c>
      <c r="H825" s="16">
        <v>0</v>
      </c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 t="s">
        <v>413</v>
      </c>
    </row>
    <row r="826" spans="1:32" ht="14.25" customHeight="1" x14ac:dyDescent="0.35">
      <c r="A826" s="16" t="s">
        <v>933</v>
      </c>
      <c r="B826" s="16" t="s">
        <v>448</v>
      </c>
      <c r="C826" s="16"/>
      <c r="D826" s="16" t="s">
        <v>417</v>
      </c>
      <c r="E826" s="17">
        <v>41640</v>
      </c>
      <c r="F826" s="17">
        <v>42004</v>
      </c>
      <c r="G826" s="16" t="s">
        <v>415</v>
      </c>
      <c r="H826" s="16">
        <v>0</v>
      </c>
      <c r="I826" s="16">
        <v>0</v>
      </c>
      <c r="J826" s="16">
        <v>0</v>
      </c>
      <c r="K826" s="16">
        <v>0</v>
      </c>
      <c r="L826" s="16">
        <v>0</v>
      </c>
      <c r="M826" s="16">
        <v>0.05</v>
      </c>
      <c r="N826" s="16">
        <v>0.05</v>
      </c>
      <c r="O826" s="16">
        <v>0.05</v>
      </c>
      <c r="P826" s="16">
        <v>0.1</v>
      </c>
      <c r="Q826" s="16">
        <v>0.1</v>
      </c>
      <c r="R826" s="16">
        <v>0.1</v>
      </c>
      <c r="S826" s="16">
        <v>0.1</v>
      </c>
      <c r="T826" s="16">
        <v>0.2</v>
      </c>
      <c r="U826" s="16">
        <v>0.1</v>
      </c>
      <c r="V826" s="16">
        <v>0.1</v>
      </c>
      <c r="W826" s="16">
        <v>0.1</v>
      </c>
      <c r="X826" s="16">
        <v>0.1</v>
      </c>
      <c r="Y826" s="16">
        <v>0.1</v>
      </c>
      <c r="Z826" s="16">
        <v>0.05</v>
      </c>
      <c r="AA826" s="16">
        <v>0.05</v>
      </c>
      <c r="AB826" s="16">
        <v>0</v>
      </c>
      <c r="AC826" s="16">
        <v>0</v>
      </c>
      <c r="AD826" s="16">
        <v>0</v>
      </c>
      <c r="AE826" s="16">
        <v>0</v>
      </c>
      <c r="AF826" s="16" t="s">
        <v>413</v>
      </c>
    </row>
    <row r="827" spans="1:32" ht="14.25" customHeight="1" x14ac:dyDescent="0.35">
      <c r="A827" s="16" t="s">
        <v>933</v>
      </c>
      <c r="B827" s="16" t="s">
        <v>448</v>
      </c>
      <c r="C827" s="16"/>
      <c r="D827" s="16" t="s">
        <v>419</v>
      </c>
      <c r="E827" s="17">
        <v>41640</v>
      </c>
      <c r="F827" s="17">
        <v>42004</v>
      </c>
      <c r="G827" s="16" t="s">
        <v>410</v>
      </c>
      <c r="H827" s="16">
        <v>1</v>
      </c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 t="s">
        <v>413</v>
      </c>
    </row>
    <row r="828" spans="1:32" ht="14.25" customHeight="1" x14ac:dyDescent="0.35">
      <c r="A828" s="14" t="s">
        <v>933</v>
      </c>
      <c r="B828" s="14" t="s">
        <v>448</v>
      </c>
      <c r="C828" s="14"/>
      <c r="D828" s="14" t="s">
        <v>429</v>
      </c>
      <c r="E828" s="15">
        <v>41640</v>
      </c>
      <c r="F828" s="15">
        <v>42004</v>
      </c>
      <c r="G828" s="14" t="s">
        <v>415</v>
      </c>
      <c r="H828" s="14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0.1</v>
      </c>
      <c r="N828" s="14">
        <v>0.1</v>
      </c>
      <c r="O828" s="14">
        <v>0.2</v>
      </c>
      <c r="P828" s="14">
        <v>0.2</v>
      </c>
      <c r="Q828" s="14">
        <v>0.2</v>
      </c>
      <c r="R828" s="14">
        <v>0.2</v>
      </c>
      <c r="S828" s="14">
        <v>0.2</v>
      </c>
      <c r="T828" s="14">
        <v>0.7</v>
      </c>
      <c r="U828" s="14">
        <v>0.2</v>
      </c>
      <c r="V828" s="14">
        <v>0.2</v>
      </c>
      <c r="W828" s="14">
        <v>0.2</v>
      </c>
      <c r="X828" s="14">
        <v>0.2</v>
      </c>
      <c r="Y828" s="14">
        <v>0.2</v>
      </c>
      <c r="Z828" s="14">
        <v>0.1</v>
      </c>
      <c r="AA828" s="14">
        <v>0.1</v>
      </c>
      <c r="AB828" s="14">
        <v>0</v>
      </c>
      <c r="AC828" s="14">
        <v>0</v>
      </c>
      <c r="AD828" s="14">
        <v>0</v>
      </c>
      <c r="AE828" s="14">
        <v>0</v>
      </c>
      <c r="AF828" s="14" t="s">
        <v>413</v>
      </c>
    </row>
    <row r="829" spans="1:32" ht="14.25" customHeight="1" x14ac:dyDescent="0.35">
      <c r="A829" s="14" t="s">
        <v>933</v>
      </c>
      <c r="B829" s="14" t="s">
        <v>448</v>
      </c>
      <c r="C829" s="14"/>
      <c r="D829" s="14" t="s">
        <v>418</v>
      </c>
      <c r="E829" s="15">
        <v>41640</v>
      </c>
      <c r="F829" s="15">
        <v>42004</v>
      </c>
      <c r="G829" s="14" t="s">
        <v>410</v>
      </c>
      <c r="H829" s="14">
        <v>0</v>
      </c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 t="s">
        <v>413</v>
      </c>
    </row>
    <row r="830" spans="1:32" ht="14.25" customHeight="1" x14ac:dyDescent="0.35">
      <c r="A830" s="16" t="s">
        <v>350</v>
      </c>
      <c r="B830" s="16" t="s">
        <v>427</v>
      </c>
      <c r="C830" s="16"/>
      <c r="D830" s="16" t="s">
        <v>409</v>
      </c>
      <c r="E830" s="17">
        <v>41640</v>
      </c>
      <c r="F830" s="17">
        <v>42004</v>
      </c>
      <c r="G830" s="16" t="s">
        <v>415</v>
      </c>
      <c r="H830" s="16">
        <v>0</v>
      </c>
      <c r="I830" s="16">
        <v>0</v>
      </c>
      <c r="J830" s="16">
        <v>0</v>
      </c>
      <c r="K830" s="16">
        <v>0</v>
      </c>
      <c r="L830" s="16">
        <v>0</v>
      </c>
      <c r="M830" s="16">
        <v>0</v>
      </c>
      <c r="N830" s="16">
        <v>0.5</v>
      </c>
      <c r="O830" s="16">
        <v>1</v>
      </c>
      <c r="P830" s="16">
        <v>1</v>
      </c>
      <c r="Q830" s="16">
        <v>0.5</v>
      </c>
      <c r="R830" s="16">
        <v>0.5</v>
      </c>
      <c r="S830" s="16">
        <v>0.5</v>
      </c>
      <c r="T830" s="16">
        <v>0</v>
      </c>
      <c r="U830" s="16">
        <v>0.5</v>
      </c>
      <c r="V830" s="16">
        <v>0.5</v>
      </c>
      <c r="W830" s="16">
        <v>0.5</v>
      </c>
      <c r="X830" s="16">
        <v>1</v>
      </c>
      <c r="Y830" s="16">
        <v>0.5</v>
      </c>
      <c r="Z830" s="16">
        <v>0.5</v>
      </c>
      <c r="AA830" s="16">
        <v>1</v>
      </c>
      <c r="AB830" s="16">
        <v>1</v>
      </c>
      <c r="AC830" s="16">
        <v>0.5</v>
      </c>
      <c r="AD830" s="16">
        <v>0.5</v>
      </c>
      <c r="AE830" s="16">
        <v>0</v>
      </c>
      <c r="AF830" s="16" t="s">
        <v>413</v>
      </c>
    </row>
    <row r="831" spans="1:32" ht="14.25" customHeight="1" x14ac:dyDescent="0.35">
      <c r="A831" s="14" t="s">
        <v>934</v>
      </c>
      <c r="B831" s="14" t="s">
        <v>448</v>
      </c>
      <c r="C831" s="14"/>
      <c r="D831" s="14" t="s">
        <v>409</v>
      </c>
      <c r="E831" s="15">
        <v>41640</v>
      </c>
      <c r="F831" s="15">
        <v>42004</v>
      </c>
      <c r="G831" s="14" t="s">
        <v>415</v>
      </c>
      <c r="H831" s="14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0.5</v>
      </c>
      <c r="O831" s="14">
        <v>1</v>
      </c>
      <c r="P831" s="14">
        <v>1</v>
      </c>
      <c r="Q831" s="14">
        <v>1</v>
      </c>
      <c r="R831" s="14">
        <v>1</v>
      </c>
      <c r="S831" s="14">
        <v>0.5</v>
      </c>
      <c r="T831" s="14">
        <v>0</v>
      </c>
      <c r="U831" s="14">
        <v>1</v>
      </c>
      <c r="V831" s="14">
        <v>1</v>
      </c>
      <c r="W831" s="14">
        <v>1</v>
      </c>
      <c r="X831" s="14">
        <v>1</v>
      </c>
      <c r="Y831" s="14">
        <v>1</v>
      </c>
      <c r="Z831" s="14">
        <v>1</v>
      </c>
      <c r="AA831" s="14">
        <v>1</v>
      </c>
      <c r="AB831" s="14">
        <v>1</v>
      </c>
      <c r="AC831" s="14">
        <v>1</v>
      </c>
      <c r="AD831" s="14">
        <v>0.5</v>
      </c>
      <c r="AE831" s="14">
        <v>0</v>
      </c>
      <c r="AF831" s="14" t="s">
        <v>413</v>
      </c>
    </row>
    <row r="832" spans="1:32" ht="14.25" customHeight="1" x14ac:dyDescent="0.35">
      <c r="A832" s="16" t="s">
        <v>935</v>
      </c>
      <c r="B832" s="16" t="s">
        <v>408</v>
      </c>
      <c r="C832" s="16"/>
      <c r="D832" s="16" t="s">
        <v>409</v>
      </c>
      <c r="E832" s="17">
        <v>41640</v>
      </c>
      <c r="F832" s="17">
        <v>42004</v>
      </c>
      <c r="G832" s="16" t="s">
        <v>410</v>
      </c>
      <c r="H832" s="16">
        <v>1</v>
      </c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 t="s">
        <v>413</v>
      </c>
    </row>
    <row r="833" spans="1:32" ht="14.25" customHeight="1" x14ac:dyDescent="0.35">
      <c r="A833" s="14" t="s">
        <v>936</v>
      </c>
      <c r="B833" s="14" t="s">
        <v>408</v>
      </c>
      <c r="C833" s="14"/>
      <c r="D833" s="14" t="s">
        <v>409</v>
      </c>
      <c r="E833" s="15">
        <v>41640</v>
      </c>
      <c r="F833" s="15">
        <v>42004</v>
      </c>
      <c r="G833" s="14" t="s">
        <v>415</v>
      </c>
      <c r="H833" s="14">
        <v>1</v>
      </c>
      <c r="I833" s="14">
        <v>1</v>
      </c>
      <c r="J833" s="14">
        <v>1</v>
      </c>
      <c r="K833" s="14">
        <v>1</v>
      </c>
      <c r="L833" s="14">
        <v>1</v>
      </c>
      <c r="M833" s="14">
        <v>1</v>
      </c>
      <c r="N833" s="14">
        <v>1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1</v>
      </c>
      <c r="AB833" s="14">
        <v>1</v>
      </c>
      <c r="AC833" s="14">
        <v>1</v>
      </c>
      <c r="AD833" s="14">
        <v>1</v>
      </c>
      <c r="AE833" s="14">
        <v>1</v>
      </c>
      <c r="AF833" s="14" t="s">
        <v>413</v>
      </c>
    </row>
    <row r="834" spans="1:32" ht="14.25" customHeight="1" x14ac:dyDescent="0.35">
      <c r="A834" s="16" t="s">
        <v>937</v>
      </c>
      <c r="B834" s="16" t="s">
        <v>427</v>
      </c>
      <c r="C834" s="16"/>
      <c r="D834" s="16" t="s">
        <v>417</v>
      </c>
      <c r="E834" s="17">
        <v>41640</v>
      </c>
      <c r="F834" s="17">
        <v>42004</v>
      </c>
      <c r="G834" s="16" t="s">
        <v>415</v>
      </c>
      <c r="H834" s="16">
        <v>0.09</v>
      </c>
      <c r="I834" s="16">
        <v>0.09</v>
      </c>
      <c r="J834" s="16">
        <v>0.09</v>
      </c>
      <c r="K834" s="16">
        <v>0.09</v>
      </c>
      <c r="L834" s="16">
        <v>0.09</v>
      </c>
      <c r="M834" s="16">
        <v>0.09</v>
      </c>
      <c r="N834" s="16">
        <v>0.3</v>
      </c>
      <c r="O834" s="16">
        <v>0.62</v>
      </c>
      <c r="P834" s="16">
        <v>0.9</v>
      </c>
      <c r="Q834" s="16">
        <v>0.62</v>
      </c>
      <c r="R834" s="16">
        <v>0.13</v>
      </c>
      <c r="S834" s="16">
        <v>0.13</v>
      </c>
      <c r="T834" s="16">
        <v>0.13</v>
      </c>
      <c r="U834" s="16">
        <v>0.13</v>
      </c>
      <c r="V834" s="16">
        <v>0.13</v>
      </c>
      <c r="W834" s="16">
        <v>0.13</v>
      </c>
      <c r="X834" s="16">
        <v>0.21</v>
      </c>
      <c r="Y834" s="16">
        <v>0.4</v>
      </c>
      <c r="Z834" s="16">
        <v>0.48</v>
      </c>
      <c r="AA834" s="16">
        <v>0.46</v>
      </c>
      <c r="AB834" s="16">
        <v>0.62</v>
      </c>
      <c r="AC834" s="16">
        <v>0.69</v>
      </c>
      <c r="AD834" s="16">
        <v>0.34</v>
      </c>
      <c r="AE834" s="16">
        <v>0.09</v>
      </c>
      <c r="AF834" s="16" t="s">
        <v>413</v>
      </c>
    </row>
    <row r="835" spans="1:32" ht="14.25" customHeight="1" x14ac:dyDescent="0.35">
      <c r="A835" s="16" t="s">
        <v>937</v>
      </c>
      <c r="B835" s="16" t="s">
        <v>427</v>
      </c>
      <c r="C835" s="16"/>
      <c r="D835" s="16" t="s">
        <v>419</v>
      </c>
      <c r="E835" s="17">
        <v>41640</v>
      </c>
      <c r="F835" s="17">
        <v>42004</v>
      </c>
      <c r="G835" s="16" t="s">
        <v>410</v>
      </c>
      <c r="H835" s="16">
        <v>1</v>
      </c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 t="s">
        <v>413</v>
      </c>
    </row>
    <row r="836" spans="1:32" ht="14.25" customHeight="1" x14ac:dyDescent="0.35">
      <c r="A836" s="14" t="s">
        <v>937</v>
      </c>
      <c r="B836" s="14" t="s">
        <v>427</v>
      </c>
      <c r="C836" s="14"/>
      <c r="D836" s="14" t="s">
        <v>429</v>
      </c>
      <c r="E836" s="15">
        <v>41640</v>
      </c>
      <c r="F836" s="15">
        <v>42004</v>
      </c>
      <c r="G836" s="14" t="s">
        <v>415</v>
      </c>
      <c r="H836" s="14">
        <v>0.09</v>
      </c>
      <c r="I836" s="14">
        <v>0.09</v>
      </c>
      <c r="J836" s="14">
        <v>0.09</v>
      </c>
      <c r="K836" s="14">
        <v>0.09</v>
      </c>
      <c r="L836" s="14">
        <v>0.09</v>
      </c>
      <c r="M836" s="14">
        <v>0.09</v>
      </c>
      <c r="N836" s="14">
        <v>0.62</v>
      </c>
      <c r="O836" s="14">
        <v>0.9</v>
      </c>
      <c r="P836" s="14">
        <v>0.43</v>
      </c>
      <c r="Q836" s="14">
        <v>0.43</v>
      </c>
      <c r="R836" s="14">
        <v>0.12</v>
      </c>
      <c r="S836" s="14">
        <v>0.12</v>
      </c>
      <c r="T836" s="14">
        <v>0.12</v>
      </c>
      <c r="U836" s="14">
        <v>0.12</v>
      </c>
      <c r="V836" s="14">
        <v>0.12</v>
      </c>
      <c r="W836" s="14">
        <v>0.12</v>
      </c>
      <c r="X836" s="14">
        <v>0.19</v>
      </c>
      <c r="Y836" s="14">
        <v>0.48</v>
      </c>
      <c r="Z836" s="14">
        <v>0.48</v>
      </c>
      <c r="AA836" s="14">
        <v>0.46</v>
      </c>
      <c r="AB836" s="14">
        <v>0.62</v>
      </c>
      <c r="AC836" s="14">
        <v>0.69</v>
      </c>
      <c r="AD836" s="14">
        <v>0.34</v>
      </c>
      <c r="AE836" s="14">
        <v>0.09</v>
      </c>
      <c r="AF836" s="14" t="s">
        <v>413</v>
      </c>
    </row>
    <row r="837" spans="1:32" ht="14.25" customHeight="1" x14ac:dyDescent="0.35">
      <c r="A837" s="14" t="s">
        <v>937</v>
      </c>
      <c r="B837" s="14" t="s">
        <v>427</v>
      </c>
      <c r="C837" s="14"/>
      <c r="D837" s="14" t="s">
        <v>418</v>
      </c>
      <c r="E837" s="15">
        <v>41640</v>
      </c>
      <c r="F837" s="15">
        <v>42004</v>
      </c>
      <c r="G837" s="14" t="s">
        <v>410</v>
      </c>
      <c r="H837" s="14">
        <v>0</v>
      </c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 t="s">
        <v>413</v>
      </c>
    </row>
    <row r="838" spans="1:32" ht="14.25" customHeight="1" x14ac:dyDescent="0.35">
      <c r="A838" s="16" t="s">
        <v>938</v>
      </c>
      <c r="B838" s="16" t="s">
        <v>427</v>
      </c>
      <c r="C838" s="16"/>
      <c r="D838" s="16" t="s">
        <v>417</v>
      </c>
      <c r="E838" s="17">
        <v>41640</v>
      </c>
      <c r="F838" s="17">
        <v>42004</v>
      </c>
      <c r="G838" s="16" t="s">
        <v>415</v>
      </c>
      <c r="H838" s="16">
        <v>0.11</v>
      </c>
      <c r="I838" s="16">
        <v>0.11</v>
      </c>
      <c r="J838" s="16">
        <v>0.11</v>
      </c>
      <c r="K838" s="16">
        <v>0.11</v>
      </c>
      <c r="L838" s="16">
        <v>0.11</v>
      </c>
      <c r="M838" s="16">
        <v>0.11</v>
      </c>
      <c r="N838" s="16">
        <v>0.3</v>
      </c>
      <c r="O838" s="16">
        <v>0.62</v>
      </c>
      <c r="P838" s="16">
        <v>0.9</v>
      </c>
      <c r="Q838" s="16">
        <v>0.62</v>
      </c>
      <c r="R838" s="16">
        <v>0.28999999999999998</v>
      </c>
      <c r="S838" s="16">
        <v>0.28999999999999998</v>
      </c>
      <c r="T838" s="16">
        <v>0.28999999999999998</v>
      </c>
      <c r="U838" s="16">
        <v>0.28999999999999998</v>
      </c>
      <c r="V838" s="16">
        <v>0.28999999999999998</v>
      </c>
      <c r="W838" s="16">
        <v>0.28999999999999998</v>
      </c>
      <c r="X838" s="16">
        <v>0.28999999999999998</v>
      </c>
      <c r="Y838" s="16">
        <v>0.43</v>
      </c>
      <c r="Z838" s="16">
        <v>0.51</v>
      </c>
      <c r="AA838" s="16">
        <v>0.49</v>
      </c>
      <c r="AB838" s="16">
        <v>0.66</v>
      </c>
      <c r="AC838" s="16">
        <v>0.7</v>
      </c>
      <c r="AD838" s="16">
        <v>0.35</v>
      </c>
      <c r="AE838" s="16">
        <v>0.11</v>
      </c>
      <c r="AF838" s="16" t="s">
        <v>413</v>
      </c>
    </row>
    <row r="839" spans="1:32" ht="14.25" customHeight="1" x14ac:dyDescent="0.35">
      <c r="A839" s="16" t="s">
        <v>938</v>
      </c>
      <c r="B839" s="16" t="s">
        <v>427</v>
      </c>
      <c r="C839" s="16"/>
      <c r="D839" s="16" t="s">
        <v>419</v>
      </c>
      <c r="E839" s="17">
        <v>41640</v>
      </c>
      <c r="F839" s="17">
        <v>42004</v>
      </c>
      <c r="G839" s="16" t="s">
        <v>410</v>
      </c>
      <c r="H839" s="16">
        <v>1</v>
      </c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 t="s">
        <v>413</v>
      </c>
    </row>
    <row r="840" spans="1:32" ht="14.25" customHeight="1" x14ac:dyDescent="0.35">
      <c r="A840" s="14" t="s">
        <v>938</v>
      </c>
      <c r="B840" s="14" t="s">
        <v>427</v>
      </c>
      <c r="C840" s="14"/>
      <c r="D840" s="14" t="s">
        <v>429</v>
      </c>
      <c r="E840" s="15">
        <v>41640</v>
      </c>
      <c r="F840" s="15">
        <v>42004</v>
      </c>
      <c r="G840" s="14" t="s">
        <v>415</v>
      </c>
      <c r="H840" s="14">
        <v>0.11</v>
      </c>
      <c r="I840" s="14">
        <v>0.11</v>
      </c>
      <c r="J840" s="14">
        <v>0.11</v>
      </c>
      <c r="K840" s="14">
        <v>0.11</v>
      </c>
      <c r="L840" s="14">
        <v>0.11</v>
      </c>
      <c r="M840" s="14">
        <v>0.11</v>
      </c>
      <c r="N840" s="14">
        <v>0.62</v>
      </c>
      <c r="O840" s="14">
        <v>0.9</v>
      </c>
      <c r="P840" s="14">
        <v>0.43</v>
      </c>
      <c r="Q840" s="14">
        <v>0.43</v>
      </c>
      <c r="R840" s="14">
        <v>0.26</v>
      </c>
      <c r="S840" s="14">
        <v>0.26</v>
      </c>
      <c r="T840" s="14">
        <v>0.26</v>
      </c>
      <c r="U840" s="14">
        <v>0.26</v>
      </c>
      <c r="V840" s="14">
        <v>0.26</v>
      </c>
      <c r="W840" s="14">
        <v>0.26</v>
      </c>
      <c r="X840" s="14">
        <v>0.26</v>
      </c>
      <c r="Y840" s="14">
        <v>0.51</v>
      </c>
      <c r="Z840" s="14">
        <v>0.51</v>
      </c>
      <c r="AA840" s="14">
        <v>0.49</v>
      </c>
      <c r="AB840" s="14">
        <v>0.66</v>
      </c>
      <c r="AC840" s="14">
        <v>0.7</v>
      </c>
      <c r="AD840" s="14">
        <v>0.35</v>
      </c>
      <c r="AE840" s="14">
        <v>0.11</v>
      </c>
      <c r="AF840" s="14" t="s">
        <v>413</v>
      </c>
    </row>
    <row r="841" spans="1:32" ht="14.25" customHeight="1" x14ac:dyDescent="0.35">
      <c r="A841" s="14" t="s">
        <v>938</v>
      </c>
      <c r="B841" s="14" t="s">
        <v>427</v>
      </c>
      <c r="C841" s="14"/>
      <c r="D841" s="14" t="s">
        <v>418</v>
      </c>
      <c r="E841" s="15">
        <v>41640</v>
      </c>
      <c r="F841" s="15">
        <v>42004</v>
      </c>
      <c r="G841" s="14" t="s">
        <v>410</v>
      </c>
      <c r="H841" s="14">
        <v>0</v>
      </c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 t="s">
        <v>413</v>
      </c>
    </row>
    <row r="842" spans="1:32" ht="14.25" customHeight="1" x14ac:dyDescent="0.35">
      <c r="A842" s="16" t="s">
        <v>939</v>
      </c>
      <c r="B842" s="16" t="s">
        <v>441</v>
      </c>
      <c r="C842" s="16"/>
      <c r="D842" s="16" t="s">
        <v>417</v>
      </c>
      <c r="E842" s="17">
        <v>41640</v>
      </c>
      <c r="F842" s="17">
        <v>42004</v>
      </c>
      <c r="G842" s="16" t="s">
        <v>410</v>
      </c>
      <c r="H842" s="16">
        <v>0.25</v>
      </c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 t="s">
        <v>413</v>
      </c>
    </row>
    <row r="843" spans="1:32" ht="14.25" customHeight="1" x14ac:dyDescent="0.35">
      <c r="A843" s="16" t="s">
        <v>939</v>
      </c>
      <c r="B843" s="16" t="s">
        <v>441</v>
      </c>
      <c r="C843" s="16"/>
      <c r="D843" s="16" t="s">
        <v>419</v>
      </c>
      <c r="E843" s="17">
        <v>41640</v>
      </c>
      <c r="F843" s="17">
        <v>42004</v>
      </c>
      <c r="G843" s="16" t="s">
        <v>410</v>
      </c>
      <c r="H843" s="16">
        <v>1</v>
      </c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 t="s">
        <v>413</v>
      </c>
    </row>
    <row r="844" spans="1:32" ht="14.25" customHeight="1" x14ac:dyDescent="0.35">
      <c r="A844" s="14" t="s">
        <v>939</v>
      </c>
      <c r="B844" s="14" t="s">
        <v>441</v>
      </c>
      <c r="C844" s="14"/>
      <c r="D844" s="14" t="s">
        <v>418</v>
      </c>
      <c r="E844" s="15">
        <v>41640</v>
      </c>
      <c r="F844" s="15">
        <v>42004</v>
      </c>
      <c r="G844" s="14" t="s">
        <v>410</v>
      </c>
      <c r="H844" s="14">
        <v>0</v>
      </c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 t="s">
        <v>413</v>
      </c>
    </row>
    <row r="845" spans="1:32" ht="14.25" customHeight="1" x14ac:dyDescent="0.35">
      <c r="A845" s="14" t="s">
        <v>940</v>
      </c>
      <c r="B845" s="14" t="s">
        <v>448</v>
      </c>
      <c r="C845" s="14"/>
      <c r="D845" s="14" t="s">
        <v>417</v>
      </c>
      <c r="E845" s="15">
        <v>41640</v>
      </c>
      <c r="F845" s="15">
        <v>42004</v>
      </c>
      <c r="G845" s="14" t="s">
        <v>415</v>
      </c>
      <c r="H845" s="14">
        <v>1</v>
      </c>
      <c r="I845" s="14">
        <v>1</v>
      </c>
      <c r="J845" s="14">
        <v>1</v>
      </c>
      <c r="K845" s="14">
        <v>1</v>
      </c>
      <c r="L845" s="14">
        <v>1</v>
      </c>
      <c r="M845" s="14">
        <v>1</v>
      </c>
      <c r="N845" s="14">
        <v>0.77</v>
      </c>
      <c r="O845" s="14">
        <v>0.53</v>
      </c>
      <c r="P845" s="14">
        <v>0.53</v>
      </c>
      <c r="Q845" s="14">
        <v>0.3</v>
      </c>
      <c r="R845" s="14">
        <v>0.3</v>
      </c>
      <c r="S845" s="14">
        <v>0.3</v>
      </c>
      <c r="T845" s="14">
        <v>0.3</v>
      </c>
      <c r="U845" s="14">
        <v>0.3</v>
      </c>
      <c r="V845" s="14">
        <v>0.3</v>
      </c>
      <c r="W845" s="14">
        <v>0.3</v>
      </c>
      <c r="X845" s="14">
        <v>0.3</v>
      </c>
      <c r="Y845" s="14">
        <v>0.53</v>
      </c>
      <c r="Z845" s="14">
        <v>0.54</v>
      </c>
      <c r="AA845" s="14">
        <v>0.65</v>
      </c>
      <c r="AB845" s="14">
        <v>0.65</v>
      </c>
      <c r="AC845" s="14">
        <v>0.77</v>
      </c>
      <c r="AD845" s="14">
        <v>0.77</v>
      </c>
      <c r="AE845" s="14">
        <v>0.77</v>
      </c>
      <c r="AF845" s="14" t="s">
        <v>413</v>
      </c>
    </row>
    <row r="846" spans="1:32" ht="14.25" customHeight="1" x14ac:dyDescent="0.35">
      <c r="A846" s="14" t="s">
        <v>940</v>
      </c>
      <c r="B846" s="14" t="s">
        <v>448</v>
      </c>
      <c r="C846" s="14"/>
      <c r="D846" s="14" t="s">
        <v>419</v>
      </c>
      <c r="E846" s="15">
        <v>41640</v>
      </c>
      <c r="F846" s="15">
        <v>42004</v>
      </c>
      <c r="G846" s="14" t="s">
        <v>410</v>
      </c>
      <c r="H846" s="14">
        <v>1</v>
      </c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 t="s">
        <v>413</v>
      </c>
    </row>
    <row r="847" spans="1:32" ht="14.25" customHeight="1" x14ac:dyDescent="0.35">
      <c r="A847" s="16" t="s">
        <v>940</v>
      </c>
      <c r="B847" s="16" t="s">
        <v>448</v>
      </c>
      <c r="C847" s="16"/>
      <c r="D847" s="16" t="s">
        <v>429</v>
      </c>
      <c r="E847" s="17">
        <v>41640</v>
      </c>
      <c r="F847" s="17">
        <v>42004</v>
      </c>
      <c r="G847" s="16" t="s">
        <v>415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0.77</v>
      </c>
      <c r="O847" s="16">
        <v>0.43</v>
      </c>
      <c r="P847" s="16">
        <v>0.43</v>
      </c>
      <c r="Q847" s="16">
        <v>0.2</v>
      </c>
      <c r="R847" s="16">
        <v>0.2</v>
      </c>
      <c r="S847" s="16">
        <v>0.2</v>
      </c>
      <c r="T847" s="16">
        <v>0.2</v>
      </c>
      <c r="U847" s="16">
        <v>0.2</v>
      </c>
      <c r="V847" s="16">
        <v>0.2</v>
      </c>
      <c r="W847" s="16">
        <v>0.31</v>
      </c>
      <c r="X847" s="16">
        <v>0.54</v>
      </c>
      <c r="Y847" s="16">
        <v>0.54</v>
      </c>
      <c r="Z847" s="16">
        <v>0.54</v>
      </c>
      <c r="AA847" s="16">
        <v>0.77</v>
      </c>
      <c r="AB847" s="16">
        <v>0.77</v>
      </c>
      <c r="AC847" s="16">
        <v>0.89</v>
      </c>
      <c r="AD847" s="16">
        <v>1</v>
      </c>
      <c r="AE847" s="16">
        <v>1</v>
      </c>
      <c r="AF847" s="16" t="s">
        <v>413</v>
      </c>
    </row>
    <row r="848" spans="1:32" ht="14.25" customHeight="1" x14ac:dyDescent="0.35">
      <c r="A848" s="16" t="s">
        <v>940</v>
      </c>
      <c r="B848" s="16" t="s">
        <v>448</v>
      </c>
      <c r="C848" s="16"/>
      <c r="D848" s="16" t="s">
        <v>418</v>
      </c>
      <c r="E848" s="17">
        <v>41640</v>
      </c>
      <c r="F848" s="17">
        <v>42004</v>
      </c>
      <c r="G848" s="16" t="s">
        <v>410</v>
      </c>
      <c r="H848" s="16">
        <v>0</v>
      </c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 t="s">
        <v>413</v>
      </c>
    </row>
    <row r="849" spans="1:32" ht="14.25" customHeight="1" x14ac:dyDescent="0.35">
      <c r="A849" s="14" t="s">
        <v>941</v>
      </c>
      <c r="B849" s="14" t="s">
        <v>460</v>
      </c>
      <c r="C849" s="14"/>
      <c r="D849" s="14" t="s">
        <v>409</v>
      </c>
      <c r="E849" s="15">
        <v>41640</v>
      </c>
      <c r="F849" s="15">
        <v>42004</v>
      </c>
      <c r="G849" s="14" t="s">
        <v>415</v>
      </c>
      <c r="H849" s="14">
        <v>0.2</v>
      </c>
      <c r="I849" s="14">
        <v>0.15</v>
      </c>
      <c r="J849" s="14">
        <v>0.15</v>
      </c>
      <c r="K849" s="14">
        <v>0.15</v>
      </c>
      <c r="L849" s="14">
        <v>0.2</v>
      </c>
      <c r="M849" s="14">
        <v>0.25</v>
      </c>
      <c r="N849" s="14">
        <v>0.35</v>
      </c>
      <c r="O849" s="14">
        <v>0.6</v>
      </c>
      <c r="P849" s="14">
        <v>0.8</v>
      </c>
      <c r="Q849" s="14">
        <v>0.55000000000000004</v>
      </c>
      <c r="R849" s="14">
        <v>0.4</v>
      </c>
      <c r="S849" s="14">
        <v>0.3</v>
      </c>
      <c r="T849" s="14">
        <v>0.2</v>
      </c>
      <c r="U849" s="14">
        <v>0.2</v>
      </c>
      <c r="V849" s="14">
        <v>0.2</v>
      </c>
      <c r="W849" s="14">
        <v>0.2</v>
      </c>
      <c r="X849" s="14">
        <v>0.2</v>
      </c>
      <c r="Y849" s="14">
        <v>0.25</v>
      </c>
      <c r="Z849" s="14">
        <v>0.3</v>
      </c>
      <c r="AA849" s="14">
        <v>0.4</v>
      </c>
      <c r="AB849" s="14">
        <v>0.4</v>
      </c>
      <c r="AC849" s="14">
        <v>0.4</v>
      </c>
      <c r="AD849" s="14">
        <v>0.6</v>
      </c>
      <c r="AE849" s="14">
        <v>0.35</v>
      </c>
      <c r="AF849" s="14" t="s">
        <v>413</v>
      </c>
    </row>
    <row r="850" spans="1:32" ht="14.25" customHeight="1" x14ac:dyDescent="0.35">
      <c r="A850" s="16" t="s">
        <v>941</v>
      </c>
      <c r="B850" s="16" t="s">
        <v>460</v>
      </c>
      <c r="C850" s="16"/>
      <c r="D850" s="16" t="s">
        <v>429</v>
      </c>
      <c r="E850" s="17">
        <v>41640</v>
      </c>
      <c r="F850" s="17">
        <v>42004</v>
      </c>
      <c r="G850" s="16" t="s">
        <v>415</v>
      </c>
      <c r="H850" s="16">
        <v>0.2</v>
      </c>
      <c r="I850" s="16">
        <v>0.15</v>
      </c>
      <c r="J850" s="16">
        <v>0.15</v>
      </c>
      <c r="K850" s="16">
        <v>0.15</v>
      </c>
      <c r="L850" s="16">
        <v>0.2</v>
      </c>
      <c r="M850" s="16">
        <v>0.35</v>
      </c>
      <c r="N850" s="16">
        <v>0.6</v>
      </c>
      <c r="O850" s="16">
        <v>0.8</v>
      </c>
      <c r="P850" s="16">
        <v>0.55000000000000004</v>
      </c>
      <c r="Q850" s="16">
        <v>0.4</v>
      </c>
      <c r="R850" s="16">
        <v>0.3</v>
      </c>
      <c r="S850" s="16">
        <v>0.2</v>
      </c>
      <c r="T850" s="16">
        <v>0.2</v>
      </c>
      <c r="U850" s="16">
        <v>0.2</v>
      </c>
      <c r="V850" s="16">
        <v>0.2</v>
      </c>
      <c r="W850" s="16">
        <v>0.2</v>
      </c>
      <c r="X850" s="16">
        <v>0.2</v>
      </c>
      <c r="Y850" s="16">
        <v>0.3</v>
      </c>
      <c r="Z850" s="16">
        <v>0.55000000000000004</v>
      </c>
      <c r="AA850" s="16">
        <v>0.4</v>
      </c>
      <c r="AB850" s="16">
        <v>0.4</v>
      </c>
      <c r="AC850" s="16">
        <v>0.6</v>
      </c>
      <c r="AD850" s="16">
        <v>0.45</v>
      </c>
      <c r="AE850" s="16">
        <v>0.25</v>
      </c>
      <c r="AF850" s="16" t="s">
        <v>413</v>
      </c>
    </row>
    <row r="851" spans="1:32" ht="14.25" customHeight="1" x14ac:dyDescent="0.35">
      <c r="A851" s="14" t="s">
        <v>942</v>
      </c>
      <c r="B851" s="14" t="s">
        <v>408</v>
      </c>
      <c r="C851" s="14" t="s">
        <v>414</v>
      </c>
      <c r="D851" s="14" t="s">
        <v>409</v>
      </c>
      <c r="E851" s="15">
        <v>41640</v>
      </c>
      <c r="F851" s="15">
        <v>42004</v>
      </c>
      <c r="G851" s="14" t="s">
        <v>410</v>
      </c>
      <c r="H851" s="14">
        <v>14</v>
      </c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 t="s">
        <v>413</v>
      </c>
    </row>
    <row r="852" spans="1:32" ht="14.25" customHeight="1" x14ac:dyDescent="0.35">
      <c r="A852" s="16" t="s">
        <v>943</v>
      </c>
      <c r="B852" s="16" t="s">
        <v>441</v>
      </c>
      <c r="C852" s="16"/>
      <c r="D852" s="16" t="s">
        <v>409</v>
      </c>
      <c r="E852" s="17">
        <v>41640</v>
      </c>
      <c r="F852" s="17">
        <v>42004</v>
      </c>
      <c r="G852" s="16" t="s">
        <v>415</v>
      </c>
      <c r="H852" s="16">
        <v>0</v>
      </c>
      <c r="I852" s="16">
        <v>0</v>
      </c>
      <c r="J852" s="16">
        <v>0</v>
      </c>
      <c r="K852" s="16">
        <v>0</v>
      </c>
      <c r="L852" s="16">
        <v>0</v>
      </c>
      <c r="M852" s="16">
        <v>0</v>
      </c>
      <c r="N852" s="16">
        <v>0.14399999999999999</v>
      </c>
      <c r="O852" s="16">
        <v>1</v>
      </c>
      <c r="P852" s="16">
        <v>0.14399999999999999</v>
      </c>
      <c r="Q852" s="16">
        <v>0.14399999999999999</v>
      </c>
      <c r="R852" s="16">
        <v>0.14399999999999999</v>
      </c>
      <c r="S852" s="16">
        <v>0.14399999999999999</v>
      </c>
      <c r="T852" s="16">
        <v>0.14399999999999999</v>
      </c>
      <c r="U852" s="16">
        <v>0.14399999999999999</v>
      </c>
      <c r="V852" s="16">
        <v>0.14399999999999999</v>
      </c>
      <c r="W852" s="16">
        <v>0.14399999999999999</v>
      </c>
      <c r="X852" s="16">
        <v>0.14399999999999999</v>
      </c>
      <c r="Y852" s="16">
        <v>1</v>
      </c>
      <c r="Z852" s="16">
        <v>0.14399999999999999</v>
      </c>
      <c r="AA852" s="16">
        <v>0.14399999999999999</v>
      </c>
      <c r="AB852" s="16">
        <v>0.14399999999999999</v>
      </c>
      <c r="AC852" s="16">
        <v>0.14399999999999999</v>
      </c>
      <c r="AD852" s="16">
        <v>0</v>
      </c>
      <c r="AE852" s="16">
        <v>0</v>
      </c>
      <c r="AF852" s="16" t="s">
        <v>413</v>
      </c>
    </row>
    <row r="853" spans="1:32" ht="14.25" customHeight="1" x14ac:dyDescent="0.35">
      <c r="A853" s="14" t="s">
        <v>944</v>
      </c>
      <c r="B853" s="14" t="s">
        <v>427</v>
      </c>
      <c r="C853" s="14"/>
      <c r="D853" s="14" t="s">
        <v>417</v>
      </c>
      <c r="E853" s="15">
        <v>41640</v>
      </c>
      <c r="F853" s="15">
        <v>42004</v>
      </c>
      <c r="G853" s="14" t="s">
        <v>415</v>
      </c>
      <c r="H853" s="14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1</v>
      </c>
      <c r="Q853" s="14">
        <v>1</v>
      </c>
      <c r="R853" s="14">
        <v>1</v>
      </c>
      <c r="S853" s="14">
        <v>1</v>
      </c>
      <c r="T853" s="14">
        <v>1</v>
      </c>
      <c r="U853" s="14">
        <v>1</v>
      </c>
      <c r="V853" s="14">
        <v>1</v>
      </c>
      <c r="W853" s="14">
        <v>1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 t="s">
        <v>413</v>
      </c>
    </row>
    <row r="854" spans="1:32" ht="14.25" customHeight="1" x14ac:dyDescent="0.35">
      <c r="A854" s="14" t="s">
        <v>944</v>
      </c>
      <c r="B854" s="14" t="s">
        <v>427</v>
      </c>
      <c r="C854" s="14"/>
      <c r="D854" s="14" t="s">
        <v>419</v>
      </c>
      <c r="E854" s="15">
        <v>41640</v>
      </c>
      <c r="F854" s="15">
        <v>42004</v>
      </c>
      <c r="G854" s="14" t="s">
        <v>410</v>
      </c>
      <c r="H854" s="14">
        <v>1</v>
      </c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 t="s">
        <v>413</v>
      </c>
    </row>
    <row r="855" spans="1:32" ht="14.25" customHeight="1" x14ac:dyDescent="0.35">
      <c r="A855" s="16" t="s">
        <v>944</v>
      </c>
      <c r="B855" s="16" t="s">
        <v>427</v>
      </c>
      <c r="C855" s="16"/>
      <c r="D855" s="16" t="s">
        <v>418</v>
      </c>
      <c r="E855" s="17">
        <v>41640</v>
      </c>
      <c r="F855" s="17">
        <v>42004</v>
      </c>
      <c r="G855" s="16" t="s">
        <v>410</v>
      </c>
      <c r="H855" s="16">
        <v>0</v>
      </c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 t="s">
        <v>413</v>
      </c>
    </row>
    <row r="856" spans="1:32" ht="14.25" customHeight="1" x14ac:dyDescent="0.35">
      <c r="A856" s="16" t="s">
        <v>945</v>
      </c>
      <c r="B856" s="16" t="s">
        <v>427</v>
      </c>
      <c r="C856" s="16"/>
      <c r="D856" s="16" t="s">
        <v>417</v>
      </c>
      <c r="E856" s="17">
        <v>41640</v>
      </c>
      <c r="F856" s="17">
        <v>42004</v>
      </c>
      <c r="G856" s="16" t="s">
        <v>415</v>
      </c>
      <c r="H856" s="16">
        <v>0</v>
      </c>
      <c r="I856" s="16">
        <v>0</v>
      </c>
      <c r="J856" s="16">
        <v>0</v>
      </c>
      <c r="K856" s="16">
        <v>0</v>
      </c>
      <c r="L856" s="16">
        <v>0</v>
      </c>
      <c r="M856" s="16">
        <v>0</v>
      </c>
      <c r="N856" s="16">
        <v>0</v>
      </c>
      <c r="O856" s="16">
        <v>0</v>
      </c>
      <c r="P856" s="16">
        <v>0</v>
      </c>
      <c r="Q856" s="16">
        <v>1</v>
      </c>
      <c r="R856" s="16">
        <v>1</v>
      </c>
      <c r="S856" s="16">
        <v>1</v>
      </c>
      <c r="T856" s="16">
        <v>1</v>
      </c>
      <c r="U856" s="16">
        <v>1</v>
      </c>
      <c r="V856" s="16">
        <v>1</v>
      </c>
      <c r="W856" s="16">
        <v>1</v>
      </c>
      <c r="X856" s="16">
        <v>1</v>
      </c>
      <c r="Y856" s="16">
        <v>0</v>
      </c>
      <c r="Z856" s="16">
        <v>0</v>
      </c>
      <c r="AA856" s="16">
        <v>0</v>
      </c>
      <c r="AB856" s="16">
        <v>0</v>
      </c>
      <c r="AC856" s="16">
        <v>0</v>
      </c>
      <c r="AD856" s="16">
        <v>0</v>
      </c>
      <c r="AE856" s="16">
        <v>0</v>
      </c>
      <c r="AF856" s="16" t="s">
        <v>413</v>
      </c>
    </row>
    <row r="857" spans="1:32" ht="14.25" customHeight="1" x14ac:dyDescent="0.35">
      <c r="A857" s="16" t="s">
        <v>945</v>
      </c>
      <c r="B857" s="16" t="s">
        <v>427</v>
      </c>
      <c r="C857" s="16"/>
      <c r="D857" s="16" t="s">
        <v>419</v>
      </c>
      <c r="E857" s="17">
        <v>41640</v>
      </c>
      <c r="F857" s="17">
        <v>42004</v>
      </c>
      <c r="G857" s="16" t="s">
        <v>410</v>
      </c>
      <c r="H857" s="16">
        <v>1</v>
      </c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 t="s">
        <v>413</v>
      </c>
    </row>
    <row r="858" spans="1:32" ht="14.25" customHeight="1" x14ac:dyDescent="0.35">
      <c r="A858" s="14" t="s">
        <v>945</v>
      </c>
      <c r="B858" s="14" t="s">
        <v>427</v>
      </c>
      <c r="C858" s="14"/>
      <c r="D858" s="14" t="s">
        <v>418</v>
      </c>
      <c r="E858" s="15">
        <v>41640</v>
      </c>
      <c r="F858" s="15">
        <v>42004</v>
      </c>
      <c r="G858" s="14" t="s">
        <v>410</v>
      </c>
      <c r="H858" s="14">
        <v>0</v>
      </c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 t="s">
        <v>413</v>
      </c>
    </row>
    <row r="859" spans="1:32" ht="14.25" customHeight="1" x14ac:dyDescent="0.35">
      <c r="A859" s="14" t="s">
        <v>946</v>
      </c>
      <c r="B859" s="14" t="s">
        <v>448</v>
      </c>
      <c r="C859" s="14"/>
      <c r="D859" s="14" t="s">
        <v>791</v>
      </c>
      <c r="E859" s="15">
        <v>41640</v>
      </c>
      <c r="F859" s="15">
        <v>42004</v>
      </c>
      <c r="G859" s="14" t="s">
        <v>415</v>
      </c>
      <c r="H859" s="14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0.09</v>
      </c>
      <c r="Q859" s="14">
        <v>0.09</v>
      </c>
      <c r="R859" s="14">
        <v>0.18</v>
      </c>
      <c r="S859" s="14">
        <v>0.18</v>
      </c>
      <c r="T859" s="14">
        <v>0</v>
      </c>
      <c r="U859" s="14">
        <v>0.18</v>
      </c>
      <c r="V859" s="14">
        <v>0.18</v>
      </c>
      <c r="W859" s="14">
        <v>0.18</v>
      </c>
      <c r="X859" s="14">
        <v>0.09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 t="s">
        <v>413</v>
      </c>
    </row>
    <row r="860" spans="1:32" ht="14.25" customHeight="1" x14ac:dyDescent="0.35">
      <c r="A860" s="14" t="s">
        <v>946</v>
      </c>
      <c r="B860" s="14" t="s">
        <v>448</v>
      </c>
      <c r="C860" s="14"/>
      <c r="D860" s="14" t="s">
        <v>419</v>
      </c>
      <c r="E860" s="15">
        <v>41640</v>
      </c>
      <c r="F860" s="15">
        <v>42004</v>
      </c>
      <c r="G860" s="14" t="s">
        <v>410</v>
      </c>
      <c r="H860" s="14">
        <v>1</v>
      </c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 t="s">
        <v>413</v>
      </c>
    </row>
    <row r="861" spans="1:32" ht="14.25" customHeight="1" x14ac:dyDescent="0.35">
      <c r="A861" s="16" t="s">
        <v>946</v>
      </c>
      <c r="B861" s="16" t="s">
        <v>448</v>
      </c>
      <c r="C861" s="16"/>
      <c r="D861" s="16" t="s">
        <v>418</v>
      </c>
      <c r="E861" s="17">
        <v>41640</v>
      </c>
      <c r="F861" s="17">
        <v>42004</v>
      </c>
      <c r="G861" s="16" t="s">
        <v>410</v>
      </c>
      <c r="H861" s="16">
        <v>0</v>
      </c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 t="s">
        <v>413</v>
      </c>
    </row>
    <row r="862" spans="1:32" ht="14.25" customHeight="1" x14ac:dyDescent="0.35">
      <c r="A862" s="16" t="s">
        <v>947</v>
      </c>
      <c r="B862" s="16" t="s">
        <v>427</v>
      </c>
      <c r="C862" s="16"/>
      <c r="D862" s="16" t="s">
        <v>409</v>
      </c>
      <c r="E862" s="17">
        <v>41640</v>
      </c>
      <c r="F862" s="17">
        <v>42004</v>
      </c>
      <c r="G862" s="16" t="s">
        <v>415</v>
      </c>
      <c r="H862" s="16">
        <v>0</v>
      </c>
      <c r="I862" s="16">
        <v>0</v>
      </c>
      <c r="J862" s="16">
        <v>0</v>
      </c>
      <c r="K862" s="16">
        <v>0</v>
      </c>
      <c r="L862" s="16">
        <v>0</v>
      </c>
      <c r="M862" s="16">
        <v>0</v>
      </c>
      <c r="N862" s="16">
        <v>0</v>
      </c>
      <c r="O862" s="16">
        <v>0</v>
      </c>
      <c r="P862" s="16">
        <v>1</v>
      </c>
      <c r="Q862" s="16">
        <v>1</v>
      </c>
      <c r="R862" s="16">
        <v>1</v>
      </c>
      <c r="S862" s="16">
        <v>1</v>
      </c>
      <c r="T862" s="16">
        <v>1</v>
      </c>
      <c r="U862" s="16">
        <v>1</v>
      </c>
      <c r="V862" s="16">
        <v>1</v>
      </c>
      <c r="W862" s="16">
        <v>1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  <c r="AC862" s="16">
        <v>0</v>
      </c>
      <c r="AD862" s="16">
        <v>0</v>
      </c>
      <c r="AE862" s="16">
        <v>0</v>
      </c>
      <c r="AF862" s="16" t="s">
        <v>413</v>
      </c>
    </row>
    <row r="863" spans="1:32" ht="14.25" customHeight="1" x14ac:dyDescent="0.35">
      <c r="A863" s="14" t="s">
        <v>948</v>
      </c>
      <c r="B863" s="14" t="s">
        <v>427</v>
      </c>
      <c r="C863" s="14"/>
      <c r="D863" s="14" t="s">
        <v>417</v>
      </c>
      <c r="E863" s="15">
        <v>41640</v>
      </c>
      <c r="F863" s="15">
        <v>42004</v>
      </c>
      <c r="G863" s="14" t="s">
        <v>415</v>
      </c>
      <c r="H863" s="14">
        <v>0.21</v>
      </c>
      <c r="I863" s="14">
        <v>0.21</v>
      </c>
      <c r="J863" s="14">
        <v>0.21</v>
      </c>
      <c r="K863" s="14">
        <v>0.21</v>
      </c>
      <c r="L863" s="14">
        <v>0.21</v>
      </c>
      <c r="M863" s="14">
        <v>0.68</v>
      </c>
      <c r="N863" s="14">
        <v>1</v>
      </c>
      <c r="O863" s="14">
        <v>1</v>
      </c>
      <c r="P863" s="14">
        <v>1</v>
      </c>
      <c r="Q863" s="14">
        <v>1</v>
      </c>
      <c r="R863" s="14">
        <v>0.32</v>
      </c>
      <c r="S863" s="14">
        <v>0.23</v>
      </c>
      <c r="T863" s="14">
        <v>0.23</v>
      </c>
      <c r="U863" s="14">
        <v>0.23</v>
      </c>
      <c r="V863" s="14">
        <v>0.23</v>
      </c>
      <c r="W863" s="14">
        <v>0.23</v>
      </c>
      <c r="X863" s="14">
        <v>0.23</v>
      </c>
      <c r="Y863" s="14">
        <v>0.23</v>
      </c>
      <c r="Z863" s="14">
        <v>0.23</v>
      </c>
      <c r="AA863" s="14">
        <v>0.23</v>
      </c>
      <c r="AB863" s="14">
        <v>0.23</v>
      </c>
      <c r="AC863" s="14">
        <v>0.23</v>
      </c>
      <c r="AD863" s="14">
        <v>0.23</v>
      </c>
      <c r="AE863" s="14">
        <v>0.21</v>
      </c>
      <c r="AF863" s="14" t="s">
        <v>413</v>
      </c>
    </row>
    <row r="864" spans="1:32" ht="14.25" customHeight="1" x14ac:dyDescent="0.35">
      <c r="A864" s="14" t="s">
        <v>948</v>
      </c>
      <c r="B864" s="14" t="s">
        <v>427</v>
      </c>
      <c r="C864" s="14"/>
      <c r="D864" s="14" t="s">
        <v>419</v>
      </c>
      <c r="E864" s="15">
        <v>41640</v>
      </c>
      <c r="F864" s="15">
        <v>42004</v>
      </c>
      <c r="G864" s="14" t="s">
        <v>410</v>
      </c>
      <c r="H864" s="14">
        <v>1</v>
      </c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 t="s">
        <v>413</v>
      </c>
    </row>
    <row r="865" spans="1:32" ht="14.25" customHeight="1" x14ac:dyDescent="0.35">
      <c r="A865" s="16" t="s">
        <v>948</v>
      </c>
      <c r="B865" s="16" t="s">
        <v>427</v>
      </c>
      <c r="C865" s="16"/>
      <c r="D865" s="16" t="s">
        <v>418</v>
      </c>
      <c r="E865" s="17">
        <v>41640</v>
      </c>
      <c r="F865" s="17">
        <v>42004</v>
      </c>
      <c r="G865" s="16" t="s">
        <v>410</v>
      </c>
      <c r="H865" s="16">
        <v>0</v>
      </c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 t="s">
        <v>413</v>
      </c>
    </row>
    <row r="866" spans="1:32" ht="14.25" customHeight="1" x14ac:dyDescent="0.35">
      <c r="A866" s="16" t="s">
        <v>949</v>
      </c>
      <c r="B866" s="16" t="s">
        <v>448</v>
      </c>
      <c r="C866" s="16"/>
      <c r="D866" s="16" t="s">
        <v>417</v>
      </c>
      <c r="E866" s="17">
        <v>41640</v>
      </c>
      <c r="F866" s="17">
        <v>42004</v>
      </c>
      <c r="G866" s="16" t="s">
        <v>415</v>
      </c>
      <c r="H866" s="16">
        <v>0.1</v>
      </c>
      <c r="I866" s="16">
        <v>0.1</v>
      </c>
      <c r="J866" s="16">
        <v>0.1</v>
      </c>
      <c r="K866" s="16">
        <v>0.1</v>
      </c>
      <c r="L866" s="16">
        <v>0.1</v>
      </c>
      <c r="M866" s="16">
        <v>0.1</v>
      </c>
      <c r="N866" s="16">
        <v>0.3</v>
      </c>
      <c r="O866" s="16">
        <v>0.7</v>
      </c>
      <c r="P866" s="16">
        <v>0.7</v>
      </c>
      <c r="Q866" s="16">
        <v>0.7</v>
      </c>
      <c r="R866" s="16">
        <v>0.2</v>
      </c>
      <c r="S866" s="16">
        <v>0.2</v>
      </c>
      <c r="T866" s="16">
        <v>0.2</v>
      </c>
      <c r="U866" s="16">
        <v>0.2</v>
      </c>
      <c r="V866" s="16">
        <v>0.2</v>
      </c>
      <c r="W866" s="16">
        <v>0.2</v>
      </c>
      <c r="X866" s="16">
        <v>0.2</v>
      </c>
      <c r="Y866" s="16">
        <v>0.2</v>
      </c>
      <c r="Z866" s="16">
        <v>0.2</v>
      </c>
      <c r="AA866" s="16">
        <v>0.2</v>
      </c>
      <c r="AB866" s="16">
        <v>0.2</v>
      </c>
      <c r="AC866" s="16">
        <v>0.2</v>
      </c>
      <c r="AD866" s="16">
        <v>0.1</v>
      </c>
      <c r="AE866" s="16">
        <v>0.1</v>
      </c>
      <c r="AF866" s="16" t="s">
        <v>413</v>
      </c>
    </row>
    <row r="867" spans="1:32" ht="14.25" customHeight="1" x14ac:dyDescent="0.35">
      <c r="A867" s="16" t="s">
        <v>949</v>
      </c>
      <c r="B867" s="16" t="s">
        <v>448</v>
      </c>
      <c r="C867" s="16"/>
      <c r="D867" s="16" t="s">
        <v>419</v>
      </c>
      <c r="E867" s="17">
        <v>41640</v>
      </c>
      <c r="F867" s="17">
        <v>42004</v>
      </c>
      <c r="G867" s="16" t="s">
        <v>410</v>
      </c>
      <c r="H867" s="16">
        <v>1</v>
      </c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 t="s">
        <v>413</v>
      </c>
    </row>
    <row r="868" spans="1:32" ht="14.25" customHeight="1" x14ac:dyDescent="0.35">
      <c r="A868" s="14" t="s">
        <v>949</v>
      </c>
      <c r="B868" s="14" t="s">
        <v>448</v>
      </c>
      <c r="C868" s="14"/>
      <c r="D868" s="14" t="s">
        <v>429</v>
      </c>
      <c r="E868" s="15">
        <v>41640</v>
      </c>
      <c r="F868" s="15">
        <v>42004</v>
      </c>
      <c r="G868" s="14" t="s">
        <v>415</v>
      </c>
      <c r="H868" s="14">
        <v>0.1</v>
      </c>
      <c r="I868" s="14">
        <v>0.1</v>
      </c>
      <c r="J868" s="14">
        <v>0.1</v>
      </c>
      <c r="K868" s="14">
        <v>0.1</v>
      </c>
      <c r="L868" s="14">
        <v>0.1</v>
      </c>
      <c r="M868" s="14">
        <v>0.3</v>
      </c>
      <c r="N868" s="14">
        <v>0.7</v>
      </c>
      <c r="O868" s="14">
        <v>0.7</v>
      </c>
      <c r="P868" s="14">
        <v>0.7</v>
      </c>
      <c r="Q868" s="14">
        <v>0.7</v>
      </c>
      <c r="R868" s="14">
        <v>0.2</v>
      </c>
      <c r="S868" s="14">
        <v>0.2</v>
      </c>
      <c r="T868" s="14">
        <v>0.2</v>
      </c>
      <c r="U868" s="14">
        <v>0.2</v>
      </c>
      <c r="V868" s="14">
        <v>0.2</v>
      </c>
      <c r="W868" s="14">
        <v>0.2</v>
      </c>
      <c r="X868" s="14">
        <v>0.4</v>
      </c>
      <c r="Y868" s="14">
        <v>0.4</v>
      </c>
      <c r="Z868" s="14">
        <v>0.2</v>
      </c>
      <c r="AA868" s="14">
        <v>0.2</v>
      </c>
      <c r="AB868" s="14">
        <v>0.2</v>
      </c>
      <c r="AC868" s="14">
        <v>0.2</v>
      </c>
      <c r="AD868" s="14">
        <v>0.1</v>
      </c>
      <c r="AE868" s="14">
        <v>0.1</v>
      </c>
      <c r="AF868" s="14" t="s">
        <v>413</v>
      </c>
    </row>
    <row r="869" spans="1:32" ht="14.25" customHeight="1" x14ac:dyDescent="0.35">
      <c r="A869" s="14" t="s">
        <v>949</v>
      </c>
      <c r="B869" s="14" t="s">
        <v>448</v>
      </c>
      <c r="C869" s="14"/>
      <c r="D869" s="14" t="s">
        <v>418</v>
      </c>
      <c r="E869" s="15">
        <v>41640</v>
      </c>
      <c r="F869" s="15">
        <v>42004</v>
      </c>
      <c r="G869" s="14" t="s">
        <v>410</v>
      </c>
      <c r="H869" s="14">
        <v>0</v>
      </c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 t="s">
        <v>413</v>
      </c>
    </row>
    <row r="870" spans="1:32" ht="14.25" customHeight="1" x14ac:dyDescent="0.35">
      <c r="A870" s="16" t="s">
        <v>950</v>
      </c>
      <c r="B870" s="16" t="s">
        <v>427</v>
      </c>
      <c r="C870" s="16"/>
      <c r="D870" s="16" t="s">
        <v>409</v>
      </c>
      <c r="E870" s="17">
        <v>41640</v>
      </c>
      <c r="F870" s="17">
        <v>42004</v>
      </c>
      <c r="G870" s="16" t="s">
        <v>415</v>
      </c>
      <c r="H870" s="16">
        <v>0</v>
      </c>
      <c r="I870" s="16">
        <v>0</v>
      </c>
      <c r="J870" s="16">
        <v>0</v>
      </c>
      <c r="K870" s="16">
        <v>0</v>
      </c>
      <c r="L870" s="16">
        <v>0</v>
      </c>
      <c r="M870" s="16">
        <v>0</v>
      </c>
      <c r="N870" s="16">
        <v>0</v>
      </c>
      <c r="O870" s="16">
        <v>0.05</v>
      </c>
      <c r="P870" s="16">
        <v>0.54</v>
      </c>
      <c r="Q870" s="16">
        <v>0.54</v>
      </c>
      <c r="R870" s="16">
        <v>0.26</v>
      </c>
      <c r="S870" s="16">
        <v>0.26</v>
      </c>
      <c r="T870" s="16">
        <v>0.05</v>
      </c>
      <c r="U870" s="16">
        <v>0.54</v>
      </c>
      <c r="V870" s="16">
        <v>0.54</v>
      </c>
      <c r="W870" s="16">
        <v>0.26</v>
      </c>
      <c r="X870" s="16">
        <v>0.26</v>
      </c>
      <c r="Y870" s="16">
        <v>0.26</v>
      </c>
      <c r="Z870" s="16">
        <v>0.05</v>
      </c>
      <c r="AA870" s="16">
        <v>0.05</v>
      </c>
      <c r="AB870" s="16">
        <v>0</v>
      </c>
      <c r="AC870" s="16">
        <v>0</v>
      </c>
      <c r="AD870" s="16">
        <v>0</v>
      </c>
      <c r="AE870" s="16">
        <v>0</v>
      </c>
      <c r="AF870" s="16" t="s">
        <v>413</v>
      </c>
    </row>
    <row r="871" spans="1:32" ht="14.25" customHeight="1" x14ac:dyDescent="0.35">
      <c r="A871" s="14" t="s">
        <v>951</v>
      </c>
      <c r="B871" s="14" t="s">
        <v>448</v>
      </c>
      <c r="C871" s="14"/>
      <c r="D871" s="14" t="s">
        <v>791</v>
      </c>
      <c r="E871" s="15">
        <v>41640</v>
      </c>
      <c r="F871" s="15">
        <v>42004</v>
      </c>
      <c r="G871" s="14" t="s">
        <v>415</v>
      </c>
      <c r="H871" s="14">
        <v>0</v>
      </c>
      <c r="I871" s="14">
        <v>0</v>
      </c>
      <c r="J871" s="14">
        <v>0</v>
      </c>
      <c r="K871" s="14">
        <v>0</v>
      </c>
      <c r="L871" s="14">
        <v>0</v>
      </c>
      <c r="M871" s="14">
        <v>0</v>
      </c>
      <c r="N871" s="14">
        <v>0</v>
      </c>
      <c r="O871" s="14">
        <v>0.05</v>
      </c>
      <c r="P871" s="14">
        <v>0.5</v>
      </c>
      <c r="Q871" s="14">
        <v>0.5</v>
      </c>
      <c r="R871" s="14">
        <v>0.2</v>
      </c>
      <c r="S871" s="14">
        <v>0.2</v>
      </c>
      <c r="T871" s="14">
        <v>0.05</v>
      </c>
      <c r="U871" s="14">
        <v>0.5</v>
      </c>
      <c r="V871" s="14">
        <v>0.5</v>
      </c>
      <c r="W871" s="14">
        <v>0.2</v>
      </c>
      <c r="X871" s="14">
        <v>0.2</v>
      </c>
      <c r="Y871" s="14">
        <v>0.2</v>
      </c>
      <c r="Z871" s="14">
        <v>0.05</v>
      </c>
      <c r="AA871" s="14">
        <v>0.05</v>
      </c>
      <c r="AB871" s="14">
        <v>0</v>
      </c>
      <c r="AC871" s="14">
        <v>0</v>
      </c>
      <c r="AD871" s="14">
        <v>0</v>
      </c>
      <c r="AE871" s="14">
        <v>0</v>
      </c>
      <c r="AF871" s="14" t="s">
        <v>413</v>
      </c>
    </row>
    <row r="872" spans="1:32" ht="14.25" customHeight="1" x14ac:dyDescent="0.35">
      <c r="A872" s="14" t="s">
        <v>951</v>
      </c>
      <c r="B872" s="14" t="s">
        <v>448</v>
      </c>
      <c r="C872" s="14"/>
      <c r="D872" s="14" t="s">
        <v>419</v>
      </c>
      <c r="E872" s="15">
        <v>41640</v>
      </c>
      <c r="F872" s="15">
        <v>42004</v>
      </c>
      <c r="G872" s="14" t="s">
        <v>410</v>
      </c>
      <c r="H872" s="14">
        <v>1</v>
      </c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 t="s">
        <v>413</v>
      </c>
    </row>
    <row r="873" spans="1:32" ht="14.25" customHeight="1" x14ac:dyDescent="0.35">
      <c r="A873" s="16" t="s">
        <v>951</v>
      </c>
      <c r="B873" s="16" t="s">
        <v>448</v>
      </c>
      <c r="C873" s="16"/>
      <c r="D873" s="16" t="s">
        <v>418</v>
      </c>
      <c r="E873" s="17">
        <v>41640</v>
      </c>
      <c r="F873" s="17">
        <v>42004</v>
      </c>
      <c r="G873" s="16" t="s">
        <v>410</v>
      </c>
      <c r="H873" s="16">
        <v>0</v>
      </c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 t="s">
        <v>413</v>
      </c>
    </row>
    <row r="874" spans="1:32" ht="14.25" customHeight="1" x14ac:dyDescent="0.35">
      <c r="A874" s="16" t="s">
        <v>952</v>
      </c>
      <c r="B874" s="16" t="s">
        <v>550</v>
      </c>
      <c r="C874" s="16"/>
      <c r="D874" s="16" t="s">
        <v>409</v>
      </c>
      <c r="E874" s="17">
        <v>41640</v>
      </c>
      <c r="F874" s="17">
        <v>42004</v>
      </c>
      <c r="G874" s="16" t="s">
        <v>410</v>
      </c>
      <c r="H874" s="16">
        <v>1</v>
      </c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 t="s">
        <v>413</v>
      </c>
    </row>
    <row r="875" spans="1:32" ht="14.25" customHeight="1" x14ac:dyDescent="0.35">
      <c r="A875" s="14" t="s">
        <v>953</v>
      </c>
      <c r="B875" s="14" t="s">
        <v>420</v>
      </c>
      <c r="C875" s="14" t="s">
        <v>414</v>
      </c>
      <c r="D875" s="14" t="s">
        <v>417</v>
      </c>
      <c r="E875" s="15">
        <v>41640</v>
      </c>
      <c r="F875" s="15">
        <v>42004</v>
      </c>
      <c r="G875" s="14" t="s">
        <v>415</v>
      </c>
      <c r="H875" s="14">
        <v>21.111000000000001</v>
      </c>
      <c r="I875" s="14">
        <v>21.111000000000001</v>
      </c>
      <c r="J875" s="14">
        <v>21.111000000000001</v>
      </c>
      <c r="K875" s="14">
        <v>21.111000000000001</v>
      </c>
      <c r="L875" s="14">
        <v>21.111000000000001</v>
      </c>
      <c r="M875" s="14">
        <v>21.111000000000001</v>
      </c>
      <c r="N875" s="14">
        <v>21.111000000000001</v>
      </c>
      <c r="O875" s="14">
        <v>21.111000000000001</v>
      </c>
      <c r="P875" s="14">
        <v>21.111000000000001</v>
      </c>
      <c r="Q875" s="14">
        <v>23.332999999999998</v>
      </c>
      <c r="R875" s="14">
        <v>23.332999999999998</v>
      </c>
      <c r="S875" s="14">
        <v>23.332999999999998</v>
      </c>
      <c r="T875" s="14">
        <v>23.332999999999998</v>
      </c>
      <c r="U875" s="14">
        <v>23.332999999999998</v>
      </c>
      <c r="V875" s="14">
        <v>23.332999999999998</v>
      </c>
      <c r="W875" s="14">
        <v>23.332999999999998</v>
      </c>
      <c r="X875" s="14">
        <v>21.111000000000001</v>
      </c>
      <c r="Y875" s="14">
        <v>21.111000000000001</v>
      </c>
      <c r="Z875" s="14">
        <v>21.111000000000001</v>
      </c>
      <c r="AA875" s="14">
        <v>21.111000000000001</v>
      </c>
      <c r="AB875" s="14">
        <v>21.111000000000001</v>
      </c>
      <c r="AC875" s="14">
        <v>21.111000000000001</v>
      </c>
      <c r="AD875" s="14">
        <v>21.111000000000001</v>
      </c>
      <c r="AE875" s="14">
        <v>21.111000000000001</v>
      </c>
      <c r="AF875" s="14" t="s">
        <v>413</v>
      </c>
    </row>
    <row r="876" spans="1:32" ht="14.25" customHeight="1" x14ac:dyDescent="0.35">
      <c r="A876" s="16" t="s">
        <v>953</v>
      </c>
      <c r="B876" s="16" t="s">
        <v>420</v>
      </c>
      <c r="C876" s="16" t="s">
        <v>414</v>
      </c>
      <c r="D876" s="16" t="s">
        <v>421</v>
      </c>
      <c r="E876" s="17">
        <v>41640</v>
      </c>
      <c r="F876" s="17">
        <v>42004</v>
      </c>
      <c r="G876" s="16" t="s">
        <v>410</v>
      </c>
      <c r="H876" s="16">
        <v>21.111000000000001</v>
      </c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 t="s">
        <v>413</v>
      </c>
    </row>
    <row r="877" spans="1:32" ht="14.25" customHeight="1" x14ac:dyDescent="0.35">
      <c r="A877" s="14" t="s">
        <v>954</v>
      </c>
      <c r="B877" s="14" t="s">
        <v>420</v>
      </c>
      <c r="C877" s="14" t="s">
        <v>414</v>
      </c>
      <c r="D877" s="14" t="s">
        <v>417</v>
      </c>
      <c r="E877" s="15">
        <v>41640</v>
      </c>
      <c r="F877" s="15">
        <v>42004</v>
      </c>
      <c r="G877" s="14" t="s">
        <v>415</v>
      </c>
      <c r="H877" s="14">
        <v>21.111000000000001</v>
      </c>
      <c r="I877" s="14">
        <v>21.111000000000001</v>
      </c>
      <c r="J877" s="14">
        <v>21.111000000000001</v>
      </c>
      <c r="K877" s="14">
        <v>21.111000000000001</v>
      </c>
      <c r="L877" s="14">
        <v>21.111000000000001</v>
      </c>
      <c r="M877" s="14">
        <v>21.111000000000001</v>
      </c>
      <c r="N877" s="14">
        <v>21.111000000000001</v>
      </c>
      <c r="O877" s="14">
        <v>21.111000000000001</v>
      </c>
      <c r="P877" s="14">
        <v>21.111000000000001</v>
      </c>
      <c r="Q877" s="14">
        <v>18.888999999999999</v>
      </c>
      <c r="R877" s="14">
        <v>18.888999999999999</v>
      </c>
      <c r="S877" s="14">
        <v>18.888999999999999</v>
      </c>
      <c r="T877" s="14">
        <v>18.888999999999999</v>
      </c>
      <c r="U877" s="14">
        <v>18.888999999999999</v>
      </c>
      <c r="V877" s="14">
        <v>18.888999999999999</v>
      </c>
      <c r="W877" s="14">
        <v>18.888999999999999</v>
      </c>
      <c r="X877" s="14">
        <v>21.111000000000001</v>
      </c>
      <c r="Y877" s="14">
        <v>21.111000000000001</v>
      </c>
      <c r="Z877" s="14">
        <v>21.111000000000001</v>
      </c>
      <c r="AA877" s="14">
        <v>21.111000000000001</v>
      </c>
      <c r="AB877" s="14">
        <v>21.111000000000001</v>
      </c>
      <c r="AC877" s="14">
        <v>21.111000000000001</v>
      </c>
      <c r="AD877" s="14">
        <v>21.111000000000001</v>
      </c>
      <c r="AE877" s="14">
        <v>21.111000000000001</v>
      </c>
      <c r="AF877" s="14" t="s">
        <v>413</v>
      </c>
    </row>
    <row r="878" spans="1:32" ht="14.25" customHeight="1" x14ac:dyDescent="0.35">
      <c r="A878" s="16" t="s">
        <v>954</v>
      </c>
      <c r="B878" s="16" t="s">
        <v>420</v>
      </c>
      <c r="C878" s="16" t="s">
        <v>414</v>
      </c>
      <c r="D878" s="16" t="s">
        <v>421</v>
      </c>
      <c r="E878" s="17">
        <v>41640</v>
      </c>
      <c r="F878" s="17">
        <v>42004</v>
      </c>
      <c r="G878" s="16" t="s">
        <v>410</v>
      </c>
      <c r="H878" s="16">
        <v>21.111000000000001</v>
      </c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 t="s">
        <v>413</v>
      </c>
    </row>
    <row r="879" spans="1:32" ht="14.25" customHeight="1" x14ac:dyDescent="0.35">
      <c r="A879" s="14" t="s">
        <v>955</v>
      </c>
      <c r="B879" s="14" t="s">
        <v>448</v>
      </c>
      <c r="C879" s="14"/>
      <c r="D879" s="14" t="s">
        <v>409</v>
      </c>
      <c r="E879" s="15">
        <v>41640</v>
      </c>
      <c r="F879" s="15">
        <v>42004</v>
      </c>
      <c r="G879" s="14" t="s">
        <v>415</v>
      </c>
      <c r="H879" s="14">
        <v>0</v>
      </c>
      <c r="I879" s="14">
        <v>0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1</v>
      </c>
      <c r="Q879" s="14">
        <v>1</v>
      </c>
      <c r="R879" s="14">
        <v>1</v>
      </c>
      <c r="S879" s="14">
        <v>1</v>
      </c>
      <c r="T879" s="14">
        <v>1</v>
      </c>
      <c r="U879" s="14">
        <v>1</v>
      </c>
      <c r="V879" s="14">
        <v>1</v>
      </c>
      <c r="W879" s="14">
        <v>1</v>
      </c>
      <c r="X879" s="14">
        <v>1</v>
      </c>
      <c r="Y879" s="14">
        <v>1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 t="s">
        <v>413</v>
      </c>
    </row>
    <row r="880" spans="1:32" ht="14.25" customHeight="1" x14ac:dyDescent="0.35">
      <c r="A880" s="16" t="s">
        <v>956</v>
      </c>
      <c r="B880" s="16" t="s">
        <v>427</v>
      </c>
      <c r="C880" s="16"/>
      <c r="D880" s="16" t="s">
        <v>417</v>
      </c>
      <c r="E880" s="17">
        <v>41640</v>
      </c>
      <c r="F880" s="17">
        <v>42004</v>
      </c>
      <c r="G880" s="16" t="s">
        <v>415</v>
      </c>
      <c r="H880" s="16">
        <v>0.33</v>
      </c>
      <c r="I880" s="16">
        <v>0.33</v>
      </c>
      <c r="J880" s="16">
        <v>0.33</v>
      </c>
      <c r="K880" s="16">
        <v>0.33</v>
      </c>
      <c r="L880" s="16">
        <v>0.33</v>
      </c>
      <c r="M880" s="16">
        <v>0.38</v>
      </c>
      <c r="N880" s="16">
        <v>0.38</v>
      </c>
      <c r="O880" s="16">
        <v>0.43</v>
      </c>
      <c r="P880" s="16">
        <v>0.63</v>
      </c>
      <c r="Q880" s="16">
        <v>0.63</v>
      </c>
      <c r="R880" s="16">
        <v>0.63</v>
      </c>
      <c r="S880" s="16">
        <v>0.63</v>
      </c>
      <c r="T880" s="16">
        <v>0.63</v>
      </c>
      <c r="U880" s="16">
        <v>0.63</v>
      </c>
      <c r="V880" s="16">
        <v>0.63</v>
      </c>
      <c r="W880" s="16">
        <v>0.63</v>
      </c>
      <c r="X880" s="16">
        <v>0.63</v>
      </c>
      <c r="Y880" s="16">
        <v>0.63</v>
      </c>
      <c r="Z880" s="16">
        <v>0.48</v>
      </c>
      <c r="AA880" s="16">
        <v>0.48</v>
      </c>
      <c r="AB880" s="16">
        <v>0.48</v>
      </c>
      <c r="AC880" s="16">
        <v>0.48</v>
      </c>
      <c r="AD880" s="16">
        <v>0.33</v>
      </c>
      <c r="AE880" s="16">
        <v>0.33</v>
      </c>
      <c r="AF880" s="16" t="s">
        <v>413</v>
      </c>
    </row>
    <row r="881" spans="1:32" ht="14.25" customHeight="1" x14ac:dyDescent="0.35">
      <c r="A881" s="16" t="s">
        <v>956</v>
      </c>
      <c r="B881" s="16" t="s">
        <v>427</v>
      </c>
      <c r="C881" s="16"/>
      <c r="D881" s="16" t="s">
        <v>419</v>
      </c>
      <c r="E881" s="17">
        <v>41640</v>
      </c>
      <c r="F881" s="17">
        <v>42004</v>
      </c>
      <c r="G881" s="16" t="s">
        <v>410</v>
      </c>
      <c r="H881" s="16">
        <v>1</v>
      </c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 t="s">
        <v>413</v>
      </c>
    </row>
    <row r="882" spans="1:32" ht="14.25" customHeight="1" x14ac:dyDescent="0.35">
      <c r="A882" s="14" t="s">
        <v>956</v>
      </c>
      <c r="B882" s="14" t="s">
        <v>427</v>
      </c>
      <c r="C882" s="14"/>
      <c r="D882" s="14" t="s">
        <v>429</v>
      </c>
      <c r="E882" s="15">
        <v>41640</v>
      </c>
      <c r="F882" s="15">
        <v>42004</v>
      </c>
      <c r="G882" s="14" t="s">
        <v>415</v>
      </c>
      <c r="H882" s="14">
        <v>0.33</v>
      </c>
      <c r="I882" s="14">
        <v>0.33</v>
      </c>
      <c r="J882" s="14">
        <v>0.33</v>
      </c>
      <c r="K882" s="14">
        <v>0.33</v>
      </c>
      <c r="L882" s="14">
        <v>0.33</v>
      </c>
      <c r="M882" s="14">
        <v>0.38</v>
      </c>
      <c r="N882" s="14">
        <v>0.38</v>
      </c>
      <c r="O882" s="14">
        <v>0.43</v>
      </c>
      <c r="P882" s="14">
        <v>0.43</v>
      </c>
      <c r="Q882" s="14">
        <v>0.43</v>
      </c>
      <c r="R882" s="14">
        <v>1</v>
      </c>
      <c r="S882" s="14">
        <v>1</v>
      </c>
      <c r="T882" s="14">
        <v>0.94</v>
      </c>
      <c r="U882" s="14">
        <v>1</v>
      </c>
      <c r="V882" s="14">
        <v>1</v>
      </c>
      <c r="W882" s="14">
        <v>1</v>
      </c>
      <c r="X882" s="14">
        <v>1</v>
      </c>
      <c r="Y882" s="14">
        <v>0.75</v>
      </c>
      <c r="Z882" s="14">
        <v>0.63</v>
      </c>
      <c r="AA882" s="14">
        <v>0.63</v>
      </c>
      <c r="AB882" s="14">
        <v>0.48</v>
      </c>
      <c r="AC882" s="14">
        <v>0.48</v>
      </c>
      <c r="AD882" s="14">
        <v>0.33</v>
      </c>
      <c r="AE882" s="14">
        <v>0.33</v>
      </c>
      <c r="AF882" s="14" t="s">
        <v>413</v>
      </c>
    </row>
    <row r="883" spans="1:32" ht="14.25" customHeight="1" x14ac:dyDescent="0.35">
      <c r="A883" s="14" t="s">
        <v>956</v>
      </c>
      <c r="B883" s="14" t="s">
        <v>427</v>
      </c>
      <c r="C883" s="14"/>
      <c r="D883" s="14" t="s">
        <v>418</v>
      </c>
      <c r="E883" s="15">
        <v>41640</v>
      </c>
      <c r="F883" s="15">
        <v>42004</v>
      </c>
      <c r="G883" s="14" t="s">
        <v>410</v>
      </c>
      <c r="H883" s="14">
        <v>0</v>
      </c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 t="s">
        <v>413</v>
      </c>
    </row>
    <row r="884" spans="1:32" ht="14.25" customHeight="1" x14ac:dyDescent="0.35">
      <c r="A884" s="16" t="s">
        <v>957</v>
      </c>
      <c r="B884" s="16" t="s">
        <v>448</v>
      </c>
      <c r="C884" s="16"/>
      <c r="D884" s="16" t="s">
        <v>417</v>
      </c>
      <c r="E884" s="17">
        <v>41640</v>
      </c>
      <c r="F884" s="17">
        <v>42004</v>
      </c>
      <c r="G884" s="16" t="s">
        <v>415</v>
      </c>
      <c r="H884" s="16">
        <v>0.2</v>
      </c>
      <c r="I884" s="16">
        <v>0.2</v>
      </c>
      <c r="J884" s="16">
        <v>0.2</v>
      </c>
      <c r="K884" s="16">
        <v>0.2</v>
      </c>
      <c r="L884" s="16">
        <v>0.2</v>
      </c>
      <c r="M884" s="16">
        <v>0.2</v>
      </c>
      <c r="N884" s="16">
        <v>0.2</v>
      </c>
      <c r="O884" s="16">
        <v>0.3</v>
      </c>
      <c r="P884" s="16">
        <v>0.5</v>
      </c>
      <c r="Q884" s="16">
        <v>0.5</v>
      </c>
      <c r="R884" s="16">
        <v>0.5</v>
      </c>
      <c r="S884" s="16">
        <v>0.5</v>
      </c>
      <c r="T884" s="16">
        <v>0.5</v>
      </c>
      <c r="U884" s="16">
        <v>0.5</v>
      </c>
      <c r="V884" s="16">
        <v>0.5</v>
      </c>
      <c r="W884" s="16">
        <v>0.5</v>
      </c>
      <c r="X884" s="16">
        <v>0.5</v>
      </c>
      <c r="Y884" s="16">
        <v>0.3</v>
      </c>
      <c r="Z884" s="16">
        <v>0.2</v>
      </c>
      <c r="AA884" s="16">
        <v>0.2</v>
      </c>
      <c r="AB884" s="16">
        <v>0.2</v>
      </c>
      <c r="AC884" s="16">
        <v>0.2</v>
      </c>
      <c r="AD884" s="16">
        <v>0.2</v>
      </c>
      <c r="AE884" s="16">
        <v>0.2</v>
      </c>
      <c r="AF884" s="16" t="s">
        <v>413</v>
      </c>
    </row>
    <row r="885" spans="1:32" ht="14.25" customHeight="1" x14ac:dyDescent="0.35">
      <c r="A885" s="16" t="s">
        <v>957</v>
      </c>
      <c r="B885" s="16" t="s">
        <v>448</v>
      </c>
      <c r="C885" s="16"/>
      <c r="D885" s="16" t="s">
        <v>419</v>
      </c>
      <c r="E885" s="17">
        <v>41640</v>
      </c>
      <c r="F885" s="17">
        <v>42004</v>
      </c>
      <c r="G885" s="16" t="s">
        <v>410</v>
      </c>
      <c r="H885" s="16">
        <v>1</v>
      </c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 t="s">
        <v>413</v>
      </c>
    </row>
    <row r="886" spans="1:32" ht="14.25" customHeight="1" x14ac:dyDescent="0.35">
      <c r="A886" s="14" t="s">
        <v>957</v>
      </c>
      <c r="B886" s="14" t="s">
        <v>448</v>
      </c>
      <c r="C886" s="14"/>
      <c r="D886" s="14" t="s">
        <v>429</v>
      </c>
      <c r="E886" s="15">
        <v>41640</v>
      </c>
      <c r="F886" s="15">
        <v>42004</v>
      </c>
      <c r="G886" s="14" t="s">
        <v>415</v>
      </c>
      <c r="H886" s="14">
        <v>0.2</v>
      </c>
      <c r="I886" s="14">
        <v>0.2</v>
      </c>
      <c r="J886" s="14">
        <v>0.2</v>
      </c>
      <c r="K886" s="14">
        <v>0.2</v>
      </c>
      <c r="L886" s="14">
        <v>0.2</v>
      </c>
      <c r="M886" s="14">
        <v>0.2</v>
      </c>
      <c r="N886" s="14">
        <v>0.3</v>
      </c>
      <c r="O886" s="14">
        <v>0.4</v>
      </c>
      <c r="P886" s="14">
        <v>1</v>
      </c>
      <c r="Q886" s="14">
        <v>1</v>
      </c>
      <c r="R886" s="14">
        <v>1</v>
      </c>
      <c r="S886" s="14">
        <v>1</v>
      </c>
      <c r="T886" s="14">
        <v>0.5</v>
      </c>
      <c r="U886" s="14">
        <v>1</v>
      </c>
      <c r="V886" s="14">
        <v>1</v>
      </c>
      <c r="W886" s="14">
        <v>1</v>
      </c>
      <c r="X886" s="14">
        <v>1</v>
      </c>
      <c r="Y886" s="14">
        <v>0.4</v>
      </c>
      <c r="Z886" s="14">
        <v>0.3</v>
      </c>
      <c r="AA886" s="14">
        <v>0.2</v>
      </c>
      <c r="AB886" s="14">
        <v>0.2</v>
      </c>
      <c r="AC886" s="14">
        <v>0.2</v>
      </c>
      <c r="AD886" s="14">
        <v>0.2</v>
      </c>
      <c r="AE886" s="14">
        <v>0.2</v>
      </c>
      <c r="AF886" s="14" t="s">
        <v>413</v>
      </c>
    </row>
    <row r="887" spans="1:32" ht="14.25" customHeight="1" x14ac:dyDescent="0.35">
      <c r="A887" s="14" t="s">
        <v>957</v>
      </c>
      <c r="B887" s="14" t="s">
        <v>448</v>
      </c>
      <c r="C887" s="14"/>
      <c r="D887" s="14" t="s">
        <v>418</v>
      </c>
      <c r="E887" s="15">
        <v>41640</v>
      </c>
      <c r="F887" s="15">
        <v>42004</v>
      </c>
      <c r="G887" s="14" t="s">
        <v>410</v>
      </c>
      <c r="H887" s="14">
        <v>0</v>
      </c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 t="s">
        <v>413</v>
      </c>
    </row>
    <row r="888" spans="1:32" ht="14.25" customHeight="1" x14ac:dyDescent="0.35">
      <c r="A888" s="16" t="s">
        <v>958</v>
      </c>
      <c r="B888" s="16" t="s">
        <v>408</v>
      </c>
      <c r="C888" s="16"/>
      <c r="D888" s="16" t="s">
        <v>409</v>
      </c>
      <c r="E888" s="17">
        <v>41640</v>
      </c>
      <c r="F888" s="17">
        <v>42004</v>
      </c>
      <c r="G888" s="16" t="s">
        <v>410</v>
      </c>
      <c r="H888" s="16">
        <v>1</v>
      </c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 t="s">
        <v>413</v>
      </c>
    </row>
    <row r="889" spans="1:32" ht="14.25" customHeight="1" x14ac:dyDescent="0.35">
      <c r="A889" s="14" t="s">
        <v>959</v>
      </c>
      <c r="B889" s="14" t="s">
        <v>420</v>
      </c>
      <c r="C889" s="14" t="s">
        <v>414</v>
      </c>
      <c r="D889" s="14" t="s">
        <v>417</v>
      </c>
      <c r="E889" s="15">
        <v>41640</v>
      </c>
      <c r="F889" s="15">
        <v>42004</v>
      </c>
      <c r="G889" s="14" t="s">
        <v>415</v>
      </c>
      <c r="H889" s="14">
        <v>21.111000000000001</v>
      </c>
      <c r="I889" s="14">
        <v>21.111000000000001</v>
      </c>
      <c r="J889" s="14">
        <v>21.111000000000001</v>
      </c>
      <c r="K889" s="14">
        <v>21.111000000000001</v>
      </c>
      <c r="L889" s="14">
        <v>21.111000000000001</v>
      </c>
      <c r="M889" s="14">
        <v>21.111000000000001</v>
      </c>
      <c r="N889" s="14">
        <v>21.111000000000001</v>
      </c>
      <c r="O889" s="14">
        <v>21.111000000000001</v>
      </c>
      <c r="P889" s="14">
        <v>21.111000000000001</v>
      </c>
      <c r="Q889" s="14">
        <v>23.332999999999998</v>
      </c>
      <c r="R889" s="14">
        <v>23.332999999999998</v>
      </c>
      <c r="S889" s="14">
        <v>23.332999999999998</v>
      </c>
      <c r="T889" s="14">
        <v>23.332999999999998</v>
      </c>
      <c r="U889" s="14">
        <v>23.332999999999998</v>
      </c>
      <c r="V889" s="14">
        <v>23.332999999999998</v>
      </c>
      <c r="W889" s="14">
        <v>23.332999999999998</v>
      </c>
      <c r="X889" s="14">
        <v>21.111000000000001</v>
      </c>
      <c r="Y889" s="14">
        <v>21.111000000000001</v>
      </c>
      <c r="Z889" s="14">
        <v>21.111000000000001</v>
      </c>
      <c r="AA889" s="14">
        <v>21.111000000000001</v>
      </c>
      <c r="AB889" s="14">
        <v>21.111000000000001</v>
      </c>
      <c r="AC889" s="14">
        <v>21.111000000000001</v>
      </c>
      <c r="AD889" s="14">
        <v>21.111000000000001</v>
      </c>
      <c r="AE889" s="14">
        <v>21.111000000000001</v>
      </c>
      <c r="AF889" s="14" t="s">
        <v>413</v>
      </c>
    </row>
    <row r="890" spans="1:32" ht="14.25" customHeight="1" x14ac:dyDescent="0.35">
      <c r="A890" s="16" t="s">
        <v>959</v>
      </c>
      <c r="B890" s="16" t="s">
        <v>420</v>
      </c>
      <c r="C890" s="16" t="s">
        <v>414</v>
      </c>
      <c r="D890" s="16" t="s">
        <v>421</v>
      </c>
      <c r="E890" s="17">
        <v>41640</v>
      </c>
      <c r="F890" s="17">
        <v>42004</v>
      </c>
      <c r="G890" s="16" t="s">
        <v>410</v>
      </c>
      <c r="H890" s="16">
        <v>21.111000000000001</v>
      </c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 t="s">
        <v>413</v>
      </c>
    </row>
    <row r="891" spans="1:32" ht="14.25" customHeight="1" x14ac:dyDescent="0.35">
      <c r="A891" s="14" t="s">
        <v>960</v>
      </c>
      <c r="B891" s="14" t="s">
        <v>420</v>
      </c>
      <c r="C891" s="14" t="s">
        <v>414</v>
      </c>
      <c r="D891" s="14" t="s">
        <v>417</v>
      </c>
      <c r="E891" s="15">
        <v>41640</v>
      </c>
      <c r="F891" s="15">
        <v>42004</v>
      </c>
      <c r="G891" s="14" t="s">
        <v>415</v>
      </c>
      <c r="H891" s="14">
        <v>21.111000000000001</v>
      </c>
      <c r="I891" s="14">
        <v>21.111000000000001</v>
      </c>
      <c r="J891" s="14">
        <v>21.111000000000001</v>
      </c>
      <c r="K891" s="14">
        <v>21.111000000000001</v>
      </c>
      <c r="L891" s="14">
        <v>21.111000000000001</v>
      </c>
      <c r="M891" s="14">
        <v>21.111000000000001</v>
      </c>
      <c r="N891" s="14">
        <v>21.111000000000001</v>
      </c>
      <c r="O891" s="14">
        <v>21.111000000000001</v>
      </c>
      <c r="P891" s="14">
        <v>21.111000000000001</v>
      </c>
      <c r="Q891" s="14">
        <v>18.888999999999999</v>
      </c>
      <c r="R891" s="14">
        <v>18.888999999999999</v>
      </c>
      <c r="S891" s="14">
        <v>18.888999999999999</v>
      </c>
      <c r="T891" s="14">
        <v>18.888999999999999</v>
      </c>
      <c r="U891" s="14">
        <v>18.888999999999999</v>
      </c>
      <c r="V891" s="14">
        <v>18.888999999999999</v>
      </c>
      <c r="W891" s="14">
        <v>18.888999999999999</v>
      </c>
      <c r="X891" s="14">
        <v>21.111000000000001</v>
      </c>
      <c r="Y891" s="14">
        <v>21.111000000000001</v>
      </c>
      <c r="Z891" s="14">
        <v>21.111000000000001</v>
      </c>
      <c r="AA891" s="14">
        <v>21.111000000000001</v>
      </c>
      <c r="AB891" s="14">
        <v>21.111000000000001</v>
      </c>
      <c r="AC891" s="14">
        <v>21.111000000000001</v>
      </c>
      <c r="AD891" s="14">
        <v>21.111000000000001</v>
      </c>
      <c r="AE891" s="14">
        <v>21.111000000000001</v>
      </c>
      <c r="AF891" s="14" t="s">
        <v>413</v>
      </c>
    </row>
    <row r="892" spans="1:32" ht="14.25" customHeight="1" x14ac:dyDescent="0.35">
      <c r="A892" s="16" t="s">
        <v>960</v>
      </c>
      <c r="B892" s="16" t="s">
        <v>420</v>
      </c>
      <c r="C892" s="16" t="s">
        <v>414</v>
      </c>
      <c r="D892" s="16" t="s">
        <v>421</v>
      </c>
      <c r="E892" s="17">
        <v>41640</v>
      </c>
      <c r="F892" s="17">
        <v>42004</v>
      </c>
      <c r="G892" s="16" t="s">
        <v>410</v>
      </c>
      <c r="H892" s="16">
        <v>21.111000000000001</v>
      </c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 t="s">
        <v>413</v>
      </c>
    </row>
    <row r="893" spans="1:32" ht="14.25" customHeight="1" x14ac:dyDescent="0.35">
      <c r="A893" s="14" t="s">
        <v>961</v>
      </c>
      <c r="B893" s="16" t="s">
        <v>408</v>
      </c>
      <c r="C893" s="14"/>
      <c r="D893" s="16" t="s">
        <v>409</v>
      </c>
      <c r="E893" s="17">
        <v>41640</v>
      </c>
      <c r="F893" s="17">
        <v>42004</v>
      </c>
      <c r="G893" s="16" t="s">
        <v>410</v>
      </c>
      <c r="H893" s="16">
        <v>0.7</v>
      </c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</row>
    <row r="894" spans="1:32" ht="14.25" customHeight="1" x14ac:dyDescent="0.35">
      <c r="A894" s="14" t="s">
        <v>962</v>
      </c>
      <c r="B894" s="14" t="s">
        <v>420</v>
      </c>
      <c r="C894" s="14" t="s">
        <v>414</v>
      </c>
      <c r="D894" s="14" t="s">
        <v>409</v>
      </c>
      <c r="E894" s="15">
        <v>41640</v>
      </c>
      <c r="F894" s="15">
        <v>42004</v>
      </c>
      <c r="G894" s="14" t="s">
        <v>410</v>
      </c>
      <c r="H894" s="14">
        <v>7.2</v>
      </c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 t="s">
        <v>413</v>
      </c>
    </row>
    <row r="895" spans="1:32" ht="14.25" customHeight="1" x14ac:dyDescent="0.35">
      <c r="A895" s="16" t="s">
        <v>963</v>
      </c>
      <c r="B895" s="16" t="s">
        <v>460</v>
      </c>
      <c r="C895" s="16"/>
      <c r="D895" s="16" t="s">
        <v>409</v>
      </c>
      <c r="E895" s="17">
        <v>41640</v>
      </c>
      <c r="F895" s="17">
        <v>42004</v>
      </c>
      <c r="G895" s="16" t="s">
        <v>410</v>
      </c>
      <c r="H895" s="16">
        <v>0.05</v>
      </c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 t="s">
        <v>413</v>
      </c>
    </row>
    <row r="896" spans="1:32" ht="14.25" customHeight="1" x14ac:dyDescent="0.35">
      <c r="A896" s="14" t="s">
        <v>964</v>
      </c>
      <c r="B896" s="14" t="s">
        <v>427</v>
      </c>
      <c r="C896" s="14" t="s">
        <v>414</v>
      </c>
      <c r="D896" s="14" t="s">
        <v>409</v>
      </c>
      <c r="E896" s="15">
        <v>41640</v>
      </c>
      <c r="F896" s="15">
        <v>42004</v>
      </c>
      <c r="G896" s="14" t="s">
        <v>410</v>
      </c>
      <c r="H896" s="14">
        <v>82.22</v>
      </c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 t="s">
        <v>413</v>
      </c>
    </row>
    <row r="897" spans="1:32" ht="14.25" customHeight="1" x14ac:dyDescent="0.35">
      <c r="A897" s="16" t="s">
        <v>965</v>
      </c>
      <c r="B897" s="16" t="s">
        <v>460</v>
      </c>
      <c r="C897" s="16"/>
      <c r="D897" s="16" t="s">
        <v>409</v>
      </c>
      <c r="E897" s="17">
        <v>41640</v>
      </c>
      <c r="F897" s="17">
        <v>42004</v>
      </c>
      <c r="G897" s="16" t="s">
        <v>410</v>
      </c>
      <c r="H897" s="16">
        <v>0.2</v>
      </c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 t="s">
        <v>413</v>
      </c>
    </row>
    <row r="898" spans="1:32" ht="14.25" customHeight="1" x14ac:dyDescent="0.35">
      <c r="A898" s="14" t="s">
        <v>966</v>
      </c>
      <c r="B898" s="14" t="s">
        <v>460</v>
      </c>
      <c r="C898" s="14" t="s">
        <v>414</v>
      </c>
      <c r="D898" s="14" t="s">
        <v>409</v>
      </c>
      <c r="E898" s="15">
        <v>41640</v>
      </c>
      <c r="F898" s="15">
        <v>42004</v>
      </c>
      <c r="G898" s="14" t="s">
        <v>410</v>
      </c>
      <c r="H898" s="14">
        <v>60</v>
      </c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 t="s">
        <v>413</v>
      </c>
    </row>
    <row r="899" spans="1:32" ht="14.25" customHeight="1" x14ac:dyDescent="0.35">
      <c r="A899" s="16" t="s">
        <v>967</v>
      </c>
      <c r="B899" s="16" t="s">
        <v>460</v>
      </c>
      <c r="C899" s="16" t="s">
        <v>414</v>
      </c>
      <c r="D899" s="16" t="s">
        <v>409</v>
      </c>
      <c r="E899" s="17">
        <v>41640</v>
      </c>
      <c r="F899" s="17">
        <v>42004</v>
      </c>
      <c r="G899" s="16" t="s">
        <v>410</v>
      </c>
      <c r="H899" s="16">
        <v>21.1</v>
      </c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 t="s">
        <v>413</v>
      </c>
    </row>
    <row r="900" spans="1:32" ht="14.25" customHeight="1" x14ac:dyDescent="0.35">
      <c r="A900" s="14" t="s">
        <v>968</v>
      </c>
      <c r="B900" s="14" t="s">
        <v>427</v>
      </c>
      <c r="C900" s="14" t="s">
        <v>414</v>
      </c>
      <c r="D900" s="14" t="s">
        <v>409</v>
      </c>
      <c r="E900" s="15">
        <v>41640</v>
      </c>
      <c r="F900" s="15">
        <v>42004</v>
      </c>
      <c r="G900" s="14" t="s">
        <v>410</v>
      </c>
      <c r="H900" s="14">
        <v>60</v>
      </c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 t="s">
        <v>413</v>
      </c>
    </row>
    <row r="901" spans="1:32" ht="14.25" customHeight="1" x14ac:dyDescent="0.35">
      <c r="A901" s="16" t="s">
        <v>969</v>
      </c>
      <c r="B901" s="16" t="s">
        <v>427</v>
      </c>
      <c r="C901" s="16" t="s">
        <v>414</v>
      </c>
      <c r="D901" s="16" t="s">
        <v>409</v>
      </c>
      <c r="E901" s="17">
        <v>41640</v>
      </c>
      <c r="F901" s="17">
        <v>42004</v>
      </c>
      <c r="G901" s="16" t="s">
        <v>410</v>
      </c>
      <c r="H901" s="16">
        <v>60</v>
      </c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 t="s">
        <v>413</v>
      </c>
    </row>
    <row r="902" spans="1:32" ht="14.25" customHeight="1" x14ac:dyDescent="0.35">
      <c r="A902" s="14" t="s">
        <v>970</v>
      </c>
      <c r="B902" s="14" t="s">
        <v>460</v>
      </c>
      <c r="C902" s="14" t="s">
        <v>414</v>
      </c>
      <c r="D902" s="14" t="s">
        <v>409</v>
      </c>
      <c r="E902" s="15">
        <v>41640</v>
      </c>
      <c r="F902" s="15">
        <v>42004</v>
      </c>
      <c r="G902" s="14" t="s">
        <v>410</v>
      </c>
      <c r="H902" s="14">
        <v>60</v>
      </c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 t="s">
        <v>413</v>
      </c>
    </row>
    <row r="903" spans="1:32" ht="14.25" customHeight="1" x14ac:dyDescent="0.35">
      <c r="A903" s="16" t="s">
        <v>971</v>
      </c>
      <c r="B903" s="16" t="s">
        <v>460</v>
      </c>
      <c r="C903" s="16" t="s">
        <v>414</v>
      </c>
      <c r="D903" s="16" t="s">
        <v>409</v>
      </c>
      <c r="E903" s="17">
        <v>41640</v>
      </c>
      <c r="F903" s="17">
        <v>42004</v>
      </c>
      <c r="G903" s="16" t="s">
        <v>410</v>
      </c>
      <c r="H903" s="16">
        <v>60</v>
      </c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 t="s">
        <v>413</v>
      </c>
    </row>
    <row r="904" spans="1:32" ht="14.25" customHeight="1" x14ac:dyDescent="0.35">
      <c r="A904" s="14" t="s">
        <v>972</v>
      </c>
      <c r="B904" s="14" t="s">
        <v>408</v>
      </c>
      <c r="C904" s="14"/>
      <c r="D904" s="14" t="s">
        <v>417</v>
      </c>
      <c r="E904" s="15">
        <v>41640</v>
      </c>
      <c r="F904" s="15">
        <v>42004</v>
      </c>
      <c r="G904" s="14" t="s">
        <v>415</v>
      </c>
      <c r="H904" s="14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1</v>
      </c>
      <c r="O904" s="14">
        <v>1</v>
      </c>
      <c r="P904" s="14">
        <v>1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1</v>
      </c>
      <c r="Y904" s="14">
        <v>1</v>
      </c>
      <c r="Z904" s="14">
        <v>1</v>
      </c>
      <c r="AA904" s="14">
        <v>1</v>
      </c>
      <c r="AB904" s="14">
        <v>1</v>
      </c>
      <c r="AC904" s="14">
        <v>1</v>
      </c>
      <c r="AD904" s="14">
        <v>0</v>
      </c>
      <c r="AE904" s="14">
        <v>0</v>
      </c>
      <c r="AF904" s="14" t="s">
        <v>413</v>
      </c>
    </row>
    <row r="905" spans="1:32" ht="14.25" customHeight="1" x14ac:dyDescent="0.35">
      <c r="A905" s="16" t="s">
        <v>972</v>
      </c>
      <c r="B905" s="16" t="s">
        <v>408</v>
      </c>
      <c r="C905" s="16"/>
      <c r="D905" s="16" t="s">
        <v>421</v>
      </c>
      <c r="E905" s="17">
        <v>41640</v>
      </c>
      <c r="F905" s="17">
        <v>42004</v>
      </c>
      <c r="G905" s="16" t="s">
        <v>410</v>
      </c>
      <c r="H905" s="16">
        <v>0</v>
      </c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 t="s">
        <v>413</v>
      </c>
    </row>
    <row r="906" spans="1:32" ht="14.25" customHeight="1" x14ac:dyDescent="0.35">
      <c r="A906" s="14" t="s">
        <v>973</v>
      </c>
      <c r="B906" s="14" t="s">
        <v>420</v>
      </c>
      <c r="C906" s="14" t="s">
        <v>414</v>
      </c>
      <c r="D906" s="14" t="s">
        <v>409</v>
      </c>
      <c r="E906" s="15">
        <v>41640</v>
      </c>
      <c r="F906" s="15">
        <v>42004</v>
      </c>
      <c r="G906" s="14" t="s">
        <v>410</v>
      </c>
      <c r="H906" s="14">
        <v>23.332999999999998</v>
      </c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 t="s">
        <v>413</v>
      </c>
    </row>
    <row r="907" spans="1:32" ht="14.25" customHeight="1" x14ac:dyDescent="0.35">
      <c r="A907" s="16" t="s">
        <v>974</v>
      </c>
      <c r="B907" s="16" t="s">
        <v>420</v>
      </c>
      <c r="C907" s="16" t="s">
        <v>414</v>
      </c>
      <c r="D907" s="16" t="s">
        <v>409</v>
      </c>
      <c r="E907" s="17">
        <v>41640</v>
      </c>
      <c r="F907" s="17">
        <v>42004</v>
      </c>
      <c r="G907" s="16" t="s">
        <v>410</v>
      </c>
      <c r="H907" s="16">
        <v>18.888999999999999</v>
      </c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 t="s">
        <v>413</v>
      </c>
    </row>
    <row r="908" spans="1:32" ht="14.25" customHeight="1" x14ac:dyDescent="0.35">
      <c r="A908" s="14" t="s">
        <v>975</v>
      </c>
      <c r="B908" s="14" t="s">
        <v>416</v>
      </c>
      <c r="C908" s="14"/>
      <c r="D908" s="14" t="s">
        <v>409</v>
      </c>
      <c r="E908" s="15">
        <v>41640</v>
      </c>
      <c r="F908" s="15">
        <v>42004</v>
      </c>
      <c r="G908" s="14" t="s">
        <v>415</v>
      </c>
      <c r="H908" s="14">
        <v>0.05</v>
      </c>
      <c r="I908" s="14">
        <v>0.05</v>
      </c>
      <c r="J908" s="14">
        <v>0.05</v>
      </c>
      <c r="K908" s="14">
        <v>0.05</v>
      </c>
      <c r="L908" s="14">
        <v>0.1</v>
      </c>
      <c r="M908" s="14">
        <v>0.2</v>
      </c>
      <c r="N908" s="14">
        <v>0.4</v>
      </c>
      <c r="O908" s="14">
        <v>0.5</v>
      </c>
      <c r="P908" s="14">
        <v>0.5</v>
      </c>
      <c r="Q908" s="14">
        <v>0.35</v>
      </c>
      <c r="R908" s="14">
        <v>0.15</v>
      </c>
      <c r="S908" s="14">
        <v>0.15</v>
      </c>
      <c r="T908" s="14">
        <v>0.15</v>
      </c>
      <c r="U908" s="14">
        <v>0.15</v>
      </c>
      <c r="V908" s="14">
        <v>0.15</v>
      </c>
      <c r="W908" s="14">
        <v>0.15</v>
      </c>
      <c r="X908" s="14">
        <v>0.35</v>
      </c>
      <c r="Y908" s="14">
        <v>0.5</v>
      </c>
      <c r="Z908" s="14">
        <v>0.5</v>
      </c>
      <c r="AA908" s="14">
        <v>0.4</v>
      </c>
      <c r="AB908" s="14">
        <v>0.4</v>
      </c>
      <c r="AC908" s="14">
        <v>0.3</v>
      </c>
      <c r="AD908" s="14">
        <v>0.2</v>
      </c>
      <c r="AE908" s="14">
        <v>0.1</v>
      </c>
      <c r="AF908" s="14" t="s">
        <v>411</v>
      </c>
    </row>
    <row r="909" spans="1:32" ht="14.25" customHeight="1" x14ac:dyDescent="0.35">
      <c r="A909" s="16" t="s">
        <v>976</v>
      </c>
      <c r="B909" s="16" t="s">
        <v>427</v>
      </c>
      <c r="C909" s="16"/>
      <c r="D909" s="16" t="s">
        <v>417</v>
      </c>
      <c r="E909" s="17">
        <v>41640</v>
      </c>
      <c r="F909" s="17">
        <v>42004</v>
      </c>
      <c r="G909" s="16" t="s">
        <v>415</v>
      </c>
      <c r="H909" s="16">
        <v>0.4</v>
      </c>
      <c r="I909" s="16">
        <v>0.4</v>
      </c>
      <c r="J909" s="16">
        <v>0.4</v>
      </c>
      <c r="K909" s="16">
        <v>0.4</v>
      </c>
      <c r="L909" s="16">
        <v>0.4</v>
      </c>
      <c r="M909" s="16">
        <v>0.4</v>
      </c>
      <c r="N909" s="16">
        <v>0.4</v>
      </c>
      <c r="O909" s="16">
        <v>0.4</v>
      </c>
      <c r="P909" s="16">
        <v>0.9</v>
      </c>
      <c r="Q909" s="16">
        <v>0.9</v>
      </c>
      <c r="R909" s="16">
        <v>0.9</v>
      </c>
      <c r="S909" s="16">
        <v>0.9</v>
      </c>
      <c r="T909" s="16">
        <v>0.8</v>
      </c>
      <c r="U909" s="16">
        <v>0.9</v>
      </c>
      <c r="V909" s="16">
        <v>0.9</v>
      </c>
      <c r="W909" s="16">
        <v>0.9</v>
      </c>
      <c r="X909" s="16">
        <v>0.9</v>
      </c>
      <c r="Y909" s="16">
        <v>0.8</v>
      </c>
      <c r="Z909" s="16">
        <v>0.6</v>
      </c>
      <c r="AA909" s="16">
        <v>0.6</v>
      </c>
      <c r="AB909" s="16">
        <v>0.5</v>
      </c>
      <c r="AC909" s="16">
        <v>0.5</v>
      </c>
      <c r="AD909" s="16">
        <v>0.4</v>
      </c>
      <c r="AE909" s="16">
        <v>0.4</v>
      </c>
      <c r="AF909" s="16" t="s">
        <v>411</v>
      </c>
    </row>
    <row r="910" spans="1:32" ht="14.25" customHeight="1" x14ac:dyDescent="0.35">
      <c r="A910" s="16" t="s">
        <v>976</v>
      </c>
      <c r="B910" s="16" t="s">
        <v>427</v>
      </c>
      <c r="C910" s="16"/>
      <c r="D910" s="16" t="s">
        <v>512</v>
      </c>
      <c r="E910" s="17">
        <v>41640</v>
      </c>
      <c r="F910" s="17">
        <v>42004</v>
      </c>
      <c r="G910" s="16" t="s">
        <v>415</v>
      </c>
      <c r="H910" s="16">
        <v>0.3</v>
      </c>
      <c r="I910" s="16">
        <v>0.3</v>
      </c>
      <c r="J910" s="16">
        <v>0.3</v>
      </c>
      <c r="K910" s="16">
        <v>0.3</v>
      </c>
      <c r="L910" s="16">
        <v>0.3</v>
      </c>
      <c r="M910" s="16">
        <v>0.3</v>
      </c>
      <c r="N910" s="16">
        <v>0.4</v>
      </c>
      <c r="O910" s="16">
        <v>0.4</v>
      </c>
      <c r="P910" s="16">
        <v>0.5</v>
      </c>
      <c r="Q910" s="16">
        <v>0.5</v>
      </c>
      <c r="R910" s="16">
        <v>0.5</v>
      </c>
      <c r="S910" s="16">
        <v>0.5</v>
      </c>
      <c r="T910" s="16">
        <v>0.5</v>
      </c>
      <c r="U910" s="16">
        <v>0.5</v>
      </c>
      <c r="V910" s="16">
        <v>0.35</v>
      </c>
      <c r="W910" s="16">
        <v>0.35</v>
      </c>
      <c r="X910" s="16">
        <v>0.35</v>
      </c>
      <c r="Y910" s="16">
        <v>0.3</v>
      </c>
      <c r="Z910" s="16">
        <v>0.3</v>
      </c>
      <c r="AA910" s="16">
        <v>0.3</v>
      </c>
      <c r="AB910" s="16">
        <v>0.3</v>
      </c>
      <c r="AC910" s="16">
        <v>0.3</v>
      </c>
      <c r="AD910" s="16">
        <v>0.3</v>
      </c>
      <c r="AE910" s="16">
        <v>0.3</v>
      </c>
      <c r="AF910" s="16" t="s">
        <v>411</v>
      </c>
    </row>
    <row r="911" spans="1:32" ht="14.25" customHeight="1" x14ac:dyDescent="0.35">
      <c r="A911" s="16" t="s">
        <v>976</v>
      </c>
      <c r="B911" s="16" t="s">
        <v>427</v>
      </c>
      <c r="C911" s="16"/>
      <c r="D911" s="16" t="s">
        <v>419</v>
      </c>
      <c r="E911" s="17">
        <v>41640</v>
      </c>
      <c r="F911" s="17">
        <v>42004</v>
      </c>
      <c r="G911" s="16" t="s">
        <v>410</v>
      </c>
      <c r="H911" s="16">
        <v>1</v>
      </c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 t="s">
        <v>411</v>
      </c>
    </row>
    <row r="912" spans="1:32" ht="14.25" customHeight="1" x14ac:dyDescent="0.35">
      <c r="A912" s="14" t="s">
        <v>976</v>
      </c>
      <c r="B912" s="14" t="s">
        <v>427</v>
      </c>
      <c r="C912" s="14"/>
      <c r="D912" s="14" t="s">
        <v>511</v>
      </c>
      <c r="E912" s="15">
        <v>41640</v>
      </c>
      <c r="F912" s="15">
        <v>42004</v>
      </c>
      <c r="G912" s="14" t="s">
        <v>410</v>
      </c>
      <c r="H912" s="14">
        <v>0.3</v>
      </c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 t="s">
        <v>411</v>
      </c>
    </row>
    <row r="913" spans="1:32" ht="14.25" customHeight="1" x14ac:dyDescent="0.35">
      <c r="A913" s="14" t="s">
        <v>976</v>
      </c>
      <c r="B913" s="14" t="s">
        <v>427</v>
      </c>
      <c r="C913" s="14"/>
      <c r="D913" s="14" t="s">
        <v>418</v>
      </c>
      <c r="E913" s="15">
        <v>41640</v>
      </c>
      <c r="F913" s="15">
        <v>42004</v>
      </c>
      <c r="G913" s="14" t="s">
        <v>410</v>
      </c>
      <c r="H913" s="14">
        <v>0</v>
      </c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 t="s">
        <v>411</v>
      </c>
    </row>
    <row r="914" spans="1:32" ht="14.25" customHeight="1" x14ac:dyDescent="0.35">
      <c r="A914" s="14" t="s">
        <v>977</v>
      </c>
      <c r="B914" s="14" t="s">
        <v>424</v>
      </c>
      <c r="C914" s="14"/>
      <c r="D914" s="14" t="s">
        <v>417</v>
      </c>
      <c r="E914" s="15">
        <v>41640</v>
      </c>
      <c r="F914" s="15">
        <v>42004</v>
      </c>
      <c r="G914" s="14" t="s">
        <v>415</v>
      </c>
      <c r="H914" s="14">
        <v>0.05</v>
      </c>
      <c r="I914" s="14">
        <v>0.05</v>
      </c>
      <c r="J914" s="14">
        <v>0.05</v>
      </c>
      <c r="K914" s="14">
        <v>0.05</v>
      </c>
      <c r="L914" s="14">
        <v>0.05</v>
      </c>
      <c r="M914" s="14">
        <v>0.1</v>
      </c>
      <c r="N914" s="14">
        <v>0.1</v>
      </c>
      <c r="O914" s="14">
        <v>0.3</v>
      </c>
      <c r="P914" s="14">
        <v>0.9</v>
      </c>
      <c r="Q914" s="14">
        <v>0.9</v>
      </c>
      <c r="R914" s="14">
        <v>0.9</v>
      </c>
      <c r="S914" s="14">
        <v>0.9</v>
      </c>
      <c r="T914" s="14">
        <v>0.9</v>
      </c>
      <c r="U914" s="14">
        <v>0.9</v>
      </c>
      <c r="V914" s="14">
        <v>0.9</v>
      </c>
      <c r="W914" s="14">
        <v>0.9</v>
      </c>
      <c r="X914" s="14">
        <v>0.9</v>
      </c>
      <c r="Y914" s="14">
        <v>0.7</v>
      </c>
      <c r="Z914" s="14">
        <v>0.5</v>
      </c>
      <c r="AA914" s="14">
        <v>0.5</v>
      </c>
      <c r="AB914" s="14">
        <v>0.3</v>
      </c>
      <c r="AC914" s="14">
        <v>0.3</v>
      </c>
      <c r="AD914" s="14">
        <v>0.1</v>
      </c>
      <c r="AE914" s="14">
        <v>0.05</v>
      </c>
      <c r="AF914" s="14" t="s">
        <v>411</v>
      </c>
    </row>
    <row r="915" spans="1:32" ht="14.25" customHeight="1" x14ac:dyDescent="0.35">
      <c r="A915" s="14" t="s">
        <v>977</v>
      </c>
      <c r="B915" s="14" t="s">
        <v>424</v>
      </c>
      <c r="C915" s="14"/>
      <c r="D915" s="14" t="s">
        <v>512</v>
      </c>
      <c r="E915" s="15">
        <v>41640</v>
      </c>
      <c r="F915" s="15">
        <v>42004</v>
      </c>
      <c r="G915" s="14" t="s">
        <v>415</v>
      </c>
      <c r="H915" s="14">
        <v>0.05</v>
      </c>
      <c r="I915" s="14">
        <v>0.05</v>
      </c>
      <c r="J915" s="14">
        <v>0.05</v>
      </c>
      <c r="K915" s="14">
        <v>0.05</v>
      </c>
      <c r="L915" s="14">
        <v>0.05</v>
      </c>
      <c r="M915" s="14">
        <v>0.05</v>
      </c>
      <c r="N915" s="14">
        <v>0.1</v>
      </c>
      <c r="O915" s="14">
        <v>0.1</v>
      </c>
      <c r="P915" s="14">
        <v>0.5</v>
      </c>
      <c r="Q915" s="14">
        <v>0.5</v>
      </c>
      <c r="R915" s="14">
        <v>0.5</v>
      </c>
      <c r="S915" s="14">
        <v>0.5</v>
      </c>
      <c r="T915" s="14">
        <v>0.5</v>
      </c>
      <c r="U915" s="14">
        <v>0.5</v>
      </c>
      <c r="V915" s="14">
        <v>0.15</v>
      </c>
      <c r="W915" s="14">
        <v>0.15</v>
      </c>
      <c r="X915" s="14">
        <v>0.15</v>
      </c>
      <c r="Y915" s="14">
        <v>0.05</v>
      </c>
      <c r="Z915" s="14">
        <v>0.05</v>
      </c>
      <c r="AA915" s="14">
        <v>0.05</v>
      </c>
      <c r="AB915" s="14">
        <v>0.05</v>
      </c>
      <c r="AC915" s="14">
        <v>0.05</v>
      </c>
      <c r="AD915" s="14">
        <v>0.05</v>
      </c>
      <c r="AE915" s="14">
        <v>0.05</v>
      </c>
      <c r="AF915" s="14" t="s">
        <v>411</v>
      </c>
    </row>
    <row r="916" spans="1:32" ht="14.25" customHeight="1" x14ac:dyDescent="0.35">
      <c r="A916" s="14" t="s">
        <v>977</v>
      </c>
      <c r="B916" s="14" t="s">
        <v>424</v>
      </c>
      <c r="C916" s="14"/>
      <c r="D916" s="14" t="s">
        <v>419</v>
      </c>
      <c r="E916" s="15">
        <v>41640</v>
      </c>
      <c r="F916" s="15">
        <v>42004</v>
      </c>
      <c r="G916" s="14" t="s">
        <v>410</v>
      </c>
      <c r="H916" s="14">
        <v>1</v>
      </c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 t="s">
        <v>411</v>
      </c>
    </row>
    <row r="917" spans="1:32" ht="14.25" customHeight="1" x14ac:dyDescent="0.35">
      <c r="A917" s="16" t="s">
        <v>977</v>
      </c>
      <c r="B917" s="16" t="s">
        <v>424</v>
      </c>
      <c r="C917" s="16"/>
      <c r="D917" s="16" t="s">
        <v>511</v>
      </c>
      <c r="E917" s="17">
        <v>41640</v>
      </c>
      <c r="F917" s="17">
        <v>42004</v>
      </c>
      <c r="G917" s="16" t="s">
        <v>410</v>
      </c>
      <c r="H917" s="16">
        <v>0.05</v>
      </c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 t="s">
        <v>411</v>
      </c>
    </row>
    <row r="918" spans="1:32" ht="14.25" customHeight="1" x14ac:dyDescent="0.35">
      <c r="A918" s="16" t="s">
        <v>977</v>
      </c>
      <c r="B918" s="16" t="s">
        <v>424</v>
      </c>
      <c r="C918" s="16"/>
      <c r="D918" s="16" t="s">
        <v>418</v>
      </c>
      <c r="E918" s="17">
        <v>41640</v>
      </c>
      <c r="F918" s="17">
        <v>42004</v>
      </c>
      <c r="G918" s="16" t="s">
        <v>410</v>
      </c>
      <c r="H918" s="16">
        <v>0</v>
      </c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 t="s">
        <v>411</v>
      </c>
    </row>
    <row r="919" spans="1:32" ht="14.25" customHeight="1" x14ac:dyDescent="0.35">
      <c r="A919" s="16" t="s">
        <v>978</v>
      </c>
      <c r="B919" s="16" t="s">
        <v>448</v>
      </c>
      <c r="C919" s="16"/>
      <c r="D919" s="16" t="s">
        <v>417</v>
      </c>
      <c r="E919" s="17">
        <v>41640</v>
      </c>
      <c r="F919" s="17">
        <v>42004</v>
      </c>
      <c r="G919" s="16" t="s">
        <v>415</v>
      </c>
      <c r="H919" s="16">
        <v>0</v>
      </c>
      <c r="I919" s="16">
        <v>0</v>
      </c>
      <c r="J919" s="16">
        <v>0</v>
      </c>
      <c r="K919" s="16">
        <v>0</v>
      </c>
      <c r="L919" s="16">
        <v>0</v>
      </c>
      <c r="M919" s="16">
        <v>0</v>
      </c>
      <c r="N919" s="16">
        <v>0.1</v>
      </c>
      <c r="O919" s="16">
        <v>0.2</v>
      </c>
      <c r="P919" s="16">
        <v>0.95</v>
      </c>
      <c r="Q919" s="16">
        <v>0.95</v>
      </c>
      <c r="R919" s="16">
        <v>0.95</v>
      </c>
      <c r="S919" s="16">
        <v>0.95</v>
      </c>
      <c r="T919" s="16">
        <v>0.5</v>
      </c>
      <c r="U919" s="16">
        <v>0.95</v>
      </c>
      <c r="V919" s="16">
        <v>0.95</v>
      </c>
      <c r="W919" s="16">
        <v>0.95</v>
      </c>
      <c r="X919" s="16">
        <v>0.95</v>
      </c>
      <c r="Y919" s="16">
        <v>0.7</v>
      </c>
      <c r="Z919" s="16">
        <v>0.4</v>
      </c>
      <c r="AA919" s="16">
        <v>0.4</v>
      </c>
      <c r="AB919" s="16">
        <v>0.1</v>
      </c>
      <c r="AC919" s="16">
        <v>0.1</v>
      </c>
      <c r="AD919" s="16">
        <v>0.05</v>
      </c>
      <c r="AE919" s="16">
        <v>0.05</v>
      </c>
      <c r="AF919" s="16" t="s">
        <v>411</v>
      </c>
    </row>
    <row r="920" spans="1:32" ht="14.25" customHeight="1" x14ac:dyDescent="0.35">
      <c r="A920" s="14" t="s">
        <v>978</v>
      </c>
      <c r="B920" s="14" t="s">
        <v>448</v>
      </c>
      <c r="C920" s="14"/>
      <c r="D920" s="14" t="s">
        <v>512</v>
      </c>
      <c r="E920" s="15">
        <v>41640</v>
      </c>
      <c r="F920" s="15">
        <v>42004</v>
      </c>
      <c r="G920" s="14" t="s">
        <v>415</v>
      </c>
      <c r="H920" s="14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0.1</v>
      </c>
      <c r="O920" s="14">
        <v>0.1</v>
      </c>
      <c r="P920" s="14">
        <v>0.5</v>
      </c>
      <c r="Q920" s="14">
        <v>0.5</v>
      </c>
      <c r="R920" s="14">
        <v>0.5</v>
      </c>
      <c r="S920" s="14">
        <v>0.5</v>
      </c>
      <c r="T920" s="14">
        <v>0.5</v>
      </c>
      <c r="U920" s="14">
        <v>0.5</v>
      </c>
      <c r="V920" s="14">
        <v>0.1</v>
      </c>
      <c r="W920" s="14">
        <v>0.1</v>
      </c>
      <c r="X920" s="14">
        <v>0.1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 t="s">
        <v>411</v>
      </c>
    </row>
    <row r="921" spans="1:32" ht="14.25" customHeight="1" x14ac:dyDescent="0.35">
      <c r="A921" s="16" t="s">
        <v>978</v>
      </c>
      <c r="B921" s="16" t="s">
        <v>448</v>
      </c>
      <c r="C921" s="16"/>
      <c r="D921" s="16" t="s">
        <v>419</v>
      </c>
      <c r="E921" s="17">
        <v>41640</v>
      </c>
      <c r="F921" s="17">
        <v>42004</v>
      </c>
      <c r="G921" s="16" t="s">
        <v>415</v>
      </c>
      <c r="H921" s="16">
        <v>0</v>
      </c>
      <c r="I921" s="16">
        <v>0</v>
      </c>
      <c r="J921" s="16">
        <v>0</v>
      </c>
      <c r="K921" s="16">
        <v>0</v>
      </c>
      <c r="L921" s="16">
        <v>0</v>
      </c>
      <c r="M921" s="16">
        <v>0</v>
      </c>
      <c r="N921" s="16">
        <v>1</v>
      </c>
      <c r="O921" s="16">
        <v>1</v>
      </c>
      <c r="P921" s="16">
        <v>1</v>
      </c>
      <c r="Q921" s="16">
        <v>1</v>
      </c>
      <c r="R921" s="16">
        <v>1</v>
      </c>
      <c r="S921" s="16">
        <v>1</v>
      </c>
      <c r="T921" s="16">
        <v>1</v>
      </c>
      <c r="U921" s="16">
        <v>1</v>
      </c>
      <c r="V921" s="16">
        <v>1</v>
      </c>
      <c r="W921" s="16">
        <v>1</v>
      </c>
      <c r="X921" s="16">
        <v>1</v>
      </c>
      <c r="Y921" s="16">
        <v>1</v>
      </c>
      <c r="Z921" s="16">
        <v>1</v>
      </c>
      <c r="AA921" s="16">
        <v>1</v>
      </c>
      <c r="AB921" s="16">
        <v>1</v>
      </c>
      <c r="AC921" s="16">
        <v>1</v>
      </c>
      <c r="AD921" s="16">
        <v>0.05</v>
      </c>
      <c r="AE921" s="16">
        <v>0.05</v>
      </c>
      <c r="AF921" s="16" t="s">
        <v>411</v>
      </c>
    </row>
    <row r="922" spans="1:32" ht="14.25" customHeight="1" x14ac:dyDescent="0.35">
      <c r="A922" s="14" t="s">
        <v>978</v>
      </c>
      <c r="B922" s="14" t="s">
        <v>448</v>
      </c>
      <c r="C922" s="14"/>
      <c r="D922" s="14" t="s">
        <v>979</v>
      </c>
      <c r="E922" s="15">
        <v>41640</v>
      </c>
      <c r="F922" s="15">
        <v>42004</v>
      </c>
      <c r="G922" s="14" t="s">
        <v>410</v>
      </c>
      <c r="H922" s="14">
        <v>0</v>
      </c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 t="s">
        <v>411</v>
      </c>
    </row>
    <row r="923" spans="1:32" ht="14.25" customHeight="1" x14ac:dyDescent="0.35">
      <c r="A923" s="16" t="s">
        <v>980</v>
      </c>
      <c r="B923" s="16" t="s">
        <v>420</v>
      </c>
      <c r="C923" s="16" t="s">
        <v>414</v>
      </c>
      <c r="D923" s="16" t="s">
        <v>453</v>
      </c>
      <c r="E923" s="17">
        <v>41640</v>
      </c>
      <c r="F923" s="17">
        <v>42004</v>
      </c>
      <c r="G923" s="16" t="s">
        <v>415</v>
      </c>
      <c r="H923" s="16">
        <v>26.7</v>
      </c>
      <c r="I923" s="16">
        <v>26.7</v>
      </c>
      <c r="J923" s="16">
        <v>26.7</v>
      </c>
      <c r="K923" s="16">
        <v>26.7</v>
      </c>
      <c r="L923" s="16">
        <v>26.7</v>
      </c>
      <c r="M923" s="16">
        <v>26.7</v>
      </c>
      <c r="N923" s="16">
        <v>24</v>
      </c>
      <c r="O923" s="16">
        <v>24</v>
      </c>
      <c r="P923" s="16">
        <v>24</v>
      </c>
      <c r="Q923" s="16">
        <v>24</v>
      </c>
      <c r="R923" s="16">
        <v>24</v>
      </c>
      <c r="S923" s="16">
        <v>24</v>
      </c>
      <c r="T923" s="16">
        <v>24</v>
      </c>
      <c r="U923" s="16">
        <v>24</v>
      </c>
      <c r="V923" s="16">
        <v>24</v>
      </c>
      <c r="W923" s="16">
        <v>24</v>
      </c>
      <c r="X923" s="16">
        <v>24</v>
      </c>
      <c r="Y923" s="16">
        <v>24</v>
      </c>
      <c r="Z923" s="16">
        <v>24</v>
      </c>
      <c r="AA923" s="16">
        <v>24</v>
      </c>
      <c r="AB923" s="16">
        <v>24</v>
      </c>
      <c r="AC923" s="16">
        <v>24</v>
      </c>
      <c r="AD923" s="16">
        <v>26.7</v>
      </c>
      <c r="AE923" s="16">
        <v>26.7</v>
      </c>
      <c r="AF923" s="16" t="s">
        <v>411</v>
      </c>
    </row>
    <row r="924" spans="1:32" ht="14.25" customHeight="1" x14ac:dyDescent="0.35">
      <c r="A924" s="16" t="s">
        <v>980</v>
      </c>
      <c r="B924" s="16" t="s">
        <v>420</v>
      </c>
      <c r="C924" s="16" t="s">
        <v>414</v>
      </c>
      <c r="D924" s="16" t="s">
        <v>512</v>
      </c>
      <c r="E924" s="17">
        <v>41640</v>
      </c>
      <c r="F924" s="17">
        <v>42004</v>
      </c>
      <c r="G924" s="16" t="s">
        <v>415</v>
      </c>
      <c r="H924" s="16">
        <v>26.7</v>
      </c>
      <c r="I924" s="16">
        <v>26.7</v>
      </c>
      <c r="J924" s="16">
        <v>26.7</v>
      </c>
      <c r="K924" s="16">
        <v>26.7</v>
      </c>
      <c r="L924" s="16">
        <v>26.7</v>
      </c>
      <c r="M924" s="16">
        <v>26.7</v>
      </c>
      <c r="N924" s="16">
        <v>24</v>
      </c>
      <c r="O924" s="16">
        <v>24</v>
      </c>
      <c r="P924" s="16">
        <v>24</v>
      </c>
      <c r="Q924" s="16">
        <v>24</v>
      </c>
      <c r="R924" s="16">
        <v>24</v>
      </c>
      <c r="S924" s="16">
        <v>24</v>
      </c>
      <c r="T924" s="16">
        <v>24</v>
      </c>
      <c r="U924" s="16">
        <v>24</v>
      </c>
      <c r="V924" s="16">
        <v>24</v>
      </c>
      <c r="W924" s="16">
        <v>24</v>
      </c>
      <c r="X924" s="16">
        <v>24</v>
      </c>
      <c r="Y924" s="16">
        <v>24</v>
      </c>
      <c r="Z924" s="16">
        <v>26.7</v>
      </c>
      <c r="AA924" s="16">
        <v>26.7</v>
      </c>
      <c r="AB924" s="16">
        <v>26.7</v>
      </c>
      <c r="AC924" s="16">
        <v>26.7</v>
      </c>
      <c r="AD924" s="16">
        <v>26.7</v>
      </c>
      <c r="AE924" s="16">
        <v>26.7</v>
      </c>
      <c r="AF924" s="16" t="s">
        <v>411</v>
      </c>
    </row>
    <row r="925" spans="1:32" ht="14.25" customHeight="1" x14ac:dyDescent="0.35">
      <c r="A925" s="14" t="s">
        <v>980</v>
      </c>
      <c r="B925" s="14" t="s">
        <v>420</v>
      </c>
      <c r="C925" s="14" t="s">
        <v>414</v>
      </c>
      <c r="D925" s="14" t="s">
        <v>979</v>
      </c>
      <c r="E925" s="15">
        <v>41640</v>
      </c>
      <c r="F925" s="15">
        <v>42004</v>
      </c>
      <c r="G925" s="14" t="s">
        <v>410</v>
      </c>
      <c r="H925" s="14">
        <v>26.7</v>
      </c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 t="s">
        <v>411</v>
      </c>
    </row>
    <row r="926" spans="1:32" ht="14.25" customHeight="1" x14ac:dyDescent="0.35">
      <c r="A926" s="14" t="s">
        <v>981</v>
      </c>
      <c r="B926" s="14" t="s">
        <v>518</v>
      </c>
      <c r="C926" s="14"/>
      <c r="D926" s="14" t="s">
        <v>476</v>
      </c>
      <c r="E926" s="15">
        <v>41640</v>
      </c>
      <c r="F926" s="15">
        <v>42004</v>
      </c>
      <c r="G926" s="14" t="s">
        <v>410</v>
      </c>
      <c r="H926" s="14">
        <v>1</v>
      </c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 t="s">
        <v>411</v>
      </c>
    </row>
    <row r="927" spans="1:32" ht="14.25" customHeight="1" x14ac:dyDescent="0.35">
      <c r="A927" s="16" t="s">
        <v>981</v>
      </c>
      <c r="B927" s="16" t="s">
        <v>518</v>
      </c>
      <c r="C927" s="16"/>
      <c r="D927" s="16" t="s">
        <v>419</v>
      </c>
      <c r="E927" s="17">
        <v>41640</v>
      </c>
      <c r="F927" s="17">
        <v>42004</v>
      </c>
      <c r="G927" s="16" t="s">
        <v>410</v>
      </c>
      <c r="H927" s="16">
        <v>0.5</v>
      </c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 t="s">
        <v>411</v>
      </c>
    </row>
    <row r="928" spans="1:32" ht="14.25" customHeight="1" x14ac:dyDescent="0.35">
      <c r="A928" s="14" t="s">
        <v>981</v>
      </c>
      <c r="B928" s="14" t="s">
        <v>518</v>
      </c>
      <c r="C928" s="14"/>
      <c r="D928" s="14" t="s">
        <v>454</v>
      </c>
      <c r="E928" s="15">
        <v>41913</v>
      </c>
      <c r="F928" s="15">
        <v>42004</v>
      </c>
      <c r="G928" s="14" t="s">
        <v>410</v>
      </c>
      <c r="H928" s="14">
        <v>1</v>
      </c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 t="s">
        <v>411</v>
      </c>
    </row>
    <row r="929" spans="1:32" ht="14.25" customHeight="1" x14ac:dyDescent="0.35">
      <c r="A929" s="16" t="s">
        <v>981</v>
      </c>
      <c r="B929" s="16" t="s">
        <v>518</v>
      </c>
      <c r="C929" s="16"/>
      <c r="D929" s="16" t="s">
        <v>454</v>
      </c>
      <c r="E929" s="17">
        <v>41760</v>
      </c>
      <c r="F929" s="17">
        <v>41912</v>
      </c>
      <c r="G929" s="16" t="s">
        <v>410</v>
      </c>
      <c r="H929" s="16">
        <v>0.5</v>
      </c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 t="s">
        <v>411</v>
      </c>
    </row>
    <row r="930" spans="1:32" ht="14.25" customHeight="1" x14ac:dyDescent="0.35">
      <c r="A930" s="14" t="s">
        <v>982</v>
      </c>
      <c r="B930" s="14" t="s">
        <v>420</v>
      </c>
      <c r="C930" s="14" t="s">
        <v>414</v>
      </c>
      <c r="D930" s="14" t="s">
        <v>417</v>
      </c>
      <c r="E930" s="15">
        <v>41640</v>
      </c>
      <c r="F930" s="15">
        <v>42004</v>
      </c>
      <c r="G930" s="14" t="s">
        <v>415</v>
      </c>
      <c r="H930" s="14">
        <v>15.6</v>
      </c>
      <c r="I930" s="14">
        <v>15.6</v>
      </c>
      <c r="J930" s="14">
        <v>15.6</v>
      </c>
      <c r="K930" s="14">
        <v>15.6</v>
      </c>
      <c r="L930" s="14">
        <v>15.6</v>
      </c>
      <c r="M930" s="14">
        <v>15.6</v>
      </c>
      <c r="N930" s="14">
        <v>21</v>
      </c>
      <c r="O930" s="14">
        <v>21</v>
      </c>
      <c r="P930" s="14">
        <v>21</v>
      </c>
      <c r="Q930" s="14">
        <v>21</v>
      </c>
      <c r="R930" s="14">
        <v>21</v>
      </c>
      <c r="S930" s="14">
        <v>21</v>
      </c>
      <c r="T930" s="14">
        <v>21</v>
      </c>
      <c r="U930" s="14">
        <v>21</v>
      </c>
      <c r="V930" s="14">
        <v>21</v>
      </c>
      <c r="W930" s="14">
        <v>21</v>
      </c>
      <c r="X930" s="14">
        <v>21</v>
      </c>
      <c r="Y930" s="14">
        <v>21</v>
      </c>
      <c r="Z930" s="14">
        <v>21</v>
      </c>
      <c r="AA930" s="14">
        <v>21</v>
      </c>
      <c r="AB930" s="14">
        <v>21</v>
      </c>
      <c r="AC930" s="14">
        <v>21</v>
      </c>
      <c r="AD930" s="14">
        <v>15.6</v>
      </c>
      <c r="AE930" s="14">
        <v>15.6</v>
      </c>
      <c r="AF930" s="14" t="s">
        <v>411</v>
      </c>
    </row>
    <row r="931" spans="1:32" ht="14.25" customHeight="1" x14ac:dyDescent="0.35">
      <c r="A931" s="16" t="s">
        <v>982</v>
      </c>
      <c r="B931" s="16" t="s">
        <v>420</v>
      </c>
      <c r="C931" s="16" t="s">
        <v>414</v>
      </c>
      <c r="D931" s="16" t="s">
        <v>512</v>
      </c>
      <c r="E931" s="17">
        <v>41640</v>
      </c>
      <c r="F931" s="17">
        <v>42004</v>
      </c>
      <c r="G931" s="16" t="s">
        <v>415</v>
      </c>
      <c r="H931" s="16">
        <v>15.6</v>
      </c>
      <c r="I931" s="16">
        <v>15.6</v>
      </c>
      <c r="J931" s="16">
        <v>15.6</v>
      </c>
      <c r="K931" s="16">
        <v>15.6</v>
      </c>
      <c r="L931" s="16">
        <v>15.6</v>
      </c>
      <c r="M931" s="16">
        <v>15.6</v>
      </c>
      <c r="N931" s="16">
        <v>21</v>
      </c>
      <c r="O931" s="16">
        <v>21</v>
      </c>
      <c r="P931" s="16">
        <v>21</v>
      </c>
      <c r="Q931" s="16">
        <v>21</v>
      </c>
      <c r="R931" s="16">
        <v>21</v>
      </c>
      <c r="S931" s="16">
        <v>21</v>
      </c>
      <c r="T931" s="16">
        <v>21</v>
      </c>
      <c r="U931" s="16">
        <v>21</v>
      </c>
      <c r="V931" s="16">
        <v>21</v>
      </c>
      <c r="W931" s="16">
        <v>21</v>
      </c>
      <c r="X931" s="16">
        <v>21</v>
      </c>
      <c r="Y931" s="16">
        <v>21</v>
      </c>
      <c r="Z931" s="16">
        <v>15.6</v>
      </c>
      <c r="AA931" s="16">
        <v>15.6</v>
      </c>
      <c r="AB931" s="16">
        <v>15.6</v>
      </c>
      <c r="AC931" s="16">
        <v>15.6</v>
      </c>
      <c r="AD931" s="16">
        <v>15.6</v>
      </c>
      <c r="AE931" s="16">
        <v>15.6</v>
      </c>
      <c r="AF931" s="16" t="s">
        <v>411</v>
      </c>
    </row>
    <row r="932" spans="1:32" ht="14.25" customHeight="1" x14ac:dyDescent="0.35">
      <c r="A932" s="14" t="s">
        <v>982</v>
      </c>
      <c r="B932" s="14" t="s">
        <v>420</v>
      </c>
      <c r="C932" s="14" t="s">
        <v>414</v>
      </c>
      <c r="D932" s="14" t="s">
        <v>983</v>
      </c>
      <c r="E932" s="15">
        <v>41640</v>
      </c>
      <c r="F932" s="15">
        <v>42004</v>
      </c>
      <c r="G932" s="14" t="s">
        <v>410</v>
      </c>
      <c r="H932" s="14">
        <v>15.6</v>
      </c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 t="s">
        <v>411</v>
      </c>
    </row>
    <row r="933" spans="1:32" ht="14.25" customHeight="1" x14ac:dyDescent="0.35">
      <c r="A933" s="16" t="s">
        <v>982</v>
      </c>
      <c r="B933" s="16" t="s">
        <v>420</v>
      </c>
      <c r="C933" s="16" t="s">
        <v>414</v>
      </c>
      <c r="D933" s="16" t="s">
        <v>418</v>
      </c>
      <c r="E933" s="17">
        <v>41640</v>
      </c>
      <c r="F933" s="17">
        <v>42004</v>
      </c>
      <c r="G933" s="16" t="s">
        <v>410</v>
      </c>
      <c r="H933" s="16">
        <v>21</v>
      </c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 t="s">
        <v>411</v>
      </c>
    </row>
    <row r="934" spans="1:32" ht="14.25" customHeight="1" x14ac:dyDescent="0.35">
      <c r="A934" s="14" t="s">
        <v>984</v>
      </c>
      <c r="B934" s="14" t="s">
        <v>441</v>
      </c>
      <c r="C934" s="14"/>
      <c r="D934" s="14" t="s">
        <v>453</v>
      </c>
      <c r="E934" s="15">
        <v>41640</v>
      </c>
      <c r="F934" s="15">
        <v>42004</v>
      </c>
      <c r="G934" s="14" t="s">
        <v>415</v>
      </c>
      <c r="H934" s="14">
        <v>1</v>
      </c>
      <c r="I934" s="14">
        <v>1</v>
      </c>
      <c r="J934" s="14">
        <v>1</v>
      </c>
      <c r="K934" s="14">
        <v>1</v>
      </c>
      <c r="L934" s="14">
        <v>1</v>
      </c>
      <c r="M934" s="14">
        <v>1</v>
      </c>
      <c r="N934" s="14">
        <v>0.25</v>
      </c>
      <c r="O934" s="14">
        <v>0.25</v>
      </c>
      <c r="P934" s="14">
        <v>0.25</v>
      </c>
      <c r="Q934" s="14">
        <v>0.25</v>
      </c>
      <c r="R934" s="14">
        <v>0.25</v>
      </c>
      <c r="S934" s="14">
        <v>0.25</v>
      </c>
      <c r="T934" s="14">
        <v>0.25</v>
      </c>
      <c r="U934" s="14">
        <v>0.25</v>
      </c>
      <c r="V934" s="14">
        <v>0.25</v>
      </c>
      <c r="W934" s="14">
        <v>0.25</v>
      </c>
      <c r="X934" s="14">
        <v>0.25</v>
      </c>
      <c r="Y934" s="14">
        <v>0.25</v>
      </c>
      <c r="Z934" s="14">
        <v>0.25</v>
      </c>
      <c r="AA934" s="14">
        <v>0.25</v>
      </c>
      <c r="AB934" s="14">
        <v>0.25</v>
      </c>
      <c r="AC934" s="14">
        <v>0.25</v>
      </c>
      <c r="AD934" s="14">
        <v>1</v>
      </c>
      <c r="AE934" s="14">
        <v>1</v>
      </c>
      <c r="AF934" s="14" t="s">
        <v>411</v>
      </c>
    </row>
    <row r="935" spans="1:32" ht="14.25" customHeight="1" x14ac:dyDescent="0.35">
      <c r="A935" s="14" t="s">
        <v>984</v>
      </c>
      <c r="B935" s="14" t="s">
        <v>441</v>
      </c>
      <c r="C935" s="14"/>
      <c r="D935" s="14" t="s">
        <v>511</v>
      </c>
      <c r="E935" s="15">
        <v>41640</v>
      </c>
      <c r="F935" s="15">
        <v>42004</v>
      </c>
      <c r="G935" s="14" t="s">
        <v>410</v>
      </c>
      <c r="H935" s="14">
        <v>1</v>
      </c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 t="s">
        <v>411</v>
      </c>
    </row>
    <row r="936" spans="1:32" ht="14.25" customHeight="1" x14ac:dyDescent="0.35">
      <c r="A936" s="16" t="s">
        <v>984</v>
      </c>
      <c r="B936" s="16" t="s">
        <v>441</v>
      </c>
      <c r="C936" s="16"/>
      <c r="D936" s="16" t="s">
        <v>514</v>
      </c>
      <c r="E936" s="17">
        <v>41640</v>
      </c>
      <c r="F936" s="17">
        <v>42004</v>
      </c>
      <c r="G936" s="16" t="s">
        <v>415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0.25</v>
      </c>
      <c r="O936" s="16">
        <v>0.25</v>
      </c>
      <c r="P936" s="16">
        <v>0.25</v>
      </c>
      <c r="Q936" s="16">
        <v>0.25</v>
      </c>
      <c r="R936" s="16">
        <v>0.25</v>
      </c>
      <c r="S936" s="16">
        <v>0.25</v>
      </c>
      <c r="T936" s="16">
        <v>0.25</v>
      </c>
      <c r="U936" s="16">
        <v>0.25</v>
      </c>
      <c r="V936" s="16">
        <v>0.25</v>
      </c>
      <c r="W936" s="16">
        <v>0.25</v>
      </c>
      <c r="X936" s="16">
        <v>0.25</v>
      </c>
      <c r="Y936" s="16">
        <v>0.25</v>
      </c>
      <c r="Z936" s="16">
        <v>1</v>
      </c>
      <c r="AA936" s="16">
        <v>1</v>
      </c>
      <c r="AB936" s="16">
        <v>1</v>
      </c>
      <c r="AC936" s="16">
        <v>1</v>
      </c>
      <c r="AD936" s="16">
        <v>1</v>
      </c>
      <c r="AE936" s="16">
        <v>1</v>
      </c>
      <c r="AF936" s="16" t="s">
        <v>411</v>
      </c>
    </row>
    <row r="937" spans="1:32" ht="14.25" customHeight="1" x14ac:dyDescent="0.35">
      <c r="A937" s="16" t="s">
        <v>985</v>
      </c>
      <c r="B937" s="16" t="s">
        <v>408</v>
      </c>
      <c r="C937" s="16"/>
      <c r="D937" s="16" t="s">
        <v>409</v>
      </c>
      <c r="E937" s="17">
        <v>41640</v>
      </c>
      <c r="F937" s="17">
        <v>42004</v>
      </c>
      <c r="G937" s="16" t="s">
        <v>410</v>
      </c>
      <c r="H937" s="16">
        <v>0</v>
      </c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 t="s">
        <v>411</v>
      </c>
    </row>
    <row r="938" spans="1:32" ht="14.25" customHeight="1" x14ac:dyDescent="0.35">
      <c r="A938" s="16" t="s">
        <v>986</v>
      </c>
      <c r="B938" s="16" t="s">
        <v>416</v>
      </c>
      <c r="C938" s="16"/>
      <c r="D938" s="16" t="s">
        <v>409</v>
      </c>
      <c r="E938" s="17">
        <v>41640</v>
      </c>
      <c r="F938" s="17">
        <v>42004</v>
      </c>
      <c r="G938" s="16" t="s">
        <v>415</v>
      </c>
      <c r="H938" s="16">
        <v>0.05</v>
      </c>
      <c r="I938" s="16">
        <v>0.05</v>
      </c>
      <c r="J938" s="16">
        <v>0.05</v>
      </c>
      <c r="K938" s="16">
        <v>0.05</v>
      </c>
      <c r="L938" s="16">
        <v>0.1</v>
      </c>
      <c r="M938" s="16">
        <v>0.2</v>
      </c>
      <c r="N938" s="16">
        <v>0.4</v>
      </c>
      <c r="O938" s="16">
        <v>0.5</v>
      </c>
      <c r="P938" s="16">
        <v>0.5</v>
      </c>
      <c r="Q938" s="16">
        <v>0.35</v>
      </c>
      <c r="R938" s="16">
        <v>0.15</v>
      </c>
      <c r="S938" s="16">
        <v>0.15</v>
      </c>
      <c r="T938" s="16">
        <v>0.15</v>
      </c>
      <c r="U938" s="16">
        <v>0.15</v>
      </c>
      <c r="V938" s="16">
        <v>0.15</v>
      </c>
      <c r="W938" s="16">
        <v>0.15</v>
      </c>
      <c r="X938" s="16">
        <v>0.35</v>
      </c>
      <c r="Y938" s="16">
        <v>0.5</v>
      </c>
      <c r="Z938" s="16">
        <v>0.5</v>
      </c>
      <c r="AA938" s="16">
        <v>0.4</v>
      </c>
      <c r="AB938" s="16">
        <v>0.4</v>
      </c>
      <c r="AC938" s="16">
        <v>0.3</v>
      </c>
      <c r="AD938" s="16">
        <v>0.2</v>
      </c>
      <c r="AE938" s="16">
        <v>0.1</v>
      </c>
      <c r="AF938" s="16" t="s">
        <v>411</v>
      </c>
    </row>
    <row r="939" spans="1:32" ht="14.25" customHeight="1" x14ac:dyDescent="0.35">
      <c r="A939" s="14" t="s">
        <v>987</v>
      </c>
      <c r="B939" s="14" t="s">
        <v>427</v>
      </c>
      <c r="C939" s="14"/>
      <c r="D939" s="14" t="s">
        <v>417</v>
      </c>
      <c r="E939" s="15">
        <v>41640</v>
      </c>
      <c r="F939" s="15">
        <v>42004</v>
      </c>
      <c r="G939" s="14" t="s">
        <v>415</v>
      </c>
      <c r="H939" s="14">
        <v>0.3</v>
      </c>
      <c r="I939" s="14">
        <v>0.25</v>
      </c>
      <c r="J939" s="14">
        <v>0.2</v>
      </c>
      <c r="K939" s="14">
        <v>0.2</v>
      </c>
      <c r="L939" s="14">
        <v>0.2</v>
      </c>
      <c r="M939" s="14">
        <v>0.3</v>
      </c>
      <c r="N939" s="14">
        <v>0.5</v>
      </c>
      <c r="O939" s="14">
        <v>0.6</v>
      </c>
      <c r="P939" s="14">
        <v>0.5</v>
      </c>
      <c r="Q939" s="14">
        <v>0.5</v>
      </c>
      <c r="R939" s="14">
        <v>0.35</v>
      </c>
      <c r="S939" s="14">
        <v>0.35</v>
      </c>
      <c r="T939" s="14">
        <v>0.35</v>
      </c>
      <c r="U939" s="14">
        <v>0.35</v>
      </c>
      <c r="V939" s="14">
        <v>0.35</v>
      </c>
      <c r="W939" s="14">
        <v>0.35</v>
      </c>
      <c r="X939" s="14">
        <v>0.35</v>
      </c>
      <c r="Y939" s="14">
        <v>0.35</v>
      </c>
      <c r="Z939" s="14">
        <v>0.7</v>
      </c>
      <c r="AA939" s="14">
        <v>0.9</v>
      </c>
      <c r="AB939" s="14">
        <v>0.95</v>
      </c>
      <c r="AC939" s="14">
        <v>0.9</v>
      </c>
      <c r="AD939" s="14">
        <v>0.7</v>
      </c>
      <c r="AE939" s="14">
        <v>0.4</v>
      </c>
      <c r="AF939" s="14" t="s">
        <v>411</v>
      </c>
    </row>
    <row r="940" spans="1:32" ht="14.25" customHeight="1" x14ac:dyDescent="0.35">
      <c r="A940" s="14" t="s">
        <v>987</v>
      </c>
      <c r="B940" s="14" t="s">
        <v>427</v>
      </c>
      <c r="C940" s="14"/>
      <c r="D940" s="14" t="s">
        <v>512</v>
      </c>
      <c r="E940" s="15">
        <v>41640</v>
      </c>
      <c r="F940" s="15">
        <v>42004</v>
      </c>
      <c r="G940" s="14" t="s">
        <v>415</v>
      </c>
      <c r="H940" s="14">
        <v>0.3</v>
      </c>
      <c r="I940" s="14">
        <v>0.3</v>
      </c>
      <c r="J940" s="14">
        <v>0.2</v>
      </c>
      <c r="K940" s="14">
        <v>0.2</v>
      </c>
      <c r="L940" s="14">
        <v>0.2</v>
      </c>
      <c r="M940" s="14">
        <v>0.2</v>
      </c>
      <c r="N940" s="14">
        <v>0.4</v>
      </c>
      <c r="O940" s="14">
        <v>0.4</v>
      </c>
      <c r="P940" s="14">
        <v>0.5</v>
      </c>
      <c r="Q940" s="14">
        <v>0.5</v>
      </c>
      <c r="R940" s="14">
        <v>0.4</v>
      </c>
      <c r="S940" s="14">
        <v>0.35</v>
      </c>
      <c r="T940" s="14">
        <v>0.35</v>
      </c>
      <c r="U940" s="14">
        <v>0.35</v>
      </c>
      <c r="V940" s="14">
        <v>0.35</v>
      </c>
      <c r="W940" s="14">
        <v>0.35</v>
      </c>
      <c r="X940" s="14">
        <v>0.35</v>
      </c>
      <c r="Y940" s="14">
        <v>0.35</v>
      </c>
      <c r="Z940" s="14">
        <v>0.7</v>
      </c>
      <c r="AA940" s="14">
        <v>0.8</v>
      </c>
      <c r="AB940" s="14">
        <v>0.8</v>
      </c>
      <c r="AC940" s="14">
        <v>0.8</v>
      </c>
      <c r="AD940" s="14">
        <v>0.7</v>
      </c>
      <c r="AE940" s="14">
        <v>0.4</v>
      </c>
      <c r="AF940" s="14" t="s">
        <v>411</v>
      </c>
    </row>
    <row r="941" spans="1:32" ht="14.25" customHeight="1" x14ac:dyDescent="0.35">
      <c r="A941" s="14" t="s">
        <v>987</v>
      </c>
      <c r="B941" s="14" t="s">
        <v>427</v>
      </c>
      <c r="C941" s="14"/>
      <c r="D941" s="14" t="s">
        <v>419</v>
      </c>
      <c r="E941" s="15">
        <v>41640</v>
      </c>
      <c r="F941" s="15">
        <v>42004</v>
      </c>
      <c r="G941" s="14" t="s">
        <v>410</v>
      </c>
      <c r="H941" s="14">
        <v>1</v>
      </c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 t="s">
        <v>411</v>
      </c>
    </row>
    <row r="942" spans="1:32" ht="14.25" customHeight="1" x14ac:dyDescent="0.35">
      <c r="A942" s="16" t="s">
        <v>987</v>
      </c>
      <c r="B942" s="16" t="s">
        <v>427</v>
      </c>
      <c r="C942" s="16"/>
      <c r="D942" s="16" t="s">
        <v>511</v>
      </c>
      <c r="E942" s="17">
        <v>41640</v>
      </c>
      <c r="F942" s="17">
        <v>42004</v>
      </c>
      <c r="G942" s="16" t="s">
        <v>415</v>
      </c>
      <c r="H942" s="16">
        <v>0.4</v>
      </c>
      <c r="I942" s="16">
        <v>0.4</v>
      </c>
      <c r="J942" s="16">
        <v>0.3</v>
      </c>
      <c r="K942" s="16">
        <v>0.3</v>
      </c>
      <c r="L942" s="16">
        <v>0.3</v>
      </c>
      <c r="M942" s="16">
        <v>0.3</v>
      </c>
      <c r="N942" s="16">
        <v>0.4</v>
      </c>
      <c r="O942" s="16">
        <v>0.5</v>
      </c>
      <c r="P942" s="16">
        <v>0.5</v>
      </c>
      <c r="Q942" s="16">
        <v>0.4</v>
      </c>
      <c r="R942" s="16">
        <v>0.4</v>
      </c>
      <c r="S942" s="16">
        <v>0.4</v>
      </c>
      <c r="T942" s="16">
        <v>0.4</v>
      </c>
      <c r="U942" s="16">
        <v>0.3</v>
      </c>
      <c r="V942" s="16">
        <v>0.3</v>
      </c>
      <c r="W942" s="16">
        <v>0.3</v>
      </c>
      <c r="X942" s="16">
        <v>0.3</v>
      </c>
      <c r="Y942" s="16">
        <v>0.3</v>
      </c>
      <c r="Z942" s="16">
        <v>0.6</v>
      </c>
      <c r="AA942" s="16">
        <v>0.8</v>
      </c>
      <c r="AB942" s="16">
        <v>0.9</v>
      </c>
      <c r="AC942" s="16">
        <v>0.7</v>
      </c>
      <c r="AD942" s="16">
        <v>0.6</v>
      </c>
      <c r="AE942" s="16">
        <v>0.4</v>
      </c>
      <c r="AF942" s="16" t="s">
        <v>411</v>
      </c>
    </row>
    <row r="943" spans="1:32" ht="14.25" customHeight="1" x14ac:dyDescent="0.35">
      <c r="A943" s="16" t="s">
        <v>987</v>
      </c>
      <c r="B943" s="16" t="s">
        <v>427</v>
      </c>
      <c r="C943" s="16"/>
      <c r="D943" s="16" t="s">
        <v>418</v>
      </c>
      <c r="E943" s="17">
        <v>41640</v>
      </c>
      <c r="F943" s="17">
        <v>42004</v>
      </c>
      <c r="G943" s="16" t="s">
        <v>410</v>
      </c>
      <c r="H943" s="16">
        <v>0</v>
      </c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 t="s">
        <v>411</v>
      </c>
    </row>
    <row r="944" spans="1:32" ht="14.25" customHeight="1" x14ac:dyDescent="0.35">
      <c r="A944" s="16" t="s">
        <v>988</v>
      </c>
      <c r="B944" s="16" t="s">
        <v>424</v>
      </c>
      <c r="C944" s="16"/>
      <c r="D944" s="16" t="s">
        <v>417</v>
      </c>
      <c r="E944" s="17">
        <v>41640</v>
      </c>
      <c r="F944" s="17">
        <v>42004</v>
      </c>
      <c r="G944" s="16" t="s">
        <v>415</v>
      </c>
      <c r="H944" s="16">
        <v>0.2</v>
      </c>
      <c r="I944" s="16">
        <v>0.15</v>
      </c>
      <c r="J944" s="16">
        <v>0.1</v>
      </c>
      <c r="K944" s="16">
        <v>0.1</v>
      </c>
      <c r="L944" s="16">
        <v>0.1</v>
      </c>
      <c r="M944" s="16">
        <v>0.2</v>
      </c>
      <c r="N944" s="16">
        <v>0.4</v>
      </c>
      <c r="O944" s="16">
        <v>0.5</v>
      </c>
      <c r="P944" s="16">
        <v>0.4</v>
      </c>
      <c r="Q944" s="16">
        <v>0.4</v>
      </c>
      <c r="R944" s="16">
        <v>0.25</v>
      </c>
      <c r="S944" s="16">
        <v>0.25</v>
      </c>
      <c r="T944" s="16">
        <v>0.25</v>
      </c>
      <c r="U944" s="16">
        <v>0.25</v>
      </c>
      <c r="V944" s="16">
        <v>0.25</v>
      </c>
      <c r="W944" s="16">
        <v>0.25</v>
      </c>
      <c r="X944" s="16">
        <v>0.25</v>
      </c>
      <c r="Y944" s="16">
        <v>0.25</v>
      </c>
      <c r="Z944" s="16">
        <v>0.6</v>
      </c>
      <c r="AA944" s="16">
        <v>0.8</v>
      </c>
      <c r="AB944" s="16">
        <v>0.9</v>
      </c>
      <c r="AC944" s="16">
        <v>0.8</v>
      </c>
      <c r="AD944" s="16">
        <v>0.6</v>
      </c>
      <c r="AE944" s="16">
        <v>0.3</v>
      </c>
      <c r="AF944" s="16" t="s">
        <v>411</v>
      </c>
    </row>
    <row r="945" spans="1:32" ht="14.25" customHeight="1" x14ac:dyDescent="0.35">
      <c r="A945" s="16" t="s">
        <v>988</v>
      </c>
      <c r="B945" s="16" t="s">
        <v>424</v>
      </c>
      <c r="C945" s="16"/>
      <c r="D945" s="16" t="s">
        <v>512</v>
      </c>
      <c r="E945" s="17">
        <v>41640</v>
      </c>
      <c r="F945" s="17">
        <v>42004</v>
      </c>
      <c r="G945" s="16" t="s">
        <v>415</v>
      </c>
      <c r="H945" s="16">
        <v>0.2</v>
      </c>
      <c r="I945" s="16">
        <v>0.2</v>
      </c>
      <c r="J945" s="16">
        <v>0.1</v>
      </c>
      <c r="K945" s="16">
        <v>0.1</v>
      </c>
      <c r="L945" s="16">
        <v>0.1</v>
      </c>
      <c r="M945" s="16">
        <v>0.1</v>
      </c>
      <c r="N945" s="16">
        <v>0.3</v>
      </c>
      <c r="O945" s="16">
        <v>0.3</v>
      </c>
      <c r="P945" s="16">
        <v>0.4</v>
      </c>
      <c r="Q945" s="16">
        <v>0.4</v>
      </c>
      <c r="R945" s="16">
        <v>0.3</v>
      </c>
      <c r="S945" s="16">
        <v>0.25</v>
      </c>
      <c r="T945" s="16">
        <v>0.25</v>
      </c>
      <c r="U945" s="16">
        <v>0.25</v>
      </c>
      <c r="V945" s="16">
        <v>0.25</v>
      </c>
      <c r="W945" s="16">
        <v>0.25</v>
      </c>
      <c r="X945" s="16">
        <v>0.25</v>
      </c>
      <c r="Y945" s="16">
        <v>0.25</v>
      </c>
      <c r="Z945" s="16">
        <v>0.6</v>
      </c>
      <c r="AA945" s="16">
        <v>0.7</v>
      </c>
      <c r="AB945" s="16">
        <v>0.7</v>
      </c>
      <c r="AC945" s="16">
        <v>0.7</v>
      </c>
      <c r="AD945" s="16">
        <v>0.6</v>
      </c>
      <c r="AE945" s="16">
        <v>0.3</v>
      </c>
      <c r="AF945" s="16" t="s">
        <v>411</v>
      </c>
    </row>
    <row r="946" spans="1:32" ht="14.25" customHeight="1" x14ac:dyDescent="0.35">
      <c r="A946" s="16" t="s">
        <v>988</v>
      </c>
      <c r="B946" s="16" t="s">
        <v>424</v>
      </c>
      <c r="C946" s="16"/>
      <c r="D946" s="16" t="s">
        <v>419</v>
      </c>
      <c r="E946" s="17">
        <v>41640</v>
      </c>
      <c r="F946" s="17">
        <v>42004</v>
      </c>
      <c r="G946" s="16" t="s">
        <v>410</v>
      </c>
      <c r="H946" s="16">
        <v>1</v>
      </c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 t="s">
        <v>411</v>
      </c>
    </row>
    <row r="947" spans="1:32" ht="14.25" customHeight="1" x14ac:dyDescent="0.35">
      <c r="A947" s="14" t="s">
        <v>988</v>
      </c>
      <c r="B947" s="14" t="s">
        <v>424</v>
      </c>
      <c r="C947" s="14"/>
      <c r="D947" s="14" t="s">
        <v>511</v>
      </c>
      <c r="E947" s="15">
        <v>41640</v>
      </c>
      <c r="F947" s="15">
        <v>42004</v>
      </c>
      <c r="G947" s="14" t="s">
        <v>415</v>
      </c>
      <c r="H947" s="14">
        <v>0.3</v>
      </c>
      <c r="I947" s="14">
        <v>0.3</v>
      </c>
      <c r="J947" s="14">
        <v>0.2</v>
      </c>
      <c r="K947" s="14">
        <v>0.2</v>
      </c>
      <c r="L947" s="14">
        <v>0.2</v>
      </c>
      <c r="M947" s="14">
        <v>0.2</v>
      </c>
      <c r="N947" s="14">
        <v>0.3</v>
      </c>
      <c r="O947" s="14">
        <v>0.4</v>
      </c>
      <c r="P947" s="14">
        <v>0.4</v>
      </c>
      <c r="Q947" s="14">
        <v>0.3</v>
      </c>
      <c r="R947" s="14">
        <v>0.3</v>
      </c>
      <c r="S947" s="14">
        <v>0.3</v>
      </c>
      <c r="T947" s="14">
        <v>0.3</v>
      </c>
      <c r="U947" s="14">
        <v>0.2</v>
      </c>
      <c r="V947" s="14">
        <v>0.2</v>
      </c>
      <c r="W947" s="14">
        <v>0.2</v>
      </c>
      <c r="X947" s="14">
        <v>0.2</v>
      </c>
      <c r="Y947" s="14">
        <v>0.2</v>
      </c>
      <c r="Z947" s="14">
        <v>0.5</v>
      </c>
      <c r="AA947" s="14">
        <v>0.7</v>
      </c>
      <c r="AB947" s="14">
        <v>0.8</v>
      </c>
      <c r="AC947" s="14">
        <v>0.6</v>
      </c>
      <c r="AD947" s="14">
        <v>0.5</v>
      </c>
      <c r="AE947" s="14">
        <v>0.3</v>
      </c>
      <c r="AF947" s="14" t="s">
        <v>411</v>
      </c>
    </row>
    <row r="948" spans="1:32" ht="14.25" customHeight="1" x14ac:dyDescent="0.35">
      <c r="A948" s="14" t="s">
        <v>988</v>
      </c>
      <c r="B948" s="14" t="s">
        <v>424</v>
      </c>
      <c r="C948" s="14"/>
      <c r="D948" s="14" t="s">
        <v>418</v>
      </c>
      <c r="E948" s="15">
        <v>41640</v>
      </c>
      <c r="F948" s="15">
        <v>42004</v>
      </c>
      <c r="G948" s="14" t="s">
        <v>410</v>
      </c>
      <c r="H948" s="14">
        <v>0</v>
      </c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 t="s">
        <v>411</v>
      </c>
    </row>
    <row r="949" spans="1:32" ht="14.25" customHeight="1" x14ac:dyDescent="0.35">
      <c r="A949" s="14" t="s">
        <v>989</v>
      </c>
      <c r="B949" s="14" t="s">
        <v>448</v>
      </c>
      <c r="C949" s="14"/>
      <c r="D949" s="14" t="s">
        <v>417</v>
      </c>
      <c r="E949" s="15">
        <v>41640</v>
      </c>
      <c r="F949" s="15">
        <v>42004</v>
      </c>
      <c r="G949" s="14" t="s">
        <v>415</v>
      </c>
      <c r="H949" s="14">
        <v>0.9</v>
      </c>
      <c r="I949" s="14">
        <v>0.9</v>
      </c>
      <c r="J949" s="14">
        <v>0.9</v>
      </c>
      <c r="K949" s="14">
        <v>0.9</v>
      </c>
      <c r="L949" s="14">
        <v>0.9</v>
      </c>
      <c r="M949" s="14">
        <v>0.9</v>
      </c>
      <c r="N949" s="14">
        <v>0.7</v>
      </c>
      <c r="O949" s="14">
        <v>0.4</v>
      </c>
      <c r="P949" s="14">
        <v>0.4</v>
      </c>
      <c r="Q949" s="14">
        <v>0.2</v>
      </c>
      <c r="R949" s="14">
        <v>0.2</v>
      </c>
      <c r="S949" s="14">
        <v>0.2</v>
      </c>
      <c r="T949" s="14">
        <v>0.2</v>
      </c>
      <c r="U949" s="14">
        <v>0.2</v>
      </c>
      <c r="V949" s="14">
        <v>0.2</v>
      </c>
      <c r="W949" s="14">
        <v>0.3</v>
      </c>
      <c r="X949" s="14">
        <v>0.5</v>
      </c>
      <c r="Y949" s="14">
        <v>0.5</v>
      </c>
      <c r="Z949" s="14">
        <v>0.5</v>
      </c>
      <c r="AA949" s="14">
        <v>0.7</v>
      </c>
      <c r="AB949" s="14">
        <v>0.7</v>
      </c>
      <c r="AC949" s="14">
        <v>0.8</v>
      </c>
      <c r="AD949" s="14">
        <v>0.9</v>
      </c>
      <c r="AE949" s="14">
        <v>0.9</v>
      </c>
      <c r="AF949" s="14" t="s">
        <v>411</v>
      </c>
    </row>
    <row r="950" spans="1:32" ht="14.25" customHeight="1" x14ac:dyDescent="0.35">
      <c r="A950" s="14" t="s">
        <v>989</v>
      </c>
      <c r="B950" s="14" t="s">
        <v>448</v>
      </c>
      <c r="C950" s="14"/>
      <c r="D950" s="14" t="s">
        <v>512</v>
      </c>
      <c r="E950" s="15">
        <v>41640</v>
      </c>
      <c r="F950" s="15">
        <v>42004</v>
      </c>
      <c r="G950" s="14" t="s">
        <v>415</v>
      </c>
      <c r="H950" s="14">
        <v>0.9</v>
      </c>
      <c r="I950" s="14">
        <v>0.9</v>
      </c>
      <c r="J950" s="14">
        <v>0.9</v>
      </c>
      <c r="K950" s="14">
        <v>0.9</v>
      </c>
      <c r="L950" s="14">
        <v>0.9</v>
      </c>
      <c r="M950" s="14">
        <v>0.9</v>
      </c>
      <c r="N950" s="14">
        <v>0.7</v>
      </c>
      <c r="O950" s="14">
        <v>0.5</v>
      </c>
      <c r="P950" s="14">
        <v>0.5</v>
      </c>
      <c r="Q950" s="14">
        <v>0.3</v>
      </c>
      <c r="R950" s="14">
        <v>0.3</v>
      </c>
      <c r="S950" s="14">
        <v>0.3</v>
      </c>
      <c r="T950" s="14">
        <v>0.3</v>
      </c>
      <c r="U950" s="14">
        <v>0.3</v>
      </c>
      <c r="V950" s="14">
        <v>0.3</v>
      </c>
      <c r="W950" s="14">
        <v>0.3</v>
      </c>
      <c r="X950" s="14">
        <v>0.3</v>
      </c>
      <c r="Y950" s="14">
        <v>0.5</v>
      </c>
      <c r="Z950" s="14">
        <v>0.6</v>
      </c>
      <c r="AA950" s="14">
        <v>0.6</v>
      </c>
      <c r="AB950" s="14">
        <v>0.6</v>
      </c>
      <c r="AC950" s="14">
        <v>0.7</v>
      </c>
      <c r="AD950" s="14">
        <v>0.7</v>
      </c>
      <c r="AE950" s="14">
        <v>0.7</v>
      </c>
      <c r="AF950" s="14" t="s">
        <v>411</v>
      </c>
    </row>
    <row r="951" spans="1:32" ht="14.25" customHeight="1" x14ac:dyDescent="0.35">
      <c r="A951" s="14" t="s">
        <v>989</v>
      </c>
      <c r="B951" s="14" t="s">
        <v>448</v>
      </c>
      <c r="C951" s="14"/>
      <c r="D951" s="14" t="s">
        <v>419</v>
      </c>
      <c r="E951" s="15">
        <v>41640</v>
      </c>
      <c r="F951" s="15">
        <v>42004</v>
      </c>
      <c r="G951" s="14" t="s">
        <v>410</v>
      </c>
      <c r="H951" s="14">
        <v>1</v>
      </c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 t="s">
        <v>411</v>
      </c>
    </row>
    <row r="952" spans="1:32" ht="14.25" customHeight="1" x14ac:dyDescent="0.35">
      <c r="A952" s="16" t="s">
        <v>989</v>
      </c>
      <c r="B952" s="16" t="s">
        <v>448</v>
      </c>
      <c r="C952" s="16"/>
      <c r="D952" s="16" t="s">
        <v>511</v>
      </c>
      <c r="E952" s="17">
        <v>41640</v>
      </c>
      <c r="F952" s="17">
        <v>42004</v>
      </c>
      <c r="G952" s="16" t="s">
        <v>415</v>
      </c>
      <c r="H952" s="16">
        <v>0.7</v>
      </c>
      <c r="I952" s="16">
        <v>0.7</v>
      </c>
      <c r="J952" s="16">
        <v>0.7</v>
      </c>
      <c r="K952" s="16">
        <v>0.7</v>
      </c>
      <c r="L952" s="16">
        <v>0.7</v>
      </c>
      <c r="M952" s="16">
        <v>0.7</v>
      </c>
      <c r="N952" s="16">
        <v>0.7</v>
      </c>
      <c r="O952" s="16">
        <v>0.7</v>
      </c>
      <c r="P952" s="16">
        <v>0.5</v>
      </c>
      <c r="Q952" s="16">
        <v>0.5</v>
      </c>
      <c r="R952" s="16">
        <v>0.5</v>
      </c>
      <c r="S952" s="16">
        <v>0.3</v>
      </c>
      <c r="T952" s="16">
        <v>0.3</v>
      </c>
      <c r="U952" s="16">
        <v>0.2</v>
      </c>
      <c r="V952" s="16">
        <v>0.2</v>
      </c>
      <c r="W952" s="16">
        <v>0.2</v>
      </c>
      <c r="X952" s="16">
        <v>0.3</v>
      </c>
      <c r="Y952" s="16">
        <v>0.4</v>
      </c>
      <c r="Z952" s="16">
        <v>0.4</v>
      </c>
      <c r="AA952" s="16">
        <v>0.6</v>
      </c>
      <c r="AB952" s="16">
        <v>0.6</v>
      </c>
      <c r="AC952" s="16">
        <v>0.8</v>
      </c>
      <c r="AD952" s="16">
        <v>0.8</v>
      </c>
      <c r="AE952" s="16">
        <v>0.8</v>
      </c>
      <c r="AF952" s="16" t="s">
        <v>411</v>
      </c>
    </row>
    <row r="953" spans="1:32" ht="14.25" customHeight="1" x14ac:dyDescent="0.35">
      <c r="A953" s="16" t="s">
        <v>989</v>
      </c>
      <c r="B953" s="16" t="s">
        <v>448</v>
      </c>
      <c r="C953" s="16"/>
      <c r="D953" s="16" t="s">
        <v>418</v>
      </c>
      <c r="E953" s="17">
        <v>41640</v>
      </c>
      <c r="F953" s="17">
        <v>42004</v>
      </c>
      <c r="G953" s="16" t="s">
        <v>410</v>
      </c>
      <c r="H953" s="16">
        <v>0</v>
      </c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 t="s">
        <v>411</v>
      </c>
    </row>
    <row r="954" spans="1:32" ht="14.25" customHeight="1" x14ac:dyDescent="0.35">
      <c r="A954" s="16" t="s">
        <v>990</v>
      </c>
      <c r="B954" s="16" t="s">
        <v>420</v>
      </c>
      <c r="C954" s="16" t="s">
        <v>414</v>
      </c>
      <c r="D954" s="16" t="s">
        <v>409</v>
      </c>
      <c r="E954" s="17">
        <v>41640</v>
      </c>
      <c r="F954" s="17">
        <v>42004</v>
      </c>
      <c r="G954" s="16" t="s">
        <v>415</v>
      </c>
      <c r="H954" s="16">
        <v>30</v>
      </c>
      <c r="I954" s="16">
        <v>30</v>
      </c>
      <c r="J954" s="16">
        <v>30</v>
      </c>
      <c r="K954" s="16">
        <v>30</v>
      </c>
      <c r="L954" s="16">
        <v>30</v>
      </c>
      <c r="M954" s="16">
        <v>30</v>
      </c>
      <c r="N954" s="16">
        <v>30</v>
      </c>
      <c r="O954" s="16">
        <v>24</v>
      </c>
      <c r="P954" s="16">
        <v>24</v>
      </c>
      <c r="Q954" s="16">
        <v>24</v>
      </c>
      <c r="R954" s="16">
        <v>24</v>
      </c>
      <c r="S954" s="16">
        <v>24</v>
      </c>
      <c r="T954" s="16">
        <v>24</v>
      </c>
      <c r="U954" s="16">
        <v>24</v>
      </c>
      <c r="V954" s="16">
        <v>24</v>
      </c>
      <c r="W954" s="16">
        <v>24</v>
      </c>
      <c r="X954" s="16">
        <v>24</v>
      </c>
      <c r="Y954" s="16">
        <v>24</v>
      </c>
      <c r="Z954" s="16">
        <v>24</v>
      </c>
      <c r="AA954" s="16">
        <v>24</v>
      </c>
      <c r="AB954" s="16">
        <v>24</v>
      </c>
      <c r="AC954" s="16">
        <v>24</v>
      </c>
      <c r="AD954" s="16">
        <v>24</v>
      </c>
      <c r="AE954" s="16">
        <v>24</v>
      </c>
      <c r="AF954" s="16" t="s">
        <v>411</v>
      </c>
    </row>
    <row r="955" spans="1:32" ht="14.25" customHeight="1" x14ac:dyDescent="0.35">
      <c r="A955" s="14" t="s">
        <v>991</v>
      </c>
      <c r="B955" s="14" t="s">
        <v>518</v>
      </c>
      <c r="C955" s="14"/>
      <c r="D955" s="14" t="s">
        <v>476</v>
      </c>
      <c r="E955" s="15">
        <v>41640</v>
      </c>
      <c r="F955" s="15">
        <v>42004</v>
      </c>
      <c r="G955" s="14" t="s">
        <v>410</v>
      </c>
      <c r="H955" s="14">
        <v>1</v>
      </c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 t="s">
        <v>411</v>
      </c>
    </row>
    <row r="956" spans="1:32" ht="14.25" customHeight="1" x14ac:dyDescent="0.35">
      <c r="A956" s="16" t="s">
        <v>991</v>
      </c>
      <c r="B956" s="16" t="s">
        <v>518</v>
      </c>
      <c r="C956" s="16"/>
      <c r="D956" s="16" t="s">
        <v>419</v>
      </c>
      <c r="E956" s="17">
        <v>41640</v>
      </c>
      <c r="F956" s="17">
        <v>42004</v>
      </c>
      <c r="G956" s="16" t="s">
        <v>410</v>
      </c>
      <c r="H956" s="16">
        <v>0.5</v>
      </c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 t="s">
        <v>411</v>
      </c>
    </row>
    <row r="957" spans="1:32" ht="14.25" customHeight="1" x14ac:dyDescent="0.35">
      <c r="A957" s="14" t="s">
        <v>991</v>
      </c>
      <c r="B957" s="14" t="s">
        <v>518</v>
      </c>
      <c r="C957" s="14"/>
      <c r="D957" s="14" t="s">
        <v>454</v>
      </c>
      <c r="E957" s="15">
        <v>41913</v>
      </c>
      <c r="F957" s="15">
        <v>42004</v>
      </c>
      <c r="G957" s="14" t="s">
        <v>410</v>
      </c>
      <c r="H957" s="14">
        <v>1</v>
      </c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 t="s">
        <v>411</v>
      </c>
    </row>
    <row r="958" spans="1:32" ht="14.25" customHeight="1" x14ac:dyDescent="0.35">
      <c r="A958" s="16" t="s">
        <v>991</v>
      </c>
      <c r="B958" s="16" t="s">
        <v>518</v>
      </c>
      <c r="C958" s="16"/>
      <c r="D958" s="16" t="s">
        <v>454</v>
      </c>
      <c r="E958" s="17">
        <v>41760</v>
      </c>
      <c r="F958" s="17">
        <v>41912</v>
      </c>
      <c r="G958" s="16" t="s">
        <v>410</v>
      </c>
      <c r="H958" s="16">
        <v>0.5</v>
      </c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 t="s">
        <v>411</v>
      </c>
    </row>
    <row r="959" spans="1:32" ht="14.25" customHeight="1" x14ac:dyDescent="0.35">
      <c r="A959" s="14" t="s">
        <v>992</v>
      </c>
      <c r="B959" s="14" t="s">
        <v>448</v>
      </c>
      <c r="C959" s="14"/>
      <c r="D959" s="14" t="s">
        <v>453</v>
      </c>
      <c r="E959" s="15">
        <v>41640</v>
      </c>
      <c r="F959" s="15">
        <v>42004</v>
      </c>
      <c r="G959" s="14" t="s">
        <v>410</v>
      </c>
      <c r="H959" s="14">
        <v>1</v>
      </c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6" t="s">
        <v>411</v>
      </c>
    </row>
    <row r="960" spans="1:32" ht="14.25" customHeight="1" x14ac:dyDescent="0.35">
      <c r="A960" s="14" t="s">
        <v>992</v>
      </c>
      <c r="B960" s="14" t="s">
        <v>448</v>
      </c>
      <c r="C960" s="14"/>
      <c r="D960" s="24" t="s">
        <v>429</v>
      </c>
      <c r="E960" s="15">
        <v>41640</v>
      </c>
      <c r="F960" s="15">
        <v>42004</v>
      </c>
      <c r="G960" s="16" t="s">
        <v>415</v>
      </c>
      <c r="H960" s="14">
        <v>0.1</v>
      </c>
      <c r="I960" s="14">
        <v>0.1</v>
      </c>
      <c r="J960" s="14">
        <v>0.1</v>
      </c>
      <c r="K960" s="14">
        <v>0.1</v>
      </c>
      <c r="L960" s="14">
        <v>0.1</v>
      </c>
      <c r="M960" s="14">
        <v>0.3</v>
      </c>
      <c r="N960" s="14">
        <v>0.7</v>
      </c>
      <c r="O960" s="14">
        <v>0.7</v>
      </c>
      <c r="P960" s="14">
        <v>0.7</v>
      </c>
      <c r="Q960" s="14">
        <v>0.7</v>
      </c>
      <c r="R960" s="14">
        <v>0.2</v>
      </c>
      <c r="S960" s="14">
        <v>0.2</v>
      </c>
      <c r="T960" s="14">
        <v>0.2</v>
      </c>
      <c r="U960" s="14">
        <v>0.2</v>
      </c>
      <c r="V960" s="14">
        <v>0.2</v>
      </c>
      <c r="W960" s="14">
        <v>0.2</v>
      </c>
      <c r="X960" s="14">
        <v>0.4</v>
      </c>
      <c r="Y960" s="14">
        <v>0.4</v>
      </c>
      <c r="Z960" s="14">
        <v>0.2</v>
      </c>
      <c r="AA960" s="14">
        <v>0.2</v>
      </c>
      <c r="AB960" s="14">
        <v>0.2</v>
      </c>
      <c r="AC960" s="14">
        <v>0.2</v>
      </c>
      <c r="AD960" s="14">
        <v>0.1</v>
      </c>
      <c r="AE960" s="14">
        <v>0.1</v>
      </c>
      <c r="AF960" s="16" t="s">
        <v>411</v>
      </c>
    </row>
    <row r="961" spans="1:32" ht="14.25" customHeight="1" x14ac:dyDescent="0.35">
      <c r="A961" s="14" t="s">
        <v>992</v>
      </c>
      <c r="B961" s="14" t="s">
        <v>448</v>
      </c>
      <c r="C961" s="14"/>
      <c r="D961" s="14" t="s">
        <v>530</v>
      </c>
      <c r="E961" s="15">
        <v>41640</v>
      </c>
      <c r="F961" s="15">
        <v>42004</v>
      </c>
      <c r="G961" s="16" t="s">
        <v>415</v>
      </c>
      <c r="H961" s="14">
        <v>0.1</v>
      </c>
      <c r="I961" s="14">
        <v>0.1</v>
      </c>
      <c r="J961" s="14">
        <v>0.1</v>
      </c>
      <c r="K961" s="14">
        <v>0.1</v>
      </c>
      <c r="L961" s="14">
        <v>0.1</v>
      </c>
      <c r="M961" s="14">
        <v>0.1</v>
      </c>
      <c r="N961" s="14">
        <v>0.3</v>
      </c>
      <c r="O961" s="14">
        <v>0.7</v>
      </c>
      <c r="P961" s="14">
        <v>0.7</v>
      </c>
      <c r="Q961" s="14">
        <v>0.7</v>
      </c>
      <c r="R961" s="14">
        <v>0.2</v>
      </c>
      <c r="S961" s="14">
        <v>0.2</v>
      </c>
      <c r="T961" s="14">
        <v>0.2</v>
      </c>
      <c r="U961" s="14">
        <v>0.2</v>
      </c>
      <c r="V961" s="14">
        <v>0.2</v>
      </c>
      <c r="W961" s="14">
        <v>0.2</v>
      </c>
      <c r="X961" s="14">
        <v>0.2</v>
      </c>
      <c r="Y961" s="14">
        <v>0.2</v>
      </c>
      <c r="Z961" s="14">
        <v>0.2</v>
      </c>
      <c r="AA961" s="14">
        <v>0.2</v>
      </c>
      <c r="AB961" s="14">
        <v>0.2</v>
      </c>
      <c r="AC961" s="14">
        <v>0.2</v>
      </c>
      <c r="AD961" s="14">
        <v>0.1</v>
      </c>
      <c r="AE961" s="14">
        <v>0.1</v>
      </c>
      <c r="AF961" s="16" t="s">
        <v>411</v>
      </c>
    </row>
    <row r="962" spans="1:32" ht="14.25" customHeight="1" x14ac:dyDescent="0.35">
      <c r="A962" s="14" t="s">
        <v>992</v>
      </c>
      <c r="B962" s="14" t="s">
        <v>448</v>
      </c>
      <c r="C962" s="14"/>
      <c r="D962" s="24" t="s">
        <v>418</v>
      </c>
      <c r="E962" s="15">
        <v>41640</v>
      </c>
      <c r="F962" s="15">
        <v>42004</v>
      </c>
      <c r="G962" s="14" t="s">
        <v>410</v>
      </c>
      <c r="H962" s="14">
        <v>0</v>
      </c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6"/>
    </row>
    <row r="963" spans="1:32" ht="14.25" customHeight="1" x14ac:dyDescent="0.35">
      <c r="A963" s="14" t="s">
        <v>993</v>
      </c>
      <c r="B963" s="14" t="s">
        <v>420</v>
      </c>
      <c r="C963" s="14" t="s">
        <v>414</v>
      </c>
      <c r="D963" s="14" t="s">
        <v>409</v>
      </c>
      <c r="E963" s="15">
        <v>41640</v>
      </c>
      <c r="F963" s="15">
        <v>42004</v>
      </c>
      <c r="G963" s="14" t="s">
        <v>410</v>
      </c>
      <c r="H963" s="14">
        <v>30</v>
      </c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 t="s">
        <v>411</v>
      </c>
    </row>
    <row r="964" spans="1:32" ht="14.25" customHeight="1" x14ac:dyDescent="0.35">
      <c r="A964" s="16" t="s">
        <v>994</v>
      </c>
      <c r="B964" s="16" t="s">
        <v>420</v>
      </c>
      <c r="C964" s="16" t="s">
        <v>414</v>
      </c>
      <c r="D964" s="16" t="s">
        <v>409</v>
      </c>
      <c r="E964" s="17">
        <v>41640</v>
      </c>
      <c r="F964" s="17">
        <v>42004</v>
      </c>
      <c r="G964" s="16" t="s">
        <v>410</v>
      </c>
      <c r="H964" s="16">
        <v>16</v>
      </c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 t="s">
        <v>411</v>
      </c>
    </row>
    <row r="965" spans="1:32" ht="14.25" customHeight="1" x14ac:dyDescent="0.35">
      <c r="A965" s="14" t="s">
        <v>995</v>
      </c>
      <c r="B965" s="14" t="s">
        <v>420</v>
      </c>
      <c r="C965" s="14" t="s">
        <v>414</v>
      </c>
      <c r="D965" s="14" t="s">
        <v>409</v>
      </c>
      <c r="E965" s="15">
        <v>41640</v>
      </c>
      <c r="F965" s="15">
        <v>42004</v>
      </c>
      <c r="G965" s="14" t="s">
        <v>410</v>
      </c>
      <c r="H965" s="14">
        <v>24</v>
      </c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 t="s">
        <v>411</v>
      </c>
    </row>
    <row r="966" spans="1:32" ht="14.25" customHeight="1" x14ac:dyDescent="0.35">
      <c r="A966" s="16" t="s">
        <v>996</v>
      </c>
      <c r="B966" s="16" t="s">
        <v>427</v>
      </c>
      <c r="C966" s="16"/>
      <c r="D966" s="16" t="s">
        <v>417</v>
      </c>
      <c r="E966" s="17">
        <v>41640</v>
      </c>
      <c r="F966" s="17">
        <v>42004</v>
      </c>
      <c r="G966" s="16" t="s">
        <v>415</v>
      </c>
      <c r="H966" s="16">
        <v>0.2</v>
      </c>
      <c r="I966" s="16">
        <v>0.2</v>
      </c>
      <c r="J966" s="16">
        <v>0.2</v>
      </c>
      <c r="K966" s="16">
        <v>0.2</v>
      </c>
      <c r="L966" s="16">
        <v>0.2</v>
      </c>
      <c r="M966" s="16">
        <v>0.2</v>
      </c>
      <c r="N966" s="16">
        <v>0.62</v>
      </c>
      <c r="O966" s="16">
        <v>0.9</v>
      </c>
      <c r="P966" s="16">
        <v>0.43</v>
      </c>
      <c r="Q966" s="16">
        <v>0.43</v>
      </c>
      <c r="R966" s="16">
        <v>0.26</v>
      </c>
      <c r="S966" s="16">
        <v>0.26</v>
      </c>
      <c r="T966" s="16">
        <v>0.26</v>
      </c>
      <c r="U966" s="16">
        <v>0.26</v>
      </c>
      <c r="V966" s="16">
        <v>0.26</v>
      </c>
      <c r="W966" s="16">
        <v>0.26</v>
      </c>
      <c r="X966" s="16">
        <v>0.26</v>
      </c>
      <c r="Y966" s="16">
        <v>0.51</v>
      </c>
      <c r="Z966" s="16">
        <v>0.51</v>
      </c>
      <c r="AA966" s="16">
        <v>0.49</v>
      </c>
      <c r="AB966" s="16">
        <v>0.66</v>
      </c>
      <c r="AC966" s="16">
        <v>0.7</v>
      </c>
      <c r="AD966" s="16">
        <v>0.35</v>
      </c>
      <c r="AE966" s="16">
        <v>0.2</v>
      </c>
      <c r="AF966" s="16" t="s">
        <v>411</v>
      </c>
    </row>
    <row r="967" spans="1:32" ht="14.25" customHeight="1" x14ac:dyDescent="0.35">
      <c r="A967" s="16" t="s">
        <v>996</v>
      </c>
      <c r="B967" s="16" t="s">
        <v>427</v>
      </c>
      <c r="C967" s="16"/>
      <c r="D967" s="16" t="s">
        <v>419</v>
      </c>
      <c r="E967" s="17">
        <v>41640</v>
      </c>
      <c r="F967" s="17">
        <v>42004</v>
      </c>
      <c r="G967" s="16" t="s">
        <v>410</v>
      </c>
      <c r="H967" s="16">
        <v>1</v>
      </c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 t="s">
        <v>411</v>
      </c>
    </row>
    <row r="968" spans="1:32" ht="14.25" customHeight="1" x14ac:dyDescent="0.35">
      <c r="A968" s="14" t="s">
        <v>996</v>
      </c>
      <c r="B968" s="14" t="s">
        <v>427</v>
      </c>
      <c r="C968" s="14"/>
      <c r="D968" s="14" t="s">
        <v>530</v>
      </c>
      <c r="E968" s="15">
        <v>41640</v>
      </c>
      <c r="F968" s="15">
        <v>42004</v>
      </c>
      <c r="G968" s="14" t="s">
        <v>415</v>
      </c>
      <c r="H968" s="14">
        <v>0.2</v>
      </c>
      <c r="I968" s="14">
        <v>0.2</v>
      </c>
      <c r="J968" s="14">
        <v>0.2</v>
      </c>
      <c r="K968" s="14">
        <v>0.2</v>
      </c>
      <c r="L968" s="14">
        <v>0.2</v>
      </c>
      <c r="M968" s="14">
        <v>0.2</v>
      </c>
      <c r="N968" s="14">
        <v>0.3</v>
      </c>
      <c r="O968" s="14">
        <v>0.62</v>
      </c>
      <c r="P968" s="14">
        <v>0.9</v>
      </c>
      <c r="Q968" s="14">
        <v>0.62</v>
      </c>
      <c r="R968" s="14">
        <v>0.28999999999999998</v>
      </c>
      <c r="S968" s="14">
        <v>0.28999999999999998</v>
      </c>
      <c r="T968" s="14">
        <v>0.28999999999999998</v>
      </c>
      <c r="U968" s="14">
        <v>0.28999999999999998</v>
      </c>
      <c r="V968" s="14">
        <v>0.28999999999999998</v>
      </c>
      <c r="W968" s="14">
        <v>0.28999999999999998</v>
      </c>
      <c r="X968" s="14">
        <v>0.28999999999999998</v>
      </c>
      <c r="Y968" s="14">
        <v>0.43</v>
      </c>
      <c r="Z968" s="14">
        <v>0.51</v>
      </c>
      <c r="AA968" s="14">
        <v>0.49</v>
      </c>
      <c r="AB968" s="14">
        <v>0.66</v>
      </c>
      <c r="AC968" s="14">
        <v>0.7</v>
      </c>
      <c r="AD968" s="14">
        <v>0.35</v>
      </c>
      <c r="AE968" s="14">
        <v>0.2</v>
      </c>
      <c r="AF968" s="14" t="s">
        <v>411</v>
      </c>
    </row>
    <row r="969" spans="1:32" ht="14.25" customHeight="1" x14ac:dyDescent="0.35">
      <c r="A969" s="14" t="s">
        <v>996</v>
      </c>
      <c r="B969" s="14" t="s">
        <v>427</v>
      </c>
      <c r="C969" s="14"/>
      <c r="D969" s="14" t="s">
        <v>418</v>
      </c>
      <c r="E969" s="15">
        <v>41640</v>
      </c>
      <c r="F969" s="15">
        <v>42004</v>
      </c>
      <c r="G969" s="14" t="s">
        <v>410</v>
      </c>
      <c r="H969" s="14">
        <v>0</v>
      </c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 t="s">
        <v>411</v>
      </c>
    </row>
    <row r="970" spans="1:32" ht="14.25" customHeight="1" x14ac:dyDescent="0.35">
      <c r="A970" s="16" t="s">
        <v>997</v>
      </c>
      <c r="B970" s="16" t="s">
        <v>420</v>
      </c>
      <c r="C970" s="16" t="s">
        <v>414</v>
      </c>
      <c r="D970" s="16" t="s">
        <v>409</v>
      </c>
      <c r="E970" s="17">
        <v>41640</v>
      </c>
      <c r="F970" s="17">
        <v>42004</v>
      </c>
      <c r="G970" s="16" t="s">
        <v>410</v>
      </c>
      <c r="H970" s="16">
        <v>21</v>
      </c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 t="s">
        <v>411</v>
      </c>
    </row>
    <row r="971" spans="1:32" ht="14.25" customHeight="1" x14ac:dyDescent="0.35">
      <c r="A971" s="14" t="s">
        <v>998</v>
      </c>
      <c r="B971" s="14" t="s">
        <v>448</v>
      </c>
      <c r="C971" s="14"/>
      <c r="D971" s="14" t="s">
        <v>791</v>
      </c>
      <c r="E971" s="15">
        <v>41640</v>
      </c>
      <c r="F971" s="15">
        <v>42004</v>
      </c>
      <c r="G971" s="14" t="s">
        <v>415</v>
      </c>
      <c r="H971" s="14">
        <v>0.65</v>
      </c>
      <c r="I971" s="14">
        <v>0.65</v>
      </c>
      <c r="J971" s="14">
        <v>0.65</v>
      </c>
      <c r="K971" s="14">
        <v>0.65</v>
      </c>
      <c r="L971" s="14">
        <v>0.65</v>
      </c>
      <c r="M971" s="14">
        <v>0.65</v>
      </c>
      <c r="N971" s="14">
        <v>0.5</v>
      </c>
      <c r="O971" s="14">
        <v>0.28000000000000003</v>
      </c>
      <c r="P971" s="14">
        <v>0.28000000000000003</v>
      </c>
      <c r="Q971" s="14">
        <v>0.13</v>
      </c>
      <c r="R971" s="14">
        <v>0.13</v>
      </c>
      <c r="S971" s="14">
        <v>0.13</v>
      </c>
      <c r="T971" s="14">
        <v>0.13</v>
      </c>
      <c r="U971" s="14">
        <v>0.13</v>
      </c>
      <c r="V971" s="14">
        <v>0.13</v>
      </c>
      <c r="W971" s="14">
        <v>0.2</v>
      </c>
      <c r="X971" s="14">
        <v>0.35</v>
      </c>
      <c r="Y971" s="14">
        <v>0.35</v>
      </c>
      <c r="Z971" s="14">
        <v>0.35</v>
      </c>
      <c r="AA971" s="14">
        <v>0.5</v>
      </c>
      <c r="AB971" s="14">
        <v>0.5</v>
      </c>
      <c r="AC971" s="14">
        <v>0.57999999999999996</v>
      </c>
      <c r="AD971" s="14">
        <v>0.65</v>
      </c>
      <c r="AE971" s="14">
        <v>0.65</v>
      </c>
      <c r="AF971" s="14" t="s">
        <v>411</v>
      </c>
    </row>
    <row r="972" spans="1:32" ht="14.25" customHeight="1" x14ac:dyDescent="0.35">
      <c r="A972" s="14" t="s">
        <v>998</v>
      </c>
      <c r="B972" s="14" t="s">
        <v>448</v>
      </c>
      <c r="C972" s="14"/>
      <c r="D972" s="14" t="s">
        <v>419</v>
      </c>
      <c r="E972" s="15">
        <v>41640</v>
      </c>
      <c r="F972" s="15">
        <v>42004</v>
      </c>
      <c r="G972" s="14" t="s">
        <v>410</v>
      </c>
      <c r="H972" s="14">
        <v>1</v>
      </c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 t="s">
        <v>411</v>
      </c>
    </row>
    <row r="973" spans="1:32" ht="14.25" customHeight="1" x14ac:dyDescent="0.35">
      <c r="A973" s="16" t="s">
        <v>998</v>
      </c>
      <c r="B973" s="16" t="s">
        <v>448</v>
      </c>
      <c r="C973" s="16"/>
      <c r="D973" s="16" t="s">
        <v>530</v>
      </c>
      <c r="E973" s="17">
        <v>41640</v>
      </c>
      <c r="F973" s="17">
        <v>42004</v>
      </c>
      <c r="G973" s="16" t="s">
        <v>415</v>
      </c>
      <c r="H973" s="16">
        <v>0.65</v>
      </c>
      <c r="I973" s="16">
        <v>0.65</v>
      </c>
      <c r="J973" s="16">
        <v>0.65</v>
      </c>
      <c r="K973" s="16">
        <v>0.65</v>
      </c>
      <c r="L973" s="16">
        <v>0.65</v>
      </c>
      <c r="M973" s="16">
        <v>0.65</v>
      </c>
      <c r="N973" s="16">
        <v>0.5</v>
      </c>
      <c r="O973" s="16">
        <v>0.34</v>
      </c>
      <c r="P973" s="16">
        <v>0.34</v>
      </c>
      <c r="Q973" s="16">
        <v>0.2</v>
      </c>
      <c r="R973" s="16">
        <v>0.2</v>
      </c>
      <c r="S973" s="16">
        <v>0.2</v>
      </c>
      <c r="T973" s="16">
        <v>0.2</v>
      </c>
      <c r="U973" s="16">
        <v>0.2</v>
      </c>
      <c r="V973" s="16">
        <v>0.2</v>
      </c>
      <c r="W973" s="16">
        <v>0.2</v>
      </c>
      <c r="X973" s="16">
        <v>0.2</v>
      </c>
      <c r="Y973" s="16">
        <v>0.34</v>
      </c>
      <c r="Z973" s="16">
        <v>0.35</v>
      </c>
      <c r="AA973" s="16">
        <v>0.65</v>
      </c>
      <c r="AB973" s="16">
        <v>0.65</v>
      </c>
      <c r="AC973" s="16">
        <v>0.5</v>
      </c>
      <c r="AD973" s="16">
        <v>0.5</v>
      </c>
      <c r="AE973" s="16">
        <v>0.5</v>
      </c>
      <c r="AF973" s="16" t="s">
        <v>411</v>
      </c>
    </row>
    <row r="974" spans="1:32" ht="14.25" customHeight="1" x14ac:dyDescent="0.35">
      <c r="A974" s="16" t="s">
        <v>998</v>
      </c>
      <c r="B974" s="16" t="s">
        <v>448</v>
      </c>
      <c r="C974" s="16"/>
      <c r="D974" s="16" t="s">
        <v>418</v>
      </c>
      <c r="E974" s="17">
        <v>41640</v>
      </c>
      <c r="F974" s="17">
        <v>42004</v>
      </c>
      <c r="G974" s="16" t="s">
        <v>410</v>
      </c>
      <c r="H974" s="16">
        <v>0</v>
      </c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 t="s">
        <v>411</v>
      </c>
    </row>
    <row r="975" spans="1:32" ht="14.25" customHeight="1" x14ac:dyDescent="0.35">
      <c r="A975" s="16" t="s">
        <v>999</v>
      </c>
      <c r="B975" s="16" t="s">
        <v>424</v>
      </c>
      <c r="C975" s="16"/>
      <c r="D975" s="16" t="s">
        <v>453</v>
      </c>
      <c r="E975" s="17">
        <v>41640</v>
      </c>
      <c r="F975" s="17">
        <v>42004</v>
      </c>
      <c r="G975" s="16" t="s">
        <v>410</v>
      </c>
      <c r="H975" s="16">
        <v>1</v>
      </c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4" t="s">
        <v>411</v>
      </c>
    </row>
    <row r="976" spans="1:32" ht="14.25" customHeight="1" x14ac:dyDescent="0.35">
      <c r="A976" s="16" t="s">
        <v>999</v>
      </c>
      <c r="B976" s="16" t="s">
        <v>424</v>
      </c>
      <c r="C976" s="16"/>
      <c r="D976" s="24" t="s">
        <v>429</v>
      </c>
      <c r="E976" s="15">
        <v>41640</v>
      </c>
      <c r="F976" s="15">
        <v>42004</v>
      </c>
      <c r="G976" s="14" t="s">
        <v>415</v>
      </c>
      <c r="H976" s="16">
        <v>0.22</v>
      </c>
      <c r="I976" s="16">
        <v>0.17</v>
      </c>
      <c r="J976" s="16">
        <v>0.11</v>
      </c>
      <c r="K976" s="16">
        <v>0.11</v>
      </c>
      <c r="L976" s="16">
        <v>0.11</v>
      </c>
      <c r="M976" s="16">
        <v>0.22</v>
      </c>
      <c r="N976" s="16">
        <v>0.44</v>
      </c>
      <c r="O976" s="16">
        <v>0.56000000000000005</v>
      </c>
      <c r="P976" s="16">
        <v>0.44</v>
      </c>
      <c r="Q976" s="16">
        <v>0.44</v>
      </c>
      <c r="R976" s="16">
        <v>0.28000000000000003</v>
      </c>
      <c r="S976" s="16">
        <v>0.28000000000000003</v>
      </c>
      <c r="T976" s="16">
        <v>0.28000000000000003</v>
      </c>
      <c r="U976" s="16">
        <v>0.28000000000000003</v>
      </c>
      <c r="V976" s="16">
        <v>0.28000000000000003</v>
      </c>
      <c r="W976" s="16">
        <v>0.28000000000000003</v>
      </c>
      <c r="X976" s="16">
        <v>0.28000000000000003</v>
      </c>
      <c r="Y976" s="16">
        <v>0.28000000000000003</v>
      </c>
      <c r="Z976" s="16">
        <v>0.67</v>
      </c>
      <c r="AA976" s="16">
        <v>0.89</v>
      </c>
      <c r="AB976" s="16">
        <v>1</v>
      </c>
      <c r="AC976" s="16">
        <v>0.89</v>
      </c>
      <c r="AD976" s="16">
        <v>0.67</v>
      </c>
      <c r="AE976" s="16">
        <v>0.33</v>
      </c>
      <c r="AF976" s="14" t="s">
        <v>411</v>
      </c>
    </row>
    <row r="977" spans="1:32" ht="14.25" customHeight="1" x14ac:dyDescent="0.35">
      <c r="A977" s="16" t="s">
        <v>999</v>
      </c>
      <c r="B977" s="16" t="s">
        <v>424</v>
      </c>
      <c r="C977" s="16"/>
      <c r="D977" s="14" t="s">
        <v>530</v>
      </c>
      <c r="E977" s="15">
        <v>41640</v>
      </c>
      <c r="F977" s="15">
        <v>42004</v>
      </c>
      <c r="G977" s="14" t="s">
        <v>415</v>
      </c>
      <c r="H977" s="16">
        <v>0.26</v>
      </c>
      <c r="I977" s="16">
        <v>0.26</v>
      </c>
      <c r="J977" s="16">
        <v>0.11</v>
      </c>
      <c r="K977" s="16">
        <v>0.11</v>
      </c>
      <c r="L977" s="16">
        <v>0.11</v>
      </c>
      <c r="M977" s="16">
        <v>0.11</v>
      </c>
      <c r="N977" s="16">
        <v>0.41</v>
      </c>
      <c r="O977" s="16">
        <v>0.41</v>
      </c>
      <c r="P977" s="16">
        <v>0.56000000000000005</v>
      </c>
      <c r="Q977" s="16">
        <v>0.56000000000000005</v>
      </c>
      <c r="R977" s="16">
        <v>0.41</v>
      </c>
      <c r="S977" s="16">
        <v>0.33</v>
      </c>
      <c r="T977" s="16">
        <v>0.33</v>
      </c>
      <c r="U977" s="16">
        <v>0.33</v>
      </c>
      <c r="V977" s="16">
        <v>0.33</v>
      </c>
      <c r="W977" s="16">
        <v>0.33</v>
      </c>
      <c r="X977" s="16">
        <v>0.33</v>
      </c>
      <c r="Y977" s="16">
        <v>0.33</v>
      </c>
      <c r="Z977" s="16">
        <v>0.85</v>
      </c>
      <c r="AA977" s="16">
        <v>1</v>
      </c>
      <c r="AB977" s="16">
        <v>1</v>
      </c>
      <c r="AC977" s="16">
        <v>1</v>
      </c>
      <c r="AD977" s="16">
        <v>0.85</v>
      </c>
      <c r="AE977" s="16">
        <v>0.41</v>
      </c>
      <c r="AF977" s="14" t="s">
        <v>411</v>
      </c>
    </row>
    <row r="978" spans="1:32" ht="14.25" customHeight="1" x14ac:dyDescent="0.35">
      <c r="A978" s="16" t="s">
        <v>999</v>
      </c>
      <c r="B978" s="16" t="s">
        <v>424</v>
      </c>
      <c r="C978" s="16"/>
      <c r="D978" s="14" t="s">
        <v>418</v>
      </c>
      <c r="E978" s="15">
        <v>41640</v>
      </c>
      <c r="F978" s="15">
        <v>42004</v>
      </c>
      <c r="G978" s="14" t="s">
        <v>410</v>
      </c>
      <c r="H978" s="14">
        <v>0</v>
      </c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4" t="s">
        <v>411</v>
      </c>
    </row>
    <row r="979" spans="1:32" ht="14.25" customHeight="1" x14ac:dyDescent="0.35">
      <c r="A979" s="14" t="s">
        <v>1000</v>
      </c>
      <c r="B979" s="14" t="s">
        <v>420</v>
      </c>
      <c r="C979" s="14" t="s">
        <v>414</v>
      </c>
      <c r="D979" s="14" t="s">
        <v>409</v>
      </c>
      <c r="E979" s="15">
        <v>41640</v>
      </c>
      <c r="F979" s="15">
        <v>42004</v>
      </c>
      <c r="G979" s="14" t="s">
        <v>415</v>
      </c>
      <c r="H979" s="14">
        <v>16</v>
      </c>
      <c r="I979" s="14">
        <v>16</v>
      </c>
      <c r="J979" s="14">
        <v>16</v>
      </c>
      <c r="K979" s="14">
        <v>16</v>
      </c>
      <c r="L979" s="14">
        <v>16</v>
      </c>
      <c r="M979" s="14">
        <v>16</v>
      </c>
      <c r="N979" s="14">
        <v>16</v>
      </c>
      <c r="O979" s="14">
        <v>21</v>
      </c>
      <c r="P979" s="14">
        <v>21</v>
      </c>
      <c r="Q979" s="14">
        <v>21</v>
      </c>
      <c r="R979" s="14">
        <v>21</v>
      </c>
      <c r="S979" s="14">
        <v>21</v>
      </c>
      <c r="T979" s="14">
        <v>21</v>
      </c>
      <c r="U979" s="14">
        <v>21</v>
      </c>
      <c r="V979" s="14">
        <v>21</v>
      </c>
      <c r="W979" s="14">
        <v>21</v>
      </c>
      <c r="X979" s="14">
        <v>21</v>
      </c>
      <c r="Y979" s="14">
        <v>21</v>
      </c>
      <c r="Z979" s="14">
        <v>21</v>
      </c>
      <c r="AA979" s="14">
        <v>21</v>
      </c>
      <c r="AB979" s="14">
        <v>21</v>
      </c>
      <c r="AC979" s="14">
        <v>21</v>
      </c>
      <c r="AD979" s="14">
        <v>21</v>
      </c>
      <c r="AE979" s="14">
        <v>21</v>
      </c>
      <c r="AF979" s="14" t="s">
        <v>411</v>
      </c>
    </row>
    <row r="980" spans="1:32" ht="14.25" customHeight="1" x14ac:dyDescent="0.35">
      <c r="A980" s="16" t="s">
        <v>1001</v>
      </c>
      <c r="B980" s="16" t="s">
        <v>441</v>
      </c>
      <c r="C980" s="16"/>
      <c r="D980" s="16" t="s">
        <v>409</v>
      </c>
      <c r="E980" s="17">
        <v>41640</v>
      </c>
      <c r="F980" s="17">
        <v>42004</v>
      </c>
      <c r="G980" s="16" t="s">
        <v>410</v>
      </c>
      <c r="H980" s="16">
        <v>0.25</v>
      </c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 t="s">
        <v>411</v>
      </c>
    </row>
    <row r="981" spans="1:32" ht="14.25" customHeight="1" x14ac:dyDescent="0.35">
      <c r="A981" s="14" t="s">
        <v>1002</v>
      </c>
      <c r="B981" s="14" t="s">
        <v>420</v>
      </c>
      <c r="C981" s="14" t="s">
        <v>414</v>
      </c>
      <c r="D981" s="14" t="s">
        <v>409</v>
      </c>
      <c r="E981" s="15">
        <v>41640</v>
      </c>
      <c r="F981" s="15">
        <v>42004</v>
      </c>
      <c r="G981" s="14" t="s">
        <v>415</v>
      </c>
      <c r="H981" s="14">
        <v>30</v>
      </c>
      <c r="I981" s="14">
        <v>30</v>
      </c>
      <c r="J981" s="14">
        <v>30</v>
      </c>
      <c r="K981" s="14">
        <v>30</v>
      </c>
      <c r="L981" s="14">
        <v>30</v>
      </c>
      <c r="M981" s="14">
        <v>30</v>
      </c>
      <c r="N981" s="14">
        <v>30</v>
      </c>
      <c r="O981" s="14">
        <v>26</v>
      </c>
      <c r="P981" s="14">
        <v>26</v>
      </c>
      <c r="Q981" s="14">
        <v>26</v>
      </c>
      <c r="R981" s="14">
        <v>26</v>
      </c>
      <c r="S981" s="14">
        <v>26</v>
      </c>
      <c r="T981" s="14">
        <v>26</v>
      </c>
      <c r="U981" s="14">
        <v>26</v>
      </c>
      <c r="V981" s="14">
        <v>26</v>
      </c>
      <c r="W981" s="14">
        <v>26</v>
      </c>
      <c r="X981" s="14">
        <v>26</v>
      </c>
      <c r="Y981" s="14">
        <v>26</v>
      </c>
      <c r="Z981" s="14">
        <v>26</v>
      </c>
      <c r="AA981" s="14">
        <v>26</v>
      </c>
      <c r="AB981" s="14">
        <v>26</v>
      </c>
      <c r="AC981" s="14">
        <v>26</v>
      </c>
      <c r="AD981" s="14">
        <v>26</v>
      </c>
      <c r="AE981" s="14">
        <v>26</v>
      </c>
      <c r="AF981" s="14" t="s">
        <v>411</v>
      </c>
    </row>
    <row r="982" spans="1:32" ht="14.25" customHeight="1" x14ac:dyDescent="0.35">
      <c r="A982" s="16" t="s">
        <v>1003</v>
      </c>
      <c r="B982" s="16" t="s">
        <v>427</v>
      </c>
      <c r="C982" s="16"/>
      <c r="D982" s="16" t="s">
        <v>508</v>
      </c>
      <c r="E982" s="17">
        <v>41640</v>
      </c>
      <c r="F982" s="17">
        <v>42004</v>
      </c>
      <c r="G982" s="16" t="s">
        <v>415</v>
      </c>
      <c r="H982" s="16">
        <v>0.1</v>
      </c>
      <c r="I982" s="16">
        <v>0.1</v>
      </c>
      <c r="J982" s="16">
        <v>0.1</v>
      </c>
      <c r="K982" s="16">
        <v>0.1</v>
      </c>
      <c r="L982" s="16">
        <v>0.1</v>
      </c>
      <c r="M982" s="16">
        <v>0.1</v>
      </c>
      <c r="N982" s="16">
        <v>0.25</v>
      </c>
      <c r="O982" s="16">
        <v>0.35</v>
      </c>
      <c r="P982" s="16">
        <v>0.35</v>
      </c>
      <c r="Q982" s="16">
        <v>0.25</v>
      </c>
      <c r="R982" s="16">
        <v>0.35</v>
      </c>
      <c r="S982" s="16">
        <v>0.35</v>
      </c>
      <c r="T982" s="16">
        <v>0.35</v>
      </c>
      <c r="U982" s="16">
        <v>0.25</v>
      </c>
      <c r="V982" s="16">
        <v>0.25</v>
      </c>
      <c r="W982" s="16">
        <v>0.25</v>
      </c>
      <c r="X982" s="16">
        <v>0.35</v>
      </c>
      <c r="Y982" s="16">
        <v>0.35</v>
      </c>
      <c r="Z982" s="16">
        <v>0.35</v>
      </c>
      <c r="AA982" s="16">
        <v>0.25</v>
      </c>
      <c r="AB982" s="16">
        <v>0.25</v>
      </c>
      <c r="AC982" s="16">
        <v>0.25</v>
      </c>
      <c r="AD982" s="16">
        <v>0.25</v>
      </c>
      <c r="AE982" s="16">
        <v>0.25</v>
      </c>
      <c r="AF982" s="16" t="s">
        <v>411</v>
      </c>
    </row>
    <row r="983" spans="1:32" ht="14.25" customHeight="1" x14ac:dyDescent="0.35">
      <c r="A983" s="16" t="s">
        <v>1003</v>
      </c>
      <c r="B983" s="16" t="s">
        <v>427</v>
      </c>
      <c r="C983" s="16"/>
      <c r="D983" s="16" t="s">
        <v>419</v>
      </c>
      <c r="E983" s="17">
        <v>41640</v>
      </c>
      <c r="F983" s="17">
        <v>42004</v>
      </c>
      <c r="G983" s="16" t="s">
        <v>410</v>
      </c>
      <c r="H983" s="16">
        <v>0.35</v>
      </c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 t="s">
        <v>411</v>
      </c>
    </row>
    <row r="984" spans="1:32" ht="14.25" customHeight="1" x14ac:dyDescent="0.35">
      <c r="A984" s="14" t="s">
        <v>1003</v>
      </c>
      <c r="B984" s="14" t="s">
        <v>427</v>
      </c>
      <c r="C984" s="14"/>
      <c r="D984" s="14" t="s">
        <v>418</v>
      </c>
      <c r="E984" s="15">
        <v>41640</v>
      </c>
      <c r="F984" s="15">
        <v>42004</v>
      </c>
      <c r="G984" s="14" t="s">
        <v>410</v>
      </c>
      <c r="H984" s="14">
        <v>0</v>
      </c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 t="s">
        <v>411</v>
      </c>
    </row>
    <row r="985" spans="1:32" ht="14.25" customHeight="1" x14ac:dyDescent="0.35">
      <c r="A985" s="14" t="s">
        <v>1004</v>
      </c>
      <c r="B985" s="14" t="s">
        <v>427</v>
      </c>
      <c r="C985" s="14"/>
      <c r="D985" s="14" t="s">
        <v>409</v>
      </c>
      <c r="E985" s="15">
        <v>41640</v>
      </c>
      <c r="F985" s="15">
        <v>42004</v>
      </c>
      <c r="G985" s="14" t="s">
        <v>415</v>
      </c>
      <c r="H985" s="14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1</v>
      </c>
      <c r="P985" s="14">
        <v>1</v>
      </c>
      <c r="Q985" s="14">
        <v>1</v>
      </c>
      <c r="R985" s="14">
        <v>1</v>
      </c>
      <c r="S985" s="14">
        <v>1</v>
      </c>
      <c r="T985" s="14">
        <v>1</v>
      </c>
      <c r="U985" s="14">
        <v>1</v>
      </c>
      <c r="V985" s="14">
        <v>1</v>
      </c>
      <c r="W985" s="14">
        <v>1</v>
      </c>
      <c r="X985" s="14">
        <v>1</v>
      </c>
      <c r="Y985" s="14">
        <v>1</v>
      </c>
      <c r="Z985" s="14">
        <v>1</v>
      </c>
      <c r="AA985" s="14">
        <v>1</v>
      </c>
      <c r="AB985" s="14">
        <v>1</v>
      </c>
      <c r="AC985" s="14">
        <v>1</v>
      </c>
      <c r="AD985" s="14">
        <v>1</v>
      </c>
      <c r="AE985" s="14">
        <v>1</v>
      </c>
      <c r="AF985" s="14" t="s">
        <v>411</v>
      </c>
    </row>
    <row r="986" spans="1:32" ht="14.25" customHeight="1" x14ac:dyDescent="0.35">
      <c r="A986" s="16" t="s">
        <v>1005</v>
      </c>
      <c r="B986" s="16" t="s">
        <v>427</v>
      </c>
      <c r="C986" s="16"/>
      <c r="D986" s="16" t="s">
        <v>520</v>
      </c>
      <c r="E986" s="17">
        <v>41640</v>
      </c>
      <c r="F986" s="17">
        <v>42004</v>
      </c>
      <c r="G986" s="16" t="s">
        <v>415</v>
      </c>
      <c r="H986" s="16">
        <v>0.02</v>
      </c>
      <c r="I986" s="16">
        <v>0.02</v>
      </c>
      <c r="J986" s="16">
        <v>0.02</v>
      </c>
      <c r="K986" s="16">
        <v>0.02</v>
      </c>
      <c r="L986" s="16">
        <v>0.02</v>
      </c>
      <c r="M986" s="16">
        <v>0.05</v>
      </c>
      <c r="N986" s="16">
        <v>0.1</v>
      </c>
      <c r="O986" s="16">
        <v>0.15</v>
      </c>
      <c r="P986" s="16">
        <v>0.2</v>
      </c>
      <c r="Q986" s="16">
        <v>0.15</v>
      </c>
      <c r="R986" s="16">
        <v>0.25</v>
      </c>
      <c r="S986" s="16">
        <v>0.25</v>
      </c>
      <c r="T986" s="16">
        <v>0.25</v>
      </c>
      <c r="U986" s="16">
        <v>0.2</v>
      </c>
      <c r="V986" s="16">
        <v>0.15</v>
      </c>
      <c r="W986" s="16">
        <v>0.2</v>
      </c>
      <c r="X986" s="16">
        <v>0.3</v>
      </c>
      <c r="Y986" s="16">
        <v>0.3</v>
      </c>
      <c r="Z986" s="16">
        <v>0.3</v>
      </c>
      <c r="AA986" s="16">
        <v>0.2</v>
      </c>
      <c r="AB986" s="16">
        <v>0.2</v>
      </c>
      <c r="AC986" s="16">
        <v>0.15</v>
      </c>
      <c r="AD986" s="16">
        <v>0.1</v>
      </c>
      <c r="AE986" s="16">
        <v>0.05</v>
      </c>
      <c r="AF986" s="16" t="s">
        <v>411</v>
      </c>
    </row>
    <row r="987" spans="1:32" ht="14.25" customHeight="1" x14ac:dyDescent="0.35">
      <c r="A987" s="16" t="s">
        <v>1005</v>
      </c>
      <c r="B987" s="16" t="s">
        <v>427</v>
      </c>
      <c r="C987" s="16"/>
      <c r="D987" s="16" t="s">
        <v>419</v>
      </c>
      <c r="E987" s="17">
        <v>41640</v>
      </c>
      <c r="F987" s="17">
        <v>42004</v>
      </c>
      <c r="G987" s="16" t="s">
        <v>410</v>
      </c>
      <c r="H987" s="16">
        <v>0.25</v>
      </c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 t="s">
        <v>411</v>
      </c>
    </row>
    <row r="988" spans="1:32" ht="14.25" customHeight="1" x14ac:dyDescent="0.35">
      <c r="A988" s="14" t="s">
        <v>1005</v>
      </c>
      <c r="B988" s="14" t="s">
        <v>427</v>
      </c>
      <c r="C988" s="14"/>
      <c r="D988" s="14" t="s">
        <v>418</v>
      </c>
      <c r="E988" s="15">
        <v>41640</v>
      </c>
      <c r="F988" s="15">
        <v>42004</v>
      </c>
      <c r="G988" s="14" t="s">
        <v>410</v>
      </c>
      <c r="H988" s="14">
        <v>0</v>
      </c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 t="s">
        <v>411</v>
      </c>
    </row>
    <row r="989" spans="1:32" ht="14.25" customHeight="1" x14ac:dyDescent="0.35">
      <c r="A989" s="14" t="s">
        <v>1006</v>
      </c>
      <c r="B989" s="14" t="s">
        <v>420</v>
      </c>
      <c r="C989" s="14" t="s">
        <v>414</v>
      </c>
      <c r="D989" s="14" t="s">
        <v>409</v>
      </c>
      <c r="E989" s="15">
        <v>41640</v>
      </c>
      <c r="F989" s="15">
        <v>42004</v>
      </c>
      <c r="G989" s="14" t="s">
        <v>415</v>
      </c>
      <c r="H989" s="14">
        <v>16</v>
      </c>
      <c r="I989" s="14">
        <v>16</v>
      </c>
      <c r="J989" s="14">
        <v>16</v>
      </c>
      <c r="K989" s="14">
        <v>16</v>
      </c>
      <c r="L989" s="14">
        <v>16</v>
      </c>
      <c r="M989" s="14">
        <v>16</v>
      </c>
      <c r="N989" s="14">
        <v>16</v>
      </c>
      <c r="O989" s="14">
        <v>19</v>
      </c>
      <c r="P989" s="14">
        <v>19</v>
      </c>
      <c r="Q989" s="14">
        <v>19</v>
      </c>
      <c r="R989" s="14">
        <v>19</v>
      </c>
      <c r="S989" s="14">
        <v>19</v>
      </c>
      <c r="T989" s="14">
        <v>19</v>
      </c>
      <c r="U989" s="14">
        <v>19</v>
      </c>
      <c r="V989" s="14">
        <v>19</v>
      </c>
      <c r="W989" s="14">
        <v>19</v>
      </c>
      <c r="X989" s="14">
        <v>19</v>
      </c>
      <c r="Y989" s="14">
        <v>19</v>
      </c>
      <c r="Z989" s="14">
        <v>19</v>
      </c>
      <c r="AA989" s="14">
        <v>19</v>
      </c>
      <c r="AB989" s="14">
        <v>19</v>
      </c>
      <c r="AC989" s="14">
        <v>19</v>
      </c>
      <c r="AD989" s="14">
        <v>19</v>
      </c>
      <c r="AE989" s="14">
        <v>19</v>
      </c>
      <c r="AF989" s="14" t="s">
        <v>411</v>
      </c>
    </row>
    <row r="990" spans="1:32" ht="14.25" customHeight="1" x14ac:dyDescent="0.35">
      <c r="A990" s="14" t="s">
        <v>1007</v>
      </c>
      <c r="B990" s="16" t="s">
        <v>427</v>
      </c>
      <c r="C990" s="14"/>
      <c r="D990" s="24" t="s">
        <v>1008</v>
      </c>
      <c r="E990" s="17">
        <v>41640</v>
      </c>
      <c r="F990" s="17">
        <v>42004</v>
      </c>
      <c r="G990" s="16" t="s">
        <v>415</v>
      </c>
      <c r="H990" s="14">
        <v>0.1</v>
      </c>
      <c r="I990" s="14">
        <v>0.1</v>
      </c>
      <c r="J990" s="14">
        <v>0.1</v>
      </c>
      <c r="K990" s="14">
        <v>0.1</v>
      </c>
      <c r="L990" s="14">
        <v>0.1</v>
      </c>
      <c r="M990" s="14">
        <v>0.1</v>
      </c>
      <c r="N990" s="14">
        <v>0.25</v>
      </c>
      <c r="O990" s="14">
        <v>0.35</v>
      </c>
      <c r="P990" s="14">
        <v>0.35</v>
      </c>
      <c r="Q990" s="14">
        <v>0.25</v>
      </c>
      <c r="R990" s="14">
        <v>0.35</v>
      </c>
      <c r="S990" s="14">
        <v>0.35</v>
      </c>
      <c r="T990" s="14">
        <v>0.35</v>
      </c>
      <c r="U990" s="14">
        <v>0.25</v>
      </c>
      <c r="V990" s="14">
        <v>0.25</v>
      </c>
      <c r="W990" s="14">
        <v>0.25</v>
      </c>
      <c r="X990" s="14">
        <v>0.35</v>
      </c>
      <c r="Y990" s="14">
        <v>0.35</v>
      </c>
      <c r="Z990" s="14">
        <v>0.35</v>
      </c>
      <c r="AA990" s="14">
        <v>0.25</v>
      </c>
      <c r="AB990" s="14">
        <v>0.25</v>
      </c>
      <c r="AC990" s="14">
        <v>0.25</v>
      </c>
      <c r="AD990" s="14">
        <v>0.25</v>
      </c>
      <c r="AE990" s="14">
        <v>0.25</v>
      </c>
      <c r="AF990" s="16" t="s">
        <v>411</v>
      </c>
    </row>
    <row r="991" spans="1:32" ht="14.25" customHeight="1" x14ac:dyDescent="0.35">
      <c r="A991" s="14" t="s">
        <v>1007</v>
      </c>
      <c r="B991" s="16" t="s">
        <v>427</v>
      </c>
      <c r="C991" s="14"/>
      <c r="D991" s="16" t="s">
        <v>419</v>
      </c>
      <c r="E991" s="17">
        <v>41640</v>
      </c>
      <c r="F991" s="17">
        <v>42004</v>
      </c>
      <c r="G991" s="16" t="s">
        <v>410</v>
      </c>
      <c r="H991" s="16">
        <v>0.35</v>
      </c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6" t="s">
        <v>411</v>
      </c>
    </row>
    <row r="992" spans="1:32" ht="14.25" customHeight="1" x14ac:dyDescent="0.35">
      <c r="A992" s="14" t="s">
        <v>1007</v>
      </c>
      <c r="B992" s="16" t="s">
        <v>427</v>
      </c>
      <c r="C992" s="14"/>
      <c r="D992" s="14" t="s">
        <v>418</v>
      </c>
      <c r="E992" s="15">
        <v>41640</v>
      </c>
      <c r="F992" s="15">
        <v>42004</v>
      </c>
      <c r="G992" s="14" t="s">
        <v>410</v>
      </c>
      <c r="H992" s="14">
        <v>0</v>
      </c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6" t="s">
        <v>411</v>
      </c>
    </row>
    <row r="993" spans="1:32" ht="14.25" customHeight="1" x14ac:dyDescent="0.35">
      <c r="A993" s="16" t="s">
        <v>1009</v>
      </c>
      <c r="B993" s="16" t="s">
        <v>427</v>
      </c>
      <c r="C993" s="16"/>
      <c r="D993" s="16" t="s">
        <v>417</v>
      </c>
      <c r="E993" s="17">
        <v>41640</v>
      </c>
      <c r="F993" s="17">
        <v>42004</v>
      </c>
      <c r="G993" s="16" t="s">
        <v>415</v>
      </c>
      <c r="H993" s="16">
        <v>0</v>
      </c>
      <c r="I993" s="16">
        <v>0</v>
      </c>
      <c r="J993" s="16">
        <v>0</v>
      </c>
      <c r="K993" s="16">
        <v>0</v>
      </c>
      <c r="L993" s="16">
        <v>0</v>
      </c>
      <c r="M993" s="16">
        <v>0</v>
      </c>
      <c r="N993" s="16">
        <v>0</v>
      </c>
      <c r="O993" s="16">
        <v>0</v>
      </c>
      <c r="P993" s="16">
        <v>1</v>
      </c>
      <c r="Q993" s="16">
        <v>1</v>
      </c>
      <c r="R993" s="16">
        <v>1</v>
      </c>
      <c r="S993" s="16">
        <v>1</v>
      </c>
      <c r="T993" s="16">
        <v>1</v>
      </c>
      <c r="U993" s="16">
        <v>1</v>
      </c>
      <c r="V993" s="16">
        <v>1</v>
      </c>
      <c r="W993" s="16">
        <v>1</v>
      </c>
      <c r="X993" s="16">
        <v>0</v>
      </c>
      <c r="Y993" s="16">
        <v>0</v>
      </c>
      <c r="Z993" s="16">
        <v>0</v>
      </c>
      <c r="AA993" s="16">
        <v>0</v>
      </c>
      <c r="AB993" s="16">
        <v>0</v>
      </c>
      <c r="AC993" s="16">
        <v>0</v>
      </c>
      <c r="AD993" s="16">
        <v>0</v>
      </c>
      <c r="AE993" s="16">
        <v>0</v>
      </c>
      <c r="AF993" s="16" t="s">
        <v>411</v>
      </c>
    </row>
    <row r="994" spans="1:32" ht="14.25" customHeight="1" x14ac:dyDescent="0.35">
      <c r="A994" s="16" t="s">
        <v>1009</v>
      </c>
      <c r="B994" s="16" t="s">
        <v>427</v>
      </c>
      <c r="C994" s="16"/>
      <c r="D994" s="16" t="s">
        <v>419</v>
      </c>
      <c r="E994" s="17">
        <v>41640</v>
      </c>
      <c r="F994" s="17">
        <v>42004</v>
      </c>
      <c r="G994" s="16" t="s">
        <v>410</v>
      </c>
      <c r="H994" s="16">
        <v>1</v>
      </c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 t="s">
        <v>411</v>
      </c>
    </row>
    <row r="995" spans="1:32" ht="14.25" customHeight="1" x14ac:dyDescent="0.35">
      <c r="A995" s="14" t="s">
        <v>1009</v>
      </c>
      <c r="B995" s="14" t="s">
        <v>427</v>
      </c>
      <c r="C995" s="14"/>
      <c r="D995" s="14" t="s">
        <v>418</v>
      </c>
      <c r="E995" s="15">
        <v>41640</v>
      </c>
      <c r="F995" s="15">
        <v>42004</v>
      </c>
      <c r="G995" s="14" t="s">
        <v>410</v>
      </c>
      <c r="H995" s="14">
        <v>0</v>
      </c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 t="s">
        <v>411</v>
      </c>
    </row>
    <row r="996" spans="1:32" ht="14.25" customHeight="1" x14ac:dyDescent="0.35">
      <c r="A996" s="14" t="s">
        <v>1010</v>
      </c>
      <c r="B996" s="14" t="s">
        <v>427</v>
      </c>
      <c r="C996" s="14"/>
      <c r="D996" s="14" t="s">
        <v>417</v>
      </c>
      <c r="E996" s="15">
        <v>41640</v>
      </c>
      <c r="F996" s="15">
        <v>42004</v>
      </c>
      <c r="G996" s="14" t="s">
        <v>415</v>
      </c>
      <c r="H996" s="14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1</v>
      </c>
      <c r="R996" s="14">
        <v>1</v>
      </c>
      <c r="S996" s="14">
        <v>1</v>
      </c>
      <c r="T996" s="14">
        <v>1</v>
      </c>
      <c r="U996" s="14">
        <v>1</v>
      </c>
      <c r="V996" s="14">
        <v>1</v>
      </c>
      <c r="W996" s="14">
        <v>1</v>
      </c>
      <c r="X996" s="14">
        <v>1</v>
      </c>
      <c r="Y996" s="14">
        <v>0</v>
      </c>
      <c r="Z996" s="14">
        <v>0</v>
      </c>
      <c r="AA996" s="14">
        <v>0</v>
      </c>
      <c r="AB996" s="14">
        <v>0</v>
      </c>
      <c r="AC996" s="14">
        <v>0</v>
      </c>
      <c r="AD996" s="14">
        <v>0</v>
      </c>
      <c r="AE996" s="14">
        <v>0</v>
      </c>
      <c r="AF996" s="14" t="s">
        <v>411</v>
      </c>
    </row>
    <row r="997" spans="1:32" ht="14.25" customHeight="1" x14ac:dyDescent="0.35">
      <c r="A997" s="14" t="s">
        <v>1010</v>
      </c>
      <c r="B997" s="14" t="s">
        <v>427</v>
      </c>
      <c r="C997" s="14"/>
      <c r="D997" s="14" t="s">
        <v>419</v>
      </c>
      <c r="E997" s="15">
        <v>41640</v>
      </c>
      <c r="F997" s="15">
        <v>42004</v>
      </c>
      <c r="G997" s="14" t="s">
        <v>410</v>
      </c>
      <c r="H997" s="14">
        <v>1</v>
      </c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 t="s">
        <v>411</v>
      </c>
    </row>
    <row r="998" spans="1:32" ht="14.25" customHeight="1" x14ac:dyDescent="0.35">
      <c r="A998" s="16" t="s">
        <v>1010</v>
      </c>
      <c r="B998" s="16" t="s">
        <v>427</v>
      </c>
      <c r="C998" s="16"/>
      <c r="D998" s="16" t="s">
        <v>418</v>
      </c>
      <c r="E998" s="17">
        <v>41640</v>
      </c>
      <c r="F998" s="17">
        <v>42004</v>
      </c>
      <c r="G998" s="16" t="s">
        <v>410</v>
      </c>
      <c r="H998" s="16">
        <v>0</v>
      </c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 t="s">
        <v>411</v>
      </c>
    </row>
    <row r="999" spans="1:32" ht="14.25" customHeight="1" x14ac:dyDescent="0.35">
      <c r="A999" s="16" t="s">
        <v>1011</v>
      </c>
      <c r="B999" s="16" t="s">
        <v>448</v>
      </c>
      <c r="C999" s="16"/>
      <c r="D999" s="16" t="s">
        <v>417</v>
      </c>
      <c r="E999" s="17">
        <v>41640</v>
      </c>
      <c r="F999" s="17">
        <v>42004</v>
      </c>
      <c r="G999" s="16" t="s">
        <v>415</v>
      </c>
      <c r="H999" s="16">
        <v>0.1</v>
      </c>
      <c r="I999" s="16">
        <v>0.1</v>
      </c>
      <c r="J999" s="16">
        <v>0.1</v>
      </c>
      <c r="K999" s="16">
        <v>0.1</v>
      </c>
      <c r="L999" s="16">
        <v>0.1</v>
      </c>
      <c r="M999" s="16">
        <v>0.3</v>
      </c>
      <c r="N999" s="16">
        <v>0.7</v>
      </c>
      <c r="O999" s="16">
        <v>0.7</v>
      </c>
      <c r="P999" s="16">
        <v>0.7</v>
      </c>
      <c r="Q999" s="16">
        <v>0.7</v>
      </c>
      <c r="R999" s="16">
        <v>0.2</v>
      </c>
      <c r="S999" s="16">
        <v>0.2</v>
      </c>
      <c r="T999" s="16">
        <v>0.2</v>
      </c>
      <c r="U999" s="16">
        <v>0.2</v>
      </c>
      <c r="V999" s="16">
        <v>0.2</v>
      </c>
      <c r="W999" s="16">
        <v>0.2</v>
      </c>
      <c r="X999" s="16">
        <v>0.4</v>
      </c>
      <c r="Y999" s="16">
        <v>0.4</v>
      </c>
      <c r="Z999" s="16">
        <v>0.2</v>
      </c>
      <c r="AA999" s="16">
        <v>0.2</v>
      </c>
      <c r="AB999" s="16">
        <v>0.2</v>
      </c>
      <c r="AC999" s="16">
        <v>0.2</v>
      </c>
      <c r="AD999" s="16">
        <v>0.1</v>
      </c>
      <c r="AE999" s="16">
        <v>0.1</v>
      </c>
      <c r="AF999" s="16" t="s">
        <v>411</v>
      </c>
    </row>
    <row r="1000" spans="1:32" ht="14.25" customHeight="1" x14ac:dyDescent="0.35">
      <c r="A1000" s="16" t="s">
        <v>1011</v>
      </c>
      <c r="B1000" s="16" t="s">
        <v>448</v>
      </c>
      <c r="C1000" s="16"/>
      <c r="D1000" s="16" t="s">
        <v>419</v>
      </c>
      <c r="E1000" s="17">
        <v>41640</v>
      </c>
      <c r="F1000" s="17">
        <v>42004</v>
      </c>
      <c r="G1000" s="16" t="s">
        <v>410</v>
      </c>
      <c r="H1000" s="16">
        <v>1</v>
      </c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 t="s">
        <v>411</v>
      </c>
    </row>
    <row r="1001" spans="1:32" ht="14.25" customHeight="1" x14ac:dyDescent="0.35">
      <c r="A1001" s="14" t="s">
        <v>1011</v>
      </c>
      <c r="B1001" s="14" t="s">
        <v>448</v>
      </c>
      <c r="C1001" s="14"/>
      <c r="D1001" s="14" t="s">
        <v>530</v>
      </c>
      <c r="E1001" s="15">
        <v>41640</v>
      </c>
      <c r="F1001" s="15">
        <v>42004</v>
      </c>
      <c r="G1001" s="14" t="s">
        <v>415</v>
      </c>
      <c r="H1001" s="14">
        <v>0.1</v>
      </c>
      <c r="I1001" s="14">
        <v>0.1</v>
      </c>
      <c r="J1001" s="14">
        <v>0.1</v>
      </c>
      <c r="K1001" s="14">
        <v>0.1</v>
      </c>
      <c r="L1001" s="14">
        <v>0.1</v>
      </c>
      <c r="M1001" s="14">
        <v>0.1</v>
      </c>
      <c r="N1001" s="14">
        <v>0.3</v>
      </c>
      <c r="O1001" s="14">
        <v>0.7</v>
      </c>
      <c r="P1001" s="14">
        <v>0.7</v>
      </c>
      <c r="Q1001" s="14">
        <v>0.7</v>
      </c>
      <c r="R1001" s="14">
        <v>0.2</v>
      </c>
      <c r="S1001" s="14">
        <v>0.2</v>
      </c>
      <c r="T1001" s="14">
        <v>0.2</v>
      </c>
      <c r="U1001" s="14">
        <v>0.2</v>
      </c>
      <c r="V1001" s="14">
        <v>0.2</v>
      </c>
      <c r="W1001" s="14">
        <v>0.2</v>
      </c>
      <c r="X1001" s="14">
        <v>0.2</v>
      </c>
      <c r="Y1001" s="14">
        <v>0.2</v>
      </c>
      <c r="Z1001" s="14">
        <v>0.2</v>
      </c>
      <c r="AA1001" s="14">
        <v>0.2</v>
      </c>
      <c r="AB1001" s="14">
        <v>0.2</v>
      </c>
      <c r="AC1001" s="14">
        <v>0.2</v>
      </c>
      <c r="AD1001" s="14">
        <v>0.1</v>
      </c>
      <c r="AE1001" s="14">
        <v>0.1</v>
      </c>
      <c r="AF1001" s="14" t="s">
        <v>411</v>
      </c>
    </row>
    <row r="1002" spans="1:32" ht="14.25" customHeight="1" x14ac:dyDescent="0.35">
      <c r="A1002" s="14" t="s">
        <v>1011</v>
      </c>
      <c r="B1002" s="14" t="s">
        <v>448</v>
      </c>
      <c r="C1002" s="14"/>
      <c r="D1002" s="14" t="s">
        <v>418</v>
      </c>
      <c r="E1002" s="15">
        <v>41640</v>
      </c>
      <c r="F1002" s="15">
        <v>42004</v>
      </c>
      <c r="G1002" s="14" t="s">
        <v>410</v>
      </c>
      <c r="H1002" s="14">
        <v>0</v>
      </c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 t="s">
        <v>411</v>
      </c>
    </row>
    <row r="1003" spans="1:32" ht="14.25" customHeight="1" x14ac:dyDescent="0.35">
      <c r="A1003" s="16" t="s">
        <v>1012</v>
      </c>
      <c r="B1003" s="16" t="s">
        <v>408</v>
      </c>
      <c r="C1003" s="16"/>
      <c r="D1003" s="16" t="s">
        <v>409</v>
      </c>
      <c r="E1003" s="17">
        <v>41640</v>
      </c>
      <c r="F1003" s="17">
        <v>42004</v>
      </c>
      <c r="G1003" s="16" t="s">
        <v>410</v>
      </c>
      <c r="H1003" s="16">
        <v>0</v>
      </c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 t="s">
        <v>411</v>
      </c>
    </row>
    <row r="1004" spans="1:32" ht="14.25" customHeight="1" x14ac:dyDescent="0.35">
      <c r="A1004" s="25" t="s">
        <v>1013</v>
      </c>
      <c r="B1004" s="25" t="s">
        <v>416</v>
      </c>
      <c r="C1004" s="25"/>
      <c r="D1004" s="25" t="s">
        <v>511</v>
      </c>
      <c r="E1004" s="26">
        <v>41640</v>
      </c>
      <c r="F1004" s="26">
        <v>42004</v>
      </c>
      <c r="G1004" s="25" t="s">
        <v>410</v>
      </c>
      <c r="H1004" s="25">
        <v>0</v>
      </c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 t="s">
        <v>411</v>
      </c>
    </row>
    <row r="1005" spans="1:32" ht="14.25" customHeight="1" x14ac:dyDescent="0.35">
      <c r="A1005" s="25" t="s">
        <v>1013</v>
      </c>
      <c r="B1005" s="25" t="s">
        <v>416</v>
      </c>
      <c r="C1005" s="25"/>
      <c r="D1005" s="25" t="s">
        <v>1014</v>
      </c>
      <c r="E1005" s="26">
        <v>41640</v>
      </c>
      <c r="F1005" s="26">
        <v>42004</v>
      </c>
      <c r="G1005" s="25" t="s">
        <v>415</v>
      </c>
      <c r="H1005" s="25">
        <v>0</v>
      </c>
      <c r="I1005" s="25">
        <v>0</v>
      </c>
      <c r="J1005" s="25">
        <v>0</v>
      </c>
      <c r="K1005" s="25">
        <v>0</v>
      </c>
      <c r="L1005" s="25">
        <v>0</v>
      </c>
      <c r="M1005" s="25">
        <v>0</v>
      </c>
      <c r="N1005" s="25">
        <v>0</v>
      </c>
      <c r="O1005" s="25">
        <v>0.35</v>
      </c>
      <c r="P1005" s="25">
        <v>0.69</v>
      </c>
      <c r="Q1005" s="25">
        <v>0.43</v>
      </c>
      <c r="R1005" s="25">
        <v>0.37</v>
      </c>
      <c r="S1005" s="25">
        <v>0.43</v>
      </c>
      <c r="T1005" s="25">
        <v>0.57999999999999996</v>
      </c>
      <c r="U1005" s="25">
        <v>0.48</v>
      </c>
      <c r="V1005" s="25">
        <v>0.37</v>
      </c>
      <c r="W1005" s="25">
        <v>0.37</v>
      </c>
      <c r="X1005" s="25">
        <v>0.46</v>
      </c>
      <c r="Y1005" s="25">
        <v>0.62</v>
      </c>
      <c r="Z1005" s="25">
        <v>0.12</v>
      </c>
      <c r="AA1005" s="25">
        <v>0.04</v>
      </c>
      <c r="AB1005" s="25">
        <v>0.04</v>
      </c>
      <c r="AC1005" s="25">
        <v>0</v>
      </c>
      <c r="AD1005" s="25">
        <v>0</v>
      </c>
      <c r="AE1005" s="25">
        <v>0</v>
      </c>
      <c r="AF1005" s="25" t="s">
        <v>411</v>
      </c>
    </row>
    <row r="1006" spans="1:32" ht="14.25" customHeight="1" x14ac:dyDescent="0.35">
      <c r="A1006" s="25" t="s">
        <v>1013</v>
      </c>
      <c r="B1006" s="25" t="s">
        <v>416</v>
      </c>
      <c r="C1006" s="25"/>
      <c r="D1006" s="25" t="s">
        <v>514</v>
      </c>
      <c r="E1006" s="26">
        <v>41640</v>
      </c>
      <c r="F1006" s="26">
        <v>42004</v>
      </c>
      <c r="G1006" s="25" t="s">
        <v>415</v>
      </c>
      <c r="H1006" s="25">
        <v>0</v>
      </c>
      <c r="I1006" s="25">
        <v>0</v>
      </c>
      <c r="J1006" s="25">
        <v>0</v>
      </c>
      <c r="K1006" s="25">
        <v>0</v>
      </c>
      <c r="L1006" s="25">
        <v>0</v>
      </c>
      <c r="M1006" s="25">
        <v>0</v>
      </c>
      <c r="N1006" s="25">
        <v>0</v>
      </c>
      <c r="O1006" s="25">
        <v>0.16</v>
      </c>
      <c r="P1006" s="25">
        <v>0.14000000000000001</v>
      </c>
      <c r="Q1006" s="25">
        <v>0.21</v>
      </c>
      <c r="R1006" s="25">
        <v>0.18</v>
      </c>
      <c r="S1006" s="25">
        <v>0.25</v>
      </c>
      <c r="T1006" s="25">
        <v>0.21</v>
      </c>
      <c r="U1006" s="25">
        <v>0.13</v>
      </c>
      <c r="V1006" s="25">
        <v>0.08</v>
      </c>
      <c r="W1006" s="25">
        <v>0.04</v>
      </c>
      <c r="X1006" s="25">
        <v>0.05</v>
      </c>
      <c r="Y1006" s="25">
        <v>0.06</v>
      </c>
      <c r="Z1006" s="25">
        <v>0</v>
      </c>
      <c r="AA1006" s="25">
        <v>0</v>
      </c>
      <c r="AB1006" s="25">
        <v>0</v>
      </c>
      <c r="AC1006" s="25">
        <v>0</v>
      </c>
      <c r="AD1006" s="25">
        <v>0</v>
      </c>
      <c r="AE1006" s="25">
        <v>0</v>
      </c>
      <c r="AF1006" s="25" t="s">
        <v>411</v>
      </c>
    </row>
    <row r="1007" spans="1:32" ht="14.25" customHeight="1" x14ac:dyDescent="0.35">
      <c r="A1007" s="14" t="s">
        <v>1015</v>
      </c>
      <c r="B1007" s="14" t="s">
        <v>427</v>
      </c>
      <c r="C1007" s="14"/>
      <c r="D1007" s="14" t="s">
        <v>791</v>
      </c>
      <c r="E1007" s="15">
        <v>41640</v>
      </c>
      <c r="F1007" s="15">
        <v>42004</v>
      </c>
      <c r="G1007" s="14" t="s">
        <v>415</v>
      </c>
      <c r="H1007" s="14">
        <v>0.4</v>
      </c>
      <c r="I1007" s="14">
        <v>0.4</v>
      </c>
      <c r="J1007" s="14">
        <v>0.4</v>
      </c>
      <c r="K1007" s="14">
        <v>0.4</v>
      </c>
      <c r="L1007" s="14">
        <v>0.4</v>
      </c>
      <c r="M1007" s="14">
        <v>0.4</v>
      </c>
      <c r="N1007" s="14">
        <v>0.4</v>
      </c>
      <c r="O1007" s="14">
        <v>0.4</v>
      </c>
      <c r="P1007" s="14">
        <v>0.9</v>
      </c>
      <c r="Q1007" s="14">
        <v>0.9</v>
      </c>
      <c r="R1007" s="14">
        <v>0.9</v>
      </c>
      <c r="S1007" s="14">
        <v>0.9</v>
      </c>
      <c r="T1007" s="14">
        <v>0.8</v>
      </c>
      <c r="U1007" s="14">
        <v>0.9</v>
      </c>
      <c r="V1007" s="14">
        <v>0.9</v>
      </c>
      <c r="W1007" s="14">
        <v>0.9</v>
      </c>
      <c r="X1007" s="14">
        <v>0.9</v>
      </c>
      <c r="Y1007" s="14">
        <v>0.8</v>
      </c>
      <c r="Z1007" s="14">
        <v>0.6</v>
      </c>
      <c r="AA1007" s="14">
        <v>0.6</v>
      </c>
      <c r="AB1007" s="14">
        <v>0.5</v>
      </c>
      <c r="AC1007" s="14">
        <v>0.5</v>
      </c>
      <c r="AD1007" s="14">
        <v>0.4</v>
      </c>
      <c r="AE1007" s="14">
        <v>0.4</v>
      </c>
      <c r="AF1007" s="14" t="s">
        <v>411</v>
      </c>
    </row>
    <row r="1008" spans="1:32" ht="14.25" customHeight="1" x14ac:dyDescent="0.35">
      <c r="A1008" s="14" t="s">
        <v>1015</v>
      </c>
      <c r="B1008" s="14" t="s">
        <v>427</v>
      </c>
      <c r="C1008" s="14"/>
      <c r="D1008" s="14" t="s">
        <v>512</v>
      </c>
      <c r="E1008" s="15">
        <v>41640</v>
      </c>
      <c r="F1008" s="15">
        <v>42004</v>
      </c>
      <c r="G1008" s="14" t="s">
        <v>415</v>
      </c>
      <c r="H1008" s="14">
        <v>0.3</v>
      </c>
      <c r="I1008" s="14">
        <v>0.3</v>
      </c>
      <c r="J1008" s="14">
        <v>0.3</v>
      </c>
      <c r="K1008" s="14">
        <v>0.3</v>
      </c>
      <c r="L1008" s="14">
        <v>0.3</v>
      </c>
      <c r="M1008" s="14">
        <v>0.3</v>
      </c>
      <c r="N1008" s="14">
        <v>0.4</v>
      </c>
      <c r="O1008" s="14">
        <v>0.4</v>
      </c>
      <c r="P1008" s="14">
        <v>0.5</v>
      </c>
      <c r="Q1008" s="14">
        <v>0.5</v>
      </c>
      <c r="R1008" s="14">
        <v>0.5</v>
      </c>
      <c r="S1008" s="14">
        <v>0.5</v>
      </c>
      <c r="T1008" s="14">
        <v>0.5</v>
      </c>
      <c r="U1008" s="14">
        <v>0.5</v>
      </c>
      <c r="V1008" s="14">
        <v>0.35</v>
      </c>
      <c r="W1008" s="14">
        <v>0.35</v>
      </c>
      <c r="X1008" s="14">
        <v>0.35</v>
      </c>
      <c r="Y1008" s="14">
        <v>0.3</v>
      </c>
      <c r="Z1008" s="14">
        <v>0.3</v>
      </c>
      <c r="AA1008" s="14">
        <v>0.3</v>
      </c>
      <c r="AB1008" s="14">
        <v>0.3</v>
      </c>
      <c r="AC1008" s="14">
        <v>0.3</v>
      </c>
      <c r="AD1008" s="14">
        <v>0.3</v>
      </c>
      <c r="AE1008" s="14">
        <v>0.3</v>
      </c>
      <c r="AF1008" s="14" t="s">
        <v>411</v>
      </c>
    </row>
    <row r="1009" spans="1:32" ht="14.25" customHeight="1" x14ac:dyDescent="0.35">
      <c r="A1009" s="14" t="s">
        <v>1015</v>
      </c>
      <c r="B1009" s="14" t="s">
        <v>427</v>
      </c>
      <c r="C1009" s="14"/>
      <c r="D1009" s="14" t="s">
        <v>419</v>
      </c>
      <c r="E1009" s="15">
        <v>41640</v>
      </c>
      <c r="F1009" s="15">
        <v>42004</v>
      </c>
      <c r="G1009" s="14" t="s">
        <v>410</v>
      </c>
      <c r="H1009" s="14">
        <v>1</v>
      </c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 t="s">
        <v>411</v>
      </c>
    </row>
    <row r="1010" spans="1:32" ht="14.25" customHeight="1" x14ac:dyDescent="0.35">
      <c r="A1010" s="14" t="s">
        <v>1015</v>
      </c>
      <c r="B1010" s="14" t="s">
        <v>427</v>
      </c>
      <c r="C1010" s="14"/>
      <c r="D1010" s="14" t="s">
        <v>511</v>
      </c>
      <c r="E1010" s="15">
        <v>41640</v>
      </c>
      <c r="F1010" s="15">
        <v>42004</v>
      </c>
      <c r="G1010" s="14" t="s">
        <v>410</v>
      </c>
      <c r="H1010" s="14">
        <v>0.3</v>
      </c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 t="s">
        <v>411</v>
      </c>
    </row>
    <row r="1011" spans="1:32" ht="14.25" customHeight="1" x14ac:dyDescent="0.35">
      <c r="A1011" s="14" t="s">
        <v>1015</v>
      </c>
      <c r="B1011" s="14" t="s">
        <v>427</v>
      </c>
      <c r="C1011" s="14"/>
      <c r="D1011" s="14" t="s">
        <v>418</v>
      </c>
      <c r="E1011" s="15">
        <v>41640</v>
      </c>
      <c r="F1011" s="15">
        <v>42004</v>
      </c>
      <c r="G1011" s="14" t="s">
        <v>410</v>
      </c>
      <c r="H1011" s="14">
        <v>0</v>
      </c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 t="s">
        <v>411</v>
      </c>
    </row>
    <row r="1012" spans="1:32" ht="14.25" customHeight="1" x14ac:dyDescent="0.35">
      <c r="A1012" s="16" t="s">
        <v>1016</v>
      </c>
      <c r="B1012" s="16" t="s">
        <v>424</v>
      </c>
      <c r="C1012" s="16"/>
      <c r="D1012" s="16" t="s">
        <v>791</v>
      </c>
      <c r="E1012" s="17">
        <v>41640</v>
      </c>
      <c r="F1012" s="17">
        <v>42004</v>
      </c>
      <c r="G1012" s="16" t="s">
        <v>415</v>
      </c>
      <c r="H1012" s="16">
        <v>0.05</v>
      </c>
      <c r="I1012" s="16">
        <v>0.05</v>
      </c>
      <c r="J1012" s="16">
        <v>0.05</v>
      </c>
      <c r="K1012" s="16">
        <v>0.05</v>
      </c>
      <c r="L1012" s="16">
        <v>0.05</v>
      </c>
      <c r="M1012" s="16">
        <v>0.1</v>
      </c>
      <c r="N1012" s="16">
        <v>0.1</v>
      </c>
      <c r="O1012" s="16">
        <v>0.3</v>
      </c>
      <c r="P1012" s="16">
        <v>0.9</v>
      </c>
      <c r="Q1012" s="16">
        <v>0.9</v>
      </c>
      <c r="R1012" s="16">
        <v>0.9</v>
      </c>
      <c r="S1012" s="16">
        <v>0.9</v>
      </c>
      <c r="T1012" s="16">
        <v>0.9</v>
      </c>
      <c r="U1012" s="16">
        <v>0.9</v>
      </c>
      <c r="V1012" s="16">
        <v>0.9</v>
      </c>
      <c r="W1012" s="16">
        <v>0.9</v>
      </c>
      <c r="X1012" s="16">
        <v>0.9</v>
      </c>
      <c r="Y1012" s="16">
        <v>0.7</v>
      </c>
      <c r="Z1012" s="16">
        <v>0.5</v>
      </c>
      <c r="AA1012" s="16">
        <v>0.5</v>
      </c>
      <c r="AB1012" s="16">
        <v>0.3</v>
      </c>
      <c r="AC1012" s="16">
        <v>0.3</v>
      </c>
      <c r="AD1012" s="16">
        <v>0.1</v>
      </c>
      <c r="AE1012" s="16">
        <v>0.05</v>
      </c>
      <c r="AF1012" s="16" t="s">
        <v>411</v>
      </c>
    </row>
    <row r="1013" spans="1:32" ht="14.25" customHeight="1" x14ac:dyDescent="0.35">
      <c r="A1013" s="16" t="s">
        <v>1016</v>
      </c>
      <c r="B1013" s="16" t="s">
        <v>424</v>
      </c>
      <c r="C1013" s="16"/>
      <c r="D1013" s="16" t="s">
        <v>512</v>
      </c>
      <c r="E1013" s="17">
        <v>41640</v>
      </c>
      <c r="F1013" s="17">
        <v>42004</v>
      </c>
      <c r="G1013" s="16" t="s">
        <v>415</v>
      </c>
      <c r="H1013" s="16">
        <v>0.05</v>
      </c>
      <c r="I1013" s="16">
        <v>0.05</v>
      </c>
      <c r="J1013" s="16">
        <v>0.05</v>
      </c>
      <c r="K1013" s="16">
        <v>0.05</v>
      </c>
      <c r="L1013" s="16">
        <v>0.05</v>
      </c>
      <c r="M1013" s="16">
        <v>0.05</v>
      </c>
      <c r="N1013" s="16">
        <v>0.1</v>
      </c>
      <c r="O1013" s="16">
        <v>0.1</v>
      </c>
      <c r="P1013" s="16">
        <v>0.5</v>
      </c>
      <c r="Q1013" s="16">
        <v>0.5</v>
      </c>
      <c r="R1013" s="16">
        <v>0.5</v>
      </c>
      <c r="S1013" s="16">
        <v>0.5</v>
      </c>
      <c r="T1013" s="16">
        <v>0.5</v>
      </c>
      <c r="U1013" s="16">
        <v>0.5</v>
      </c>
      <c r="V1013" s="16">
        <v>0.15</v>
      </c>
      <c r="W1013" s="16">
        <v>0.15</v>
      </c>
      <c r="X1013" s="16">
        <v>0.15</v>
      </c>
      <c r="Y1013" s="16">
        <v>0.05</v>
      </c>
      <c r="Z1013" s="16">
        <v>0.05</v>
      </c>
      <c r="AA1013" s="16">
        <v>0.05</v>
      </c>
      <c r="AB1013" s="16">
        <v>0.05</v>
      </c>
      <c r="AC1013" s="16">
        <v>0.05</v>
      </c>
      <c r="AD1013" s="16">
        <v>0.05</v>
      </c>
      <c r="AE1013" s="16">
        <v>0.05</v>
      </c>
      <c r="AF1013" s="16" t="s">
        <v>411</v>
      </c>
    </row>
    <row r="1014" spans="1:32" ht="14.25" customHeight="1" x14ac:dyDescent="0.35">
      <c r="A1014" s="16" t="s">
        <v>1016</v>
      </c>
      <c r="B1014" s="16" t="s">
        <v>424</v>
      </c>
      <c r="C1014" s="16"/>
      <c r="D1014" s="16" t="s">
        <v>419</v>
      </c>
      <c r="E1014" s="17">
        <v>41640</v>
      </c>
      <c r="F1014" s="17">
        <v>42004</v>
      </c>
      <c r="G1014" s="16" t="s">
        <v>410</v>
      </c>
      <c r="H1014" s="16">
        <v>1</v>
      </c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 t="s">
        <v>411</v>
      </c>
    </row>
    <row r="1015" spans="1:32" ht="14.25" customHeight="1" x14ac:dyDescent="0.35">
      <c r="A1015" s="16" t="s">
        <v>1016</v>
      </c>
      <c r="B1015" s="16" t="s">
        <v>424</v>
      </c>
      <c r="C1015" s="16"/>
      <c r="D1015" s="16" t="s">
        <v>511</v>
      </c>
      <c r="E1015" s="17">
        <v>41640</v>
      </c>
      <c r="F1015" s="17">
        <v>42004</v>
      </c>
      <c r="G1015" s="16" t="s">
        <v>410</v>
      </c>
      <c r="H1015" s="16">
        <v>0.05</v>
      </c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 t="s">
        <v>411</v>
      </c>
    </row>
    <row r="1016" spans="1:32" ht="14.25" customHeight="1" x14ac:dyDescent="0.35">
      <c r="A1016" s="16" t="s">
        <v>1016</v>
      </c>
      <c r="B1016" s="16" t="s">
        <v>424</v>
      </c>
      <c r="C1016" s="16"/>
      <c r="D1016" s="16" t="s">
        <v>418</v>
      </c>
      <c r="E1016" s="17">
        <v>41640</v>
      </c>
      <c r="F1016" s="17">
        <v>42004</v>
      </c>
      <c r="G1016" s="16" t="s">
        <v>410</v>
      </c>
      <c r="H1016" s="16">
        <v>0</v>
      </c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 t="s">
        <v>411</v>
      </c>
    </row>
    <row r="1017" spans="1:32" ht="14.25" customHeight="1" x14ac:dyDescent="0.35">
      <c r="A1017" s="14" t="s">
        <v>1017</v>
      </c>
      <c r="B1017" s="14" t="s">
        <v>448</v>
      </c>
      <c r="C1017" s="14"/>
      <c r="D1017" s="14" t="s">
        <v>791</v>
      </c>
      <c r="E1017" s="15">
        <v>41640</v>
      </c>
      <c r="F1017" s="15">
        <v>42004</v>
      </c>
      <c r="G1017" s="14" t="s">
        <v>415</v>
      </c>
      <c r="H1017" s="14">
        <v>0</v>
      </c>
      <c r="I1017" s="14">
        <v>0</v>
      </c>
      <c r="J1017" s="14">
        <v>0</v>
      </c>
      <c r="K1017" s="14">
        <v>0</v>
      </c>
      <c r="L1017" s="14">
        <v>0</v>
      </c>
      <c r="M1017" s="14">
        <v>0</v>
      </c>
      <c r="N1017" s="14">
        <v>0.1</v>
      </c>
      <c r="O1017" s="14">
        <v>0.2</v>
      </c>
      <c r="P1017" s="14">
        <v>0.95</v>
      </c>
      <c r="Q1017" s="14">
        <v>0.95</v>
      </c>
      <c r="R1017" s="14">
        <v>0.95</v>
      </c>
      <c r="S1017" s="14">
        <v>0.95</v>
      </c>
      <c r="T1017" s="14">
        <v>0.5</v>
      </c>
      <c r="U1017" s="14">
        <v>0.95</v>
      </c>
      <c r="V1017" s="14">
        <v>0.95</v>
      </c>
      <c r="W1017" s="14">
        <v>0.95</v>
      </c>
      <c r="X1017" s="14">
        <v>0.95</v>
      </c>
      <c r="Y1017" s="14">
        <v>0.7</v>
      </c>
      <c r="Z1017" s="14">
        <v>0.4</v>
      </c>
      <c r="AA1017" s="14">
        <v>0.4</v>
      </c>
      <c r="AB1017" s="14">
        <v>0.1</v>
      </c>
      <c r="AC1017" s="14">
        <v>0.1</v>
      </c>
      <c r="AD1017" s="14">
        <v>0.05</v>
      </c>
      <c r="AE1017" s="14">
        <v>0.05</v>
      </c>
      <c r="AF1017" s="14" t="s">
        <v>411</v>
      </c>
    </row>
    <row r="1018" spans="1:32" ht="14.25" customHeight="1" x14ac:dyDescent="0.35">
      <c r="A1018" s="14" t="s">
        <v>1017</v>
      </c>
      <c r="B1018" s="14" t="s">
        <v>448</v>
      </c>
      <c r="C1018" s="14"/>
      <c r="D1018" s="14" t="s">
        <v>512</v>
      </c>
      <c r="E1018" s="15">
        <v>41640</v>
      </c>
      <c r="F1018" s="15">
        <v>42004</v>
      </c>
      <c r="G1018" s="14" t="s">
        <v>415</v>
      </c>
      <c r="H1018" s="14">
        <v>0</v>
      </c>
      <c r="I1018" s="14">
        <v>0</v>
      </c>
      <c r="J1018" s="14">
        <v>0</v>
      </c>
      <c r="K1018" s="14">
        <v>0</v>
      </c>
      <c r="L1018" s="14">
        <v>0</v>
      </c>
      <c r="M1018" s="14">
        <v>0</v>
      </c>
      <c r="N1018" s="14">
        <v>0.1</v>
      </c>
      <c r="O1018" s="14">
        <v>0.1</v>
      </c>
      <c r="P1018" s="14">
        <v>0.5</v>
      </c>
      <c r="Q1018" s="14">
        <v>0.5</v>
      </c>
      <c r="R1018" s="14">
        <v>0.5</v>
      </c>
      <c r="S1018" s="14">
        <v>0.5</v>
      </c>
      <c r="T1018" s="14">
        <v>0.5</v>
      </c>
      <c r="U1018" s="14">
        <v>0.5</v>
      </c>
      <c r="V1018" s="14">
        <v>0.1</v>
      </c>
      <c r="W1018" s="14">
        <v>0.1</v>
      </c>
      <c r="X1018" s="14">
        <v>0.1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 t="s">
        <v>411</v>
      </c>
    </row>
    <row r="1019" spans="1:32" ht="14.25" customHeight="1" x14ac:dyDescent="0.35">
      <c r="A1019" s="14" t="s">
        <v>1017</v>
      </c>
      <c r="B1019" s="14" t="s">
        <v>448</v>
      </c>
      <c r="C1019" s="14"/>
      <c r="D1019" s="14" t="s">
        <v>419</v>
      </c>
      <c r="E1019" s="15">
        <v>41640</v>
      </c>
      <c r="F1019" s="15">
        <v>42004</v>
      </c>
      <c r="G1019" s="14" t="s">
        <v>415</v>
      </c>
      <c r="H1019" s="14">
        <v>0</v>
      </c>
      <c r="I1019" s="14">
        <v>0</v>
      </c>
      <c r="J1019" s="14">
        <v>0</v>
      </c>
      <c r="K1019" s="14">
        <v>0</v>
      </c>
      <c r="L1019" s="14">
        <v>0</v>
      </c>
      <c r="M1019" s="14">
        <v>0</v>
      </c>
      <c r="N1019" s="14">
        <v>1</v>
      </c>
      <c r="O1019" s="14">
        <v>1</v>
      </c>
      <c r="P1019" s="14">
        <v>1</v>
      </c>
      <c r="Q1019" s="14">
        <v>1</v>
      </c>
      <c r="R1019" s="14">
        <v>1</v>
      </c>
      <c r="S1019" s="14">
        <v>1</v>
      </c>
      <c r="T1019" s="14">
        <v>1</v>
      </c>
      <c r="U1019" s="14">
        <v>1</v>
      </c>
      <c r="V1019" s="14">
        <v>1</v>
      </c>
      <c r="W1019" s="14">
        <v>1</v>
      </c>
      <c r="X1019" s="14">
        <v>1</v>
      </c>
      <c r="Y1019" s="14">
        <v>1</v>
      </c>
      <c r="Z1019" s="14">
        <v>1</v>
      </c>
      <c r="AA1019" s="14">
        <v>1</v>
      </c>
      <c r="AB1019" s="14">
        <v>1</v>
      </c>
      <c r="AC1019" s="14">
        <v>1</v>
      </c>
      <c r="AD1019" s="14">
        <v>0.05</v>
      </c>
      <c r="AE1019" s="14">
        <v>0.05</v>
      </c>
      <c r="AF1019" s="14" t="s">
        <v>411</v>
      </c>
    </row>
    <row r="1020" spans="1:32" ht="14.25" customHeight="1" x14ac:dyDescent="0.35">
      <c r="A1020" s="14" t="s">
        <v>1017</v>
      </c>
      <c r="B1020" s="14" t="s">
        <v>448</v>
      </c>
      <c r="C1020" s="14"/>
      <c r="D1020" s="14" t="s">
        <v>979</v>
      </c>
      <c r="E1020" s="15">
        <v>41640</v>
      </c>
      <c r="F1020" s="15">
        <v>42004</v>
      </c>
      <c r="G1020" s="14" t="s">
        <v>410</v>
      </c>
      <c r="H1020" s="14">
        <v>0</v>
      </c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 t="s">
        <v>411</v>
      </c>
    </row>
    <row r="1021" spans="1:32" ht="14.25" customHeight="1" x14ac:dyDescent="0.35">
      <c r="A1021" s="16" t="s">
        <v>1018</v>
      </c>
      <c r="B1021" s="16" t="s">
        <v>460</v>
      </c>
      <c r="C1021" s="16"/>
      <c r="D1021" s="16" t="s">
        <v>453</v>
      </c>
      <c r="E1021" s="17">
        <v>41640</v>
      </c>
      <c r="F1021" s="17">
        <v>42004</v>
      </c>
      <c r="G1021" s="16" t="s">
        <v>415</v>
      </c>
      <c r="H1021" s="16">
        <v>0.05</v>
      </c>
      <c r="I1021" s="16">
        <v>0.05</v>
      </c>
      <c r="J1021" s="16">
        <v>0.05</v>
      </c>
      <c r="K1021" s="16">
        <v>0.05</v>
      </c>
      <c r="L1021" s="16">
        <v>0.05</v>
      </c>
      <c r="M1021" s="16">
        <v>0.08</v>
      </c>
      <c r="N1021" s="16">
        <v>7.0000000000000007E-2</v>
      </c>
      <c r="O1021" s="16">
        <v>0.19</v>
      </c>
      <c r="P1021" s="16">
        <v>0.35</v>
      </c>
      <c r="Q1021" s="16">
        <v>0.38</v>
      </c>
      <c r="R1021" s="16">
        <v>0.39</v>
      </c>
      <c r="S1021" s="16">
        <v>0.47</v>
      </c>
      <c r="T1021" s="16">
        <v>0.56999999999999995</v>
      </c>
      <c r="U1021" s="16">
        <v>0.54</v>
      </c>
      <c r="V1021" s="16">
        <v>0.34</v>
      </c>
      <c r="W1021" s="16">
        <v>0.33</v>
      </c>
      <c r="X1021" s="16">
        <v>0.44</v>
      </c>
      <c r="Y1021" s="16">
        <v>0.26</v>
      </c>
      <c r="Z1021" s="16">
        <v>0.21</v>
      </c>
      <c r="AA1021" s="16">
        <v>0.15</v>
      </c>
      <c r="AB1021" s="16">
        <v>0.17</v>
      </c>
      <c r="AC1021" s="16">
        <v>0.08</v>
      </c>
      <c r="AD1021" s="16">
        <v>0.05</v>
      </c>
      <c r="AE1021" s="16">
        <v>0.05</v>
      </c>
      <c r="AF1021" s="16" t="s">
        <v>411</v>
      </c>
    </row>
    <row r="1022" spans="1:32" ht="14.25" customHeight="1" x14ac:dyDescent="0.35">
      <c r="A1022" s="16" t="s">
        <v>1018</v>
      </c>
      <c r="B1022" s="16" t="s">
        <v>460</v>
      </c>
      <c r="C1022" s="16"/>
      <c r="D1022" s="16" t="s">
        <v>511</v>
      </c>
      <c r="E1022" s="17">
        <v>41640</v>
      </c>
      <c r="F1022" s="17">
        <v>42004</v>
      </c>
      <c r="G1022" s="16" t="s">
        <v>415</v>
      </c>
      <c r="H1022" s="16">
        <v>0.04</v>
      </c>
      <c r="I1022" s="16">
        <v>0.04</v>
      </c>
      <c r="J1022" s="16">
        <v>0.04</v>
      </c>
      <c r="K1022" s="16">
        <v>0.04</v>
      </c>
      <c r="L1022" s="16">
        <v>0.04</v>
      </c>
      <c r="M1022" s="16">
        <v>7.0000000000000007E-2</v>
      </c>
      <c r="N1022" s="16">
        <v>0.04</v>
      </c>
      <c r="O1022" s="16">
        <v>0.04</v>
      </c>
      <c r="P1022" s="16">
        <v>0.04</v>
      </c>
      <c r="Q1022" s="16">
        <v>0.04</v>
      </c>
      <c r="R1022" s="16">
        <v>0.04</v>
      </c>
      <c r="S1022" s="16">
        <v>0.06</v>
      </c>
      <c r="T1022" s="16">
        <v>0.06</v>
      </c>
      <c r="U1022" s="16">
        <v>0.09</v>
      </c>
      <c r="V1022" s="16">
        <v>0.06</v>
      </c>
      <c r="W1022" s="16">
        <v>0.04</v>
      </c>
      <c r="X1022" s="16">
        <v>0.04</v>
      </c>
      <c r="Y1022" s="16">
        <v>0.04</v>
      </c>
      <c r="Z1022" s="16">
        <v>0.04</v>
      </c>
      <c r="AA1022" s="16">
        <v>0.04</v>
      </c>
      <c r="AB1022" s="16">
        <v>0.04</v>
      </c>
      <c r="AC1022" s="16">
        <v>7.0000000000000007E-2</v>
      </c>
      <c r="AD1022" s="16">
        <v>0.04</v>
      </c>
      <c r="AE1022" s="16">
        <v>0.04</v>
      </c>
      <c r="AF1022" s="16" t="s">
        <v>411</v>
      </c>
    </row>
    <row r="1023" spans="1:32" ht="14.25" customHeight="1" x14ac:dyDescent="0.35">
      <c r="A1023" s="16" t="s">
        <v>1018</v>
      </c>
      <c r="B1023" s="16" t="s">
        <v>460</v>
      </c>
      <c r="C1023" s="16"/>
      <c r="D1023" s="16" t="s">
        <v>514</v>
      </c>
      <c r="E1023" s="17">
        <v>41640</v>
      </c>
      <c r="F1023" s="17">
        <v>42004</v>
      </c>
      <c r="G1023" s="16" t="s">
        <v>415</v>
      </c>
      <c r="H1023" s="16">
        <v>0.05</v>
      </c>
      <c r="I1023" s="16">
        <v>0.05</v>
      </c>
      <c r="J1023" s="16">
        <v>0.05</v>
      </c>
      <c r="K1023" s="16">
        <v>0.05</v>
      </c>
      <c r="L1023" s="16">
        <v>0.05</v>
      </c>
      <c r="M1023" s="16">
        <v>0.08</v>
      </c>
      <c r="N1023" s="16">
        <v>7.0000000000000007E-2</v>
      </c>
      <c r="O1023" s="16">
        <v>0.11</v>
      </c>
      <c r="P1023" s="16">
        <v>0.15</v>
      </c>
      <c r="Q1023" s="16">
        <v>0.21</v>
      </c>
      <c r="R1023" s="16">
        <v>0.19</v>
      </c>
      <c r="S1023" s="16">
        <v>0.23</v>
      </c>
      <c r="T1023" s="16">
        <v>0.2</v>
      </c>
      <c r="U1023" s="16">
        <v>0.19</v>
      </c>
      <c r="V1023" s="16">
        <v>0.15</v>
      </c>
      <c r="W1023" s="16">
        <v>0.13</v>
      </c>
      <c r="X1023" s="16">
        <v>0.14000000000000001</v>
      </c>
      <c r="Y1023" s="16">
        <v>7.0000000000000007E-2</v>
      </c>
      <c r="Z1023" s="16">
        <v>7.0000000000000007E-2</v>
      </c>
      <c r="AA1023" s="16">
        <v>7.0000000000000007E-2</v>
      </c>
      <c r="AB1023" s="16">
        <v>7.0000000000000007E-2</v>
      </c>
      <c r="AC1023" s="16">
        <v>0.09</v>
      </c>
      <c r="AD1023" s="16">
        <v>0.05</v>
      </c>
      <c r="AE1023" s="16">
        <v>0.05</v>
      </c>
      <c r="AF1023" s="16" t="s">
        <v>411</v>
      </c>
    </row>
    <row r="1024" spans="1:32" ht="14.25" customHeight="1" x14ac:dyDescent="0.35">
      <c r="A1024" s="14" t="s">
        <v>1019</v>
      </c>
      <c r="B1024" s="14" t="s">
        <v>420</v>
      </c>
      <c r="C1024" s="14" t="s">
        <v>414</v>
      </c>
      <c r="D1024" s="14" t="s">
        <v>453</v>
      </c>
      <c r="E1024" s="15">
        <v>41640</v>
      </c>
      <c r="F1024" s="15">
        <v>42004</v>
      </c>
      <c r="G1024" s="14" t="s">
        <v>415</v>
      </c>
      <c r="H1024" s="14">
        <v>26.7</v>
      </c>
      <c r="I1024" s="14">
        <v>26.7</v>
      </c>
      <c r="J1024" s="14">
        <v>26.7</v>
      </c>
      <c r="K1024" s="14">
        <v>26.7</v>
      </c>
      <c r="L1024" s="14">
        <v>26.7</v>
      </c>
      <c r="M1024" s="14">
        <v>26.7</v>
      </c>
      <c r="N1024" s="14">
        <v>24</v>
      </c>
      <c r="O1024" s="14">
        <v>24</v>
      </c>
      <c r="P1024" s="14">
        <v>24</v>
      </c>
      <c r="Q1024" s="14">
        <v>24</v>
      </c>
      <c r="R1024" s="14">
        <v>24</v>
      </c>
      <c r="S1024" s="14">
        <v>24</v>
      </c>
      <c r="T1024" s="14">
        <v>24</v>
      </c>
      <c r="U1024" s="14">
        <v>24</v>
      </c>
      <c r="V1024" s="14">
        <v>24</v>
      </c>
      <c r="W1024" s="14">
        <v>24</v>
      </c>
      <c r="X1024" s="14">
        <v>24</v>
      </c>
      <c r="Y1024" s="14">
        <v>24</v>
      </c>
      <c r="Z1024" s="14">
        <v>24</v>
      </c>
      <c r="AA1024" s="14">
        <v>24</v>
      </c>
      <c r="AB1024" s="14">
        <v>24</v>
      </c>
      <c r="AC1024" s="14">
        <v>24</v>
      </c>
      <c r="AD1024" s="14">
        <v>26.7</v>
      </c>
      <c r="AE1024" s="14">
        <v>26.7</v>
      </c>
      <c r="AF1024" s="14" t="s">
        <v>411</v>
      </c>
    </row>
    <row r="1025" spans="1:32" ht="14.25" customHeight="1" x14ac:dyDescent="0.35">
      <c r="A1025" s="14" t="s">
        <v>1019</v>
      </c>
      <c r="B1025" s="14" t="s">
        <v>420</v>
      </c>
      <c r="C1025" s="14" t="s">
        <v>414</v>
      </c>
      <c r="D1025" s="14" t="s">
        <v>512</v>
      </c>
      <c r="E1025" s="15">
        <v>41640</v>
      </c>
      <c r="F1025" s="15">
        <v>42004</v>
      </c>
      <c r="G1025" s="14" t="s">
        <v>415</v>
      </c>
      <c r="H1025" s="14">
        <v>26.7</v>
      </c>
      <c r="I1025" s="14">
        <v>26.7</v>
      </c>
      <c r="J1025" s="14">
        <v>26.7</v>
      </c>
      <c r="K1025" s="14">
        <v>26.7</v>
      </c>
      <c r="L1025" s="14">
        <v>26.7</v>
      </c>
      <c r="M1025" s="14">
        <v>26.7</v>
      </c>
      <c r="N1025" s="14">
        <v>24</v>
      </c>
      <c r="O1025" s="14">
        <v>24</v>
      </c>
      <c r="P1025" s="14">
        <v>24</v>
      </c>
      <c r="Q1025" s="14">
        <v>24</v>
      </c>
      <c r="R1025" s="14">
        <v>24</v>
      </c>
      <c r="S1025" s="14">
        <v>24</v>
      </c>
      <c r="T1025" s="14">
        <v>24</v>
      </c>
      <c r="U1025" s="14">
        <v>24</v>
      </c>
      <c r="V1025" s="14">
        <v>24</v>
      </c>
      <c r="W1025" s="14">
        <v>24</v>
      </c>
      <c r="X1025" s="14">
        <v>24</v>
      </c>
      <c r="Y1025" s="14">
        <v>24</v>
      </c>
      <c r="Z1025" s="14">
        <v>26.7</v>
      </c>
      <c r="AA1025" s="14">
        <v>26.7</v>
      </c>
      <c r="AB1025" s="14">
        <v>26.7</v>
      </c>
      <c r="AC1025" s="14">
        <v>26.7</v>
      </c>
      <c r="AD1025" s="14">
        <v>26.7</v>
      </c>
      <c r="AE1025" s="14">
        <v>26.7</v>
      </c>
      <c r="AF1025" s="14" t="s">
        <v>411</v>
      </c>
    </row>
    <row r="1026" spans="1:32" ht="14.25" customHeight="1" x14ac:dyDescent="0.35">
      <c r="A1026" s="14" t="s">
        <v>1019</v>
      </c>
      <c r="B1026" s="14" t="s">
        <v>420</v>
      </c>
      <c r="C1026" s="14" t="s">
        <v>414</v>
      </c>
      <c r="D1026" s="14" t="s">
        <v>979</v>
      </c>
      <c r="E1026" s="15">
        <v>41640</v>
      </c>
      <c r="F1026" s="15">
        <v>42004</v>
      </c>
      <c r="G1026" s="14" t="s">
        <v>410</v>
      </c>
      <c r="H1026" s="14">
        <v>26.7</v>
      </c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 t="s">
        <v>411</v>
      </c>
    </row>
    <row r="1027" spans="1:32" ht="14.25" customHeight="1" x14ac:dyDescent="0.35">
      <c r="A1027" s="16" t="s">
        <v>1020</v>
      </c>
      <c r="B1027" s="16" t="s">
        <v>518</v>
      </c>
      <c r="C1027" s="16"/>
      <c r="D1027" s="16" t="s">
        <v>476</v>
      </c>
      <c r="E1027" s="17">
        <v>41640</v>
      </c>
      <c r="F1027" s="17">
        <v>42004</v>
      </c>
      <c r="G1027" s="16" t="s">
        <v>410</v>
      </c>
      <c r="H1027" s="16">
        <v>1</v>
      </c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 t="s">
        <v>411</v>
      </c>
    </row>
    <row r="1028" spans="1:32" ht="14.25" customHeight="1" x14ac:dyDescent="0.35">
      <c r="A1028" s="16" t="s">
        <v>1020</v>
      </c>
      <c r="B1028" s="16" t="s">
        <v>518</v>
      </c>
      <c r="C1028" s="16"/>
      <c r="D1028" s="16" t="s">
        <v>419</v>
      </c>
      <c r="E1028" s="17">
        <v>41640</v>
      </c>
      <c r="F1028" s="17">
        <v>42004</v>
      </c>
      <c r="G1028" s="16" t="s">
        <v>410</v>
      </c>
      <c r="H1028" s="16">
        <v>0.5</v>
      </c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 t="s">
        <v>411</v>
      </c>
    </row>
    <row r="1029" spans="1:32" ht="14.25" customHeight="1" x14ac:dyDescent="0.35">
      <c r="A1029" s="16" t="s">
        <v>1020</v>
      </c>
      <c r="B1029" s="16" t="s">
        <v>518</v>
      </c>
      <c r="C1029" s="16"/>
      <c r="D1029" s="16" t="s">
        <v>454</v>
      </c>
      <c r="E1029" s="17">
        <v>41913</v>
      </c>
      <c r="F1029" s="17">
        <v>42004</v>
      </c>
      <c r="G1029" s="16" t="s">
        <v>410</v>
      </c>
      <c r="H1029" s="16">
        <v>1</v>
      </c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 t="s">
        <v>411</v>
      </c>
    </row>
    <row r="1030" spans="1:32" ht="14.25" customHeight="1" x14ac:dyDescent="0.35">
      <c r="A1030" s="16" t="s">
        <v>1020</v>
      </c>
      <c r="B1030" s="16" t="s">
        <v>518</v>
      </c>
      <c r="C1030" s="16"/>
      <c r="D1030" s="16" t="s">
        <v>454</v>
      </c>
      <c r="E1030" s="17">
        <v>41760</v>
      </c>
      <c r="F1030" s="17">
        <v>41912</v>
      </c>
      <c r="G1030" s="16" t="s">
        <v>410</v>
      </c>
      <c r="H1030" s="16">
        <v>0.5</v>
      </c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 t="s">
        <v>411</v>
      </c>
    </row>
    <row r="1031" spans="1:32" ht="14.25" customHeight="1" x14ac:dyDescent="0.35">
      <c r="A1031" s="14" t="s">
        <v>1021</v>
      </c>
      <c r="B1031" s="14" t="s">
        <v>420</v>
      </c>
      <c r="C1031" s="14" t="s">
        <v>414</v>
      </c>
      <c r="D1031" s="14" t="s">
        <v>417</v>
      </c>
      <c r="E1031" s="15">
        <v>41640</v>
      </c>
      <c r="F1031" s="15">
        <v>42004</v>
      </c>
      <c r="G1031" s="14" t="s">
        <v>415</v>
      </c>
      <c r="H1031" s="14">
        <v>15.6</v>
      </c>
      <c r="I1031" s="14">
        <v>15.6</v>
      </c>
      <c r="J1031" s="14">
        <v>15.6</v>
      </c>
      <c r="K1031" s="14">
        <v>15.6</v>
      </c>
      <c r="L1031" s="14">
        <v>15.6</v>
      </c>
      <c r="M1031" s="14">
        <v>15.6</v>
      </c>
      <c r="N1031" s="14">
        <v>21</v>
      </c>
      <c r="O1031" s="14">
        <v>21</v>
      </c>
      <c r="P1031" s="14">
        <v>21</v>
      </c>
      <c r="Q1031" s="14">
        <v>21</v>
      </c>
      <c r="R1031" s="14">
        <v>21</v>
      </c>
      <c r="S1031" s="14">
        <v>21</v>
      </c>
      <c r="T1031" s="14">
        <v>21</v>
      </c>
      <c r="U1031" s="14">
        <v>21</v>
      </c>
      <c r="V1031" s="14">
        <v>21</v>
      </c>
      <c r="W1031" s="14">
        <v>21</v>
      </c>
      <c r="X1031" s="14">
        <v>21</v>
      </c>
      <c r="Y1031" s="14">
        <v>21</v>
      </c>
      <c r="Z1031" s="14">
        <v>21</v>
      </c>
      <c r="AA1031" s="14">
        <v>21</v>
      </c>
      <c r="AB1031" s="14">
        <v>21</v>
      </c>
      <c r="AC1031" s="14">
        <v>21</v>
      </c>
      <c r="AD1031" s="14">
        <v>15.6</v>
      </c>
      <c r="AE1031" s="14">
        <v>15.6</v>
      </c>
      <c r="AF1031" s="14" t="s">
        <v>411</v>
      </c>
    </row>
    <row r="1032" spans="1:32" ht="14.25" customHeight="1" x14ac:dyDescent="0.35">
      <c r="A1032" s="14" t="s">
        <v>1021</v>
      </c>
      <c r="B1032" s="14" t="s">
        <v>420</v>
      </c>
      <c r="C1032" s="14" t="s">
        <v>414</v>
      </c>
      <c r="D1032" s="14" t="s">
        <v>512</v>
      </c>
      <c r="E1032" s="15">
        <v>41640</v>
      </c>
      <c r="F1032" s="15">
        <v>42004</v>
      </c>
      <c r="G1032" s="14" t="s">
        <v>415</v>
      </c>
      <c r="H1032" s="14">
        <v>15.6</v>
      </c>
      <c r="I1032" s="14">
        <v>15.6</v>
      </c>
      <c r="J1032" s="14">
        <v>15.6</v>
      </c>
      <c r="K1032" s="14">
        <v>15.6</v>
      </c>
      <c r="L1032" s="14">
        <v>15.6</v>
      </c>
      <c r="M1032" s="14">
        <v>15.6</v>
      </c>
      <c r="N1032" s="14">
        <v>21</v>
      </c>
      <c r="O1032" s="14">
        <v>21</v>
      </c>
      <c r="P1032" s="14">
        <v>21</v>
      </c>
      <c r="Q1032" s="14">
        <v>21</v>
      </c>
      <c r="R1032" s="14">
        <v>21</v>
      </c>
      <c r="S1032" s="14">
        <v>21</v>
      </c>
      <c r="T1032" s="14">
        <v>21</v>
      </c>
      <c r="U1032" s="14">
        <v>21</v>
      </c>
      <c r="V1032" s="14">
        <v>21</v>
      </c>
      <c r="W1032" s="14">
        <v>21</v>
      </c>
      <c r="X1032" s="14">
        <v>21</v>
      </c>
      <c r="Y1032" s="14">
        <v>21</v>
      </c>
      <c r="Z1032" s="14">
        <v>15.6</v>
      </c>
      <c r="AA1032" s="14">
        <v>15.6</v>
      </c>
      <c r="AB1032" s="14">
        <v>15.6</v>
      </c>
      <c r="AC1032" s="14">
        <v>15.6</v>
      </c>
      <c r="AD1032" s="14">
        <v>15.6</v>
      </c>
      <c r="AE1032" s="14">
        <v>15.6</v>
      </c>
      <c r="AF1032" s="14" t="s">
        <v>411</v>
      </c>
    </row>
    <row r="1033" spans="1:32" ht="14.25" customHeight="1" x14ac:dyDescent="0.35">
      <c r="A1033" s="14" t="s">
        <v>1021</v>
      </c>
      <c r="B1033" s="14" t="s">
        <v>420</v>
      </c>
      <c r="C1033" s="14" t="s">
        <v>414</v>
      </c>
      <c r="D1033" s="14" t="s">
        <v>983</v>
      </c>
      <c r="E1033" s="15">
        <v>41640</v>
      </c>
      <c r="F1033" s="15">
        <v>42004</v>
      </c>
      <c r="G1033" s="14" t="s">
        <v>410</v>
      </c>
      <c r="H1033" s="14">
        <v>15.6</v>
      </c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 t="s">
        <v>411</v>
      </c>
    </row>
    <row r="1034" spans="1:32" ht="14.25" customHeight="1" x14ac:dyDescent="0.35">
      <c r="A1034" s="14" t="s">
        <v>1021</v>
      </c>
      <c r="B1034" s="14" t="s">
        <v>420</v>
      </c>
      <c r="C1034" s="14" t="s">
        <v>414</v>
      </c>
      <c r="D1034" s="14" t="s">
        <v>418</v>
      </c>
      <c r="E1034" s="15">
        <v>41640</v>
      </c>
      <c r="F1034" s="15">
        <v>42004</v>
      </c>
      <c r="G1034" s="14" t="s">
        <v>410</v>
      </c>
      <c r="H1034" s="14">
        <v>21</v>
      </c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 t="s">
        <v>411</v>
      </c>
    </row>
    <row r="1035" spans="1:32" ht="14.25" customHeight="1" x14ac:dyDescent="0.35">
      <c r="A1035" s="16" t="s">
        <v>1022</v>
      </c>
      <c r="B1035" s="16" t="s">
        <v>441</v>
      </c>
      <c r="C1035" s="16"/>
      <c r="D1035" s="16" t="s">
        <v>453</v>
      </c>
      <c r="E1035" s="17">
        <v>41640</v>
      </c>
      <c r="F1035" s="17">
        <v>42004</v>
      </c>
      <c r="G1035" s="16" t="s">
        <v>415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0.25</v>
      </c>
      <c r="O1035" s="16">
        <v>0.25</v>
      </c>
      <c r="P1035" s="16">
        <v>0.25</v>
      </c>
      <c r="Q1035" s="16">
        <v>0.25</v>
      </c>
      <c r="R1035" s="16">
        <v>0.25</v>
      </c>
      <c r="S1035" s="16">
        <v>0.25</v>
      </c>
      <c r="T1035" s="16">
        <v>0.25</v>
      </c>
      <c r="U1035" s="16">
        <v>0.25</v>
      </c>
      <c r="V1035" s="16">
        <v>0.25</v>
      </c>
      <c r="W1035" s="16">
        <v>0.25</v>
      </c>
      <c r="X1035" s="16">
        <v>0.25</v>
      </c>
      <c r="Y1035" s="16">
        <v>0.25</v>
      </c>
      <c r="Z1035" s="16">
        <v>0.25</v>
      </c>
      <c r="AA1035" s="16">
        <v>0.25</v>
      </c>
      <c r="AB1035" s="16">
        <v>0.25</v>
      </c>
      <c r="AC1035" s="16">
        <v>0.25</v>
      </c>
      <c r="AD1035" s="16">
        <v>1</v>
      </c>
      <c r="AE1035" s="16">
        <v>1</v>
      </c>
      <c r="AF1035" s="16" t="s">
        <v>411</v>
      </c>
    </row>
    <row r="1036" spans="1:32" ht="14.25" customHeight="1" x14ac:dyDescent="0.35">
      <c r="A1036" s="16" t="s">
        <v>1022</v>
      </c>
      <c r="B1036" s="16" t="s">
        <v>441</v>
      </c>
      <c r="C1036" s="16"/>
      <c r="D1036" s="16" t="s">
        <v>511</v>
      </c>
      <c r="E1036" s="17">
        <v>41640</v>
      </c>
      <c r="F1036" s="17">
        <v>42004</v>
      </c>
      <c r="G1036" s="16" t="s">
        <v>410</v>
      </c>
      <c r="H1036" s="16">
        <v>1</v>
      </c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 t="s">
        <v>411</v>
      </c>
    </row>
    <row r="1037" spans="1:32" ht="14.25" customHeight="1" x14ac:dyDescent="0.35">
      <c r="A1037" s="16" t="s">
        <v>1022</v>
      </c>
      <c r="B1037" s="16" t="s">
        <v>441</v>
      </c>
      <c r="C1037" s="16"/>
      <c r="D1037" s="16" t="s">
        <v>514</v>
      </c>
      <c r="E1037" s="17">
        <v>41640</v>
      </c>
      <c r="F1037" s="17">
        <v>42004</v>
      </c>
      <c r="G1037" s="16" t="s">
        <v>415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0.25</v>
      </c>
      <c r="O1037" s="16">
        <v>0.25</v>
      </c>
      <c r="P1037" s="16">
        <v>0.25</v>
      </c>
      <c r="Q1037" s="16">
        <v>0.25</v>
      </c>
      <c r="R1037" s="16">
        <v>0.25</v>
      </c>
      <c r="S1037" s="16">
        <v>0.25</v>
      </c>
      <c r="T1037" s="16">
        <v>0.25</v>
      </c>
      <c r="U1037" s="16">
        <v>0.25</v>
      </c>
      <c r="V1037" s="16">
        <v>0.25</v>
      </c>
      <c r="W1037" s="16">
        <v>0.25</v>
      </c>
      <c r="X1037" s="16">
        <v>0.25</v>
      </c>
      <c r="Y1037" s="16">
        <v>0.25</v>
      </c>
      <c r="Z1037" s="16">
        <v>1</v>
      </c>
      <c r="AA1037" s="16">
        <v>1</v>
      </c>
      <c r="AB1037" s="16">
        <v>1</v>
      </c>
      <c r="AC1037" s="16">
        <v>1</v>
      </c>
      <c r="AD1037" s="16">
        <v>1</v>
      </c>
      <c r="AE1037" s="16">
        <v>1</v>
      </c>
      <c r="AF1037" s="16" t="s">
        <v>411</v>
      </c>
    </row>
    <row r="1038" spans="1:32" ht="14.25" customHeight="1" x14ac:dyDescent="0.35">
      <c r="A1038" s="16" t="s">
        <v>1023</v>
      </c>
      <c r="B1038" s="16" t="s">
        <v>408</v>
      </c>
      <c r="C1038" s="16"/>
      <c r="D1038" s="16" t="s">
        <v>409</v>
      </c>
      <c r="E1038" s="17">
        <v>41640</v>
      </c>
      <c r="F1038" s="17">
        <v>42004</v>
      </c>
      <c r="G1038" s="16" t="s">
        <v>410</v>
      </c>
      <c r="H1038" s="16">
        <v>0</v>
      </c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 t="s">
        <v>411</v>
      </c>
    </row>
    <row r="1039" spans="1:32" ht="14.25" customHeight="1" x14ac:dyDescent="0.35">
      <c r="A1039" s="16" t="s">
        <v>1024</v>
      </c>
      <c r="B1039" s="16" t="s">
        <v>420</v>
      </c>
      <c r="C1039" s="16" t="s">
        <v>414</v>
      </c>
      <c r="D1039" s="16" t="s">
        <v>409</v>
      </c>
      <c r="E1039" s="17">
        <v>41640</v>
      </c>
      <c r="F1039" s="17">
        <v>42004</v>
      </c>
      <c r="G1039" s="16" t="s">
        <v>410</v>
      </c>
      <c r="H1039" s="16">
        <v>23.899999618530298</v>
      </c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 t="s">
        <v>411</v>
      </c>
    </row>
    <row r="1040" spans="1:32" ht="14.25" customHeight="1" x14ac:dyDescent="0.35">
      <c r="A1040" s="14" t="s">
        <v>1025</v>
      </c>
      <c r="B1040" s="14" t="s">
        <v>408</v>
      </c>
      <c r="C1040" s="14"/>
      <c r="D1040" s="14" t="s">
        <v>409</v>
      </c>
      <c r="E1040" s="15">
        <v>41640</v>
      </c>
      <c r="F1040" s="15">
        <v>42004</v>
      </c>
      <c r="G1040" s="14" t="s">
        <v>415</v>
      </c>
      <c r="H1040" s="14">
        <v>0.08</v>
      </c>
      <c r="I1040" s="14">
        <v>0.04</v>
      </c>
      <c r="J1040" s="14">
        <v>0.01</v>
      </c>
      <c r="K1040" s="14">
        <v>0.01</v>
      </c>
      <c r="L1040" s="14">
        <v>0.04</v>
      </c>
      <c r="M1040" s="14">
        <v>0.27</v>
      </c>
      <c r="N1040" s="14">
        <v>0.94</v>
      </c>
      <c r="O1040" s="14">
        <v>1</v>
      </c>
      <c r="P1040" s="14">
        <v>0.96</v>
      </c>
      <c r="Q1040" s="14">
        <v>0.84</v>
      </c>
      <c r="R1040" s="14">
        <v>0.76</v>
      </c>
      <c r="S1040" s="14">
        <v>0.61</v>
      </c>
      <c r="T1040" s="14">
        <v>0.53</v>
      </c>
      <c r="U1040" s="14">
        <v>0.47</v>
      </c>
      <c r="V1040" s="14">
        <v>0.41</v>
      </c>
      <c r="W1040" s="14">
        <v>0.47</v>
      </c>
      <c r="X1040" s="14">
        <v>0.55000000000000004</v>
      </c>
      <c r="Y1040" s="14">
        <v>0.73</v>
      </c>
      <c r="Z1040" s="14">
        <v>0.86</v>
      </c>
      <c r="AA1040" s="14">
        <v>0.82</v>
      </c>
      <c r="AB1040" s="14">
        <v>0.75</v>
      </c>
      <c r="AC1040" s="14">
        <v>0.61</v>
      </c>
      <c r="AD1040" s="14">
        <v>0.53</v>
      </c>
      <c r="AE1040" s="14">
        <v>0.28999999999999998</v>
      </c>
      <c r="AF1040" s="14" t="s">
        <v>411</v>
      </c>
    </row>
    <row r="1041" spans="1:32" ht="14.25" customHeight="1" x14ac:dyDescent="0.35">
      <c r="A1041" s="16" t="s">
        <v>1026</v>
      </c>
      <c r="B1041" s="16" t="s">
        <v>427</v>
      </c>
      <c r="C1041" s="16"/>
      <c r="D1041" s="16" t="s">
        <v>409</v>
      </c>
      <c r="E1041" s="17">
        <v>41640</v>
      </c>
      <c r="F1041" s="17">
        <v>42004</v>
      </c>
      <c r="G1041" s="16" t="s">
        <v>415</v>
      </c>
      <c r="H1041" s="16">
        <v>0.45</v>
      </c>
      <c r="I1041" s="16">
        <v>0.41</v>
      </c>
      <c r="J1041" s="16">
        <v>0.39</v>
      </c>
      <c r="K1041" s="16">
        <v>0.38</v>
      </c>
      <c r="L1041" s="16">
        <v>0.38</v>
      </c>
      <c r="M1041" s="16">
        <v>0.43</v>
      </c>
      <c r="N1041" s="16">
        <v>0.54</v>
      </c>
      <c r="O1041" s="16">
        <v>0.65</v>
      </c>
      <c r="P1041" s="16">
        <v>0.66</v>
      </c>
      <c r="Q1041" s="16">
        <v>0.67</v>
      </c>
      <c r="R1041" s="16">
        <v>0.69</v>
      </c>
      <c r="S1041" s="16">
        <v>0.7</v>
      </c>
      <c r="T1041" s="16">
        <v>0.69</v>
      </c>
      <c r="U1041" s="16">
        <v>0.66</v>
      </c>
      <c r="V1041" s="16">
        <v>0.65</v>
      </c>
      <c r="W1041" s="16">
        <v>0.68</v>
      </c>
      <c r="X1041" s="16">
        <v>0.8</v>
      </c>
      <c r="Y1041" s="16">
        <v>1</v>
      </c>
      <c r="Z1041" s="16">
        <v>1</v>
      </c>
      <c r="AA1041" s="16">
        <v>0.93</v>
      </c>
      <c r="AB1041" s="16">
        <v>0.89</v>
      </c>
      <c r="AC1041" s="16">
        <v>0.85</v>
      </c>
      <c r="AD1041" s="16">
        <v>0.71</v>
      </c>
      <c r="AE1041" s="16">
        <v>0.57999999999999996</v>
      </c>
      <c r="AF1041" s="16" t="s">
        <v>411</v>
      </c>
    </row>
    <row r="1042" spans="1:32" ht="14.25" customHeight="1" x14ac:dyDescent="0.35">
      <c r="A1042" s="14" t="s">
        <v>1027</v>
      </c>
      <c r="B1042" s="14" t="s">
        <v>420</v>
      </c>
      <c r="C1042" s="14" t="s">
        <v>414</v>
      </c>
      <c r="D1042" s="14" t="s">
        <v>409</v>
      </c>
      <c r="E1042" s="15">
        <v>41640</v>
      </c>
      <c r="F1042" s="15">
        <v>42004</v>
      </c>
      <c r="G1042" s="14" t="s">
        <v>410</v>
      </c>
      <c r="H1042" s="14">
        <v>21.100000381469702</v>
      </c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 t="s">
        <v>411</v>
      </c>
    </row>
    <row r="1043" spans="1:32" ht="14.25" customHeight="1" x14ac:dyDescent="0.35">
      <c r="A1043" s="16" t="s">
        <v>1028</v>
      </c>
      <c r="B1043" s="16" t="s">
        <v>424</v>
      </c>
      <c r="C1043" s="16"/>
      <c r="D1043" s="16" t="s">
        <v>409</v>
      </c>
      <c r="E1043" s="17">
        <v>41640</v>
      </c>
      <c r="F1043" s="17">
        <v>42004</v>
      </c>
      <c r="G1043" s="16" t="s">
        <v>415</v>
      </c>
      <c r="H1043" s="16">
        <v>6.7000000000000004E-2</v>
      </c>
      <c r="I1043" s="16">
        <v>6.7000000000000004E-2</v>
      </c>
      <c r="J1043" s="16">
        <v>6.7000000000000004E-2</v>
      </c>
      <c r="K1043" s="16">
        <v>6.7000000000000004E-2</v>
      </c>
      <c r="L1043" s="16">
        <v>0.187</v>
      </c>
      <c r="M1043" s="16">
        <v>0.39400000000000002</v>
      </c>
      <c r="N1043" s="16">
        <v>0.44</v>
      </c>
      <c r="O1043" s="16">
        <v>0.39300000000000002</v>
      </c>
      <c r="P1043" s="16">
        <v>0.17199999999999999</v>
      </c>
      <c r="Q1043" s="16">
        <v>0.11899999999999999</v>
      </c>
      <c r="R1043" s="16">
        <v>0.11899999999999999</v>
      </c>
      <c r="S1043" s="16">
        <v>0.11899999999999999</v>
      </c>
      <c r="T1043" s="16">
        <v>0.11899999999999999</v>
      </c>
      <c r="U1043" s="16">
        <v>0.11899999999999999</v>
      </c>
      <c r="V1043" s="16">
        <v>0.11899999999999999</v>
      </c>
      <c r="W1043" s="16">
        <v>0.20599999999999999</v>
      </c>
      <c r="X1043" s="16">
        <v>0.439</v>
      </c>
      <c r="Y1043" s="16">
        <v>0.61599999999999999</v>
      </c>
      <c r="Z1043" s="16">
        <v>0.82899999999999996</v>
      </c>
      <c r="AA1043" s="16">
        <v>0.98599999999999999</v>
      </c>
      <c r="AB1043" s="16">
        <v>1</v>
      </c>
      <c r="AC1043" s="16">
        <v>0.69199999999999995</v>
      </c>
      <c r="AD1043" s="16">
        <v>0.38400000000000001</v>
      </c>
      <c r="AE1043" s="16">
        <v>0.16</v>
      </c>
      <c r="AF1043" s="16" t="s">
        <v>411</v>
      </c>
    </row>
    <row r="1044" spans="1:32" ht="14.25" customHeight="1" x14ac:dyDescent="0.35">
      <c r="A1044" s="14" t="s">
        <v>1029</v>
      </c>
      <c r="B1044" s="14" t="s">
        <v>448</v>
      </c>
      <c r="C1044" s="14"/>
      <c r="D1044" s="14" t="s">
        <v>409</v>
      </c>
      <c r="E1044" s="15">
        <v>41640</v>
      </c>
      <c r="F1044" s="15">
        <v>42004</v>
      </c>
      <c r="G1044" s="14" t="s">
        <v>415</v>
      </c>
      <c r="H1044" s="14">
        <v>1</v>
      </c>
      <c r="I1044" s="14">
        <v>1</v>
      </c>
      <c r="J1044" s="14">
        <v>1</v>
      </c>
      <c r="K1044" s="14">
        <v>1</v>
      </c>
      <c r="L1044" s="14">
        <v>1</v>
      </c>
      <c r="M1044" s="14">
        <v>1</v>
      </c>
      <c r="N1044" s="14">
        <v>1</v>
      </c>
      <c r="O1044" s="14">
        <v>0.85</v>
      </c>
      <c r="P1044" s="14">
        <v>0.39</v>
      </c>
      <c r="Q1044" s="14">
        <v>0.25</v>
      </c>
      <c r="R1044" s="14">
        <v>0.25</v>
      </c>
      <c r="S1044" s="14">
        <v>0.25</v>
      </c>
      <c r="T1044" s="14">
        <v>0.25</v>
      </c>
      <c r="U1044" s="14">
        <v>0.25</v>
      </c>
      <c r="V1044" s="14">
        <v>0.25</v>
      </c>
      <c r="W1044" s="14">
        <v>0.25</v>
      </c>
      <c r="X1044" s="14">
        <v>0.3</v>
      </c>
      <c r="Y1044" s="14">
        <v>0.52</v>
      </c>
      <c r="Z1044" s="14">
        <v>0.87</v>
      </c>
      <c r="AA1044" s="14">
        <v>0.87</v>
      </c>
      <c r="AB1044" s="14">
        <v>0.87</v>
      </c>
      <c r="AC1044" s="14">
        <v>1</v>
      </c>
      <c r="AD1044" s="14">
        <v>1</v>
      </c>
      <c r="AE1044" s="14">
        <v>1</v>
      </c>
      <c r="AF1044" s="14" t="s">
        <v>411</v>
      </c>
    </row>
    <row r="1045" spans="1:32" ht="14.25" customHeight="1" x14ac:dyDescent="0.35">
      <c r="A1045" s="16" t="s">
        <v>1030</v>
      </c>
      <c r="B1045" s="16" t="s">
        <v>600</v>
      </c>
      <c r="C1045" s="16"/>
      <c r="D1045" s="16" t="s">
        <v>409</v>
      </c>
      <c r="E1045" s="17">
        <v>41640</v>
      </c>
      <c r="F1045" s="17">
        <v>42004</v>
      </c>
      <c r="G1045" s="16" t="s">
        <v>410</v>
      </c>
      <c r="H1045" s="16">
        <v>0</v>
      </c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 t="s">
        <v>411</v>
      </c>
    </row>
    <row r="1046" spans="1:32" ht="14.25" customHeight="1" x14ac:dyDescent="0.35">
      <c r="A1046" s="14" t="s">
        <v>1031</v>
      </c>
      <c r="B1046" s="14" t="s">
        <v>416</v>
      </c>
      <c r="C1046" s="14"/>
      <c r="D1046" s="14" t="s">
        <v>409</v>
      </c>
      <c r="E1046" s="15">
        <v>41640</v>
      </c>
      <c r="F1046" s="15">
        <v>42004</v>
      </c>
      <c r="G1046" s="14" t="s">
        <v>415</v>
      </c>
      <c r="H1046" s="14">
        <v>0.05</v>
      </c>
      <c r="I1046" s="14">
        <v>0.05</v>
      </c>
      <c r="J1046" s="14">
        <v>0.05</v>
      </c>
      <c r="K1046" s="14">
        <v>0.05</v>
      </c>
      <c r="L1046" s="14">
        <v>0.1</v>
      </c>
      <c r="M1046" s="14">
        <v>0.2</v>
      </c>
      <c r="N1046" s="14">
        <v>0.4</v>
      </c>
      <c r="O1046" s="14">
        <v>0.5</v>
      </c>
      <c r="P1046" s="14">
        <v>0.5</v>
      </c>
      <c r="Q1046" s="14">
        <v>0.35</v>
      </c>
      <c r="R1046" s="14">
        <v>0.15</v>
      </c>
      <c r="S1046" s="14">
        <v>0.15</v>
      </c>
      <c r="T1046" s="14">
        <v>0.15</v>
      </c>
      <c r="U1046" s="14">
        <v>0.15</v>
      </c>
      <c r="V1046" s="14">
        <v>0.15</v>
      </c>
      <c r="W1046" s="14">
        <v>0.15</v>
      </c>
      <c r="X1046" s="14">
        <v>0.35</v>
      </c>
      <c r="Y1046" s="14">
        <v>0.5</v>
      </c>
      <c r="Z1046" s="14">
        <v>0.5</v>
      </c>
      <c r="AA1046" s="14">
        <v>0.4</v>
      </c>
      <c r="AB1046" s="14">
        <v>0.4</v>
      </c>
      <c r="AC1046" s="14">
        <v>0.3</v>
      </c>
      <c r="AD1046" s="14">
        <v>0.2</v>
      </c>
      <c r="AE1046" s="14">
        <v>0.1</v>
      </c>
      <c r="AF1046" s="14" t="s">
        <v>411</v>
      </c>
    </row>
    <row r="1047" spans="1:32" ht="14.25" customHeight="1" x14ac:dyDescent="0.35">
      <c r="A1047" s="16" t="s">
        <v>1032</v>
      </c>
      <c r="B1047" s="16" t="s">
        <v>518</v>
      </c>
      <c r="C1047" s="16"/>
      <c r="D1047" s="16" t="s">
        <v>476</v>
      </c>
      <c r="E1047" s="17">
        <v>41640</v>
      </c>
      <c r="F1047" s="17">
        <v>42004</v>
      </c>
      <c r="G1047" s="16" t="s">
        <v>410</v>
      </c>
      <c r="H1047" s="16">
        <v>1</v>
      </c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 t="s">
        <v>411</v>
      </c>
    </row>
    <row r="1048" spans="1:32" ht="14.25" customHeight="1" x14ac:dyDescent="0.35">
      <c r="A1048" s="14" t="s">
        <v>1032</v>
      </c>
      <c r="B1048" s="14" t="s">
        <v>518</v>
      </c>
      <c r="C1048" s="14"/>
      <c r="D1048" s="14" t="s">
        <v>419</v>
      </c>
      <c r="E1048" s="15">
        <v>41640</v>
      </c>
      <c r="F1048" s="15">
        <v>42004</v>
      </c>
      <c r="G1048" s="14" t="s">
        <v>410</v>
      </c>
      <c r="H1048" s="14">
        <v>0.5</v>
      </c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 t="s">
        <v>411</v>
      </c>
    </row>
    <row r="1049" spans="1:32" ht="14.25" customHeight="1" x14ac:dyDescent="0.35">
      <c r="A1049" s="16" t="s">
        <v>1032</v>
      </c>
      <c r="B1049" s="16" t="s">
        <v>518</v>
      </c>
      <c r="C1049" s="16"/>
      <c r="D1049" s="16" t="s">
        <v>454</v>
      </c>
      <c r="E1049" s="17">
        <v>41913</v>
      </c>
      <c r="F1049" s="17">
        <v>42004</v>
      </c>
      <c r="G1049" s="16" t="s">
        <v>410</v>
      </c>
      <c r="H1049" s="16">
        <v>1</v>
      </c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 t="s">
        <v>411</v>
      </c>
    </row>
    <row r="1050" spans="1:32" ht="14.25" customHeight="1" x14ac:dyDescent="0.35">
      <c r="A1050" s="14" t="s">
        <v>1032</v>
      </c>
      <c r="B1050" s="14" t="s">
        <v>518</v>
      </c>
      <c r="C1050" s="14"/>
      <c r="D1050" s="14" t="s">
        <v>454</v>
      </c>
      <c r="E1050" s="15">
        <v>41760</v>
      </c>
      <c r="F1050" s="15">
        <v>41912</v>
      </c>
      <c r="G1050" s="14" t="s">
        <v>410</v>
      </c>
      <c r="H1050" s="14">
        <v>0.5</v>
      </c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 t="s">
        <v>411</v>
      </c>
    </row>
    <row r="1051" spans="1:32" ht="14.25" customHeight="1" x14ac:dyDescent="0.35">
      <c r="A1051" s="16" t="s">
        <v>1033</v>
      </c>
      <c r="B1051" s="16" t="s">
        <v>420</v>
      </c>
      <c r="C1051" s="16" t="s">
        <v>414</v>
      </c>
      <c r="D1051" s="16" t="s">
        <v>409</v>
      </c>
      <c r="E1051" s="17">
        <v>41640</v>
      </c>
      <c r="F1051" s="17">
        <v>42004</v>
      </c>
      <c r="G1051" s="16" t="s">
        <v>410</v>
      </c>
      <c r="H1051" s="16">
        <v>40</v>
      </c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 t="s">
        <v>411</v>
      </c>
    </row>
    <row r="1052" spans="1:32" ht="14.25" customHeight="1" x14ac:dyDescent="0.35">
      <c r="A1052" s="14" t="s">
        <v>1034</v>
      </c>
      <c r="B1052" s="14" t="s">
        <v>420</v>
      </c>
      <c r="C1052" s="14" t="s">
        <v>414</v>
      </c>
      <c r="D1052" s="14" t="s">
        <v>409</v>
      </c>
      <c r="E1052" s="15">
        <v>41640</v>
      </c>
      <c r="F1052" s="15">
        <v>42004</v>
      </c>
      <c r="G1052" s="14" t="s">
        <v>410</v>
      </c>
      <c r="H1052" s="14">
        <v>15.6000003814697</v>
      </c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 t="s">
        <v>411</v>
      </c>
    </row>
    <row r="1053" spans="1:32" ht="14.25" customHeight="1" x14ac:dyDescent="0.35">
      <c r="A1053" s="16" t="s">
        <v>1035</v>
      </c>
      <c r="B1053" s="16" t="s">
        <v>424</v>
      </c>
      <c r="C1053" s="16"/>
      <c r="D1053" s="16" t="s">
        <v>409</v>
      </c>
      <c r="E1053" s="17">
        <v>41640</v>
      </c>
      <c r="F1053" s="17">
        <v>42004</v>
      </c>
      <c r="G1053" s="16" t="s">
        <v>410</v>
      </c>
      <c r="H1053" s="16">
        <v>1</v>
      </c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 t="s">
        <v>411</v>
      </c>
    </row>
    <row r="1054" spans="1:32" ht="14.25" customHeight="1" x14ac:dyDescent="0.35">
      <c r="A1054" s="14" t="s">
        <v>1036</v>
      </c>
      <c r="B1054" s="14" t="s">
        <v>441</v>
      </c>
      <c r="C1054" s="14"/>
      <c r="D1054" s="14" t="s">
        <v>409</v>
      </c>
      <c r="E1054" s="15">
        <v>41640</v>
      </c>
      <c r="F1054" s="15">
        <v>42004</v>
      </c>
      <c r="G1054" s="14" t="s">
        <v>410</v>
      </c>
      <c r="H1054" s="14">
        <v>1</v>
      </c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 t="s">
        <v>411</v>
      </c>
    </row>
    <row r="1055" spans="1:32" ht="14.25" customHeight="1" x14ac:dyDescent="0.35">
      <c r="A1055" s="16" t="s">
        <v>1037</v>
      </c>
      <c r="B1055" s="16" t="s">
        <v>420</v>
      </c>
      <c r="C1055" s="16" t="s">
        <v>414</v>
      </c>
      <c r="D1055" s="16" t="s">
        <v>417</v>
      </c>
      <c r="E1055" s="17">
        <v>41640</v>
      </c>
      <c r="F1055" s="17">
        <v>42004</v>
      </c>
      <c r="G1055" s="16" t="s">
        <v>415</v>
      </c>
      <c r="H1055" s="16">
        <v>29.399999618530298</v>
      </c>
      <c r="I1055" s="16">
        <v>29.399999618530298</v>
      </c>
      <c r="J1055" s="16">
        <v>29.399999618530298</v>
      </c>
      <c r="K1055" s="16">
        <v>29.399999618530298</v>
      </c>
      <c r="L1055" s="16">
        <v>29.399999618530298</v>
      </c>
      <c r="M1055" s="16">
        <v>29.399999618530298</v>
      </c>
      <c r="N1055" s="16">
        <v>29.399999618530298</v>
      </c>
      <c r="O1055" s="16">
        <v>26.699998855590799</v>
      </c>
      <c r="P1055" s="16">
        <v>23.899999618530298</v>
      </c>
      <c r="Q1055" s="16">
        <v>23.899999618530298</v>
      </c>
      <c r="R1055" s="16">
        <v>23.899999618530298</v>
      </c>
      <c r="S1055" s="16">
        <v>23.899999618530298</v>
      </c>
      <c r="T1055" s="16">
        <v>23.899999618530298</v>
      </c>
      <c r="U1055" s="16">
        <v>23.899999618530298</v>
      </c>
      <c r="V1055" s="16">
        <v>23.899999618530298</v>
      </c>
      <c r="W1055" s="16">
        <v>23.899999618530298</v>
      </c>
      <c r="X1055" s="16">
        <v>23.899999618530298</v>
      </c>
      <c r="Y1055" s="16">
        <v>26.699998855590799</v>
      </c>
      <c r="Z1055" s="16">
        <v>29.399999618530298</v>
      </c>
      <c r="AA1055" s="16">
        <v>29.399999618530298</v>
      </c>
      <c r="AB1055" s="16">
        <v>29.399999618530298</v>
      </c>
      <c r="AC1055" s="16">
        <v>29.399999618530298</v>
      </c>
      <c r="AD1055" s="16">
        <v>29.399999618530298</v>
      </c>
      <c r="AE1055" s="16">
        <v>29.399999618530298</v>
      </c>
      <c r="AF1055" s="16" t="s">
        <v>411</v>
      </c>
    </row>
    <row r="1056" spans="1:32" ht="14.25" customHeight="1" x14ac:dyDescent="0.35">
      <c r="A1056" s="16" t="s">
        <v>1037</v>
      </c>
      <c r="B1056" s="16" t="s">
        <v>420</v>
      </c>
      <c r="C1056" s="16" t="s">
        <v>414</v>
      </c>
      <c r="D1056" s="16" t="s">
        <v>419</v>
      </c>
      <c r="E1056" s="17">
        <v>41640</v>
      </c>
      <c r="F1056" s="17">
        <v>42004</v>
      </c>
      <c r="G1056" s="16" t="s">
        <v>415</v>
      </c>
      <c r="H1056" s="16">
        <v>29.4</v>
      </c>
      <c r="I1056" s="16">
        <v>29.4</v>
      </c>
      <c r="J1056" s="16">
        <v>29.4</v>
      </c>
      <c r="K1056" s="16">
        <v>29.4</v>
      </c>
      <c r="L1056" s="16">
        <v>29.4</v>
      </c>
      <c r="M1056" s="16">
        <v>29.4</v>
      </c>
      <c r="N1056" s="16">
        <v>29.4</v>
      </c>
      <c r="O1056" s="16">
        <v>26.7</v>
      </c>
      <c r="P1056" s="16">
        <v>23.9</v>
      </c>
      <c r="Q1056" s="16">
        <v>23.9</v>
      </c>
      <c r="R1056" s="16">
        <v>23.9</v>
      </c>
      <c r="S1056" s="16">
        <v>23.9</v>
      </c>
      <c r="T1056" s="16">
        <v>23.9</v>
      </c>
      <c r="U1056" s="16">
        <v>23.9</v>
      </c>
      <c r="V1056" s="16">
        <v>23.9</v>
      </c>
      <c r="W1056" s="16">
        <v>23.9</v>
      </c>
      <c r="X1056" s="16">
        <v>23.9</v>
      </c>
      <c r="Y1056" s="16">
        <v>26.7</v>
      </c>
      <c r="Z1056" s="16">
        <v>29.4</v>
      </c>
      <c r="AA1056" s="16">
        <v>29.4</v>
      </c>
      <c r="AB1056" s="16">
        <v>29.4</v>
      </c>
      <c r="AC1056" s="16">
        <v>29.4</v>
      </c>
      <c r="AD1056" s="16">
        <v>29.4</v>
      </c>
      <c r="AE1056" s="16">
        <v>29.4</v>
      </c>
      <c r="AF1056" s="16" t="s">
        <v>411</v>
      </c>
    </row>
    <row r="1057" spans="1:32" ht="14.25" customHeight="1" x14ac:dyDescent="0.35">
      <c r="A1057" s="14" t="s">
        <v>1037</v>
      </c>
      <c r="B1057" s="14" t="s">
        <v>420</v>
      </c>
      <c r="C1057" s="14" t="s">
        <v>414</v>
      </c>
      <c r="D1057" s="14" t="s">
        <v>418</v>
      </c>
      <c r="E1057" s="15">
        <v>41640</v>
      </c>
      <c r="F1057" s="15">
        <v>42004</v>
      </c>
      <c r="G1057" s="14" t="s">
        <v>410</v>
      </c>
      <c r="H1057" s="14">
        <v>29.4</v>
      </c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 t="s">
        <v>411</v>
      </c>
    </row>
    <row r="1058" spans="1:32" ht="14.25" customHeight="1" x14ac:dyDescent="0.35">
      <c r="A1058" s="14" t="s">
        <v>1038</v>
      </c>
      <c r="B1058" s="14" t="s">
        <v>427</v>
      </c>
      <c r="C1058" s="14"/>
      <c r="D1058" s="14" t="s">
        <v>453</v>
      </c>
      <c r="E1058" s="15">
        <v>41640</v>
      </c>
      <c r="F1058" s="15">
        <v>42004</v>
      </c>
      <c r="G1058" s="14" t="s">
        <v>415</v>
      </c>
      <c r="H1058" s="14">
        <v>0.33</v>
      </c>
      <c r="I1058" s="14">
        <v>0.33</v>
      </c>
      <c r="J1058" s="14">
        <v>0.33</v>
      </c>
      <c r="K1058" s="14">
        <v>0.33</v>
      </c>
      <c r="L1058" s="14">
        <v>0.33</v>
      </c>
      <c r="M1058" s="14">
        <v>0.33</v>
      </c>
      <c r="N1058" s="14">
        <v>0.33</v>
      </c>
      <c r="O1058" s="14">
        <v>0.5</v>
      </c>
      <c r="P1058" s="14">
        <v>1</v>
      </c>
      <c r="Q1058" s="14">
        <v>1</v>
      </c>
      <c r="R1058" s="14">
        <v>1</v>
      </c>
      <c r="S1058" s="14">
        <v>1</v>
      </c>
      <c r="T1058" s="14">
        <v>0.94</v>
      </c>
      <c r="U1058" s="14">
        <v>1</v>
      </c>
      <c r="V1058" s="14">
        <v>1</v>
      </c>
      <c r="W1058" s="14">
        <v>1</v>
      </c>
      <c r="X1058" s="14">
        <v>1</v>
      </c>
      <c r="Y1058" s="14">
        <v>0.5</v>
      </c>
      <c r="Z1058" s="14">
        <v>0.33</v>
      </c>
      <c r="AA1058" s="14">
        <v>0.33</v>
      </c>
      <c r="AB1058" s="14">
        <v>0.33</v>
      </c>
      <c r="AC1058" s="14">
        <v>0.33</v>
      </c>
      <c r="AD1058" s="14">
        <v>0.33</v>
      </c>
      <c r="AE1058" s="14">
        <v>0.33</v>
      </c>
      <c r="AF1058" s="14" t="s">
        <v>411</v>
      </c>
    </row>
    <row r="1059" spans="1:32" ht="14.25" customHeight="1" x14ac:dyDescent="0.35">
      <c r="A1059" s="16" t="s">
        <v>1038</v>
      </c>
      <c r="B1059" s="16" t="s">
        <v>427</v>
      </c>
      <c r="C1059" s="16"/>
      <c r="D1059" s="16" t="s">
        <v>1039</v>
      </c>
      <c r="E1059" s="17">
        <v>41640</v>
      </c>
      <c r="F1059" s="17">
        <v>42004</v>
      </c>
      <c r="G1059" s="16" t="s">
        <v>410</v>
      </c>
      <c r="H1059" s="16">
        <v>0.33</v>
      </c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 t="s">
        <v>411</v>
      </c>
    </row>
    <row r="1060" spans="1:32" ht="14.25" customHeight="1" x14ac:dyDescent="0.35">
      <c r="A1060" s="14" t="s">
        <v>1040</v>
      </c>
      <c r="B1060" s="14" t="s">
        <v>420</v>
      </c>
      <c r="C1060" s="14" t="s">
        <v>414</v>
      </c>
      <c r="D1060" s="14" t="s">
        <v>417</v>
      </c>
      <c r="E1060" s="15">
        <v>41640</v>
      </c>
      <c r="F1060" s="15">
        <v>42004</v>
      </c>
      <c r="G1060" s="14" t="s">
        <v>415</v>
      </c>
      <c r="H1060" s="14">
        <v>15.600001335144</v>
      </c>
      <c r="I1060" s="14">
        <v>15.600001335144</v>
      </c>
      <c r="J1060" s="14">
        <v>15.600001335144</v>
      </c>
      <c r="K1060" s="14">
        <v>15.600001335144</v>
      </c>
      <c r="L1060" s="14">
        <v>15.600001335144</v>
      </c>
      <c r="M1060" s="14">
        <v>15.600001335144</v>
      </c>
      <c r="N1060" s="14">
        <v>15.600001335144</v>
      </c>
      <c r="O1060" s="14">
        <v>18.299999237060501</v>
      </c>
      <c r="P1060" s="14">
        <v>21.100000381469702</v>
      </c>
      <c r="Q1060" s="14">
        <v>21.100000381469702</v>
      </c>
      <c r="R1060" s="14">
        <v>21.100000381469702</v>
      </c>
      <c r="S1060" s="14">
        <v>21.100000381469702</v>
      </c>
      <c r="T1060" s="14">
        <v>21.100000381469702</v>
      </c>
      <c r="U1060" s="14">
        <v>21.100000381469702</v>
      </c>
      <c r="V1060" s="14">
        <v>21.100000381469702</v>
      </c>
      <c r="W1060" s="14">
        <v>21.100000381469702</v>
      </c>
      <c r="X1060" s="14">
        <v>21.100000381469702</v>
      </c>
      <c r="Y1060" s="14">
        <v>18.300001144409201</v>
      </c>
      <c r="Z1060" s="14">
        <v>15.6000003814697</v>
      </c>
      <c r="AA1060" s="14">
        <v>15.6000003814697</v>
      </c>
      <c r="AB1060" s="14">
        <v>15.6000003814697</v>
      </c>
      <c r="AC1060" s="14">
        <v>15.6000003814697</v>
      </c>
      <c r="AD1060" s="14">
        <v>15.6000003814697</v>
      </c>
      <c r="AE1060" s="14">
        <v>15.6000003814697</v>
      </c>
      <c r="AF1060" s="14" t="s">
        <v>411</v>
      </c>
    </row>
    <row r="1061" spans="1:32" ht="14.25" customHeight="1" x14ac:dyDescent="0.35">
      <c r="A1061" s="14" t="s">
        <v>1040</v>
      </c>
      <c r="B1061" s="14" t="s">
        <v>420</v>
      </c>
      <c r="C1061" s="14" t="s">
        <v>414</v>
      </c>
      <c r="D1061" s="14" t="s">
        <v>419</v>
      </c>
      <c r="E1061" s="15">
        <v>41640</v>
      </c>
      <c r="F1061" s="15">
        <v>42004</v>
      </c>
      <c r="G1061" s="14" t="s">
        <v>410</v>
      </c>
      <c r="H1061" s="14">
        <v>15.6</v>
      </c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 t="s">
        <v>411</v>
      </c>
    </row>
    <row r="1062" spans="1:32" ht="14.25" customHeight="1" x14ac:dyDescent="0.35">
      <c r="A1062" s="16" t="s">
        <v>1040</v>
      </c>
      <c r="B1062" s="16" t="s">
        <v>420</v>
      </c>
      <c r="C1062" s="16" t="s">
        <v>414</v>
      </c>
      <c r="D1062" s="16" t="s">
        <v>418</v>
      </c>
      <c r="E1062" s="17">
        <v>41640</v>
      </c>
      <c r="F1062" s="17">
        <v>42004</v>
      </c>
      <c r="G1062" s="16" t="s">
        <v>415</v>
      </c>
      <c r="H1062" s="16">
        <v>15.6</v>
      </c>
      <c r="I1062" s="16">
        <v>15.6</v>
      </c>
      <c r="J1062" s="16">
        <v>15.6</v>
      </c>
      <c r="K1062" s="16">
        <v>15.6</v>
      </c>
      <c r="L1062" s="16">
        <v>15.6</v>
      </c>
      <c r="M1062" s="16">
        <v>15.6</v>
      </c>
      <c r="N1062" s="16">
        <v>15.6</v>
      </c>
      <c r="O1062" s="16">
        <v>18.3</v>
      </c>
      <c r="P1062" s="16">
        <v>21.1</v>
      </c>
      <c r="Q1062" s="16">
        <v>21.1</v>
      </c>
      <c r="R1062" s="16">
        <v>21.1</v>
      </c>
      <c r="S1062" s="16">
        <v>21.1</v>
      </c>
      <c r="T1062" s="16">
        <v>21.1</v>
      </c>
      <c r="U1062" s="16">
        <v>21.1</v>
      </c>
      <c r="V1062" s="16">
        <v>21.1</v>
      </c>
      <c r="W1062" s="16">
        <v>21.1</v>
      </c>
      <c r="X1062" s="16">
        <v>21.1</v>
      </c>
      <c r="Y1062" s="16">
        <v>18.3</v>
      </c>
      <c r="Z1062" s="16">
        <v>15.6</v>
      </c>
      <c r="AA1062" s="16">
        <v>15.6</v>
      </c>
      <c r="AB1062" s="16">
        <v>15.6</v>
      </c>
      <c r="AC1062" s="16">
        <v>15.6</v>
      </c>
      <c r="AD1062" s="16">
        <v>15.6</v>
      </c>
      <c r="AE1062" s="16">
        <v>15.6</v>
      </c>
      <c r="AF1062" s="16" t="s">
        <v>411</v>
      </c>
    </row>
    <row r="1063" spans="1:32" ht="14.25" customHeight="1" x14ac:dyDescent="0.35">
      <c r="A1063" s="16" t="s">
        <v>1041</v>
      </c>
      <c r="B1063" s="16" t="s">
        <v>441</v>
      </c>
      <c r="C1063" s="16"/>
      <c r="D1063" s="16" t="s">
        <v>417</v>
      </c>
      <c r="E1063" s="17">
        <v>41640</v>
      </c>
      <c r="F1063" s="17">
        <v>42004</v>
      </c>
      <c r="G1063" s="16" t="s">
        <v>415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0.25</v>
      </c>
      <c r="Q1063" s="16">
        <v>0.25</v>
      </c>
      <c r="R1063" s="16">
        <v>0.25</v>
      </c>
      <c r="S1063" s="16">
        <v>0.25</v>
      </c>
      <c r="T1063" s="16">
        <v>0.25</v>
      </c>
      <c r="U1063" s="16">
        <v>0.25</v>
      </c>
      <c r="V1063" s="16">
        <v>0.25</v>
      </c>
      <c r="W1063" s="16">
        <v>0.25</v>
      </c>
      <c r="X1063" s="16">
        <v>0.25</v>
      </c>
      <c r="Y1063" s="16">
        <v>1</v>
      </c>
      <c r="Z1063" s="16">
        <v>1</v>
      </c>
      <c r="AA1063" s="16">
        <v>1</v>
      </c>
      <c r="AB1063" s="16">
        <v>1</v>
      </c>
      <c r="AC1063" s="16">
        <v>1</v>
      </c>
      <c r="AD1063" s="16">
        <v>1</v>
      </c>
      <c r="AE1063" s="16">
        <v>1</v>
      </c>
      <c r="AF1063" s="16" t="s">
        <v>411</v>
      </c>
    </row>
    <row r="1064" spans="1:32" ht="14.25" customHeight="1" x14ac:dyDescent="0.35">
      <c r="A1064" s="14" t="s">
        <v>1041</v>
      </c>
      <c r="B1064" s="14" t="s">
        <v>441</v>
      </c>
      <c r="C1064" s="14"/>
      <c r="D1064" s="14" t="s">
        <v>1042</v>
      </c>
      <c r="E1064" s="15">
        <v>41640</v>
      </c>
      <c r="F1064" s="15">
        <v>42004</v>
      </c>
      <c r="G1064" s="14" t="s">
        <v>410</v>
      </c>
      <c r="H1064" s="14">
        <v>1</v>
      </c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 t="s">
        <v>411</v>
      </c>
    </row>
    <row r="1065" spans="1:32" ht="14.25" customHeight="1" x14ac:dyDescent="0.35">
      <c r="A1065" s="16" t="s">
        <v>1043</v>
      </c>
      <c r="B1065" s="16" t="s">
        <v>424</v>
      </c>
      <c r="C1065" s="16"/>
      <c r="D1065" s="16" t="s">
        <v>453</v>
      </c>
      <c r="E1065" s="17">
        <v>41640</v>
      </c>
      <c r="F1065" s="17">
        <v>42004</v>
      </c>
      <c r="G1065" s="16" t="s">
        <v>415</v>
      </c>
      <c r="H1065" s="16">
        <v>0.18</v>
      </c>
      <c r="I1065" s="16">
        <v>0.18</v>
      </c>
      <c r="J1065" s="16">
        <v>0.18</v>
      </c>
      <c r="K1065" s="16">
        <v>0.18</v>
      </c>
      <c r="L1065" s="16">
        <v>0.18</v>
      </c>
      <c r="M1065" s="16">
        <v>0.18</v>
      </c>
      <c r="N1065" s="16">
        <v>0.18</v>
      </c>
      <c r="O1065" s="16">
        <v>0.18</v>
      </c>
      <c r="P1065" s="16">
        <v>0.9</v>
      </c>
      <c r="Q1065" s="16">
        <v>0.9</v>
      </c>
      <c r="R1065" s="16">
        <v>0.9</v>
      </c>
      <c r="S1065" s="16">
        <v>0.9</v>
      </c>
      <c r="T1065" s="16">
        <v>0.8</v>
      </c>
      <c r="U1065" s="16">
        <v>0.9</v>
      </c>
      <c r="V1065" s="16">
        <v>0.9</v>
      </c>
      <c r="W1065" s="16">
        <v>0.9</v>
      </c>
      <c r="X1065" s="16">
        <v>0.9</v>
      </c>
      <c r="Y1065" s="16">
        <v>0.18</v>
      </c>
      <c r="Z1065" s="16">
        <v>0.18</v>
      </c>
      <c r="AA1065" s="16">
        <v>0.18</v>
      </c>
      <c r="AB1065" s="16">
        <v>0.18</v>
      </c>
      <c r="AC1065" s="16">
        <v>0.18</v>
      </c>
      <c r="AD1065" s="16">
        <v>0.18</v>
      </c>
      <c r="AE1065" s="16">
        <v>0.18</v>
      </c>
      <c r="AF1065" s="16" t="s">
        <v>411</v>
      </c>
    </row>
    <row r="1066" spans="1:32" ht="14.25" customHeight="1" x14ac:dyDescent="0.35">
      <c r="A1066" s="14" t="s">
        <v>1043</v>
      </c>
      <c r="B1066" s="14" t="s">
        <v>424</v>
      </c>
      <c r="C1066" s="14"/>
      <c r="D1066" s="14" t="s">
        <v>1039</v>
      </c>
      <c r="E1066" s="15">
        <v>41640</v>
      </c>
      <c r="F1066" s="15">
        <v>42004</v>
      </c>
      <c r="G1066" s="14" t="s">
        <v>410</v>
      </c>
      <c r="H1066" s="14">
        <v>0.18</v>
      </c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 t="s">
        <v>411</v>
      </c>
    </row>
    <row r="1067" spans="1:32" ht="14.25" customHeight="1" x14ac:dyDescent="0.35">
      <c r="A1067" s="16" t="s">
        <v>1044</v>
      </c>
      <c r="B1067" s="16" t="s">
        <v>448</v>
      </c>
      <c r="C1067" s="16"/>
      <c r="D1067" s="16" t="s">
        <v>409</v>
      </c>
      <c r="E1067" s="17">
        <v>41640</v>
      </c>
      <c r="F1067" s="17">
        <v>42004</v>
      </c>
      <c r="G1067" s="16" t="s">
        <v>415</v>
      </c>
      <c r="H1067" s="16">
        <v>0</v>
      </c>
      <c r="I1067" s="16">
        <v>0</v>
      </c>
      <c r="J1067" s="16">
        <v>0</v>
      </c>
      <c r="K1067" s="16">
        <v>0</v>
      </c>
      <c r="L1067" s="16">
        <v>0</v>
      </c>
      <c r="M1067" s="16">
        <v>0</v>
      </c>
      <c r="N1067" s="16">
        <v>0</v>
      </c>
      <c r="O1067" s="16">
        <v>0</v>
      </c>
      <c r="P1067" s="16">
        <v>1</v>
      </c>
      <c r="Q1067" s="16">
        <v>1</v>
      </c>
      <c r="R1067" s="16">
        <v>1</v>
      </c>
      <c r="S1067" s="16">
        <v>1</v>
      </c>
      <c r="T1067" s="16">
        <v>0.5</v>
      </c>
      <c r="U1067" s="16">
        <v>1</v>
      </c>
      <c r="V1067" s="16">
        <v>1</v>
      </c>
      <c r="W1067" s="16">
        <v>1</v>
      </c>
      <c r="X1067" s="16">
        <v>1</v>
      </c>
      <c r="Y1067" s="16">
        <v>0</v>
      </c>
      <c r="Z1067" s="16">
        <v>0</v>
      </c>
      <c r="AA1067" s="16">
        <v>0</v>
      </c>
      <c r="AB1067" s="16">
        <v>0</v>
      </c>
      <c r="AC1067" s="16">
        <v>0</v>
      </c>
      <c r="AD1067" s="16">
        <v>0</v>
      </c>
      <c r="AE1067" s="16">
        <v>0</v>
      </c>
      <c r="AF1067" s="16" t="s">
        <v>411</v>
      </c>
    </row>
    <row r="1068" spans="1:32" ht="14.25" customHeight="1" x14ac:dyDescent="0.35">
      <c r="A1068" s="14" t="s">
        <v>1044</v>
      </c>
      <c r="B1068" s="14" t="s">
        <v>448</v>
      </c>
      <c r="C1068" s="14"/>
      <c r="D1068" s="14" t="s">
        <v>530</v>
      </c>
      <c r="E1068" s="15">
        <v>41640</v>
      </c>
      <c r="F1068" s="15">
        <v>42004</v>
      </c>
      <c r="G1068" s="14" t="s">
        <v>410</v>
      </c>
      <c r="H1068" s="14">
        <v>0</v>
      </c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 t="s">
        <v>411</v>
      </c>
    </row>
    <row r="1069" spans="1:32" ht="14.25" customHeight="1" x14ac:dyDescent="0.35">
      <c r="A1069" s="16" t="s">
        <v>1045</v>
      </c>
      <c r="B1069" s="16" t="s">
        <v>600</v>
      </c>
      <c r="C1069" s="16"/>
      <c r="D1069" s="16" t="s">
        <v>409</v>
      </c>
      <c r="E1069" s="17">
        <v>41640</v>
      </c>
      <c r="F1069" s="17">
        <v>42004</v>
      </c>
      <c r="G1069" s="16" t="s">
        <v>415</v>
      </c>
      <c r="H1069" s="16">
        <v>0</v>
      </c>
      <c r="I1069" s="16">
        <v>0</v>
      </c>
      <c r="J1069" s="16">
        <v>0</v>
      </c>
      <c r="K1069" s="16">
        <v>0</v>
      </c>
      <c r="L1069" s="16">
        <v>0</v>
      </c>
      <c r="M1069" s="16">
        <v>0</v>
      </c>
      <c r="N1069" s="16">
        <v>0</v>
      </c>
      <c r="O1069" s="16">
        <v>0</v>
      </c>
      <c r="P1069" s="16">
        <v>1</v>
      </c>
      <c r="Q1069" s="16">
        <v>1</v>
      </c>
      <c r="R1069" s="16">
        <v>1</v>
      </c>
      <c r="S1069" s="16">
        <v>1</v>
      </c>
      <c r="T1069" s="16">
        <v>1</v>
      </c>
      <c r="U1069" s="16">
        <v>1</v>
      </c>
      <c r="V1069" s="16">
        <v>1</v>
      </c>
      <c r="W1069" s="16">
        <v>1</v>
      </c>
      <c r="X1069" s="16">
        <v>1</v>
      </c>
      <c r="Y1069" s="16">
        <v>0</v>
      </c>
      <c r="Z1069" s="16">
        <v>0</v>
      </c>
      <c r="AA1069" s="16">
        <v>0</v>
      </c>
      <c r="AB1069" s="16">
        <v>0</v>
      </c>
      <c r="AC1069" s="16">
        <v>0</v>
      </c>
      <c r="AD1069" s="16">
        <v>0</v>
      </c>
      <c r="AE1069" s="16">
        <v>0</v>
      </c>
      <c r="AF1069" s="16" t="s">
        <v>411</v>
      </c>
    </row>
    <row r="1070" spans="1:32" ht="14.25" customHeight="1" x14ac:dyDescent="0.35">
      <c r="A1070" s="14" t="s">
        <v>1045</v>
      </c>
      <c r="B1070" s="14" t="s">
        <v>600</v>
      </c>
      <c r="C1070" s="14"/>
      <c r="D1070" s="14" t="s">
        <v>530</v>
      </c>
      <c r="E1070" s="15">
        <v>41640</v>
      </c>
      <c r="F1070" s="15">
        <v>42004</v>
      </c>
      <c r="G1070" s="14" t="s">
        <v>410</v>
      </c>
      <c r="H1070" s="14">
        <v>0</v>
      </c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 t="s">
        <v>411</v>
      </c>
    </row>
    <row r="1071" spans="1:32" ht="14.25" customHeight="1" x14ac:dyDescent="0.35">
      <c r="A1071" s="16" t="s">
        <v>1046</v>
      </c>
      <c r="B1071" s="16" t="s">
        <v>420</v>
      </c>
      <c r="C1071" s="16"/>
      <c r="D1071" s="16" t="s">
        <v>409</v>
      </c>
      <c r="E1071" s="17">
        <v>41640</v>
      </c>
      <c r="F1071" s="17">
        <v>42004</v>
      </c>
      <c r="G1071" s="16" t="s">
        <v>410</v>
      </c>
      <c r="H1071" s="16">
        <v>0</v>
      </c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 t="s">
        <v>411</v>
      </c>
    </row>
    <row r="1072" spans="1:32" ht="14.25" customHeight="1" x14ac:dyDescent="0.35">
      <c r="A1072" s="14" t="s">
        <v>1047</v>
      </c>
      <c r="B1072" s="14" t="s">
        <v>420</v>
      </c>
      <c r="C1072" s="14"/>
      <c r="D1072" s="14" t="s">
        <v>409</v>
      </c>
      <c r="E1072" s="15">
        <v>41640</v>
      </c>
      <c r="F1072" s="15">
        <v>42004</v>
      </c>
      <c r="G1072" s="14" t="s">
        <v>410</v>
      </c>
      <c r="H1072" s="14">
        <v>0</v>
      </c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 t="s">
        <v>411</v>
      </c>
    </row>
    <row r="1073" spans="1:32" ht="14.25" customHeight="1" x14ac:dyDescent="0.35">
      <c r="A1073" s="16" t="s">
        <v>1048</v>
      </c>
      <c r="B1073" s="16" t="s">
        <v>408</v>
      </c>
      <c r="C1073" s="16"/>
      <c r="D1073" s="16" t="s">
        <v>409</v>
      </c>
      <c r="E1073" s="17">
        <v>41640</v>
      </c>
      <c r="F1073" s="17">
        <v>42004</v>
      </c>
      <c r="G1073" s="16" t="s">
        <v>410</v>
      </c>
      <c r="H1073" s="16">
        <v>0</v>
      </c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 t="s">
        <v>411</v>
      </c>
    </row>
    <row r="1074" spans="1:32" ht="14.25" customHeight="1" x14ac:dyDescent="0.35">
      <c r="A1074" s="24" t="s">
        <v>337</v>
      </c>
      <c r="B1074" s="14" t="s">
        <v>427</v>
      </c>
      <c r="C1074" s="24" t="s">
        <v>1049</v>
      </c>
      <c r="D1074" s="24" t="s">
        <v>791</v>
      </c>
      <c r="E1074" s="15">
        <v>41640</v>
      </c>
      <c r="F1074" s="15">
        <v>42004</v>
      </c>
      <c r="G1074" s="14" t="s">
        <v>415</v>
      </c>
      <c r="H1074" s="24">
        <v>0.2</v>
      </c>
      <c r="I1074" s="24">
        <v>0.2</v>
      </c>
      <c r="J1074" s="24">
        <v>0.2</v>
      </c>
      <c r="K1074" s="24">
        <v>0.2</v>
      </c>
      <c r="L1074" s="24">
        <v>0.2</v>
      </c>
      <c r="M1074" s="24">
        <v>0.2</v>
      </c>
      <c r="N1074" s="24">
        <v>0.2</v>
      </c>
      <c r="O1074" s="24">
        <v>0.3</v>
      </c>
      <c r="P1074" s="24">
        <v>0.8</v>
      </c>
      <c r="Q1074" s="24">
        <v>0.9</v>
      </c>
      <c r="R1074" s="24">
        <v>0.9</v>
      </c>
      <c r="S1074" s="24">
        <v>0.9</v>
      </c>
      <c r="T1074" s="24">
        <v>0.9</v>
      </c>
      <c r="U1074" s="24">
        <v>0.9</v>
      </c>
      <c r="V1074" s="24">
        <v>0.9</v>
      </c>
      <c r="W1074" s="24">
        <v>0.9</v>
      </c>
      <c r="X1074" s="24">
        <v>0.9</v>
      </c>
      <c r="Y1074" s="24">
        <v>0.9</v>
      </c>
      <c r="Z1074" s="24">
        <v>0.5</v>
      </c>
      <c r="AA1074" s="24">
        <v>0.3</v>
      </c>
      <c r="AB1074" s="24">
        <v>0.3</v>
      </c>
      <c r="AC1074" s="24">
        <v>0.2</v>
      </c>
      <c r="AD1074" s="24">
        <v>0.2</v>
      </c>
      <c r="AE1074" s="24">
        <v>0.2</v>
      </c>
      <c r="AF1074" s="14"/>
    </row>
    <row r="1075" spans="1:32" ht="14.25" customHeight="1" x14ac:dyDescent="0.35">
      <c r="A1075" s="24" t="s">
        <v>337</v>
      </c>
      <c r="B1075" s="14" t="s">
        <v>427</v>
      </c>
      <c r="C1075" s="24" t="s">
        <v>1049</v>
      </c>
      <c r="D1075" s="24" t="s">
        <v>512</v>
      </c>
      <c r="E1075" s="15">
        <v>41640</v>
      </c>
      <c r="F1075" s="15">
        <v>42004</v>
      </c>
      <c r="G1075" s="14" t="s">
        <v>415</v>
      </c>
      <c r="H1075" s="24">
        <v>0.2</v>
      </c>
      <c r="I1075" s="24">
        <v>0.2</v>
      </c>
      <c r="J1075" s="24">
        <v>0.2</v>
      </c>
      <c r="K1075" s="24">
        <v>0.2</v>
      </c>
      <c r="L1075" s="24">
        <v>0.2</v>
      </c>
      <c r="M1075" s="24">
        <v>0.2</v>
      </c>
      <c r="N1075" s="24">
        <v>0.2</v>
      </c>
      <c r="O1075" s="24">
        <v>0.2</v>
      </c>
      <c r="P1075" s="24">
        <v>0.2</v>
      </c>
      <c r="Q1075" s="24">
        <v>0.2</v>
      </c>
      <c r="R1075" s="24">
        <v>0.2</v>
      </c>
      <c r="S1075" s="24">
        <v>0.2</v>
      </c>
      <c r="T1075" s="24">
        <v>0.2</v>
      </c>
      <c r="U1075" s="24">
        <v>0.2</v>
      </c>
      <c r="V1075" s="24">
        <v>0.2</v>
      </c>
      <c r="W1075" s="24">
        <v>0.2</v>
      </c>
      <c r="X1075" s="24">
        <v>0.2</v>
      </c>
      <c r="Y1075" s="24">
        <v>0.2</v>
      </c>
      <c r="Z1075" s="24">
        <v>0.2</v>
      </c>
      <c r="AA1075" s="24">
        <v>0.2</v>
      </c>
      <c r="AB1075" s="24">
        <v>0.2</v>
      </c>
      <c r="AC1075" s="24">
        <v>0.2</v>
      </c>
      <c r="AD1075" s="24">
        <v>0.2</v>
      </c>
      <c r="AE1075" s="24">
        <v>0.2</v>
      </c>
      <c r="AF1075" s="14"/>
    </row>
    <row r="1076" spans="1:32" ht="14.25" customHeight="1" x14ac:dyDescent="0.35">
      <c r="A1076" s="24" t="s">
        <v>337</v>
      </c>
      <c r="B1076" s="14" t="s">
        <v>427</v>
      </c>
      <c r="C1076" s="24" t="s">
        <v>1049</v>
      </c>
      <c r="D1076" s="24" t="s">
        <v>1050</v>
      </c>
      <c r="E1076" s="15">
        <v>41640</v>
      </c>
      <c r="F1076" s="15">
        <v>42004</v>
      </c>
      <c r="G1076" s="14" t="s">
        <v>415</v>
      </c>
      <c r="H1076" s="24">
        <v>0.2</v>
      </c>
      <c r="I1076" s="24">
        <v>0.2</v>
      </c>
      <c r="J1076" s="24">
        <v>0.2</v>
      </c>
      <c r="K1076" s="24">
        <v>0.2</v>
      </c>
      <c r="L1076" s="24">
        <v>0.2</v>
      </c>
      <c r="M1076" s="24">
        <v>0.2</v>
      </c>
      <c r="N1076" s="24">
        <v>0.2</v>
      </c>
      <c r="O1076" s="24">
        <v>0.2</v>
      </c>
      <c r="P1076" s="24">
        <v>0.2</v>
      </c>
      <c r="Q1076" s="24">
        <v>0.2</v>
      </c>
      <c r="R1076" s="24">
        <v>0.2</v>
      </c>
      <c r="S1076" s="24">
        <v>0.2</v>
      </c>
      <c r="T1076" s="24">
        <v>0.2</v>
      </c>
      <c r="U1076" s="24">
        <v>0.2</v>
      </c>
      <c r="V1076" s="24">
        <v>0.2</v>
      </c>
      <c r="W1076" s="24">
        <v>0.2</v>
      </c>
      <c r="X1076" s="24">
        <v>0.2</v>
      </c>
      <c r="Y1076" s="24">
        <v>0.2</v>
      </c>
      <c r="Z1076" s="24">
        <v>0.2</v>
      </c>
      <c r="AA1076" s="24">
        <v>0.2</v>
      </c>
      <c r="AB1076" s="24">
        <v>0.2</v>
      </c>
      <c r="AC1076" s="24">
        <v>0.2</v>
      </c>
      <c r="AD1076" s="24">
        <v>0.2</v>
      </c>
      <c r="AE1076" s="24">
        <v>0.2</v>
      </c>
      <c r="AF1076" s="14"/>
    </row>
    <row r="1077" spans="1:32" ht="14.25" customHeight="1" x14ac:dyDescent="0.35">
      <c r="A1077" s="24" t="s">
        <v>1051</v>
      </c>
      <c r="B1077" s="14" t="s">
        <v>1052</v>
      </c>
      <c r="C1077" s="24" t="s">
        <v>1053</v>
      </c>
      <c r="D1077" s="24" t="s">
        <v>791</v>
      </c>
      <c r="E1077" s="15">
        <v>41640</v>
      </c>
      <c r="F1077" s="15">
        <v>42004</v>
      </c>
      <c r="G1077" s="14" t="s">
        <v>415</v>
      </c>
      <c r="H1077" s="24">
        <v>0</v>
      </c>
      <c r="I1077" s="24">
        <v>0</v>
      </c>
      <c r="J1077" s="24">
        <v>0</v>
      </c>
      <c r="K1077" s="24">
        <v>0</v>
      </c>
      <c r="L1077" s="24">
        <v>0</v>
      </c>
      <c r="M1077" s="24">
        <v>0</v>
      </c>
      <c r="N1077" s="24">
        <v>1</v>
      </c>
      <c r="O1077" s="24">
        <v>1</v>
      </c>
      <c r="P1077" s="24">
        <v>1</v>
      </c>
      <c r="Q1077" s="24">
        <v>1</v>
      </c>
      <c r="R1077" s="24">
        <v>1</v>
      </c>
      <c r="S1077" s="24">
        <v>1</v>
      </c>
      <c r="T1077" s="24">
        <v>1</v>
      </c>
      <c r="U1077" s="24">
        <v>1</v>
      </c>
      <c r="V1077" s="24">
        <v>1</v>
      </c>
      <c r="W1077" s="24">
        <v>1</v>
      </c>
      <c r="X1077" s="24">
        <v>1</v>
      </c>
      <c r="Y1077" s="24">
        <v>1</v>
      </c>
      <c r="Z1077" s="24">
        <v>1</v>
      </c>
      <c r="AA1077" s="24">
        <v>1</v>
      </c>
      <c r="AB1077" s="24">
        <v>1</v>
      </c>
      <c r="AC1077" s="24">
        <v>0</v>
      </c>
      <c r="AD1077" s="24">
        <v>0</v>
      </c>
      <c r="AE1077" s="24">
        <v>0</v>
      </c>
      <c r="AF1077" s="14"/>
    </row>
    <row r="1078" spans="1:32" ht="14.25" customHeight="1" x14ac:dyDescent="0.35">
      <c r="A1078" s="24" t="s">
        <v>1051</v>
      </c>
      <c r="B1078" s="14" t="s">
        <v>1052</v>
      </c>
      <c r="C1078" s="24" t="s">
        <v>1053</v>
      </c>
      <c r="D1078" s="24" t="s">
        <v>512</v>
      </c>
      <c r="E1078" s="15">
        <v>41640</v>
      </c>
      <c r="F1078" s="15">
        <v>42004</v>
      </c>
      <c r="G1078" s="14" t="s">
        <v>415</v>
      </c>
      <c r="H1078" s="24">
        <v>0</v>
      </c>
      <c r="I1078" s="24">
        <v>0</v>
      </c>
      <c r="J1078" s="24">
        <v>0</v>
      </c>
      <c r="K1078" s="24">
        <v>0</v>
      </c>
      <c r="L1078" s="24">
        <v>0</v>
      </c>
      <c r="M1078" s="24">
        <v>0</v>
      </c>
      <c r="N1078" s="24">
        <v>0</v>
      </c>
      <c r="O1078" s="24">
        <v>0</v>
      </c>
      <c r="P1078" s="24">
        <v>0</v>
      </c>
      <c r="Q1078" s="24">
        <v>0</v>
      </c>
      <c r="R1078" s="24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  <c r="X1078" s="24">
        <v>0</v>
      </c>
      <c r="Y1078" s="24">
        <v>0</v>
      </c>
      <c r="Z1078" s="24">
        <v>0</v>
      </c>
      <c r="AA1078" s="24">
        <v>0</v>
      </c>
      <c r="AB1078" s="24">
        <v>0</v>
      </c>
      <c r="AC1078" s="24">
        <v>0</v>
      </c>
      <c r="AD1078" s="24">
        <v>0</v>
      </c>
      <c r="AE1078" s="24">
        <v>0</v>
      </c>
      <c r="AF1078" s="14"/>
    </row>
    <row r="1079" spans="1:32" ht="14.25" customHeight="1" x14ac:dyDescent="0.35">
      <c r="A1079" s="24" t="s">
        <v>1051</v>
      </c>
      <c r="B1079" s="14" t="s">
        <v>1052</v>
      </c>
      <c r="C1079" s="24" t="s">
        <v>1053</v>
      </c>
      <c r="D1079" s="24" t="s">
        <v>1050</v>
      </c>
      <c r="E1079" s="15">
        <v>41640</v>
      </c>
      <c r="F1079" s="15">
        <v>42004</v>
      </c>
      <c r="G1079" s="14" t="s">
        <v>415</v>
      </c>
      <c r="H1079" s="24">
        <v>0</v>
      </c>
      <c r="I1079" s="24">
        <v>0</v>
      </c>
      <c r="J1079" s="24">
        <v>0</v>
      </c>
      <c r="K1079" s="24">
        <v>0</v>
      </c>
      <c r="L1079" s="24">
        <v>0</v>
      </c>
      <c r="M1079" s="24">
        <v>0</v>
      </c>
      <c r="N1079" s="24">
        <v>0</v>
      </c>
      <c r="O1079" s="24">
        <v>0</v>
      </c>
      <c r="P1079" s="24">
        <v>0</v>
      </c>
      <c r="Q1079" s="24">
        <v>0</v>
      </c>
      <c r="R1079" s="24">
        <v>0</v>
      </c>
      <c r="S1079" s="24">
        <v>0</v>
      </c>
      <c r="T1079" s="24">
        <v>0</v>
      </c>
      <c r="U1079" s="24">
        <v>0</v>
      </c>
      <c r="V1079" s="24">
        <v>0</v>
      </c>
      <c r="W1079" s="24">
        <v>0</v>
      </c>
      <c r="X1079" s="24">
        <v>0</v>
      </c>
      <c r="Y1079" s="24">
        <v>0</v>
      </c>
      <c r="Z1079" s="24">
        <v>0</v>
      </c>
      <c r="AA1079" s="24">
        <v>0</v>
      </c>
      <c r="AB1079" s="24">
        <v>0</v>
      </c>
      <c r="AC1079" s="24">
        <v>0</v>
      </c>
      <c r="AD1079" s="24">
        <v>0</v>
      </c>
      <c r="AE1079" s="24">
        <v>0</v>
      </c>
      <c r="AF1079" s="14"/>
    </row>
    <row r="1080" spans="1:32" ht="14.25" customHeight="1" x14ac:dyDescent="0.35">
      <c r="A1080" s="24" t="s">
        <v>366</v>
      </c>
      <c r="B1080" s="14" t="s">
        <v>424</v>
      </c>
      <c r="C1080" s="24" t="s">
        <v>1049</v>
      </c>
      <c r="D1080" s="24" t="s">
        <v>791</v>
      </c>
      <c r="E1080" s="15">
        <v>41640</v>
      </c>
      <c r="F1080" s="15">
        <v>42004</v>
      </c>
      <c r="G1080" s="14" t="s">
        <v>415</v>
      </c>
      <c r="H1080" s="24">
        <v>0.05</v>
      </c>
      <c r="I1080" s="24">
        <v>0.05</v>
      </c>
      <c r="J1080" s="24">
        <v>0.05</v>
      </c>
      <c r="K1080" s="24">
        <v>0.05</v>
      </c>
      <c r="L1080" s="24">
        <v>0.05</v>
      </c>
      <c r="M1080" s="24">
        <v>0.05</v>
      </c>
      <c r="N1080" s="24">
        <v>0.05</v>
      </c>
      <c r="O1080" s="24">
        <v>0.3</v>
      </c>
      <c r="P1080" s="24">
        <v>0.8</v>
      </c>
      <c r="Q1080" s="24">
        <v>0.9</v>
      </c>
      <c r="R1080" s="24">
        <v>0.9</v>
      </c>
      <c r="S1080" s="24">
        <v>0.9</v>
      </c>
      <c r="T1080" s="24">
        <v>0.9</v>
      </c>
      <c r="U1080" s="24">
        <v>0.9</v>
      </c>
      <c r="V1080" s="24">
        <v>0.9</v>
      </c>
      <c r="W1080" s="24">
        <v>0.9</v>
      </c>
      <c r="X1080" s="24">
        <v>0.9</v>
      </c>
      <c r="Y1080" s="24">
        <v>0.8</v>
      </c>
      <c r="Z1080" s="24">
        <v>0.5</v>
      </c>
      <c r="AA1080" s="24">
        <v>0.3</v>
      </c>
      <c r="AB1080" s="24">
        <v>0.3</v>
      </c>
      <c r="AC1080" s="24">
        <v>0.1</v>
      </c>
      <c r="AD1080" s="24">
        <v>0.1</v>
      </c>
      <c r="AE1080" s="24">
        <v>0.05</v>
      </c>
      <c r="AF1080" s="14"/>
    </row>
    <row r="1081" spans="1:32" ht="14.25" customHeight="1" x14ac:dyDescent="0.35">
      <c r="A1081" s="24" t="s">
        <v>366</v>
      </c>
      <c r="B1081" s="14" t="s">
        <v>424</v>
      </c>
      <c r="C1081" s="24" t="s">
        <v>1049</v>
      </c>
      <c r="D1081" s="24" t="s">
        <v>512</v>
      </c>
      <c r="E1081" s="15">
        <v>41640</v>
      </c>
      <c r="F1081" s="15">
        <v>42004</v>
      </c>
      <c r="G1081" s="14" t="s">
        <v>415</v>
      </c>
      <c r="H1081" s="24">
        <v>0.05</v>
      </c>
      <c r="I1081" s="24">
        <v>0.05</v>
      </c>
      <c r="J1081" s="24">
        <v>0.05</v>
      </c>
      <c r="K1081" s="24">
        <v>0.05</v>
      </c>
      <c r="L1081" s="24">
        <v>0.05</v>
      </c>
      <c r="M1081" s="24">
        <v>0.05</v>
      </c>
      <c r="N1081" s="24">
        <v>0.05</v>
      </c>
      <c r="O1081" s="24">
        <v>0.05</v>
      </c>
      <c r="P1081" s="24">
        <v>0.05</v>
      </c>
      <c r="Q1081" s="24">
        <v>0.05</v>
      </c>
      <c r="R1081" s="24">
        <v>0.05</v>
      </c>
      <c r="S1081" s="24">
        <v>0.05</v>
      </c>
      <c r="T1081" s="24">
        <v>0.05</v>
      </c>
      <c r="U1081" s="24">
        <v>0.05</v>
      </c>
      <c r="V1081" s="24">
        <v>0.05</v>
      </c>
      <c r="W1081" s="24">
        <v>0.05</v>
      </c>
      <c r="X1081" s="24">
        <v>0.05</v>
      </c>
      <c r="Y1081" s="24">
        <v>0.05</v>
      </c>
      <c r="Z1081" s="24">
        <v>0.05</v>
      </c>
      <c r="AA1081" s="24">
        <v>0.05</v>
      </c>
      <c r="AB1081" s="24">
        <v>0.05</v>
      </c>
      <c r="AC1081" s="24">
        <v>0.05</v>
      </c>
      <c r="AD1081" s="24">
        <v>0.05</v>
      </c>
      <c r="AE1081" s="24">
        <v>0.05</v>
      </c>
      <c r="AF1081" s="14"/>
    </row>
    <row r="1082" spans="1:32" ht="14.25" customHeight="1" x14ac:dyDescent="0.35">
      <c r="A1082" s="24" t="s">
        <v>366</v>
      </c>
      <c r="B1082" s="14" t="s">
        <v>424</v>
      </c>
      <c r="C1082" s="24" t="s">
        <v>1049</v>
      </c>
      <c r="D1082" s="24" t="s">
        <v>1050</v>
      </c>
      <c r="E1082" s="15">
        <v>41640</v>
      </c>
      <c r="F1082" s="15">
        <v>42004</v>
      </c>
      <c r="G1082" s="14" t="s">
        <v>415</v>
      </c>
      <c r="H1082" s="24">
        <v>0.05</v>
      </c>
      <c r="I1082" s="24">
        <v>0.05</v>
      </c>
      <c r="J1082" s="24">
        <v>0.05</v>
      </c>
      <c r="K1082" s="24">
        <v>0.05</v>
      </c>
      <c r="L1082" s="24">
        <v>0.05</v>
      </c>
      <c r="M1082" s="24">
        <v>0.05</v>
      </c>
      <c r="N1082" s="24">
        <v>0.05</v>
      </c>
      <c r="O1082" s="24">
        <v>0.05</v>
      </c>
      <c r="P1082" s="24">
        <v>0.05</v>
      </c>
      <c r="Q1082" s="24">
        <v>0.05</v>
      </c>
      <c r="R1082" s="24">
        <v>0.05</v>
      </c>
      <c r="S1082" s="24">
        <v>0.05</v>
      </c>
      <c r="T1082" s="24">
        <v>0.05</v>
      </c>
      <c r="U1082" s="24">
        <v>0.05</v>
      </c>
      <c r="V1082" s="24">
        <v>0.05</v>
      </c>
      <c r="W1082" s="24">
        <v>0.05</v>
      </c>
      <c r="X1082" s="24">
        <v>0.05</v>
      </c>
      <c r="Y1082" s="24">
        <v>0.05</v>
      </c>
      <c r="Z1082" s="24">
        <v>0.05</v>
      </c>
      <c r="AA1082" s="24">
        <v>0.05</v>
      </c>
      <c r="AB1082" s="24">
        <v>0.05</v>
      </c>
      <c r="AC1082" s="24">
        <v>0.05</v>
      </c>
      <c r="AD1082" s="24">
        <v>0.05</v>
      </c>
      <c r="AE1082" s="24">
        <v>0.05</v>
      </c>
      <c r="AF1082" s="14"/>
    </row>
    <row r="1083" spans="1:32" ht="14.25" customHeight="1" x14ac:dyDescent="0.35">
      <c r="A1083" s="24" t="s">
        <v>354</v>
      </c>
      <c r="B1083" s="14" t="s">
        <v>448</v>
      </c>
      <c r="C1083" s="24" t="s">
        <v>1049</v>
      </c>
      <c r="D1083" s="24" t="s">
        <v>791</v>
      </c>
      <c r="E1083" s="15">
        <v>41640</v>
      </c>
      <c r="F1083" s="15">
        <v>42004</v>
      </c>
      <c r="G1083" s="14" t="s">
        <v>415</v>
      </c>
      <c r="H1083" s="24">
        <v>0</v>
      </c>
      <c r="I1083" s="24">
        <v>0</v>
      </c>
      <c r="J1083" s="24">
        <v>0</v>
      </c>
      <c r="K1083" s="24">
        <v>0</v>
      </c>
      <c r="L1083" s="24">
        <v>0</v>
      </c>
      <c r="M1083" s="24">
        <v>0</v>
      </c>
      <c r="N1083" s="24">
        <v>0</v>
      </c>
      <c r="O1083" s="24">
        <v>0.1</v>
      </c>
      <c r="P1083" s="24">
        <v>0.7</v>
      </c>
      <c r="Q1083" s="24">
        <v>0.9</v>
      </c>
      <c r="R1083" s="24">
        <v>0.9</v>
      </c>
      <c r="S1083" s="24">
        <v>0.9</v>
      </c>
      <c r="T1083" s="24">
        <v>0.5</v>
      </c>
      <c r="U1083" s="24">
        <v>0.5</v>
      </c>
      <c r="V1083" s="24">
        <v>0.9</v>
      </c>
      <c r="W1083" s="24">
        <v>0.9</v>
      </c>
      <c r="X1083" s="24">
        <v>0.9</v>
      </c>
      <c r="Y1083" s="24">
        <v>0.7</v>
      </c>
      <c r="Z1083" s="24">
        <v>0.3</v>
      </c>
      <c r="AA1083" s="24">
        <v>0.1</v>
      </c>
      <c r="AB1083" s="24">
        <v>0.1</v>
      </c>
      <c r="AC1083" s="24">
        <v>0.1</v>
      </c>
      <c r="AD1083" s="24">
        <v>0.1</v>
      </c>
      <c r="AE1083" s="24">
        <v>0</v>
      </c>
      <c r="AF1083" s="14"/>
    </row>
    <row r="1084" spans="1:32" ht="14.25" customHeight="1" x14ac:dyDescent="0.35">
      <c r="A1084" s="24" t="s">
        <v>354</v>
      </c>
      <c r="B1084" s="14" t="s">
        <v>448</v>
      </c>
      <c r="C1084" s="24" t="s">
        <v>1049</v>
      </c>
      <c r="D1084" s="24" t="s">
        <v>512</v>
      </c>
      <c r="E1084" s="15">
        <v>41640</v>
      </c>
      <c r="F1084" s="15">
        <v>42004</v>
      </c>
      <c r="G1084" s="14" t="s">
        <v>415</v>
      </c>
      <c r="H1084" s="24">
        <v>0</v>
      </c>
      <c r="I1084" s="24">
        <v>0</v>
      </c>
      <c r="J1084" s="24">
        <v>0</v>
      </c>
      <c r="K1084" s="24">
        <v>0</v>
      </c>
      <c r="L1084" s="24">
        <v>0</v>
      </c>
      <c r="M1084" s="24">
        <v>0</v>
      </c>
      <c r="N1084" s="24">
        <v>0</v>
      </c>
      <c r="O1084" s="24">
        <v>0</v>
      </c>
      <c r="P1084" s="24">
        <v>0</v>
      </c>
      <c r="Q1084" s="24">
        <v>0</v>
      </c>
      <c r="R1084" s="24">
        <v>0</v>
      </c>
      <c r="S1084" s="24">
        <v>0</v>
      </c>
      <c r="T1084" s="24">
        <v>0</v>
      </c>
      <c r="U1084" s="24">
        <v>0</v>
      </c>
      <c r="V1084" s="24">
        <v>0</v>
      </c>
      <c r="W1084" s="24">
        <v>0</v>
      </c>
      <c r="X1084" s="24">
        <v>0</v>
      </c>
      <c r="Y1084" s="24">
        <v>0</v>
      </c>
      <c r="Z1084" s="24">
        <v>0</v>
      </c>
      <c r="AA1084" s="24">
        <v>0</v>
      </c>
      <c r="AB1084" s="24">
        <v>0</v>
      </c>
      <c r="AC1084" s="24">
        <v>0</v>
      </c>
      <c r="AD1084" s="24">
        <v>0</v>
      </c>
      <c r="AE1084" s="24">
        <v>0</v>
      </c>
      <c r="AF1084" s="14"/>
    </row>
    <row r="1085" spans="1:32" ht="14.25" customHeight="1" x14ac:dyDescent="0.35">
      <c r="A1085" s="24" t="s">
        <v>354</v>
      </c>
      <c r="B1085" s="14" t="s">
        <v>448</v>
      </c>
      <c r="C1085" s="24" t="s">
        <v>1049</v>
      </c>
      <c r="D1085" s="24" t="s">
        <v>1050</v>
      </c>
      <c r="E1085" s="15">
        <v>41640</v>
      </c>
      <c r="F1085" s="15">
        <v>42004</v>
      </c>
      <c r="G1085" s="14" t="s">
        <v>415</v>
      </c>
      <c r="H1085" s="24">
        <v>0</v>
      </c>
      <c r="I1085" s="24">
        <v>0</v>
      </c>
      <c r="J1085" s="24">
        <v>0</v>
      </c>
      <c r="K1085" s="24">
        <v>0</v>
      </c>
      <c r="L1085" s="24">
        <v>0</v>
      </c>
      <c r="M1085" s="24">
        <v>0</v>
      </c>
      <c r="N1085" s="24">
        <v>0</v>
      </c>
      <c r="O1085" s="24">
        <v>0</v>
      </c>
      <c r="P1085" s="24">
        <v>0</v>
      </c>
      <c r="Q1085" s="24">
        <v>0</v>
      </c>
      <c r="R1085" s="24">
        <v>0</v>
      </c>
      <c r="S1085" s="24">
        <v>0</v>
      </c>
      <c r="T1085" s="24">
        <v>0</v>
      </c>
      <c r="U1085" s="24">
        <v>0</v>
      </c>
      <c r="V1085" s="24">
        <v>0</v>
      </c>
      <c r="W1085" s="24">
        <v>0</v>
      </c>
      <c r="X1085" s="24">
        <v>0</v>
      </c>
      <c r="Y1085" s="24">
        <v>0</v>
      </c>
      <c r="Z1085" s="24">
        <v>0</v>
      </c>
      <c r="AA1085" s="24">
        <v>0</v>
      </c>
      <c r="AB1085" s="24">
        <v>0</v>
      </c>
      <c r="AC1085" s="24">
        <v>0</v>
      </c>
      <c r="AD1085" s="24">
        <v>0</v>
      </c>
      <c r="AE1085" s="24">
        <v>0</v>
      </c>
      <c r="AF1085" s="14"/>
    </row>
    <row r="1086" spans="1:32" ht="14.25" customHeight="1" x14ac:dyDescent="0.35">
      <c r="A1086" s="24" t="s">
        <v>1054</v>
      </c>
      <c r="B1086" s="14" t="s">
        <v>1055</v>
      </c>
      <c r="C1086" s="24" t="s">
        <v>1049</v>
      </c>
      <c r="D1086" s="24" t="s">
        <v>791</v>
      </c>
      <c r="E1086" s="15">
        <v>41640</v>
      </c>
      <c r="F1086" s="15">
        <v>42004</v>
      </c>
      <c r="G1086" s="14" t="s">
        <v>415</v>
      </c>
      <c r="H1086" s="24">
        <v>0.2</v>
      </c>
      <c r="I1086" s="24">
        <v>0.2</v>
      </c>
      <c r="J1086" s="24">
        <v>0.2</v>
      </c>
      <c r="K1086" s="24">
        <v>0.2</v>
      </c>
      <c r="L1086" s="24">
        <v>0.2</v>
      </c>
      <c r="M1086" s="24">
        <v>0.2</v>
      </c>
      <c r="N1086" s="24">
        <v>0.2</v>
      </c>
      <c r="O1086" s="24">
        <v>0.3</v>
      </c>
      <c r="P1086" s="24">
        <v>0.8</v>
      </c>
      <c r="Q1086" s="24">
        <v>0.9</v>
      </c>
      <c r="R1086" s="24">
        <v>0.9</v>
      </c>
      <c r="S1086" s="24">
        <v>0.9</v>
      </c>
      <c r="T1086" s="24">
        <v>0.9</v>
      </c>
      <c r="U1086" s="24">
        <v>0.9</v>
      </c>
      <c r="V1086" s="24">
        <v>0.9</v>
      </c>
      <c r="W1086" s="24">
        <v>0.9</v>
      </c>
      <c r="X1086" s="24">
        <v>0.9</v>
      </c>
      <c r="Y1086" s="24">
        <v>0.9</v>
      </c>
      <c r="Z1086" s="24">
        <v>0.5</v>
      </c>
      <c r="AA1086" s="24">
        <v>0.3</v>
      </c>
      <c r="AB1086" s="24">
        <v>0.3</v>
      </c>
      <c r="AC1086" s="24">
        <v>0.2</v>
      </c>
      <c r="AD1086" s="24">
        <v>0.2</v>
      </c>
      <c r="AE1086" s="24">
        <v>0.2</v>
      </c>
      <c r="AF1086" s="14"/>
    </row>
    <row r="1087" spans="1:32" ht="14.25" customHeight="1" x14ac:dyDescent="0.35">
      <c r="A1087" s="24" t="s">
        <v>1054</v>
      </c>
      <c r="B1087" s="14" t="s">
        <v>1055</v>
      </c>
      <c r="C1087" s="24" t="s">
        <v>1049</v>
      </c>
      <c r="D1087" s="24" t="s">
        <v>512</v>
      </c>
      <c r="E1087" s="15">
        <v>41640</v>
      </c>
      <c r="F1087" s="15">
        <v>42004</v>
      </c>
      <c r="G1087" s="14" t="s">
        <v>415</v>
      </c>
      <c r="H1087" s="24">
        <v>0.2</v>
      </c>
      <c r="I1087" s="24">
        <v>0.2</v>
      </c>
      <c r="J1087" s="24">
        <v>0.2</v>
      </c>
      <c r="K1087" s="24">
        <v>0.2</v>
      </c>
      <c r="L1087" s="24">
        <v>0.2</v>
      </c>
      <c r="M1087" s="24">
        <v>0.2</v>
      </c>
      <c r="N1087" s="24">
        <v>0.2</v>
      </c>
      <c r="O1087" s="24">
        <v>0.2</v>
      </c>
      <c r="P1087" s="24">
        <v>0.2</v>
      </c>
      <c r="Q1087" s="24">
        <v>0.2</v>
      </c>
      <c r="R1087" s="24">
        <v>0.2</v>
      </c>
      <c r="S1087" s="24">
        <v>0.2</v>
      </c>
      <c r="T1087" s="24">
        <v>0.2</v>
      </c>
      <c r="U1087" s="24">
        <v>0.2</v>
      </c>
      <c r="V1087" s="24">
        <v>0.2</v>
      </c>
      <c r="W1087" s="24">
        <v>0.2</v>
      </c>
      <c r="X1087" s="24">
        <v>0.2</v>
      </c>
      <c r="Y1087" s="24">
        <v>0.2</v>
      </c>
      <c r="Z1087" s="24">
        <v>0.2</v>
      </c>
      <c r="AA1087" s="24">
        <v>0.2</v>
      </c>
      <c r="AB1087" s="24">
        <v>0.2</v>
      </c>
      <c r="AC1087" s="24">
        <v>0.2</v>
      </c>
      <c r="AD1087" s="24">
        <v>0.2</v>
      </c>
      <c r="AE1087" s="24">
        <v>0.2</v>
      </c>
      <c r="AF1087" s="14"/>
    </row>
    <row r="1088" spans="1:32" ht="14.25" customHeight="1" x14ac:dyDescent="0.35">
      <c r="A1088" s="24" t="s">
        <v>1054</v>
      </c>
      <c r="B1088" s="14" t="s">
        <v>1055</v>
      </c>
      <c r="C1088" s="24" t="s">
        <v>1049</v>
      </c>
      <c r="D1088" s="24" t="s">
        <v>1050</v>
      </c>
      <c r="E1088" s="15">
        <v>41640</v>
      </c>
      <c r="F1088" s="15">
        <v>42004</v>
      </c>
      <c r="G1088" s="14" t="s">
        <v>415</v>
      </c>
      <c r="H1088" s="24">
        <v>0.2</v>
      </c>
      <c r="I1088" s="24">
        <v>0.2</v>
      </c>
      <c r="J1088" s="24">
        <v>0.2</v>
      </c>
      <c r="K1088" s="24">
        <v>0.2</v>
      </c>
      <c r="L1088" s="24">
        <v>0.2</v>
      </c>
      <c r="M1088" s="24">
        <v>0.2</v>
      </c>
      <c r="N1088" s="24">
        <v>0.2</v>
      </c>
      <c r="O1088" s="24">
        <v>0.2</v>
      </c>
      <c r="P1088" s="24">
        <v>0.2</v>
      </c>
      <c r="Q1088" s="24">
        <v>0.2</v>
      </c>
      <c r="R1088" s="24">
        <v>0.2</v>
      </c>
      <c r="S1088" s="24">
        <v>0.2</v>
      </c>
      <c r="T1088" s="24">
        <v>0.2</v>
      </c>
      <c r="U1088" s="24">
        <v>0.2</v>
      </c>
      <c r="V1088" s="24">
        <v>0.2</v>
      </c>
      <c r="W1088" s="24">
        <v>0.2</v>
      </c>
      <c r="X1088" s="24">
        <v>0.2</v>
      </c>
      <c r="Y1088" s="24">
        <v>0.2</v>
      </c>
      <c r="Z1088" s="24">
        <v>0.2</v>
      </c>
      <c r="AA1088" s="24">
        <v>0.2</v>
      </c>
      <c r="AB1088" s="24">
        <v>0.2</v>
      </c>
      <c r="AC1088" s="24">
        <v>0.2</v>
      </c>
      <c r="AD1088" s="24">
        <v>0.2</v>
      </c>
      <c r="AE1088" s="24">
        <v>0.2</v>
      </c>
      <c r="AF1088" s="14"/>
    </row>
    <row r="1089" spans="1:32" ht="14.25" customHeight="1" x14ac:dyDescent="0.35">
      <c r="A1089" s="24" t="s">
        <v>1056</v>
      </c>
      <c r="B1089" s="14" t="s">
        <v>460</v>
      </c>
      <c r="C1089" s="24" t="s">
        <v>1049</v>
      </c>
      <c r="D1089" s="24" t="s">
        <v>791</v>
      </c>
      <c r="E1089" s="15">
        <v>41640</v>
      </c>
      <c r="F1089" s="15">
        <v>42004</v>
      </c>
      <c r="G1089" s="14" t="s">
        <v>415</v>
      </c>
      <c r="H1089" s="24">
        <v>0.05</v>
      </c>
      <c r="I1089" s="24">
        <v>0.05</v>
      </c>
      <c r="J1089" s="24">
        <v>0.05</v>
      </c>
      <c r="K1089" s="24">
        <v>0.05</v>
      </c>
      <c r="L1089" s="24">
        <v>0.05</v>
      </c>
      <c r="M1089" s="24">
        <v>0.05</v>
      </c>
      <c r="N1089" s="24">
        <v>0.05</v>
      </c>
      <c r="O1089" s="24">
        <v>0.1</v>
      </c>
      <c r="P1089" s="24">
        <v>0.5</v>
      </c>
      <c r="Q1089" s="24">
        <v>0.5</v>
      </c>
      <c r="R1089" s="24">
        <v>0.9</v>
      </c>
      <c r="S1089" s="24">
        <v>0.9</v>
      </c>
      <c r="T1089" s="24">
        <v>0.9</v>
      </c>
      <c r="U1089" s="24">
        <v>0.9</v>
      </c>
      <c r="V1089" s="24">
        <v>0.9</v>
      </c>
      <c r="W1089" s="24">
        <v>0.9</v>
      </c>
      <c r="X1089" s="24">
        <v>0.7</v>
      </c>
      <c r="Y1089" s="24">
        <v>0.5</v>
      </c>
      <c r="Z1089" s="24">
        <v>0.3</v>
      </c>
      <c r="AA1089" s="24">
        <v>0.2</v>
      </c>
      <c r="AB1089" s="24">
        <v>0.2</v>
      </c>
      <c r="AC1089" s="24">
        <v>0.2</v>
      </c>
      <c r="AD1089" s="24">
        <v>0.05</v>
      </c>
      <c r="AE1089" s="24">
        <v>0.05</v>
      </c>
      <c r="AF1089" s="14"/>
    </row>
    <row r="1090" spans="1:32" ht="14.25" customHeight="1" x14ac:dyDescent="0.35">
      <c r="A1090" s="24" t="s">
        <v>1056</v>
      </c>
      <c r="B1090" s="14" t="s">
        <v>460</v>
      </c>
      <c r="C1090" s="24" t="s">
        <v>1049</v>
      </c>
      <c r="D1090" s="24" t="s">
        <v>512</v>
      </c>
      <c r="E1090" s="15">
        <v>41640</v>
      </c>
      <c r="F1090" s="15">
        <v>42004</v>
      </c>
      <c r="G1090" s="14" t="s">
        <v>415</v>
      </c>
      <c r="H1090" s="24">
        <v>0.05</v>
      </c>
      <c r="I1090" s="24">
        <v>0.05</v>
      </c>
      <c r="J1090" s="24">
        <v>0.05</v>
      </c>
      <c r="K1090" s="24">
        <v>0.05</v>
      </c>
      <c r="L1090" s="24">
        <v>0.05</v>
      </c>
      <c r="M1090" s="24">
        <v>0.05</v>
      </c>
      <c r="N1090" s="24">
        <v>0.05</v>
      </c>
      <c r="O1090" s="24">
        <v>0.05</v>
      </c>
      <c r="P1090" s="24">
        <v>0.05</v>
      </c>
      <c r="Q1090" s="24">
        <v>0.05</v>
      </c>
      <c r="R1090" s="24">
        <v>0.05</v>
      </c>
      <c r="S1090" s="24">
        <v>0.05</v>
      </c>
      <c r="T1090" s="24">
        <v>0.05</v>
      </c>
      <c r="U1090" s="24">
        <v>0.05</v>
      </c>
      <c r="V1090" s="24">
        <v>0.05</v>
      </c>
      <c r="W1090" s="24">
        <v>0.05</v>
      </c>
      <c r="X1090" s="24">
        <v>0.05</v>
      </c>
      <c r="Y1090" s="24">
        <v>0.05</v>
      </c>
      <c r="Z1090" s="24">
        <v>0.05</v>
      </c>
      <c r="AA1090" s="24">
        <v>0.05</v>
      </c>
      <c r="AB1090" s="24">
        <v>0.05</v>
      </c>
      <c r="AC1090" s="24">
        <v>0.05</v>
      </c>
      <c r="AD1090" s="24">
        <v>0.05</v>
      </c>
      <c r="AE1090" s="24">
        <v>0.05</v>
      </c>
      <c r="AF1090" s="14"/>
    </row>
    <row r="1091" spans="1:32" ht="14.25" customHeight="1" x14ac:dyDescent="0.35">
      <c r="A1091" s="24" t="s">
        <v>1056</v>
      </c>
      <c r="B1091" s="14" t="s">
        <v>460</v>
      </c>
      <c r="C1091" s="24" t="s">
        <v>1049</v>
      </c>
      <c r="D1091" s="24" t="s">
        <v>1050</v>
      </c>
      <c r="E1091" s="15">
        <v>41640</v>
      </c>
      <c r="F1091" s="15">
        <v>42004</v>
      </c>
      <c r="G1091" s="14" t="s">
        <v>415</v>
      </c>
      <c r="H1091" s="24">
        <v>0.05</v>
      </c>
      <c r="I1091" s="24">
        <v>0.05</v>
      </c>
      <c r="J1091" s="24">
        <v>0.05</v>
      </c>
      <c r="K1091" s="24">
        <v>0.05</v>
      </c>
      <c r="L1091" s="24">
        <v>0.05</v>
      </c>
      <c r="M1091" s="24">
        <v>0.05</v>
      </c>
      <c r="N1091" s="24">
        <v>0.05</v>
      </c>
      <c r="O1091" s="24">
        <v>0.05</v>
      </c>
      <c r="P1091" s="24">
        <v>0.05</v>
      </c>
      <c r="Q1091" s="24">
        <v>0.05</v>
      </c>
      <c r="R1091" s="24">
        <v>0.05</v>
      </c>
      <c r="S1091" s="24">
        <v>0.05</v>
      </c>
      <c r="T1091" s="24">
        <v>0.05</v>
      </c>
      <c r="U1091" s="24">
        <v>0.05</v>
      </c>
      <c r="V1091" s="24">
        <v>0.05</v>
      </c>
      <c r="W1091" s="24">
        <v>0.05</v>
      </c>
      <c r="X1091" s="24">
        <v>0.05</v>
      </c>
      <c r="Y1091" s="24">
        <v>0.05</v>
      </c>
      <c r="Z1091" s="24">
        <v>0.05</v>
      </c>
      <c r="AA1091" s="24">
        <v>0.05</v>
      </c>
      <c r="AB1091" s="24">
        <v>0.05</v>
      </c>
      <c r="AC1091" s="24">
        <v>0.05</v>
      </c>
      <c r="AD1091" s="24">
        <v>0.05</v>
      </c>
      <c r="AE1091" s="24">
        <v>0.05</v>
      </c>
      <c r="AF1091" s="14"/>
    </row>
    <row r="1092" spans="1:32" ht="14.25" customHeight="1" x14ac:dyDescent="0.35">
      <c r="A1092" s="24" t="s">
        <v>1057</v>
      </c>
      <c r="B1092" s="14" t="s">
        <v>420</v>
      </c>
      <c r="C1092" s="24" t="s">
        <v>1058</v>
      </c>
      <c r="D1092" s="24" t="s">
        <v>791</v>
      </c>
      <c r="E1092" s="15">
        <v>41640</v>
      </c>
      <c r="F1092" s="15">
        <v>42004</v>
      </c>
      <c r="G1092" s="14" t="s">
        <v>415</v>
      </c>
      <c r="H1092" s="24">
        <v>35</v>
      </c>
      <c r="I1092" s="24">
        <v>35</v>
      </c>
      <c r="J1092" s="24">
        <v>35</v>
      </c>
      <c r="K1092" s="24">
        <v>35</v>
      </c>
      <c r="L1092" s="24">
        <v>35</v>
      </c>
      <c r="M1092" s="24">
        <v>35</v>
      </c>
      <c r="N1092" s="24">
        <v>24</v>
      </c>
      <c r="O1092" s="24">
        <v>24</v>
      </c>
      <c r="P1092" s="24">
        <v>24</v>
      </c>
      <c r="Q1092" s="24">
        <v>24</v>
      </c>
      <c r="R1092" s="24">
        <v>24</v>
      </c>
      <c r="S1092" s="24">
        <v>24</v>
      </c>
      <c r="T1092" s="24">
        <v>24</v>
      </c>
      <c r="U1092" s="24">
        <v>24</v>
      </c>
      <c r="V1092" s="24">
        <v>24</v>
      </c>
      <c r="W1092" s="24">
        <v>24</v>
      </c>
      <c r="X1092" s="24">
        <v>24</v>
      </c>
      <c r="Y1092" s="24">
        <v>24</v>
      </c>
      <c r="Z1092" s="24">
        <v>24</v>
      </c>
      <c r="AA1092" s="24">
        <v>24</v>
      </c>
      <c r="AB1092" s="24">
        <v>24</v>
      </c>
      <c r="AC1092" s="24">
        <v>35</v>
      </c>
      <c r="AD1092" s="24">
        <v>35</v>
      </c>
      <c r="AE1092" s="24">
        <v>35</v>
      </c>
      <c r="AF1092" s="14"/>
    </row>
    <row r="1093" spans="1:32" ht="14.25" customHeight="1" x14ac:dyDescent="0.35">
      <c r="A1093" s="24" t="s">
        <v>1057</v>
      </c>
      <c r="B1093" s="14" t="s">
        <v>420</v>
      </c>
      <c r="C1093" s="24" t="s">
        <v>1058</v>
      </c>
      <c r="D1093" s="24" t="s">
        <v>512</v>
      </c>
      <c r="E1093" s="15">
        <v>41640</v>
      </c>
      <c r="F1093" s="15">
        <v>42004</v>
      </c>
      <c r="G1093" s="14" t="s">
        <v>415</v>
      </c>
      <c r="H1093" s="24">
        <v>35</v>
      </c>
      <c r="I1093" s="24">
        <v>35</v>
      </c>
      <c r="J1093" s="24">
        <v>35</v>
      </c>
      <c r="K1093" s="24">
        <v>35</v>
      </c>
      <c r="L1093" s="24">
        <v>35</v>
      </c>
      <c r="M1093" s="24">
        <v>35</v>
      </c>
      <c r="N1093" s="24">
        <v>35</v>
      </c>
      <c r="O1093" s="24">
        <v>35</v>
      </c>
      <c r="P1093" s="24">
        <v>35</v>
      </c>
      <c r="Q1093" s="24">
        <v>35</v>
      </c>
      <c r="R1093" s="24">
        <v>35</v>
      </c>
      <c r="S1093" s="24">
        <v>35</v>
      </c>
      <c r="T1093" s="24">
        <v>35</v>
      </c>
      <c r="U1093" s="24">
        <v>35</v>
      </c>
      <c r="V1093" s="24">
        <v>35</v>
      </c>
      <c r="W1093" s="24">
        <v>35</v>
      </c>
      <c r="X1093" s="24">
        <v>35</v>
      </c>
      <c r="Y1093" s="24">
        <v>35</v>
      </c>
      <c r="Z1093" s="24">
        <v>35</v>
      </c>
      <c r="AA1093" s="24">
        <v>35</v>
      </c>
      <c r="AB1093" s="24">
        <v>35</v>
      </c>
      <c r="AC1093" s="24">
        <v>35</v>
      </c>
      <c r="AD1093" s="24">
        <v>35</v>
      </c>
      <c r="AE1093" s="24">
        <v>35</v>
      </c>
      <c r="AF1093" s="14"/>
    </row>
    <row r="1094" spans="1:32" ht="14.25" customHeight="1" x14ac:dyDescent="0.35">
      <c r="A1094" s="24" t="s">
        <v>1057</v>
      </c>
      <c r="B1094" s="14" t="s">
        <v>420</v>
      </c>
      <c r="C1094" s="24" t="s">
        <v>1058</v>
      </c>
      <c r="D1094" s="24" t="s">
        <v>1050</v>
      </c>
      <c r="E1094" s="15">
        <v>41640</v>
      </c>
      <c r="F1094" s="15">
        <v>42004</v>
      </c>
      <c r="G1094" s="14" t="s">
        <v>415</v>
      </c>
      <c r="H1094" s="24">
        <v>35</v>
      </c>
      <c r="I1094" s="24">
        <v>35</v>
      </c>
      <c r="J1094" s="24">
        <v>35</v>
      </c>
      <c r="K1094" s="24">
        <v>35</v>
      </c>
      <c r="L1094" s="24">
        <v>35</v>
      </c>
      <c r="M1094" s="24">
        <v>35</v>
      </c>
      <c r="N1094" s="24">
        <v>35</v>
      </c>
      <c r="O1094" s="24">
        <v>35</v>
      </c>
      <c r="P1094" s="24">
        <v>35</v>
      </c>
      <c r="Q1094" s="24">
        <v>35</v>
      </c>
      <c r="R1094" s="24">
        <v>35</v>
      </c>
      <c r="S1094" s="24">
        <v>35</v>
      </c>
      <c r="T1094" s="24">
        <v>35</v>
      </c>
      <c r="U1094" s="24">
        <v>35</v>
      </c>
      <c r="V1094" s="24">
        <v>35</v>
      </c>
      <c r="W1094" s="24">
        <v>35</v>
      </c>
      <c r="X1094" s="24">
        <v>35</v>
      </c>
      <c r="Y1094" s="24">
        <v>35</v>
      </c>
      <c r="Z1094" s="24">
        <v>35</v>
      </c>
      <c r="AA1094" s="24">
        <v>35</v>
      </c>
      <c r="AB1094" s="24">
        <v>35</v>
      </c>
      <c r="AC1094" s="24">
        <v>35</v>
      </c>
      <c r="AD1094" s="24">
        <v>35</v>
      </c>
      <c r="AE1094" s="24">
        <v>35</v>
      </c>
      <c r="AF1094" s="14"/>
    </row>
    <row r="1095" spans="1:32" ht="14.25" customHeight="1" x14ac:dyDescent="0.35">
      <c r="A1095" s="24" t="s">
        <v>1059</v>
      </c>
      <c r="B1095" s="14" t="s">
        <v>420</v>
      </c>
      <c r="C1095" s="24" t="s">
        <v>1058</v>
      </c>
      <c r="D1095" s="24" t="s">
        <v>791</v>
      </c>
      <c r="E1095" s="15">
        <v>41640</v>
      </c>
      <c r="F1095" s="15">
        <v>42004</v>
      </c>
      <c r="G1095" s="14" t="s">
        <v>415</v>
      </c>
      <c r="H1095" s="24">
        <v>18</v>
      </c>
      <c r="I1095" s="24">
        <v>18</v>
      </c>
      <c r="J1095" s="24">
        <v>18</v>
      </c>
      <c r="K1095" s="24">
        <v>18</v>
      </c>
      <c r="L1095" s="24">
        <v>18</v>
      </c>
      <c r="M1095" s="24">
        <v>18</v>
      </c>
      <c r="N1095" s="24">
        <v>20</v>
      </c>
      <c r="O1095" s="24">
        <v>22</v>
      </c>
      <c r="P1095" s="24">
        <v>22</v>
      </c>
      <c r="Q1095" s="24">
        <v>22</v>
      </c>
      <c r="R1095" s="24">
        <v>22</v>
      </c>
      <c r="S1095" s="24">
        <v>22</v>
      </c>
      <c r="T1095" s="24">
        <v>22</v>
      </c>
      <c r="U1095" s="24">
        <v>22</v>
      </c>
      <c r="V1095" s="24">
        <v>22</v>
      </c>
      <c r="W1095" s="24">
        <v>22</v>
      </c>
      <c r="X1095" s="24">
        <v>22</v>
      </c>
      <c r="Y1095" s="24">
        <v>22</v>
      </c>
      <c r="Z1095" s="24">
        <v>22</v>
      </c>
      <c r="AA1095" s="24">
        <v>22</v>
      </c>
      <c r="AB1095" s="24">
        <v>22</v>
      </c>
      <c r="AC1095" s="24">
        <v>18</v>
      </c>
      <c r="AD1095" s="24">
        <v>18</v>
      </c>
      <c r="AE1095" s="24">
        <v>18</v>
      </c>
      <c r="AF1095" s="14"/>
    </row>
    <row r="1096" spans="1:32" ht="14.25" customHeight="1" x14ac:dyDescent="0.35">
      <c r="A1096" s="24" t="s">
        <v>1059</v>
      </c>
      <c r="B1096" s="14" t="s">
        <v>420</v>
      </c>
      <c r="C1096" s="24" t="s">
        <v>1058</v>
      </c>
      <c r="D1096" s="24" t="s">
        <v>512</v>
      </c>
      <c r="E1096" s="15">
        <v>41640</v>
      </c>
      <c r="F1096" s="15">
        <v>42004</v>
      </c>
      <c r="G1096" s="14" t="s">
        <v>415</v>
      </c>
      <c r="H1096" s="24">
        <v>18</v>
      </c>
      <c r="I1096" s="24">
        <v>18</v>
      </c>
      <c r="J1096" s="24">
        <v>18</v>
      </c>
      <c r="K1096" s="24">
        <v>18</v>
      </c>
      <c r="L1096" s="24">
        <v>18</v>
      </c>
      <c r="M1096" s="24">
        <v>18</v>
      </c>
      <c r="N1096" s="24">
        <v>18</v>
      </c>
      <c r="O1096" s="24">
        <v>18</v>
      </c>
      <c r="P1096" s="24">
        <v>18</v>
      </c>
      <c r="Q1096" s="24">
        <v>18</v>
      </c>
      <c r="R1096" s="24">
        <v>18</v>
      </c>
      <c r="S1096" s="24">
        <v>18</v>
      </c>
      <c r="T1096" s="24">
        <v>18</v>
      </c>
      <c r="U1096" s="24">
        <v>18</v>
      </c>
      <c r="V1096" s="24">
        <v>18</v>
      </c>
      <c r="W1096" s="24">
        <v>18</v>
      </c>
      <c r="X1096" s="24">
        <v>18</v>
      </c>
      <c r="Y1096" s="24">
        <v>18</v>
      </c>
      <c r="Z1096" s="24">
        <v>18</v>
      </c>
      <c r="AA1096" s="24">
        <v>18</v>
      </c>
      <c r="AB1096" s="24">
        <v>18</v>
      </c>
      <c r="AC1096" s="24">
        <v>18</v>
      </c>
      <c r="AD1096" s="24">
        <v>18</v>
      </c>
      <c r="AE1096" s="24">
        <v>18</v>
      </c>
      <c r="AF1096" s="14"/>
    </row>
    <row r="1097" spans="1:32" ht="14.25" customHeight="1" x14ac:dyDescent="0.35">
      <c r="A1097" s="24" t="s">
        <v>1059</v>
      </c>
      <c r="B1097" s="14" t="s">
        <v>420</v>
      </c>
      <c r="C1097" s="24" t="s">
        <v>1058</v>
      </c>
      <c r="D1097" s="24" t="s">
        <v>1050</v>
      </c>
      <c r="E1097" s="15">
        <v>41640</v>
      </c>
      <c r="F1097" s="15">
        <v>42004</v>
      </c>
      <c r="G1097" s="14" t="s">
        <v>415</v>
      </c>
      <c r="H1097" s="24">
        <v>18</v>
      </c>
      <c r="I1097" s="24">
        <v>18</v>
      </c>
      <c r="J1097" s="24">
        <v>18</v>
      </c>
      <c r="K1097" s="24">
        <v>18</v>
      </c>
      <c r="L1097" s="24">
        <v>18</v>
      </c>
      <c r="M1097" s="24">
        <v>18</v>
      </c>
      <c r="N1097" s="24">
        <v>18</v>
      </c>
      <c r="O1097" s="24">
        <v>18</v>
      </c>
      <c r="P1097" s="24">
        <v>18</v>
      </c>
      <c r="Q1097" s="24">
        <v>18</v>
      </c>
      <c r="R1097" s="24">
        <v>18</v>
      </c>
      <c r="S1097" s="24">
        <v>18</v>
      </c>
      <c r="T1097" s="24">
        <v>18</v>
      </c>
      <c r="U1097" s="24">
        <v>18</v>
      </c>
      <c r="V1097" s="24">
        <v>18</v>
      </c>
      <c r="W1097" s="24">
        <v>18</v>
      </c>
      <c r="X1097" s="24">
        <v>18</v>
      </c>
      <c r="Y1097" s="24">
        <v>18</v>
      </c>
      <c r="Z1097" s="24">
        <v>18</v>
      </c>
      <c r="AA1097" s="24">
        <v>18</v>
      </c>
      <c r="AB1097" s="24">
        <v>18</v>
      </c>
      <c r="AC1097" s="24">
        <v>18</v>
      </c>
      <c r="AD1097" s="24">
        <v>18</v>
      </c>
      <c r="AE1097" s="24">
        <v>18</v>
      </c>
      <c r="AF1097" s="14"/>
    </row>
    <row r="1098" spans="1:32" ht="14.25" customHeight="1" x14ac:dyDescent="0.35">
      <c r="A1098" s="24" t="s">
        <v>338</v>
      </c>
      <c r="B1098" s="14" t="s">
        <v>427</v>
      </c>
      <c r="C1098" s="24" t="s">
        <v>1049</v>
      </c>
      <c r="D1098" s="24" t="s">
        <v>791</v>
      </c>
      <c r="E1098" s="15">
        <v>41640</v>
      </c>
      <c r="F1098" s="15">
        <v>42004</v>
      </c>
      <c r="G1098" s="14" t="s">
        <v>415</v>
      </c>
      <c r="H1098" s="24">
        <v>0.9</v>
      </c>
      <c r="I1098" s="24">
        <v>0.5</v>
      </c>
      <c r="J1098" s="24">
        <v>0.1</v>
      </c>
      <c r="K1098" s="24">
        <v>0.1</v>
      </c>
      <c r="L1098" s="24">
        <v>0.1</v>
      </c>
      <c r="M1098" s="24">
        <v>0.1</v>
      </c>
      <c r="N1098" s="24">
        <v>0.1</v>
      </c>
      <c r="O1098" s="24">
        <v>0.1</v>
      </c>
      <c r="P1098" s="24">
        <v>0.1</v>
      </c>
      <c r="Q1098" s="24">
        <v>0.5</v>
      </c>
      <c r="R1098" s="24">
        <v>0.7</v>
      </c>
      <c r="S1098" s="24">
        <v>0.9</v>
      </c>
      <c r="T1098" s="24">
        <v>0.9</v>
      </c>
      <c r="U1098" s="24">
        <v>0.9</v>
      </c>
      <c r="V1098" s="24">
        <v>0.9</v>
      </c>
      <c r="W1098" s="24">
        <v>0.9</v>
      </c>
      <c r="X1098" s="24">
        <v>0.9</v>
      </c>
      <c r="Y1098" s="24">
        <v>0.9</v>
      </c>
      <c r="Z1098" s="24">
        <v>0.9</v>
      </c>
      <c r="AA1098" s="24">
        <v>0.9</v>
      </c>
      <c r="AB1098" s="24">
        <v>0.9</v>
      </c>
      <c r="AC1098" s="24">
        <v>0.9</v>
      </c>
      <c r="AD1098" s="24">
        <v>0.9</v>
      </c>
      <c r="AE1098" s="24">
        <v>0.9</v>
      </c>
      <c r="AF1098" s="14"/>
    </row>
    <row r="1099" spans="1:32" ht="14.25" customHeight="1" x14ac:dyDescent="0.35">
      <c r="A1099" s="24" t="s">
        <v>338</v>
      </c>
      <c r="B1099" s="14" t="s">
        <v>427</v>
      </c>
      <c r="C1099" s="24" t="s">
        <v>1049</v>
      </c>
      <c r="D1099" s="24" t="s">
        <v>512</v>
      </c>
      <c r="E1099" s="15">
        <v>41640</v>
      </c>
      <c r="F1099" s="15">
        <v>42004</v>
      </c>
      <c r="G1099" s="14" t="s">
        <v>415</v>
      </c>
      <c r="H1099" s="24">
        <v>0.9</v>
      </c>
      <c r="I1099" s="24">
        <v>0.5</v>
      </c>
      <c r="J1099" s="24">
        <v>0.1</v>
      </c>
      <c r="K1099" s="24">
        <v>0.1</v>
      </c>
      <c r="L1099" s="24">
        <v>0.1</v>
      </c>
      <c r="M1099" s="24">
        <v>0.1</v>
      </c>
      <c r="N1099" s="24">
        <v>0.1</v>
      </c>
      <c r="O1099" s="24">
        <v>0.1</v>
      </c>
      <c r="P1099" s="24">
        <v>0.1</v>
      </c>
      <c r="Q1099" s="24">
        <v>0.5</v>
      </c>
      <c r="R1099" s="24">
        <v>0.7</v>
      </c>
      <c r="S1099" s="24">
        <v>0.9</v>
      </c>
      <c r="T1099" s="24">
        <v>0.9</v>
      </c>
      <c r="U1099" s="24">
        <v>0.9</v>
      </c>
      <c r="V1099" s="24">
        <v>0.9</v>
      </c>
      <c r="W1099" s="24">
        <v>0.9</v>
      </c>
      <c r="X1099" s="24">
        <v>0.9</v>
      </c>
      <c r="Y1099" s="24">
        <v>0.9</v>
      </c>
      <c r="Z1099" s="24">
        <v>0.9</v>
      </c>
      <c r="AA1099" s="24">
        <v>0.9</v>
      </c>
      <c r="AB1099" s="24">
        <v>0.9</v>
      </c>
      <c r="AC1099" s="24">
        <v>0.9</v>
      </c>
      <c r="AD1099" s="24">
        <v>0.9</v>
      </c>
      <c r="AE1099" s="24">
        <v>0.9</v>
      </c>
      <c r="AF1099" s="14"/>
    </row>
    <row r="1100" spans="1:32" ht="14.25" customHeight="1" x14ac:dyDescent="0.35">
      <c r="A1100" s="24" t="s">
        <v>338</v>
      </c>
      <c r="B1100" s="14" t="s">
        <v>427</v>
      </c>
      <c r="C1100" s="24" t="s">
        <v>1049</v>
      </c>
      <c r="D1100" s="24" t="s">
        <v>1050</v>
      </c>
      <c r="E1100" s="15">
        <v>41640</v>
      </c>
      <c r="F1100" s="15">
        <v>42004</v>
      </c>
      <c r="G1100" s="14" t="s">
        <v>415</v>
      </c>
      <c r="H1100" s="24">
        <v>0.5</v>
      </c>
      <c r="I1100" s="24">
        <v>0.5</v>
      </c>
      <c r="J1100" s="24">
        <v>0.1</v>
      </c>
      <c r="K1100" s="24">
        <v>0.1</v>
      </c>
      <c r="L1100" s="24">
        <v>0.1</v>
      </c>
      <c r="M1100" s="24">
        <v>0.1</v>
      </c>
      <c r="N1100" s="24">
        <v>0.1</v>
      </c>
      <c r="O1100" s="24">
        <v>0.1</v>
      </c>
      <c r="P1100" s="24">
        <v>0.1</v>
      </c>
      <c r="Q1100" s="24">
        <v>0.1</v>
      </c>
      <c r="R1100" s="24">
        <v>0.5</v>
      </c>
      <c r="S1100" s="24">
        <v>0.9</v>
      </c>
      <c r="T1100" s="24">
        <v>0.9</v>
      </c>
      <c r="U1100" s="24">
        <v>0.9</v>
      </c>
      <c r="V1100" s="24">
        <v>0.9</v>
      </c>
      <c r="W1100" s="24">
        <v>0.9</v>
      </c>
      <c r="X1100" s="24">
        <v>0.9</v>
      </c>
      <c r="Y1100" s="24">
        <v>0.9</v>
      </c>
      <c r="Z1100" s="24">
        <v>0.9</v>
      </c>
      <c r="AA1100" s="24">
        <v>0.9</v>
      </c>
      <c r="AB1100" s="24">
        <v>0.9</v>
      </c>
      <c r="AC1100" s="24">
        <v>0.9</v>
      </c>
      <c r="AD1100" s="24">
        <v>0.9</v>
      </c>
      <c r="AE1100" s="24">
        <v>0.5</v>
      </c>
      <c r="AF1100" s="14"/>
    </row>
    <row r="1101" spans="1:32" ht="14.25" customHeight="1" x14ac:dyDescent="0.35">
      <c r="A1101" s="24" t="s">
        <v>1060</v>
      </c>
      <c r="B1101" s="14" t="s">
        <v>1052</v>
      </c>
      <c r="C1101" s="24" t="s">
        <v>1053</v>
      </c>
      <c r="D1101" s="24" t="s">
        <v>791</v>
      </c>
      <c r="E1101" s="15">
        <v>41640</v>
      </c>
      <c r="F1101" s="15">
        <v>42004</v>
      </c>
      <c r="G1101" s="14" t="s">
        <v>415</v>
      </c>
      <c r="H1101" s="24">
        <v>1</v>
      </c>
      <c r="I1101" s="24">
        <v>1</v>
      </c>
      <c r="J1101" s="24">
        <v>0</v>
      </c>
      <c r="K1101" s="24">
        <v>0</v>
      </c>
      <c r="L1101" s="24">
        <v>0</v>
      </c>
      <c r="M1101" s="24">
        <v>0</v>
      </c>
      <c r="N1101" s="24">
        <v>0</v>
      </c>
      <c r="O1101" s="24">
        <v>0</v>
      </c>
      <c r="P1101" s="24">
        <v>1</v>
      </c>
      <c r="Q1101" s="24">
        <v>1</v>
      </c>
      <c r="R1101" s="24">
        <v>1</v>
      </c>
      <c r="S1101" s="24">
        <v>1</v>
      </c>
      <c r="T1101" s="24">
        <v>1</v>
      </c>
      <c r="U1101" s="24">
        <v>1</v>
      </c>
      <c r="V1101" s="24">
        <v>1</v>
      </c>
      <c r="W1101" s="24">
        <v>1</v>
      </c>
      <c r="X1101" s="24">
        <v>1</v>
      </c>
      <c r="Y1101" s="24">
        <v>1</v>
      </c>
      <c r="Z1101" s="24">
        <v>1</v>
      </c>
      <c r="AA1101" s="24">
        <v>1</v>
      </c>
      <c r="AB1101" s="24">
        <v>1</v>
      </c>
      <c r="AC1101" s="24">
        <v>1</v>
      </c>
      <c r="AD1101" s="24">
        <v>1</v>
      </c>
      <c r="AE1101" s="24">
        <v>1</v>
      </c>
      <c r="AF1101" s="14"/>
    </row>
    <row r="1102" spans="1:32" ht="14.25" customHeight="1" x14ac:dyDescent="0.35">
      <c r="A1102" s="24" t="s">
        <v>1060</v>
      </c>
      <c r="B1102" s="14" t="s">
        <v>1052</v>
      </c>
      <c r="C1102" s="24" t="s">
        <v>1053</v>
      </c>
      <c r="D1102" s="24" t="s">
        <v>512</v>
      </c>
      <c r="E1102" s="15">
        <v>41640</v>
      </c>
      <c r="F1102" s="15">
        <v>42004</v>
      </c>
      <c r="G1102" s="14" t="s">
        <v>415</v>
      </c>
      <c r="H1102" s="24">
        <v>1</v>
      </c>
      <c r="I1102" s="24">
        <v>1</v>
      </c>
      <c r="J1102" s="24">
        <v>0</v>
      </c>
      <c r="K1102" s="24">
        <v>0</v>
      </c>
      <c r="L1102" s="24">
        <v>0</v>
      </c>
      <c r="M1102" s="24">
        <v>0</v>
      </c>
      <c r="N1102" s="24">
        <v>0</v>
      </c>
      <c r="O1102" s="24">
        <v>0</v>
      </c>
      <c r="P1102" s="24">
        <v>1</v>
      </c>
      <c r="Q1102" s="24">
        <v>1</v>
      </c>
      <c r="R1102" s="24">
        <v>1</v>
      </c>
      <c r="S1102" s="24">
        <v>1</v>
      </c>
      <c r="T1102" s="24">
        <v>1</v>
      </c>
      <c r="U1102" s="24">
        <v>1</v>
      </c>
      <c r="V1102" s="24">
        <v>1</v>
      </c>
      <c r="W1102" s="24">
        <v>1</v>
      </c>
      <c r="X1102" s="24">
        <v>1</v>
      </c>
      <c r="Y1102" s="24">
        <v>1</v>
      </c>
      <c r="Z1102" s="24">
        <v>1</v>
      </c>
      <c r="AA1102" s="24">
        <v>1</v>
      </c>
      <c r="AB1102" s="24">
        <v>1</v>
      </c>
      <c r="AC1102" s="24">
        <v>1</v>
      </c>
      <c r="AD1102" s="24">
        <v>1</v>
      </c>
      <c r="AE1102" s="24">
        <v>1</v>
      </c>
      <c r="AF1102" s="14"/>
    </row>
    <row r="1103" spans="1:32" ht="14.25" customHeight="1" x14ac:dyDescent="0.35">
      <c r="A1103" s="24" t="s">
        <v>1060</v>
      </c>
      <c r="B1103" s="14" t="s">
        <v>1052</v>
      </c>
      <c r="C1103" s="24" t="s">
        <v>1053</v>
      </c>
      <c r="D1103" s="24" t="s">
        <v>1050</v>
      </c>
      <c r="E1103" s="15">
        <v>41640</v>
      </c>
      <c r="F1103" s="15">
        <v>42004</v>
      </c>
      <c r="G1103" s="14" t="s">
        <v>415</v>
      </c>
      <c r="H1103" s="24">
        <v>0</v>
      </c>
      <c r="I1103" s="24">
        <v>1</v>
      </c>
      <c r="J1103" s="24">
        <v>0</v>
      </c>
      <c r="K1103" s="24">
        <v>0</v>
      </c>
      <c r="L1103" s="24">
        <v>0</v>
      </c>
      <c r="M1103" s="24">
        <v>0</v>
      </c>
      <c r="N1103" s="24">
        <v>0</v>
      </c>
      <c r="O1103" s="24">
        <v>0</v>
      </c>
      <c r="P1103" s="24">
        <v>0</v>
      </c>
      <c r="Q1103" s="24">
        <v>1</v>
      </c>
      <c r="R1103" s="24">
        <v>1</v>
      </c>
      <c r="S1103" s="24">
        <v>1</v>
      </c>
      <c r="T1103" s="24">
        <v>1</v>
      </c>
      <c r="U1103" s="24">
        <v>1</v>
      </c>
      <c r="V1103" s="24">
        <v>1</v>
      </c>
      <c r="W1103" s="24">
        <v>1</v>
      </c>
      <c r="X1103" s="24">
        <v>1</v>
      </c>
      <c r="Y1103" s="24">
        <v>1</v>
      </c>
      <c r="Z1103" s="24">
        <v>1</v>
      </c>
      <c r="AA1103" s="24">
        <v>1</v>
      </c>
      <c r="AB1103" s="24">
        <v>1</v>
      </c>
      <c r="AC1103" s="24">
        <v>1</v>
      </c>
      <c r="AD1103" s="24">
        <v>1</v>
      </c>
      <c r="AE1103" s="24">
        <v>0</v>
      </c>
      <c r="AF1103" s="14"/>
    </row>
    <row r="1104" spans="1:32" ht="14.25" customHeight="1" x14ac:dyDescent="0.35">
      <c r="A1104" s="24" t="s">
        <v>367</v>
      </c>
      <c r="B1104" s="14" t="s">
        <v>424</v>
      </c>
      <c r="C1104" s="24" t="s">
        <v>1049</v>
      </c>
      <c r="D1104" s="24" t="s">
        <v>791</v>
      </c>
      <c r="E1104" s="15">
        <v>41640</v>
      </c>
      <c r="F1104" s="15">
        <v>42004</v>
      </c>
      <c r="G1104" s="14" t="s">
        <v>415</v>
      </c>
      <c r="H1104" s="24">
        <v>0.9</v>
      </c>
      <c r="I1104" s="24">
        <v>0.5</v>
      </c>
      <c r="J1104" s="24">
        <v>0.1</v>
      </c>
      <c r="K1104" s="24">
        <v>0.1</v>
      </c>
      <c r="L1104" s="24">
        <v>0.1</v>
      </c>
      <c r="M1104" s="24">
        <v>0.1</v>
      </c>
      <c r="N1104" s="24">
        <v>0.1</v>
      </c>
      <c r="O1104" s="24">
        <v>0.1</v>
      </c>
      <c r="P1104" s="24">
        <v>0.1</v>
      </c>
      <c r="Q1104" s="24">
        <v>0.5</v>
      </c>
      <c r="R1104" s="24">
        <v>0.7</v>
      </c>
      <c r="S1104" s="24">
        <v>0.9</v>
      </c>
      <c r="T1104" s="24">
        <v>0.9</v>
      </c>
      <c r="U1104" s="24">
        <v>0.9</v>
      </c>
      <c r="V1104" s="24">
        <v>0.9</v>
      </c>
      <c r="W1104" s="24">
        <v>0.9</v>
      </c>
      <c r="X1104" s="24">
        <v>0.9</v>
      </c>
      <c r="Y1104" s="24">
        <v>0.9</v>
      </c>
      <c r="Z1104" s="24">
        <v>0.9</v>
      </c>
      <c r="AA1104" s="24">
        <v>0.9</v>
      </c>
      <c r="AB1104" s="24">
        <v>0.9</v>
      </c>
      <c r="AC1104" s="24">
        <v>0.9</v>
      </c>
      <c r="AD1104" s="24">
        <v>0.9</v>
      </c>
      <c r="AE1104" s="24">
        <v>0.9</v>
      </c>
      <c r="AF1104" s="14"/>
    </row>
    <row r="1105" spans="1:32" ht="14.25" customHeight="1" x14ac:dyDescent="0.35">
      <c r="A1105" s="24" t="s">
        <v>367</v>
      </c>
      <c r="B1105" s="14" t="s">
        <v>424</v>
      </c>
      <c r="C1105" s="24" t="s">
        <v>1049</v>
      </c>
      <c r="D1105" s="24" t="s">
        <v>512</v>
      </c>
      <c r="E1105" s="15">
        <v>41640</v>
      </c>
      <c r="F1105" s="15">
        <v>42004</v>
      </c>
      <c r="G1105" s="14" t="s">
        <v>415</v>
      </c>
      <c r="H1105" s="24">
        <v>0.9</v>
      </c>
      <c r="I1105" s="24">
        <v>0.5</v>
      </c>
      <c r="J1105" s="24">
        <v>0.1</v>
      </c>
      <c r="K1105" s="24">
        <v>0.1</v>
      </c>
      <c r="L1105" s="24">
        <v>0.1</v>
      </c>
      <c r="M1105" s="24">
        <v>0.1</v>
      </c>
      <c r="N1105" s="24">
        <v>0.1</v>
      </c>
      <c r="O1105" s="24">
        <v>0.1</v>
      </c>
      <c r="P1105" s="24">
        <v>0.1</v>
      </c>
      <c r="Q1105" s="24">
        <v>0.5</v>
      </c>
      <c r="R1105" s="24">
        <v>0.7</v>
      </c>
      <c r="S1105" s="24">
        <v>0.9</v>
      </c>
      <c r="T1105" s="24">
        <v>0.9</v>
      </c>
      <c r="U1105" s="24">
        <v>0.9</v>
      </c>
      <c r="V1105" s="24">
        <v>0.9</v>
      </c>
      <c r="W1105" s="24">
        <v>0.9</v>
      </c>
      <c r="X1105" s="24">
        <v>0.9</v>
      </c>
      <c r="Y1105" s="24">
        <v>0.9</v>
      </c>
      <c r="Z1105" s="24">
        <v>0.9</v>
      </c>
      <c r="AA1105" s="24">
        <v>0.9</v>
      </c>
      <c r="AB1105" s="24">
        <v>0.9</v>
      </c>
      <c r="AC1105" s="24">
        <v>0.9</v>
      </c>
      <c r="AD1105" s="24">
        <v>0.9</v>
      </c>
      <c r="AE1105" s="24">
        <v>0.9</v>
      </c>
      <c r="AF1105" s="14"/>
    </row>
    <row r="1106" spans="1:32" ht="14.25" customHeight="1" x14ac:dyDescent="0.35">
      <c r="A1106" s="24" t="s">
        <v>367</v>
      </c>
      <c r="B1106" s="14" t="s">
        <v>424</v>
      </c>
      <c r="C1106" s="24" t="s">
        <v>1049</v>
      </c>
      <c r="D1106" s="24" t="s">
        <v>1050</v>
      </c>
      <c r="E1106" s="15">
        <v>41640</v>
      </c>
      <c r="F1106" s="15">
        <v>42004</v>
      </c>
      <c r="G1106" s="14" t="s">
        <v>415</v>
      </c>
      <c r="H1106" s="24">
        <v>0.5</v>
      </c>
      <c r="I1106" s="24">
        <v>0.5</v>
      </c>
      <c r="J1106" s="24">
        <v>0.1</v>
      </c>
      <c r="K1106" s="24">
        <v>0.1</v>
      </c>
      <c r="L1106" s="24">
        <v>0.1</v>
      </c>
      <c r="M1106" s="24">
        <v>0.1</v>
      </c>
      <c r="N1106" s="24">
        <v>0.1</v>
      </c>
      <c r="O1106" s="24">
        <v>0.1</v>
      </c>
      <c r="P1106" s="24">
        <v>0.1</v>
      </c>
      <c r="Q1106" s="24">
        <v>0.1</v>
      </c>
      <c r="R1106" s="24">
        <v>0.5</v>
      </c>
      <c r="S1106" s="24">
        <v>0.9</v>
      </c>
      <c r="T1106" s="24">
        <v>0.9</v>
      </c>
      <c r="U1106" s="24">
        <v>0.9</v>
      </c>
      <c r="V1106" s="24">
        <v>0.9</v>
      </c>
      <c r="W1106" s="24">
        <v>0.9</v>
      </c>
      <c r="X1106" s="24">
        <v>0.9</v>
      </c>
      <c r="Y1106" s="24">
        <v>0.9</v>
      </c>
      <c r="Z1106" s="24">
        <v>0.9</v>
      </c>
      <c r="AA1106" s="24">
        <v>0.9</v>
      </c>
      <c r="AB1106" s="24">
        <v>0.9</v>
      </c>
      <c r="AC1106" s="24">
        <v>0.9</v>
      </c>
      <c r="AD1106" s="24">
        <v>0.9</v>
      </c>
      <c r="AE1106" s="24">
        <v>0.5</v>
      </c>
      <c r="AF1106" s="14"/>
    </row>
    <row r="1107" spans="1:32" ht="14.25" customHeight="1" x14ac:dyDescent="0.35">
      <c r="A1107" s="24" t="s">
        <v>355</v>
      </c>
      <c r="B1107" s="14" t="s">
        <v>448</v>
      </c>
      <c r="C1107" s="24" t="s">
        <v>1049</v>
      </c>
      <c r="D1107" s="24" t="s">
        <v>791</v>
      </c>
      <c r="E1107" s="15">
        <v>41640</v>
      </c>
      <c r="F1107" s="15">
        <v>42004</v>
      </c>
      <c r="G1107" s="14" t="s">
        <v>415</v>
      </c>
      <c r="H1107" s="24">
        <v>0.3</v>
      </c>
      <c r="I1107" s="24">
        <v>0.1</v>
      </c>
      <c r="J1107" s="24">
        <v>0</v>
      </c>
      <c r="K1107" s="24">
        <v>0</v>
      </c>
      <c r="L1107" s="24">
        <v>0</v>
      </c>
      <c r="M1107" s="24">
        <v>0</v>
      </c>
      <c r="N1107" s="24">
        <v>0</v>
      </c>
      <c r="O1107" s="24">
        <v>0</v>
      </c>
      <c r="P1107" s="24">
        <v>0</v>
      </c>
      <c r="Q1107" s="24">
        <v>0.1</v>
      </c>
      <c r="R1107" s="24">
        <v>0.2</v>
      </c>
      <c r="S1107" s="24">
        <v>0.5</v>
      </c>
      <c r="T1107" s="24">
        <v>0.9</v>
      </c>
      <c r="U1107" s="24">
        <v>0.8</v>
      </c>
      <c r="V1107" s="24">
        <v>0.5</v>
      </c>
      <c r="W1107" s="24">
        <v>0.2</v>
      </c>
      <c r="X1107" s="24">
        <v>0.2</v>
      </c>
      <c r="Y1107" s="24">
        <v>0.3</v>
      </c>
      <c r="Z1107" s="24">
        <v>0.6</v>
      </c>
      <c r="AA1107" s="24">
        <v>0.9</v>
      </c>
      <c r="AB1107" s="24">
        <v>0.9</v>
      </c>
      <c r="AC1107" s="24">
        <v>0.9</v>
      </c>
      <c r="AD1107" s="24">
        <v>0.6</v>
      </c>
      <c r="AE1107" s="24">
        <v>0.4</v>
      </c>
      <c r="AF1107" s="14"/>
    </row>
    <row r="1108" spans="1:32" ht="14.25" customHeight="1" x14ac:dyDescent="0.35">
      <c r="A1108" s="24" t="s">
        <v>355</v>
      </c>
      <c r="B1108" s="14" t="s">
        <v>448</v>
      </c>
      <c r="C1108" s="24" t="s">
        <v>1049</v>
      </c>
      <c r="D1108" s="24" t="s">
        <v>512</v>
      </c>
      <c r="E1108" s="15">
        <v>41640</v>
      </c>
      <c r="F1108" s="15">
        <v>42004</v>
      </c>
      <c r="G1108" s="14" t="s">
        <v>415</v>
      </c>
      <c r="H1108" s="24">
        <v>0.5</v>
      </c>
      <c r="I1108" s="24">
        <v>0.3</v>
      </c>
      <c r="J1108" s="24">
        <v>0</v>
      </c>
      <c r="K1108" s="24">
        <v>0</v>
      </c>
      <c r="L1108" s="24">
        <v>0</v>
      </c>
      <c r="M1108" s="24">
        <v>0</v>
      </c>
      <c r="N1108" s="24">
        <v>0</v>
      </c>
      <c r="O1108" s="24">
        <v>0</v>
      </c>
      <c r="P1108" s="24">
        <v>0</v>
      </c>
      <c r="Q1108" s="24">
        <v>0.1</v>
      </c>
      <c r="R1108" s="24">
        <v>0.2</v>
      </c>
      <c r="S1108" s="24">
        <v>0.5</v>
      </c>
      <c r="T1108" s="24">
        <v>0.9</v>
      </c>
      <c r="U1108" s="24">
        <v>0.8</v>
      </c>
      <c r="V1108" s="24">
        <v>0.5</v>
      </c>
      <c r="W1108" s="24">
        <v>0.2</v>
      </c>
      <c r="X1108" s="24">
        <v>0.2</v>
      </c>
      <c r="Y1108" s="24">
        <v>0.3</v>
      </c>
      <c r="Z1108" s="24">
        <v>0.6</v>
      </c>
      <c r="AA1108" s="24">
        <v>0.9</v>
      </c>
      <c r="AB1108" s="24">
        <v>0.9</v>
      </c>
      <c r="AC1108" s="24">
        <v>0.9</v>
      </c>
      <c r="AD1108" s="24">
        <v>0.6</v>
      </c>
      <c r="AE1108" s="24">
        <v>0.6</v>
      </c>
      <c r="AF1108" s="14"/>
    </row>
    <row r="1109" spans="1:32" ht="14.25" customHeight="1" x14ac:dyDescent="0.35">
      <c r="A1109" s="24" t="s">
        <v>355</v>
      </c>
      <c r="B1109" s="14" t="s">
        <v>448</v>
      </c>
      <c r="C1109" s="24" t="s">
        <v>1049</v>
      </c>
      <c r="D1109" s="24" t="s">
        <v>1050</v>
      </c>
      <c r="E1109" s="15">
        <v>41640</v>
      </c>
      <c r="F1109" s="15">
        <v>42004</v>
      </c>
      <c r="G1109" s="14" t="s">
        <v>415</v>
      </c>
      <c r="H1109" s="24">
        <v>0.1</v>
      </c>
      <c r="I1109" s="24">
        <v>0.3</v>
      </c>
      <c r="J1109" s="24">
        <v>0</v>
      </c>
      <c r="K1109" s="24">
        <v>0</v>
      </c>
      <c r="L1109" s="24">
        <v>0</v>
      </c>
      <c r="M1109" s="24">
        <v>0</v>
      </c>
      <c r="N1109" s="24">
        <v>0</v>
      </c>
      <c r="O1109" s="24">
        <v>0</v>
      </c>
      <c r="P1109" s="24">
        <v>0</v>
      </c>
      <c r="Q1109" s="24">
        <v>0</v>
      </c>
      <c r="R1109" s="24">
        <v>0.1</v>
      </c>
      <c r="S1109" s="24">
        <v>0.4</v>
      </c>
      <c r="T1109" s="24">
        <v>0.5</v>
      </c>
      <c r="U1109" s="24">
        <v>0.5</v>
      </c>
      <c r="V1109" s="24">
        <v>0.4</v>
      </c>
      <c r="W1109" s="24">
        <v>0.2</v>
      </c>
      <c r="X1109" s="24">
        <v>0.2</v>
      </c>
      <c r="Y1109" s="24">
        <v>0.2</v>
      </c>
      <c r="Z1109" s="24">
        <v>0.5</v>
      </c>
      <c r="AA1109" s="24">
        <v>0.7</v>
      </c>
      <c r="AB1109" s="24">
        <v>0.7</v>
      </c>
      <c r="AC1109" s="24">
        <v>0.5</v>
      </c>
      <c r="AD1109" s="24">
        <v>0.3</v>
      </c>
      <c r="AE1109" s="24">
        <v>0.1</v>
      </c>
      <c r="AF1109" s="14"/>
    </row>
    <row r="1110" spans="1:32" ht="14.25" customHeight="1" x14ac:dyDescent="0.35">
      <c r="A1110" s="24" t="s">
        <v>1061</v>
      </c>
      <c r="B1110" s="14" t="s">
        <v>1055</v>
      </c>
      <c r="C1110" s="24" t="s">
        <v>1049</v>
      </c>
      <c r="D1110" s="24" t="s">
        <v>791</v>
      </c>
      <c r="E1110" s="15">
        <v>41640</v>
      </c>
      <c r="F1110" s="15">
        <v>42004</v>
      </c>
      <c r="G1110" s="14" t="s">
        <v>415</v>
      </c>
      <c r="H1110" s="24">
        <v>0.9</v>
      </c>
      <c r="I1110" s="24">
        <v>0.5</v>
      </c>
      <c r="J1110" s="24">
        <v>0.1</v>
      </c>
      <c r="K1110" s="24">
        <v>0.1</v>
      </c>
      <c r="L1110" s="24">
        <v>0.1</v>
      </c>
      <c r="M1110" s="24">
        <v>0.1</v>
      </c>
      <c r="N1110" s="24">
        <v>0.1</v>
      </c>
      <c r="O1110" s="24">
        <v>0.1</v>
      </c>
      <c r="P1110" s="24">
        <v>0.1</v>
      </c>
      <c r="Q1110" s="24">
        <v>0.5</v>
      </c>
      <c r="R1110" s="24">
        <v>0.7</v>
      </c>
      <c r="S1110" s="24">
        <v>0.9</v>
      </c>
      <c r="T1110" s="24">
        <v>0.9</v>
      </c>
      <c r="U1110" s="24">
        <v>0.9</v>
      </c>
      <c r="V1110" s="24">
        <v>0.9</v>
      </c>
      <c r="W1110" s="24">
        <v>0.9</v>
      </c>
      <c r="X1110" s="24">
        <v>0.9</v>
      </c>
      <c r="Y1110" s="24">
        <v>0.9</v>
      </c>
      <c r="Z1110" s="24">
        <v>0.9</v>
      </c>
      <c r="AA1110" s="24">
        <v>0.9</v>
      </c>
      <c r="AB1110" s="24">
        <v>0.9</v>
      </c>
      <c r="AC1110" s="24">
        <v>0.9</v>
      </c>
      <c r="AD1110" s="24">
        <v>0.9</v>
      </c>
      <c r="AE1110" s="24">
        <v>0.9</v>
      </c>
      <c r="AF1110" s="14"/>
    </row>
    <row r="1111" spans="1:32" ht="14.25" customHeight="1" x14ac:dyDescent="0.35">
      <c r="A1111" s="24" t="s">
        <v>1061</v>
      </c>
      <c r="B1111" s="14" t="s">
        <v>1055</v>
      </c>
      <c r="C1111" s="24" t="s">
        <v>1049</v>
      </c>
      <c r="D1111" s="24" t="s">
        <v>512</v>
      </c>
      <c r="E1111" s="15">
        <v>41640</v>
      </c>
      <c r="F1111" s="15">
        <v>42004</v>
      </c>
      <c r="G1111" s="14" t="s">
        <v>415</v>
      </c>
      <c r="H1111" s="24">
        <v>0.9</v>
      </c>
      <c r="I1111" s="24">
        <v>0.5</v>
      </c>
      <c r="J1111" s="24">
        <v>0.1</v>
      </c>
      <c r="K1111" s="24">
        <v>0.1</v>
      </c>
      <c r="L1111" s="24">
        <v>0.1</v>
      </c>
      <c r="M1111" s="24">
        <v>0.1</v>
      </c>
      <c r="N1111" s="24">
        <v>0.1</v>
      </c>
      <c r="O1111" s="24">
        <v>0.1</v>
      </c>
      <c r="P1111" s="24">
        <v>0.1</v>
      </c>
      <c r="Q1111" s="24">
        <v>0.5</v>
      </c>
      <c r="R1111" s="24">
        <v>0.7</v>
      </c>
      <c r="S1111" s="24">
        <v>0.9</v>
      </c>
      <c r="T1111" s="24">
        <v>0.9</v>
      </c>
      <c r="U1111" s="24">
        <v>0.9</v>
      </c>
      <c r="V1111" s="24">
        <v>0.9</v>
      </c>
      <c r="W1111" s="24">
        <v>0.9</v>
      </c>
      <c r="X1111" s="24">
        <v>0.9</v>
      </c>
      <c r="Y1111" s="24">
        <v>0.9</v>
      </c>
      <c r="Z1111" s="24">
        <v>0.9</v>
      </c>
      <c r="AA1111" s="24">
        <v>0.9</v>
      </c>
      <c r="AB1111" s="24">
        <v>0.9</v>
      </c>
      <c r="AC1111" s="24">
        <v>0.9</v>
      </c>
      <c r="AD1111" s="24">
        <v>0.9</v>
      </c>
      <c r="AE1111" s="24">
        <v>0.9</v>
      </c>
      <c r="AF1111" s="14"/>
    </row>
    <row r="1112" spans="1:32" ht="14.25" customHeight="1" x14ac:dyDescent="0.35">
      <c r="A1112" s="24" t="s">
        <v>1061</v>
      </c>
      <c r="B1112" s="14" t="s">
        <v>1055</v>
      </c>
      <c r="C1112" s="24" t="s">
        <v>1049</v>
      </c>
      <c r="D1112" s="24" t="s">
        <v>1050</v>
      </c>
      <c r="E1112" s="15">
        <v>41640</v>
      </c>
      <c r="F1112" s="15">
        <v>42004</v>
      </c>
      <c r="G1112" s="14" t="s">
        <v>415</v>
      </c>
      <c r="H1112" s="24">
        <v>0.5</v>
      </c>
      <c r="I1112" s="24">
        <v>0.5</v>
      </c>
      <c r="J1112" s="24">
        <v>0.1</v>
      </c>
      <c r="K1112" s="24">
        <v>0.1</v>
      </c>
      <c r="L1112" s="24">
        <v>0.1</v>
      </c>
      <c r="M1112" s="24">
        <v>0.1</v>
      </c>
      <c r="N1112" s="24">
        <v>0.1</v>
      </c>
      <c r="O1112" s="24">
        <v>0.1</v>
      </c>
      <c r="P1112" s="24">
        <v>0.1</v>
      </c>
      <c r="Q1112" s="24">
        <v>0.1</v>
      </c>
      <c r="R1112" s="24">
        <v>0.5</v>
      </c>
      <c r="S1112" s="24">
        <v>0.9</v>
      </c>
      <c r="T1112" s="24">
        <v>0.9</v>
      </c>
      <c r="U1112" s="24">
        <v>0.9</v>
      </c>
      <c r="V1112" s="24">
        <v>0.9</v>
      </c>
      <c r="W1112" s="24">
        <v>0.9</v>
      </c>
      <c r="X1112" s="24">
        <v>0.9</v>
      </c>
      <c r="Y1112" s="24">
        <v>0.9</v>
      </c>
      <c r="Z1112" s="24">
        <v>0.9</v>
      </c>
      <c r="AA1112" s="24">
        <v>0.9</v>
      </c>
      <c r="AB1112" s="24">
        <v>0.9</v>
      </c>
      <c r="AC1112" s="24">
        <v>0.9</v>
      </c>
      <c r="AD1112" s="24">
        <v>0.9</v>
      </c>
      <c r="AE1112" s="24">
        <v>0.5</v>
      </c>
      <c r="AF1112" s="14"/>
    </row>
    <row r="1113" spans="1:32" ht="14.25" customHeight="1" x14ac:dyDescent="0.35">
      <c r="A1113" s="24" t="s">
        <v>1062</v>
      </c>
      <c r="B1113" s="14" t="s">
        <v>460</v>
      </c>
      <c r="C1113" s="24" t="s">
        <v>1049</v>
      </c>
      <c r="D1113" s="24" t="s">
        <v>791</v>
      </c>
      <c r="E1113" s="15">
        <v>41640</v>
      </c>
      <c r="F1113" s="15">
        <v>42004</v>
      </c>
      <c r="G1113" s="14" t="s">
        <v>415</v>
      </c>
      <c r="H1113" s="24">
        <v>0.6</v>
      </c>
      <c r="I1113" s="24">
        <v>0.5</v>
      </c>
      <c r="J1113" s="24">
        <v>0.05</v>
      </c>
      <c r="K1113" s="24">
        <v>0.05</v>
      </c>
      <c r="L1113" s="24">
        <v>0.05</v>
      </c>
      <c r="M1113" s="24">
        <v>0.05</v>
      </c>
      <c r="N1113" s="24">
        <v>0.05</v>
      </c>
      <c r="O1113" s="24">
        <v>0.05</v>
      </c>
      <c r="P1113" s="24">
        <v>0.05</v>
      </c>
      <c r="Q1113" s="24">
        <v>0.7</v>
      </c>
      <c r="R1113" s="24">
        <v>0.7</v>
      </c>
      <c r="S1113" s="24">
        <v>0.4</v>
      </c>
      <c r="T1113" s="24">
        <v>0.5</v>
      </c>
      <c r="U1113" s="24">
        <v>0.6</v>
      </c>
      <c r="V1113" s="24">
        <v>0.6</v>
      </c>
      <c r="W1113" s="24">
        <v>0.4</v>
      </c>
      <c r="X1113" s="24">
        <v>0.3</v>
      </c>
      <c r="Y1113" s="24">
        <v>0.3</v>
      </c>
      <c r="Z1113" s="24">
        <v>0.4</v>
      </c>
      <c r="AA1113" s="24">
        <v>0.5</v>
      </c>
      <c r="AB1113" s="24">
        <v>0.8</v>
      </c>
      <c r="AC1113" s="24">
        <v>0.8</v>
      </c>
      <c r="AD1113" s="24">
        <v>0.9</v>
      </c>
      <c r="AE1113" s="24">
        <v>0.9</v>
      </c>
      <c r="AF1113" s="14"/>
    </row>
    <row r="1114" spans="1:32" ht="14.25" customHeight="1" x14ac:dyDescent="0.35">
      <c r="A1114" s="24" t="s">
        <v>1062</v>
      </c>
      <c r="B1114" s="14" t="s">
        <v>460</v>
      </c>
      <c r="C1114" s="24" t="s">
        <v>1049</v>
      </c>
      <c r="D1114" s="24" t="s">
        <v>512</v>
      </c>
      <c r="E1114" s="15">
        <v>41640</v>
      </c>
      <c r="F1114" s="15">
        <v>42004</v>
      </c>
      <c r="G1114" s="14" t="s">
        <v>415</v>
      </c>
      <c r="H1114" s="24">
        <v>0.7</v>
      </c>
      <c r="I1114" s="24">
        <v>0.6</v>
      </c>
      <c r="J1114" s="24">
        <v>0.05</v>
      </c>
      <c r="K1114" s="24">
        <v>0.05</v>
      </c>
      <c r="L1114" s="24">
        <v>0.05</v>
      </c>
      <c r="M1114" s="24">
        <v>0.05</v>
      </c>
      <c r="N1114" s="24">
        <v>0.05</v>
      </c>
      <c r="O1114" s="24">
        <v>0.05</v>
      </c>
      <c r="P1114" s="24">
        <v>0.05</v>
      </c>
      <c r="Q1114" s="24">
        <v>0.7</v>
      </c>
      <c r="R1114" s="24">
        <v>0.7</v>
      </c>
      <c r="S1114" s="24">
        <v>0.4</v>
      </c>
      <c r="T1114" s="24">
        <v>0.5</v>
      </c>
      <c r="U1114" s="24">
        <v>0.6</v>
      </c>
      <c r="V1114" s="24">
        <v>0.6</v>
      </c>
      <c r="W1114" s="24">
        <v>0.4</v>
      </c>
      <c r="X1114" s="24">
        <v>0.3</v>
      </c>
      <c r="Y1114" s="24">
        <v>0.3</v>
      </c>
      <c r="Z1114" s="24">
        <v>0.4</v>
      </c>
      <c r="AA1114" s="24">
        <v>0.5</v>
      </c>
      <c r="AB1114" s="24">
        <v>0.8</v>
      </c>
      <c r="AC1114" s="24">
        <v>0.8</v>
      </c>
      <c r="AD1114" s="24">
        <v>0.9</v>
      </c>
      <c r="AE1114" s="24">
        <v>0.9</v>
      </c>
      <c r="AF1114" s="14"/>
    </row>
    <row r="1115" spans="1:32" ht="14.25" customHeight="1" x14ac:dyDescent="0.35">
      <c r="A1115" s="24" t="s">
        <v>1062</v>
      </c>
      <c r="B1115" s="14" t="s">
        <v>460</v>
      </c>
      <c r="C1115" s="24" t="s">
        <v>1049</v>
      </c>
      <c r="D1115" s="24" t="s">
        <v>1050</v>
      </c>
      <c r="E1115" s="15">
        <v>41640</v>
      </c>
      <c r="F1115" s="15">
        <v>42004</v>
      </c>
      <c r="G1115" s="14" t="s">
        <v>415</v>
      </c>
      <c r="H1115" s="24">
        <v>0.5</v>
      </c>
      <c r="I1115" s="24">
        <v>0.6</v>
      </c>
      <c r="J1115" s="24">
        <v>0.05</v>
      </c>
      <c r="K1115" s="24">
        <v>0.05</v>
      </c>
      <c r="L1115" s="24">
        <v>0.05</v>
      </c>
      <c r="M1115" s="24">
        <v>0.05</v>
      </c>
      <c r="N1115" s="24">
        <v>0.05</v>
      </c>
      <c r="O1115" s="24">
        <v>0.05</v>
      </c>
      <c r="P1115" s="24">
        <v>0.05</v>
      </c>
      <c r="Q1115" s="24">
        <v>0.7</v>
      </c>
      <c r="R1115" s="24">
        <v>0.7</v>
      </c>
      <c r="S1115" s="24">
        <v>0.4</v>
      </c>
      <c r="T1115" s="24">
        <v>0.5</v>
      </c>
      <c r="U1115" s="24">
        <v>0.6</v>
      </c>
      <c r="V1115" s="24">
        <v>0.6</v>
      </c>
      <c r="W1115" s="24">
        <v>0.4</v>
      </c>
      <c r="X1115" s="24">
        <v>0.3</v>
      </c>
      <c r="Y1115" s="24">
        <v>0.3</v>
      </c>
      <c r="Z1115" s="24">
        <v>0.4</v>
      </c>
      <c r="AA1115" s="24">
        <v>0.5</v>
      </c>
      <c r="AB1115" s="24">
        <v>0.8</v>
      </c>
      <c r="AC1115" s="24">
        <v>0.8</v>
      </c>
      <c r="AD1115" s="24">
        <v>0.5</v>
      </c>
      <c r="AE1115" s="24">
        <v>0.5</v>
      </c>
      <c r="AF1115" s="14"/>
    </row>
    <row r="1116" spans="1:32" ht="14.25" customHeight="1" x14ac:dyDescent="0.35">
      <c r="A1116" s="24" t="s">
        <v>1063</v>
      </c>
      <c r="B1116" s="14" t="s">
        <v>420</v>
      </c>
      <c r="C1116" s="24" t="s">
        <v>1058</v>
      </c>
      <c r="D1116" s="24" t="s">
        <v>791</v>
      </c>
      <c r="E1116" s="15">
        <v>41640</v>
      </c>
      <c r="F1116" s="15">
        <v>42004</v>
      </c>
      <c r="G1116" s="14" t="s">
        <v>415</v>
      </c>
      <c r="H1116" s="24">
        <v>24</v>
      </c>
      <c r="I1116" s="24">
        <v>35</v>
      </c>
      <c r="J1116" s="24">
        <v>35</v>
      </c>
      <c r="K1116" s="24">
        <v>35</v>
      </c>
      <c r="L1116" s="24">
        <v>35</v>
      </c>
      <c r="M1116" s="24">
        <v>35</v>
      </c>
      <c r="N1116" s="24">
        <v>35</v>
      </c>
      <c r="O1116" s="24">
        <v>35</v>
      </c>
      <c r="P1116" s="24">
        <v>24</v>
      </c>
      <c r="Q1116" s="24">
        <v>24</v>
      </c>
      <c r="R1116" s="24">
        <v>24</v>
      </c>
      <c r="S1116" s="24">
        <v>24</v>
      </c>
      <c r="T1116" s="24">
        <v>24</v>
      </c>
      <c r="U1116" s="24">
        <v>24</v>
      </c>
      <c r="V1116" s="24">
        <v>24</v>
      </c>
      <c r="W1116" s="24">
        <v>24</v>
      </c>
      <c r="X1116" s="24">
        <v>24</v>
      </c>
      <c r="Y1116" s="24">
        <v>24</v>
      </c>
      <c r="Z1116" s="24">
        <v>24</v>
      </c>
      <c r="AA1116" s="24">
        <v>24</v>
      </c>
      <c r="AB1116" s="24">
        <v>24</v>
      </c>
      <c r="AC1116" s="24">
        <v>24</v>
      </c>
      <c r="AD1116" s="24">
        <v>24</v>
      </c>
      <c r="AE1116" s="24">
        <v>24</v>
      </c>
      <c r="AF1116" s="14"/>
    </row>
    <row r="1117" spans="1:32" ht="14.25" customHeight="1" x14ac:dyDescent="0.35">
      <c r="A1117" s="24" t="s">
        <v>1063</v>
      </c>
      <c r="B1117" s="14" t="s">
        <v>420</v>
      </c>
      <c r="C1117" s="24" t="s">
        <v>1058</v>
      </c>
      <c r="D1117" s="24" t="s">
        <v>512</v>
      </c>
      <c r="E1117" s="15">
        <v>41640</v>
      </c>
      <c r="F1117" s="15">
        <v>42004</v>
      </c>
      <c r="G1117" s="14" t="s">
        <v>415</v>
      </c>
      <c r="H1117" s="24">
        <v>24</v>
      </c>
      <c r="I1117" s="24">
        <v>35</v>
      </c>
      <c r="J1117" s="24">
        <v>35</v>
      </c>
      <c r="K1117" s="24">
        <v>35</v>
      </c>
      <c r="L1117" s="24">
        <v>35</v>
      </c>
      <c r="M1117" s="24">
        <v>35</v>
      </c>
      <c r="N1117" s="24">
        <v>35</v>
      </c>
      <c r="O1117" s="24">
        <v>35</v>
      </c>
      <c r="P1117" s="24">
        <v>24</v>
      </c>
      <c r="Q1117" s="24">
        <v>24</v>
      </c>
      <c r="R1117" s="24">
        <v>24</v>
      </c>
      <c r="S1117" s="24">
        <v>24</v>
      </c>
      <c r="T1117" s="24">
        <v>24</v>
      </c>
      <c r="U1117" s="24">
        <v>24</v>
      </c>
      <c r="V1117" s="24">
        <v>24</v>
      </c>
      <c r="W1117" s="24">
        <v>24</v>
      </c>
      <c r="X1117" s="24">
        <v>24</v>
      </c>
      <c r="Y1117" s="24">
        <v>24</v>
      </c>
      <c r="Z1117" s="24">
        <v>24</v>
      </c>
      <c r="AA1117" s="24">
        <v>24</v>
      </c>
      <c r="AB1117" s="24">
        <v>24</v>
      </c>
      <c r="AC1117" s="24">
        <v>24</v>
      </c>
      <c r="AD1117" s="24">
        <v>24</v>
      </c>
      <c r="AE1117" s="24">
        <v>24</v>
      </c>
      <c r="AF1117" s="14"/>
    </row>
    <row r="1118" spans="1:32" ht="14.25" customHeight="1" x14ac:dyDescent="0.35">
      <c r="A1118" s="24" t="s">
        <v>1063</v>
      </c>
      <c r="B1118" s="14" t="s">
        <v>420</v>
      </c>
      <c r="C1118" s="24" t="s">
        <v>1058</v>
      </c>
      <c r="D1118" s="24" t="s">
        <v>1050</v>
      </c>
      <c r="E1118" s="15">
        <v>41640</v>
      </c>
      <c r="F1118" s="15">
        <v>42004</v>
      </c>
      <c r="G1118" s="14" t="s">
        <v>415</v>
      </c>
      <c r="H1118" s="24">
        <v>35</v>
      </c>
      <c r="I1118" s="24">
        <v>35</v>
      </c>
      <c r="J1118" s="24">
        <v>35</v>
      </c>
      <c r="K1118" s="24">
        <v>35</v>
      </c>
      <c r="L1118" s="24">
        <v>35</v>
      </c>
      <c r="M1118" s="24">
        <v>35</v>
      </c>
      <c r="N1118" s="24">
        <v>35</v>
      </c>
      <c r="O1118" s="24">
        <v>35</v>
      </c>
      <c r="P1118" s="24">
        <v>35</v>
      </c>
      <c r="Q1118" s="24">
        <v>24</v>
      </c>
      <c r="R1118" s="24">
        <v>24</v>
      </c>
      <c r="S1118" s="24">
        <v>24</v>
      </c>
      <c r="T1118" s="24">
        <v>24</v>
      </c>
      <c r="U1118" s="24">
        <v>24</v>
      </c>
      <c r="V1118" s="24">
        <v>24</v>
      </c>
      <c r="W1118" s="24">
        <v>24</v>
      </c>
      <c r="X1118" s="24">
        <v>24</v>
      </c>
      <c r="Y1118" s="24">
        <v>24</v>
      </c>
      <c r="Z1118" s="24">
        <v>24</v>
      </c>
      <c r="AA1118" s="24">
        <v>24</v>
      </c>
      <c r="AB1118" s="24">
        <v>24</v>
      </c>
      <c r="AC1118" s="24">
        <v>24</v>
      </c>
      <c r="AD1118" s="24">
        <v>24</v>
      </c>
      <c r="AE1118" s="24">
        <v>35</v>
      </c>
      <c r="AF1118" s="14"/>
    </row>
    <row r="1119" spans="1:32" ht="14.25" customHeight="1" x14ac:dyDescent="0.35">
      <c r="A1119" s="24" t="s">
        <v>1064</v>
      </c>
      <c r="B1119" s="14" t="s">
        <v>420</v>
      </c>
      <c r="C1119" s="24" t="s">
        <v>1058</v>
      </c>
      <c r="D1119" s="24" t="s">
        <v>791</v>
      </c>
      <c r="E1119" s="15">
        <v>41640</v>
      </c>
      <c r="F1119" s="15">
        <v>42004</v>
      </c>
      <c r="G1119" s="14" t="s">
        <v>415</v>
      </c>
      <c r="H1119" s="24">
        <v>22</v>
      </c>
      <c r="I1119" s="24">
        <v>22</v>
      </c>
      <c r="J1119" s="24">
        <v>18</v>
      </c>
      <c r="K1119" s="24">
        <v>18</v>
      </c>
      <c r="L1119" s="24">
        <v>18</v>
      </c>
      <c r="M1119" s="24">
        <v>18</v>
      </c>
      <c r="N1119" s="24">
        <v>18</v>
      </c>
      <c r="O1119" s="24">
        <v>18</v>
      </c>
      <c r="P1119" s="24">
        <v>20</v>
      </c>
      <c r="Q1119" s="24">
        <v>22</v>
      </c>
      <c r="R1119" s="24">
        <v>22</v>
      </c>
      <c r="S1119" s="24">
        <v>22</v>
      </c>
      <c r="T1119" s="24">
        <v>22</v>
      </c>
      <c r="U1119" s="24">
        <v>22</v>
      </c>
      <c r="V1119" s="24">
        <v>22</v>
      </c>
      <c r="W1119" s="24">
        <v>22</v>
      </c>
      <c r="X1119" s="24">
        <v>22</v>
      </c>
      <c r="Y1119" s="24">
        <v>22</v>
      </c>
      <c r="Z1119" s="24">
        <v>22</v>
      </c>
      <c r="AA1119" s="24">
        <v>22</v>
      </c>
      <c r="AB1119" s="24">
        <v>22</v>
      </c>
      <c r="AC1119" s="24">
        <v>22</v>
      </c>
      <c r="AD1119" s="24">
        <v>22</v>
      </c>
      <c r="AE1119" s="24">
        <v>22</v>
      </c>
      <c r="AF1119" s="14"/>
    </row>
    <row r="1120" spans="1:32" ht="14.25" customHeight="1" x14ac:dyDescent="0.35">
      <c r="A1120" s="24" t="s">
        <v>1064</v>
      </c>
      <c r="B1120" s="14" t="s">
        <v>420</v>
      </c>
      <c r="C1120" s="24" t="s">
        <v>1058</v>
      </c>
      <c r="D1120" s="24" t="s">
        <v>512</v>
      </c>
      <c r="E1120" s="15">
        <v>41640</v>
      </c>
      <c r="F1120" s="15">
        <v>42004</v>
      </c>
      <c r="G1120" s="14" t="s">
        <v>415</v>
      </c>
      <c r="H1120" s="24">
        <v>22</v>
      </c>
      <c r="I1120" s="24">
        <v>22</v>
      </c>
      <c r="J1120" s="24">
        <v>18</v>
      </c>
      <c r="K1120" s="24">
        <v>18</v>
      </c>
      <c r="L1120" s="24">
        <v>18</v>
      </c>
      <c r="M1120" s="24">
        <v>18</v>
      </c>
      <c r="N1120" s="24">
        <v>18</v>
      </c>
      <c r="O1120" s="24">
        <v>18</v>
      </c>
      <c r="P1120" s="24">
        <v>20</v>
      </c>
      <c r="Q1120" s="24">
        <v>22</v>
      </c>
      <c r="R1120" s="24">
        <v>22</v>
      </c>
      <c r="S1120" s="24">
        <v>22</v>
      </c>
      <c r="T1120" s="24">
        <v>22</v>
      </c>
      <c r="U1120" s="24">
        <v>22</v>
      </c>
      <c r="V1120" s="24">
        <v>22</v>
      </c>
      <c r="W1120" s="24">
        <v>22</v>
      </c>
      <c r="X1120" s="24">
        <v>22</v>
      </c>
      <c r="Y1120" s="24">
        <v>22</v>
      </c>
      <c r="Z1120" s="24">
        <v>22</v>
      </c>
      <c r="AA1120" s="24">
        <v>22</v>
      </c>
      <c r="AB1120" s="24">
        <v>22</v>
      </c>
      <c r="AC1120" s="24">
        <v>22</v>
      </c>
      <c r="AD1120" s="24">
        <v>22</v>
      </c>
      <c r="AE1120" s="24">
        <v>22</v>
      </c>
      <c r="AF1120" s="14"/>
    </row>
    <row r="1121" spans="1:32" ht="14.25" customHeight="1" x14ac:dyDescent="0.35">
      <c r="A1121" s="24" t="s">
        <v>1064</v>
      </c>
      <c r="B1121" s="14" t="s">
        <v>420</v>
      </c>
      <c r="C1121" s="24" t="s">
        <v>1058</v>
      </c>
      <c r="D1121" s="24" t="s">
        <v>1050</v>
      </c>
      <c r="E1121" s="15">
        <v>41640</v>
      </c>
      <c r="F1121" s="15">
        <v>42004</v>
      </c>
      <c r="G1121" s="14" t="s">
        <v>415</v>
      </c>
      <c r="H1121" s="24">
        <v>18</v>
      </c>
      <c r="I1121" s="24">
        <v>22</v>
      </c>
      <c r="J1121" s="24">
        <v>18</v>
      </c>
      <c r="K1121" s="24">
        <v>18</v>
      </c>
      <c r="L1121" s="24">
        <v>18</v>
      </c>
      <c r="M1121" s="24">
        <v>18</v>
      </c>
      <c r="N1121" s="24">
        <v>18</v>
      </c>
      <c r="O1121" s="24">
        <v>18</v>
      </c>
      <c r="P1121" s="24">
        <v>18</v>
      </c>
      <c r="Q1121" s="24">
        <v>20</v>
      </c>
      <c r="R1121" s="24">
        <v>22</v>
      </c>
      <c r="S1121" s="24">
        <v>22</v>
      </c>
      <c r="T1121" s="24">
        <v>22</v>
      </c>
      <c r="U1121" s="24">
        <v>22</v>
      </c>
      <c r="V1121" s="24">
        <v>22</v>
      </c>
      <c r="W1121" s="24">
        <v>22</v>
      </c>
      <c r="X1121" s="24">
        <v>22</v>
      </c>
      <c r="Y1121" s="24">
        <v>22</v>
      </c>
      <c r="Z1121" s="24">
        <v>22</v>
      </c>
      <c r="AA1121" s="24">
        <v>22</v>
      </c>
      <c r="AB1121" s="24">
        <v>22</v>
      </c>
      <c r="AC1121" s="24">
        <v>22</v>
      </c>
      <c r="AD1121" s="24">
        <v>22</v>
      </c>
      <c r="AE1121" s="24">
        <v>18</v>
      </c>
      <c r="AF1121" s="14"/>
    </row>
    <row r="1122" spans="1:32" ht="14.25" customHeight="1" x14ac:dyDescent="0.35">
      <c r="A1122" s="24" t="s">
        <v>336</v>
      </c>
      <c r="B1122" s="14" t="s">
        <v>427</v>
      </c>
      <c r="C1122" s="24" t="s">
        <v>1049</v>
      </c>
      <c r="D1122" s="24" t="s">
        <v>791</v>
      </c>
      <c r="E1122" s="15">
        <v>41640</v>
      </c>
      <c r="F1122" s="15">
        <v>42004</v>
      </c>
      <c r="G1122" s="14" t="s">
        <v>415</v>
      </c>
      <c r="H1122" s="24">
        <v>0.05</v>
      </c>
      <c r="I1122" s="24">
        <v>0.05</v>
      </c>
      <c r="J1122" s="24">
        <v>0.05</v>
      </c>
      <c r="K1122" s="24">
        <v>0.05</v>
      </c>
      <c r="L1122" s="24">
        <v>0.05</v>
      </c>
      <c r="M1122" s="24">
        <v>0.05</v>
      </c>
      <c r="N1122" s="24">
        <v>0.05</v>
      </c>
      <c r="O1122" s="24">
        <v>0.05</v>
      </c>
      <c r="P1122" s="24">
        <v>0.5</v>
      </c>
      <c r="Q1122" s="24">
        <v>0.9</v>
      </c>
      <c r="R1122" s="24">
        <v>0.9</v>
      </c>
      <c r="S1122" s="24">
        <v>0.9</v>
      </c>
      <c r="T1122" s="24">
        <v>0.9</v>
      </c>
      <c r="U1122" s="24">
        <v>0.9</v>
      </c>
      <c r="V1122" s="24">
        <v>0.9</v>
      </c>
      <c r="W1122" s="24">
        <v>0.9</v>
      </c>
      <c r="X1122" s="24">
        <v>0.9</v>
      </c>
      <c r="Y1122" s="24">
        <v>0.9</v>
      </c>
      <c r="Z1122" s="24">
        <v>0.9</v>
      </c>
      <c r="AA1122" s="24">
        <v>0.6</v>
      </c>
      <c r="AB1122" s="24">
        <v>0.5</v>
      </c>
      <c r="AC1122" s="24">
        <v>0.05</v>
      </c>
      <c r="AD1122" s="24">
        <v>0.05</v>
      </c>
      <c r="AE1122" s="24">
        <v>0.05</v>
      </c>
      <c r="AF1122" s="14"/>
    </row>
    <row r="1123" spans="1:32" ht="14.25" customHeight="1" x14ac:dyDescent="0.35">
      <c r="A1123" s="24" t="s">
        <v>336</v>
      </c>
      <c r="B1123" s="14" t="s">
        <v>427</v>
      </c>
      <c r="C1123" s="24" t="s">
        <v>1049</v>
      </c>
      <c r="D1123" s="24" t="s">
        <v>512</v>
      </c>
      <c r="E1123" s="15">
        <v>41640</v>
      </c>
      <c r="F1123" s="15">
        <v>42004</v>
      </c>
      <c r="G1123" s="14" t="s">
        <v>415</v>
      </c>
      <c r="H1123" s="24">
        <v>0.05</v>
      </c>
      <c r="I1123" s="24">
        <v>0.05</v>
      </c>
      <c r="J1123" s="24">
        <v>0.05</v>
      </c>
      <c r="K1123" s="24">
        <v>0.05</v>
      </c>
      <c r="L1123" s="24">
        <v>0.05</v>
      </c>
      <c r="M1123" s="24">
        <v>0.05</v>
      </c>
      <c r="N1123" s="24">
        <v>0.05</v>
      </c>
      <c r="O1123" s="24">
        <v>0.05</v>
      </c>
      <c r="P1123" s="24">
        <v>0.5</v>
      </c>
      <c r="Q1123" s="24">
        <v>0.9</v>
      </c>
      <c r="R1123" s="24">
        <v>0.9</v>
      </c>
      <c r="S1123" s="24">
        <v>0.9</v>
      </c>
      <c r="T1123" s="24">
        <v>0.9</v>
      </c>
      <c r="U1123" s="24">
        <v>0.9</v>
      </c>
      <c r="V1123" s="24">
        <v>0.9</v>
      </c>
      <c r="W1123" s="24">
        <v>0.9</v>
      </c>
      <c r="X1123" s="24">
        <v>0.9</v>
      </c>
      <c r="Y1123" s="24">
        <v>0.9</v>
      </c>
      <c r="Z1123" s="24">
        <v>0.9</v>
      </c>
      <c r="AA1123" s="24">
        <v>0.6</v>
      </c>
      <c r="AB1123" s="24">
        <v>0.5</v>
      </c>
      <c r="AC1123" s="24">
        <v>0.05</v>
      </c>
      <c r="AD1123" s="24">
        <v>0.05</v>
      </c>
      <c r="AE1123" s="24">
        <v>0.05</v>
      </c>
      <c r="AF1123" s="14"/>
    </row>
    <row r="1124" spans="1:32" ht="14.25" customHeight="1" x14ac:dyDescent="0.35">
      <c r="A1124" s="24" t="s">
        <v>336</v>
      </c>
      <c r="B1124" s="14" t="s">
        <v>427</v>
      </c>
      <c r="C1124" s="24" t="s">
        <v>1049</v>
      </c>
      <c r="D1124" s="24" t="s">
        <v>1050</v>
      </c>
      <c r="E1124" s="15">
        <v>41640</v>
      </c>
      <c r="F1124" s="15">
        <v>42004</v>
      </c>
      <c r="G1124" s="14" t="s">
        <v>415</v>
      </c>
      <c r="H1124" s="24">
        <v>0.05</v>
      </c>
      <c r="I1124" s="24">
        <v>0.05</v>
      </c>
      <c r="J1124" s="24">
        <v>0.05</v>
      </c>
      <c r="K1124" s="24">
        <v>0.05</v>
      </c>
      <c r="L1124" s="24">
        <v>0.05</v>
      </c>
      <c r="M1124" s="24">
        <v>0.05</v>
      </c>
      <c r="N1124" s="24">
        <v>0.05</v>
      </c>
      <c r="O1124" s="24">
        <v>0.05</v>
      </c>
      <c r="P1124" s="24">
        <v>0.05</v>
      </c>
      <c r="Q1124" s="24">
        <v>0.05</v>
      </c>
      <c r="R1124" s="24">
        <v>0.5</v>
      </c>
      <c r="S1124" s="24">
        <v>0.9</v>
      </c>
      <c r="T1124" s="24">
        <v>0.9</v>
      </c>
      <c r="U1124" s="24">
        <v>0.9</v>
      </c>
      <c r="V1124" s="24">
        <v>0.9</v>
      </c>
      <c r="W1124" s="24">
        <v>0.9</v>
      </c>
      <c r="X1124" s="24">
        <v>0.9</v>
      </c>
      <c r="Y1124" s="24">
        <v>0.9</v>
      </c>
      <c r="Z1124" s="24">
        <v>0.6</v>
      </c>
      <c r="AA1124" s="24">
        <v>0.05</v>
      </c>
      <c r="AB1124" s="24">
        <v>0.05</v>
      </c>
      <c r="AC1124" s="24">
        <v>0.05</v>
      </c>
      <c r="AD1124" s="24">
        <v>0.05</v>
      </c>
      <c r="AE1124" s="24">
        <v>0.05</v>
      </c>
      <c r="AF1124" s="14"/>
    </row>
    <row r="1125" spans="1:32" ht="14.25" customHeight="1" x14ac:dyDescent="0.35">
      <c r="A1125" s="24" t="s">
        <v>1065</v>
      </c>
      <c r="B1125" s="14" t="s">
        <v>1052</v>
      </c>
      <c r="C1125" s="24" t="s">
        <v>1053</v>
      </c>
      <c r="D1125" s="24" t="s">
        <v>791</v>
      </c>
      <c r="E1125" s="15">
        <v>41640</v>
      </c>
      <c r="F1125" s="15">
        <v>42004</v>
      </c>
      <c r="G1125" s="14" t="s">
        <v>415</v>
      </c>
      <c r="H1125" s="24">
        <v>0</v>
      </c>
      <c r="I1125" s="24">
        <v>0</v>
      </c>
      <c r="J1125" s="24">
        <v>0</v>
      </c>
      <c r="K1125" s="24">
        <v>0</v>
      </c>
      <c r="L1125" s="24">
        <v>0</v>
      </c>
      <c r="M1125" s="24">
        <v>0</v>
      </c>
      <c r="N1125" s="24">
        <v>0</v>
      </c>
      <c r="O1125" s="24">
        <v>1</v>
      </c>
      <c r="P1125" s="24">
        <v>1</v>
      </c>
      <c r="Q1125" s="24">
        <v>1</v>
      </c>
      <c r="R1125" s="24">
        <v>1</v>
      </c>
      <c r="S1125" s="24">
        <v>1</v>
      </c>
      <c r="T1125" s="24">
        <v>1</v>
      </c>
      <c r="U1125" s="24">
        <v>1</v>
      </c>
      <c r="V1125" s="24">
        <v>1</v>
      </c>
      <c r="W1125" s="24">
        <v>1</v>
      </c>
      <c r="X1125" s="24">
        <v>1</v>
      </c>
      <c r="Y1125" s="24">
        <v>1</v>
      </c>
      <c r="Z1125" s="24">
        <v>1</v>
      </c>
      <c r="AA1125" s="24">
        <v>1</v>
      </c>
      <c r="AB1125" s="24">
        <v>1</v>
      </c>
      <c r="AC1125" s="24">
        <v>0</v>
      </c>
      <c r="AD1125" s="24">
        <v>0</v>
      </c>
      <c r="AE1125" s="24">
        <v>0</v>
      </c>
      <c r="AF1125" s="14"/>
    </row>
    <row r="1126" spans="1:32" ht="14.25" customHeight="1" x14ac:dyDescent="0.35">
      <c r="A1126" s="24" t="s">
        <v>1065</v>
      </c>
      <c r="B1126" s="14" t="s">
        <v>1052</v>
      </c>
      <c r="C1126" s="24" t="s">
        <v>1053</v>
      </c>
      <c r="D1126" s="24" t="s">
        <v>512</v>
      </c>
      <c r="E1126" s="15">
        <v>41640</v>
      </c>
      <c r="F1126" s="15">
        <v>42004</v>
      </c>
      <c r="G1126" s="14" t="s">
        <v>415</v>
      </c>
      <c r="H1126" s="24">
        <v>0</v>
      </c>
      <c r="I1126" s="24">
        <v>0</v>
      </c>
      <c r="J1126" s="24">
        <v>0</v>
      </c>
      <c r="K1126" s="24">
        <v>0</v>
      </c>
      <c r="L1126" s="24">
        <v>0</v>
      </c>
      <c r="M1126" s="24">
        <v>0</v>
      </c>
      <c r="N1126" s="24">
        <v>0</v>
      </c>
      <c r="O1126" s="24">
        <v>1</v>
      </c>
      <c r="P1126" s="24">
        <v>1</v>
      </c>
      <c r="Q1126" s="24">
        <v>1</v>
      </c>
      <c r="R1126" s="24">
        <v>1</v>
      </c>
      <c r="S1126" s="24">
        <v>1</v>
      </c>
      <c r="T1126" s="24">
        <v>1</v>
      </c>
      <c r="U1126" s="24">
        <v>1</v>
      </c>
      <c r="V1126" s="24">
        <v>1</v>
      </c>
      <c r="W1126" s="24">
        <v>1</v>
      </c>
      <c r="X1126" s="24">
        <v>1</v>
      </c>
      <c r="Y1126" s="24">
        <v>1</v>
      </c>
      <c r="Z1126" s="24">
        <v>1</v>
      </c>
      <c r="AA1126" s="24">
        <v>1</v>
      </c>
      <c r="AB1126" s="24">
        <v>1</v>
      </c>
      <c r="AC1126" s="24">
        <v>0</v>
      </c>
      <c r="AD1126" s="24">
        <v>0</v>
      </c>
      <c r="AE1126" s="24">
        <v>0</v>
      </c>
      <c r="AF1126" s="14"/>
    </row>
    <row r="1127" spans="1:32" ht="14.25" customHeight="1" x14ac:dyDescent="0.35">
      <c r="A1127" s="24" t="s">
        <v>1065</v>
      </c>
      <c r="B1127" s="14" t="s">
        <v>1052</v>
      </c>
      <c r="C1127" s="24" t="s">
        <v>1053</v>
      </c>
      <c r="D1127" s="24" t="s">
        <v>1050</v>
      </c>
      <c r="E1127" s="15">
        <v>41640</v>
      </c>
      <c r="F1127" s="15">
        <v>42004</v>
      </c>
      <c r="G1127" s="14" t="s">
        <v>415</v>
      </c>
      <c r="H1127" s="24">
        <v>0</v>
      </c>
      <c r="I1127" s="24">
        <v>0</v>
      </c>
      <c r="J1127" s="24">
        <v>0</v>
      </c>
      <c r="K1127" s="24">
        <v>0</v>
      </c>
      <c r="L1127" s="24">
        <v>0</v>
      </c>
      <c r="M1127" s="24">
        <v>0</v>
      </c>
      <c r="N1127" s="24">
        <v>0</v>
      </c>
      <c r="O1127" s="24">
        <v>0</v>
      </c>
      <c r="P1127" s="24">
        <v>0</v>
      </c>
      <c r="Q1127" s="24">
        <v>1</v>
      </c>
      <c r="R1127" s="24">
        <v>1</v>
      </c>
      <c r="S1127" s="24">
        <v>1</v>
      </c>
      <c r="T1127" s="24">
        <v>1</v>
      </c>
      <c r="U1127" s="24">
        <v>1</v>
      </c>
      <c r="V1127" s="24">
        <v>1</v>
      </c>
      <c r="W1127" s="24">
        <v>1</v>
      </c>
      <c r="X1127" s="24">
        <v>1</v>
      </c>
      <c r="Y1127" s="24">
        <v>1</v>
      </c>
      <c r="Z1127" s="24">
        <v>1</v>
      </c>
      <c r="AA1127" s="24">
        <v>0</v>
      </c>
      <c r="AB1127" s="24">
        <v>0</v>
      </c>
      <c r="AC1127" s="24">
        <v>0</v>
      </c>
      <c r="AD1127" s="24">
        <v>0</v>
      </c>
      <c r="AE1127" s="24">
        <v>0</v>
      </c>
      <c r="AF1127" s="14"/>
    </row>
    <row r="1128" spans="1:32" ht="14.25" customHeight="1" x14ac:dyDescent="0.35">
      <c r="A1128" s="24" t="s">
        <v>365</v>
      </c>
      <c r="B1128" s="14" t="s">
        <v>424</v>
      </c>
      <c r="C1128" s="24" t="s">
        <v>1049</v>
      </c>
      <c r="D1128" s="24" t="s">
        <v>791</v>
      </c>
      <c r="E1128" s="15">
        <v>41640</v>
      </c>
      <c r="F1128" s="15">
        <v>42004</v>
      </c>
      <c r="G1128" s="14" t="s">
        <v>415</v>
      </c>
      <c r="H1128" s="24">
        <v>0.05</v>
      </c>
      <c r="I1128" s="24">
        <v>0.05</v>
      </c>
      <c r="J1128" s="24">
        <v>0.05</v>
      </c>
      <c r="K1128" s="24">
        <v>0.05</v>
      </c>
      <c r="L1128" s="24">
        <v>0.05</v>
      </c>
      <c r="M1128" s="24">
        <v>0.05</v>
      </c>
      <c r="N1128" s="24">
        <v>0.05</v>
      </c>
      <c r="O1128" s="24">
        <v>0.05</v>
      </c>
      <c r="P1128" s="24">
        <v>0.5</v>
      </c>
      <c r="Q1128" s="24">
        <v>0.9</v>
      </c>
      <c r="R1128" s="24">
        <v>0.9</v>
      </c>
      <c r="S1128" s="24">
        <v>0.9</v>
      </c>
      <c r="T1128" s="24">
        <v>0.9</v>
      </c>
      <c r="U1128" s="24">
        <v>0.9</v>
      </c>
      <c r="V1128" s="24">
        <v>0.9</v>
      </c>
      <c r="W1128" s="24">
        <v>0.9</v>
      </c>
      <c r="X1128" s="24">
        <v>0.9</v>
      </c>
      <c r="Y1128" s="24">
        <v>0.9</v>
      </c>
      <c r="Z1128" s="24">
        <v>0.9</v>
      </c>
      <c r="AA1128" s="24">
        <v>0.6</v>
      </c>
      <c r="AB1128" s="24">
        <v>0.5</v>
      </c>
      <c r="AC1128" s="24">
        <v>0.05</v>
      </c>
      <c r="AD1128" s="24">
        <v>0.05</v>
      </c>
      <c r="AE1128" s="24">
        <v>0.05</v>
      </c>
      <c r="AF1128" s="14"/>
    </row>
    <row r="1129" spans="1:32" ht="14.25" customHeight="1" x14ac:dyDescent="0.35">
      <c r="A1129" s="24" t="s">
        <v>365</v>
      </c>
      <c r="B1129" s="14" t="s">
        <v>424</v>
      </c>
      <c r="C1129" s="24" t="s">
        <v>1049</v>
      </c>
      <c r="D1129" s="24" t="s">
        <v>512</v>
      </c>
      <c r="E1129" s="15">
        <v>41640</v>
      </c>
      <c r="F1129" s="15">
        <v>42004</v>
      </c>
      <c r="G1129" s="14" t="s">
        <v>415</v>
      </c>
      <c r="H1129" s="24">
        <v>0.05</v>
      </c>
      <c r="I1129" s="24">
        <v>0.05</v>
      </c>
      <c r="J1129" s="24">
        <v>0.05</v>
      </c>
      <c r="K1129" s="24">
        <v>0.05</v>
      </c>
      <c r="L1129" s="24">
        <v>0.05</v>
      </c>
      <c r="M1129" s="24">
        <v>0.05</v>
      </c>
      <c r="N1129" s="24">
        <v>0.05</v>
      </c>
      <c r="O1129" s="24">
        <v>0.05</v>
      </c>
      <c r="P1129" s="24">
        <v>0.5</v>
      </c>
      <c r="Q1129" s="24">
        <v>0.9</v>
      </c>
      <c r="R1129" s="24">
        <v>0.9</v>
      </c>
      <c r="S1129" s="24">
        <v>0.9</v>
      </c>
      <c r="T1129" s="24">
        <v>0.9</v>
      </c>
      <c r="U1129" s="24">
        <v>0.9</v>
      </c>
      <c r="V1129" s="24">
        <v>0.9</v>
      </c>
      <c r="W1129" s="24">
        <v>0.9</v>
      </c>
      <c r="X1129" s="24">
        <v>0.9</v>
      </c>
      <c r="Y1129" s="24">
        <v>0.9</v>
      </c>
      <c r="Z1129" s="24">
        <v>0.9</v>
      </c>
      <c r="AA1129" s="24">
        <v>0.6</v>
      </c>
      <c r="AB1129" s="24">
        <v>0.5</v>
      </c>
      <c r="AC1129" s="24">
        <v>0.05</v>
      </c>
      <c r="AD1129" s="24">
        <v>0.05</v>
      </c>
      <c r="AE1129" s="24">
        <v>0.05</v>
      </c>
      <c r="AF1129" s="14"/>
    </row>
    <row r="1130" spans="1:32" ht="14.25" customHeight="1" x14ac:dyDescent="0.35">
      <c r="A1130" s="24" t="s">
        <v>365</v>
      </c>
      <c r="B1130" s="14" t="s">
        <v>424</v>
      </c>
      <c r="C1130" s="24" t="s">
        <v>1049</v>
      </c>
      <c r="D1130" s="24" t="s">
        <v>1050</v>
      </c>
      <c r="E1130" s="15">
        <v>41640</v>
      </c>
      <c r="F1130" s="15">
        <v>42004</v>
      </c>
      <c r="G1130" s="14" t="s">
        <v>415</v>
      </c>
      <c r="H1130" s="24">
        <v>0.05</v>
      </c>
      <c r="I1130" s="24">
        <v>0.05</v>
      </c>
      <c r="J1130" s="24">
        <v>0.05</v>
      </c>
      <c r="K1130" s="24">
        <v>0.05</v>
      </c>
      <c r="L1130" s="24">
        <v>0.05</v>
      </c>
      <c r="M1130" s="24">
        <v>0.05</v>
      </c>
      <c r="N1130" s="24">
        <v>0.05</v>
      </c>
      <c r="O1130" s="24">
        <v>0.05</v>
      </c>
      <c r="P1130" s="24">
        <v>0.05</v>
      </c>
      <c r="Q1130" s="24">
        <v>0.05</v>
      </c>
      <c r="R1130" s="24">
        <v>0.5</v>
      </c>
      <c r="S1130" s="24">
        <v>0.9</v>
      </c>
      <c r="T1130" s="24">
        <v>0.9</v>
      </c>
      <c r="U1130" s="24">
        <v>0.9</v>
      </c>
      <c r="V1130" s="24">
        <v>0.9</v>
      </c>
      <c r="W1130" s="24">
        <v>0.9</v>
      </c>
      <c r="X1130" s="24">
        <v>0.9</v>
      </c>
      <c r="Y1130" s="24">
        <v>0.9</v>
      </c>
      <c r="Z1130" s="24">
        <v>0.6</v>
      </c>
      <c r="AA1130" s="24">
        <v>0.05</v>
      </c>
      <c r="AB1130" s="24">
        <v>0.05</v>
      </c>
      <c r="AC1130" s="24">
        <v>0.05</v>
      </c>
      <c r="AD1130" s="24">
        <v>0.05</v>
      </c>
      <c r="AE1130" s="24">
        <v>0.05</v>
      </c>
      <c r="AF1130" s="14"/>
    </row>
    <row r="1131" spans="1:32" ht="14.25" customHeight="1" x14ac:dyDescent="0.35">
      <c r="A1131" s="24" t="s">
        <v>353</v>
      </c>
      <c r="B1131" s="14" t="s">
        <v>448</v>
      </c>
      <c r="C1131" s="24" t="s">
        <v>1049</v>
      </c>
      <c r="D1131" s="24" t="s">
        <v>791</v>
      </c>
      <c r="E1131" s="15">
        <v>41640</v>
      </c>
      <c r="F1131" s="15">
        <v>42004</v>
      </c>
      <c r="G1131" s="14" t="s">
        <v>415</v>
      </c>
      <c r="H1131" s="24">
        <v>0</v>
      </c>
      <c r="I1131" s="24">
        <v>0</v>
      </c>
      <c r="J1131" s="24">
        <v>0</v>
      </c>
      <c r="K1131" s="24">
        <v>0</v>
      </c>
      <c r="L1131" s="24">
        <v>0</v>
      </c>
      <c r="M1131" s="24">
        <v>0</v>
      </c>
      <c r="N1131" s="24">
        <v>0</v>
      </c>
      <c r="O1131" s="24">
        <v>0</v>
      </c>
      <c r="P1131" s="24">
        <v>0.1</v>
      </c>
      <c r="Q1131" s="24">
        <v>0.2</v>
      </c>
      <c r="R1131" s="24">
        <v>0.5</v>
      </c>
      <c r="S1131" s="24">
        <v>0.5</v>
      </c>
      <c r="T1131" s="24">
        <v>0.7</v>
      </c>
      <c r="U1131" s="24">
        <v>0.7</v>
      </c>
      <c r="V1131" s="24">
        <v>0.7</v>
      </c>
      <c r="W1131" s="24">
        <v>0.7</v>
      </c>
      <c r="X1131" s="24">
        <v>0.8</v>
      </c>
      <c r="Y1131" s="24">
        <v>0.7</v>
      </c>
      <c r="Z1131" s="24">
        <v>0.5</v>
      </c>
      <c r="AA1131" s="24">
        <v>0.3</v>
      </c>
      <c r="AB1131" s="24">
        <v>0.3</v>
      </c>
      <c r="AC1131" s="24">
        <v>0</v>
      </c>
      <c r="AD1131" s="24">
        <v>0</v>
      </c>
      <c r="AE1131" s="24">
        <v>0</v>
      </c>
      <c r="AF1131" s="14"/>
    </row>
    <row r="1132" spans="1:32" ht="14.25" customHeight="1" x14ac:dyDescent="0.35">
      <c r="A1132" s="24" t="s">
        <v>353</v>
      </c>
      <c r="B1132" s="14" t="s">
        <v>448</v>
      </c>
      <c r="C1132" s="24" t="s">
        <v>1049</v>
      </c>
      <c r="D1132" s="24" t="s">
        <v>512</v>
      </c>
      <c r="E1132" s="15">
        <v>41640</v>
      </c>
      <c r="F1132" s="15">
        <v>42004</v>
      </c>
      <c r="G1132" s="14" t="s">
        <v>415</v>
      </c>
      <c r="H1132" s="24">
        <v>0</v>
      </c>
      <c r="I1132" s="24">
        <v>0</v>
      </c>
      <c r="J1132" s="24">
        <v>0</v>
      </c>
      <c r="K1132" s="24">
        <v>0</v>
      </c>
      <c r="L1132" s="24">
        <v>0</v>
      </c>
      <c r="M1132" s="24">
        <v>0</v>
      </c>
      <c r="N1132" s="24">
        <v>0</v>
      </c>
      <c r="O1132" s="24">
        <v>0</v>
      </c>
      <c r="P1132" s="24">
        <v>0.1</v>
      </c>
      <c r="Q1132" s="24">
        <v>0.2</v>
      </c>
      <c r="R1132" s="24">
        <v>0.5</v>
      </c>
      <c r="S1132" s="24">
        <v>0.6</v>
      </c>
      <c r="T1132" s="24">
        <v>0.8</v>
      </c>
      <c r="U1132" s="24">
        <v>0.9</v>
      </c>
      <c r="V1132" s="24">
        <v>0.9</v>
      </c>
      <c r="W1132" s="24">
        <v>0.9</v>
      </c>
      <c r="X1132" s="24">
        <v>0.8</v>
      </c>
      <c r="Y1132" s="24">
        <v>0.7</v>
      </c>
      <c r="Z1132" s="24">
        <v>0.5</v>
      </c>
      <c r="AA1132" s="24">
        <v>0.2</v>
      </c>
      <c r="AB1132" s="24">
        <v>0.2</v>
      </c>
      <c r="AC1132" s="24">
        <v>0</v>
      </c>
      <c r="AD1132" s="24">
        <v>0</v>
      </c>
      <c r="AE1132" s="24">
        <v>0</v>
      </c>
      <c r="AF1132" s="14"/>
    </row>
    <row r="1133" spans="1:32" ht="14.25" customHeight="1" x14ac:dyDescent="0.35">
      <c r="A1133" s="24" t="s">
        <v>353</v>
      </c>
      <c r="B1133" s="14" t="s">
        <v>448</v>
      </c>
      <c r="C1133" s="24" t="s">
        <v>1049</v>
      </c>
      <c r="D1133" s="24" t="s">
        <v>1050</v>
      </c>
      <c r="E1133" s="15">
        <v>41640</v>
      </c>
      <c r="F1133" s="15">
        <v>42004</v>
      </c>
      <c r="G1133" s="14" t="s">
        <v>415</v>
      </c>
      <c r="H1133" s="24">
        <v>0</v>
      </c>
      <c r="I1133" s="24">
        <v>0</v>
      </c>
      <c r="J1133" s="24">
        <v>0</v>
      </c>
      <c r="K1133" s="24">
        <v>0</v>
      </c>
      <c r="L1133" s="24">
        <v>0</v>
      </c>
      <c r="M1133" s="24">
        <v>0</v>
      </c>
      <c r="N1133" s="24">
        <v>0</v>
      </c>
      <c r="O1133" s="24">
        <v>0</v>
      </c>
      <c r="P1133" s="24">
        <v>0</v>
      </c>
      <c r="Q1133" s="24">
        <v>0</v>
      </c>
      <c r="R1133" s="24">
        <v>0.1</v>
      </c>
      <c r="S1133" s="24">
        <v>0.2</v>
      </c>
      <c r="T1133" s="24">
        <v>0.2</v>
      </c>
      <c r="U1133" s="24">
        <v>0.4</v>
      </c>
      <c r="V1133" s="24">
        <v>0.4</v>
      </c>
      <c r="W1133" s="24">
        <v>0.4</v>
      </c>
      <c r="X1133" s="24">
        <v>0.4</v>
      </c>
      <c r="Y1133" s="24">
        <v>0.4</v>
      </c>
      <c r="Z1133" s="24">
        <v>0.2</v>
      </c>
      <c r="AA1133" s="24">
        <v>0</v>
      </c>
      <c r="AB1133" s="24">
        <v>0</v>
      </c>
      <c r="AC1133" s="24">
        <v>0</v>
      </c>
      <c r="AD1133" s="24">
        <v>0</v>
      </c>
      <c r="AE1133" s="24">
        <v>0</v>
      </c>
      <c r="AF1133" s="14"/>
    </row>
    <row r="1134" spans="1:32" ht="14.25" customHeight="1" x14ac:dyDescent="0.35">
      <c r="A1134" s="24" t="s">
        <v>1066</v>
      </c>
      <c r="B1134" s="14" t="s">
        <v>1055</v>
      </c>
      <c r="C1134" s="24" t="s">
        <v>1049</v>
      </c>
      <c r="D1134" s="24" t="s">
        <v>791</v>
      </c>
      <c r="E1134" s="15">
        <v>41640</v>
      </c>
      <c r="F1134" s="15">
        <v>42004</v>
      </c>
      <c r="G1134" s="14" t="s">
        <v>415</v>
      </c>
      <c r="H1134" s="24">
        <v>0.05</v>
      </c>
      <c r="I1134" s="24">
        <v>0.05</v>
      </c>
      <c r="J1134" s="24">
        <v>0.05</v>
      </c>
      <c r="K1134" s="24">
        <v>0.05</v>
      </c>
      <c r="L1134" s="24">
        <v>0.05</v>
      </c>
      <c r="M1134" s="24">
        <v>0.05</v>
      </c>
      <c r="N1134" s="24">
        <v>0.05</v>
      </c>
      <c r="O1134" s="24">
        <v>0.05</v>
      </c>
      <c r="P1134" s="24">
        <v>0.5</v>
      </c>
      <c r="Q1134" s="24">
        <v>0.9</v>
      </c>
      <c r="R1134" s="24">
        <v>0.9</v>
      </c>
      <c r="S1134" s="24">
        <v>0.9</v>
      </c>
      <c r="T1134" s="24">
        <v>0.9</v>
      </c>
      <c r="U1134" s="24">
        <v>0.9</v>
      </c>
      <c r="V1134" s="24">
        <v>0.9</v>
      </c>
      <c r="W1134" s="24">
        <v>0.9</v>
      </c>
      <c r="X1134" s="24">
        <v>0.9</v>
      </c>
      <c r="Y1134" s="24">
        <v>0.9</v>
      </c>
      <c r="Z1134" s="24">
        <v>0.9</v>
      </c>
      <c r="AA1134" s="24">
        <v>0.6</v>
      </c>
      <c r="AB1134" s="24">
        <v>0.5</v>
      </c>
      <c r="AC1134" s="24">
        <v>0.05</v>
      </c>
      <c r="AD1134" s="24">
        <v>0.05</v>
      </c>
      <c r="AE1134" s="24">
        <v>0.05</v>
      </c>
      <c r="AF1134" s="14"/>
    </row>
    <row r="1135" spans="1:32" ht="14.25" customHeight="1" x14ac:dyDescent="0.35">
      <c r="A1135" s="24" t="s">
        <v>1066</v>
      </c>
      <c r="B1135" s="14" t="s">
        <v>1055</v>
      </c>
      <c r="C1135" s="24" t="s">
        <v>1049</v>
      </c>
      <c r="D1135" s="24" t="s">
        <v>512</v>
      </c>
      <c r="E1135" s="15">
        <v>41640</v>
      </c>
      <c r="F1135" s="15">
        <v>42004</v>
      </c>
      <c r="G1135" s="14" t="s">
        <v>415</v>
      </c>
      <c r="H1135" s="24">
        <v>0.05</v>
      </c>
      <c r="I1135" s="24">
        <v>0.05</v>
      </c>
      <c r="J1135" s="24">
        <v>0.05</v>
      </c>
      <c r="K1135" s="24">
        <v>0.05</v>
      </c>
      <c r="L1135" s="24">
        <v>0.05</v>
      </c>
      <c r="M1135" s="24">
        <v>0.05</v>
      </c>
      <c r="N1135" s="24">
        <v>0.05</v>
      </c>
      <c r="O1135" s="24">
        <v>0.05</v>
      </c>
      <c r="P1135" s="24">
        <v>0.5</v>
      </c>
      <c r="Q1135" s="24">
        <v>0.9</v>
      </c>
      <c r="R1135" s="24">
        <v>0.9</v>
      </c>
      <c r="S1135" s="24">
        <v>0.9</v>
      </c>
      <c r="T1135" s="24">
        <v>0.9</v>
      </c>
      <c r="U1135" s="24">
        <v>0.9</v>
      </c>
      <c r="V1135" s="24">
        <v>0.9</v>
      </c>
      <c r="W1135" s="24">
        <v>0.9</v>
      </c>
      <c r="X1135" s="24">
        <v>0.9</v>
      </c>
      <c r="Y1135" s="24">
        <v>0.9</v>
      </c>
      <c r="Z1135" s="24">
        <v>0.9</v>
      </c>
      <c r="AA1135" s="24">
        <v>0.6</v>
      </c>
      <c r="AB1135" s="24">
        <v>0.5</v>
      </c>
      <c r="AC1135" s="24">
        <v>0.05</v>
      </c>
      <c r="AD1135" s="24">
        <v>0.05</v>
      </c>
      <c r="AE1135" s="24">
        <v>0.05</v>
      </c>
      <c r="AF1135" s="14"/>
    </row>
    <row r="1136" spans="1:32" ht="14.25" customHeight="1" x14ac:dyDescent="0.35">
      <c r="A1136" s="24" t="s">
        <v>1066</v>
      </c>
      <c r="B1136" s="14" t="s">
        <v>1055</v>
      </c>
      <c r="C1136" s="24" t="s">
        <v>1049</v>
      </c>
      <c r="D1136" s="24" t="s">
        <v>1050</v>
      </c>
      <c r="E1136" s="15">
        <v>41640</v>
      </c>
      <c r="F1136" s="15">
        <v>42004</v>
      </c>
      <c r="G1136" s="14" t="s">
        <v>415</v>
      </c>
      <c r="H1136" s="24">
        <v>0.05</v>
      </c>
      <c r="I1136" s="24">
        <v>0.05</v>
      </c>
      <c r="J1136" s="24">
        <v>0.05</v>
      </c>
      <c r="K1136" s="24">
        <v>0.05</v>
      </c>
      <c r="L1136" s="24">
        <v>0.05</v>
      </c>
      <c r="M1136" s="24">
        <v>0.05</v>
      </c>
      <c r="N1136" s="24">
        <v>0.05</v>
      </c>
      <c r="O1136" s="24">
        <v>0.05</v>
      </c>
      <c r="P1136" s="24">
        <v>0.05</v>
      </c>
      <c r="Q1136" s="24">
        <v>0.05</v>
      </c>
      <c r="R1136" s="24">
        <v>0.5</v>
      </c>
      <c r="S1136" s="24">
        <v>0.9</v>
      </c>
      <c r="T1136" s="24">
        <v>0.9</v>
      </c>
      <c r="U1136" s="24">
        <v>0.9</v>
      </c>
      <c r="V1136" s="24">
        <v>0.9</v>
      </c>
      <c r="W1136" s="24">
        <v>0.9</v>
      </c>
      <c r="X1136" s="24">
        <v>0.9</v>
      </c>
      <c r="Y1136" s="24">
        <v>0.9</v>
      </c>
      <c r="Z1136" s="24">
        <v>0.6</v>
      </c>
      <c r="AA1136" s="24">
        <v>0.05</v>
      </c>
      <c r="AB1136" s="24">
        <v>0.05</v>
      </c>
      <c r="AC1136" s="24">
        <v>0.05</v>
      </c>
      <c r="AD1136" s="24">
        <v>0.05</v>
      </c>
      <c r="AE1136" s="24">
        <v>0.05</v>
      </c>
      <c r="AF1136" s="14"/>
    </row>
    <row r="1137" spans="1:32" ht="14.25" customHeight="1" x14ac:dyDescent="0.35">
      <c r="A1137" s="24" t="s">
        <v>1067</v>
      </c>
      <c r="B1137" s="14" t="s">
        <v>460</v>
      </c>
      <c r="C1137" s="24" t="s">
        <v>1049</v>
      </c>
      <c r="D1137" s="24" t="s">
        <v>791</v>
      </c>
      <c r="E1137" s="15">
        <v>41640</v>
      </c>
      <c r="F1137" s="15">
        <v>42004</v>
      </c>
      <c r="G1137" s="14" t="s">
        <v>415</v>
      </c>
      <c r="H1137" s="24">
        <v>0.05</v>
      </c>
      <c r="I1137" s="24">
        <v>0.05</v>
      </c>
      <c r="J1137" s="24">
        <v>0.05</v>
      </c>
      <c r="K1137" s="24">
        <v>0.05</v>
      </c>
      <c r="L1137" s="24">
        <v>0.05</v>
      </c>
      <c r="M1137" s="24">
        <v>0.05</v>
      </c>
      <c r="N1137" s="24">
        <v>0.05</v>
      </c>
      <c r="O1137" s="24">
        <v>0.05</v>
      </c>
      <c r="P1137" s="24">
        <v>0.1</v>
      </c>
      <c r="Q1137" s="24">
        <v>0.2</v>
      </c>
      <c r="R1137" s="24">
        <v>0.3</v>
      </c>
      <c r="S1137" s="24">
        <v>0.4</v>
      </c>
      <c r="T1137" s="24">
        <v>0.8</v>
      </c>
      <c r="U1137" s="24">
        <v>0.8</v>
      </c>
      <c r="V1137" s="24">
        <v>0.8</v>
      </c>
      <c r="W1137" s="24">
        <v>0.8</v>
      </c>
      <c r="X1137" s="24">
        <v>0.6</v>
      </c>
      <c r="Y1137" s="24">
        <v>0.4</v>
      </c>
      <c r="Z1137" s="24">
        <v>0.3</v>
      </c>
      <c r="AA1137" s="24">
        <v>0.2</v>
      </c>
      <c r="AB1137" s="24">
        <v>0.2</v>
      </c>
      <c r="AC1137" s="24">
        <v>0.05</v>
      </c>
      <c r="AD1137" s="24">
        <v>0.05</v>
      </c>
      <c r="AE1137" s="24">
        <v>0.05</v>
      </c>
      <c r="AF1137" s="14"/>
    </row>
    <row r="1138" spans="1:32" ht="14.25" customHeight="1" x14ac:dyDescent="0.35">
      <c r="A1138" s="24" t="s">
        <v>1067</v>
      </c>
      <c r="B1138" s="14" t="s">
        <v>460</v>
      </c>
      <c r="C1138" s="24" t="s">
        <v>1049</v>
      </c>
      <c r="D1138" s="24" t="s">
        <v>512</v>
      </c>
      <c r="E1138" s="15">
        <v>41640</v>
      </c>
      <c r="F1138" s="15">
        <v>42004</v>
      </c>
      <c r="G1138" s="14" t="s">
        <v>415</v>
      </c>
      <c r="H1138" s="24">
        <v>0.05</v>
      </c>
      <c r="I1138" s="24">
        <v>0.05</v>
      </c>
      <c r="J1138" s="24">
        <v>0.05</v>
      </c>
      <c r="K1138" s="24">
        <v>0.05</v>
      </c>
      <c r="L1138" s="24">
        <v>0.05</v>
      </c>
      <c r="M1138" s="24">
        <v>0.05</v>
      </c>
      <c r="N1138" s="24">
        <v>0.05</v>
      </c>
      <c r="O1138" s="24">
        <v>0.05</v>
      </c>
      <c r="P1138" s="24">
        <v>0.1</v>
      </c>
      <c r="Q1138" s="24">
        <v>0.2</v>
      </c>
      <c r="R1138" s="24">
        <v>0.3</v>
      </c>
      <c r="S1138" s="24">
        <v>0.5</v>
      </c>
      <c r="T1138" s="24">
        <v>0.9</v>
      </c>
      <c r="U1138" s="24">
        <v>0.9</v>
      </c>
      <c r="V1138" s="24">
        <v>0.9</v>
      </c>
      <c r="W1138" s="24">
        <v>0.9</v>
      </c>
      <c r="X1138" s="24">
        <v>0.7</v>
      </c>
      <c r="Y1138" s="24">
        <v>0.5</v>
      </c>
      <c r="Z1138" s="24">
        <v>0.3</v>
      </c>
      <c r="AA1138" s="24">
        <v>0.2</v>
      </c>
      <c r="AB1138" s="24">
        <v>0.2</v>
      </c>
      <c r="AC1138" s="24">
        <v>0.05</v>
      </c>
      <c r="AD1138" s="24">
        <v>0.05</v>
      </c>
      <c r="AE1138" s="24">
        <v>0.05</v>
      </c>
      <c r="AF1138" s="14"/>
    </row>
    <row r="1139" spans="1:32" ht="14.25" customHeight="1" x14ac:dyDescent="0.35">
      <c r="A1139" s="24" t="s">
        <v>1067</v>
      </c>
      <c r="B1139" s="14" t="s">
        <v>460</v>
      </c>
      <c r="C1139" s="24" t="s">
        <v>1049</v>
      </c>
      <c r="D1139" s="24" t="s">
        <v>1050</v>
      </c>
      <c r="E1139" s="15">
        <v>41640</v>
      </c>
      <c r="F1139" s="15">
        <v>42004</v>
      </c>
      <c r="G1139" s="14" t="s">
        <v>415</v>
      </c>
      <c r="H1139" s="24">
        <v>0.05</v>
      </c>
      <c r="I1139" s="24">
        <v>0.05</v>
      </c>
      <c r="J1139" s="24">
        <v>0.05</v>
      </c>
      <c r="K1139" s="24">
        <v>0.05</v>
      </c>
      <c r="L1139" s="24">
        <v>0.05</v>
      </c>
      <c r="M1139" s="24">
        <v>0.05</v>
      </c>
      <c r="N1139" s="24">
        <v>0.05</v>
      </c>
      <c r="O1139" s="24">
        <v>0.05</v>
      </c>
      <c r="P1139" s="24">
        <v>0.05</v>
      </c>
      <c r="Q1139" s="24">
        <v>0.05</v>
      </c>
      <c r="R1139" s="24">
        <v>0.1</v>
      </c>
      <c r="S1139" s="24">
        <v>0.2</v>
      </c>
      <c r="T1139" s="24">
        <v>0.4</v>
      </c>
      <c r="U1139" s="24">
        <v>0.8</v>
      </c>
      <c r="V1139" s="24">
        <v>0.8</v>
      </c>
      <c r="W1139" s="24">
        <v>0.6</v>
      </c>
      <c r="X1139" s="24">
        <v>0.4</v>
      </c>
      <c r="Y1139" s="24">
        <v>0.3</v>
      </c>
      <c r="Z1139" s="24">
        <v>0.2</v>
      </c>
      <c r="AA1139" s="24">
        <v>0.05</v>
      </c>
      <c r="AB1139" s="24">
        <v>0.05</v>
      </c>
      <c r="AC1139" s="24">
        <v>0.05</v>
      </c>
      <c r="AD1139" s="24">
        <v>0.05</v>
      </c>
      <c r="AE1139" s="24">
        <v>0.05</v>
      </c>
      <c r="AF1139" s="14"/>
    </row>
    <row r="1140" spans="1:32" ht="14.25" customHeight="1" x14ac:dyDescent="0.35">
      <c r="A1140" s="24" t="s">
        <v>1068</v>
      </c>
      <c r="B1140" s="14" t="s">
        <v>420</v>
      </c>
      <c r="C1140" s="24" t="s">
        <v>1058</v>
      </c>
      <c r="D1140" s="24" t="s">
        <v>791</v>
      </c>
      <c r="E1140" s="15">
        <v>41640</v>
      </c>
      <c r="F1140" s="15">
        <v>42004</v>
      </c>
      <c r="G1140" s="14" t="s">
        <v>415</v>
      </c>
      <c r="H1140" s="24">
        <v>35</v>
      </c>
      <c r="I1140" s="24">
        <v>35</v>
      </c>
      <c r="J1140" s="24">
        <v>35</v>
      </c>
      <c r="K1140" s="24">
        <v>35</v>
      </c>
      <c r="L1140" s="24">
        <v>35</v>
      </c>
      <c r="M1140" s="24">
        <v>35</v>
      </c>
      <c r="N1140" s="24">
        <v>35</v>
      </c>
      <c r="O1140" s="24">
        <v>24</v>
      </c>
      <c r="P1140" s="24">
        <v>24</v>
      </c>
      <c r="Q1140" s="24">
        <v>24</v>
      </c>
      <c r="R1140" s="24">
        <v>24</v>
      </c>
      <c r="S1140" s="24">
        <v>24</v>
      </c>
      <c r="T1140" s="24">
        <v>24</v>
      </c>
      <c r="U1140" s="24">
        <v>24</v>
      </c>
      <c r="V1140" s="24">
        <v>24</v>
      </c>
      <c r="W1140" s="24">
        <v>24</v>
      </c>
      <c r="X1140" s="24">
        <v>24</v>
      </c>
      <c r="Y1140" s="24">
        <v>24</v>
      </c>
      <c r="Z1140" s="24">
        <v>24</v>
      </c>
      <c r="AA1140" s="24">
        <v>24</v>
      </c>
      <c r="AB1140" s="24">
        <v>24</v>
      </c>
      <c r="AC1140" s="24">
        <v>35</v>
      </c>
      <c r="AD1140" s="24">
        <v>35</v>
      </c>
      <c r="AE1140" s="24">
        <v>35</v>
      </c>
      <c r="AF1140" s="14"/>
    </row>
    <row r="1141" spans="1:32" ht="14.25" customHeight="1" x14ac:dyDescent="0.35">
      <c r="A1141" s="24" t="s">
        <v>1068</v>
      </c>
      <c r="B1141" s="14" t="s">
        <v>420</v>
      </c>
      <c r="C1141" s="24" t="s">
        <v>1058</v>
      </c>
      <c r="D1141" s="24" t="s">
        <v>512</v>
      </c>
      <c r="E1141" s="15">
        <v>41640</v>
      </c>
      <c r="F1141" s="15">
        <v>42004</v>
      </c>
      <c r="G1141" s="14" t="s">
        <v>415</v>
      </c>
      <c r="H1141" s="24">
        <v>35</v>
      </c>
      <c r="I1141" s="24">
        <v>35</v>
      </c>
      <c r="J1141" s="24">
        <v>35</v>
      </c>
      <c r="K1141" s="24">
        <v>35</v>
      </c>
      <c r="L1141" s="24">
        <v>35</v>
      </c>
      <c r="M1141" s="24">
        <v>35</v>
      </c>
      <c r="N1141" s="24">
        <v>35</v>
      </c>
      <c r="O1141" s="24">
        <v>24</v>
      </c>
      <c r="P1141" s="24">
        <v>24</v>
      </c>
      <c r="Q1141" s="24">
        <v>24</v>
      </c>
      <c r="R1141" s="24">
        <v>24</v>
      </c>
      <c r="S1141" s="24">
        <v>24</v>
      </c>
      <c r="T1141" s="24">
        <v>24</v>
      </c>
      <c r="U1141" s="24">
        <v>24</v>
      </c>
      <c r="V1141" s="24">
        <v>24</v>
      </c>
      <c r="W1141" s="24">
        <v>24</v>
      </c>
      <c r="X1141" s="24">
        <v>24</v>
      </c>
      <c r="Y1141" s="24">
        <v>24</v>
      </c>
      <c r="Z1141" s="24">
        <v>24</v>
      </c>
      <c r="AA1141" s="24">
        <v>24</v>
      </c>
      <c r="AB1141" s="24">
        <v>24</v>
      </c>
      <c r="AC1141" s="24">
        <v>35</v>
      </c>
      <c r="AD1141" s="24">
        <v>35</v>
      </c>
      <c r="AE1141" s="24">
        <v>35</v>
      </c>
      <c r="AF1141" s="14"/>
    </row>
    <row r="1142" spans="1:32" ht="14.25" customHeight="1" x14ac:dyDescent="0.35">
      <c r="A1142" s="24" t="s">
        <v>1068</v>
      </c>
      <c r="B1142" s="14" t="s">
        <v>420</v>
      </c>
      <c r="C1142" s="24" t="s">
        <v>1058</v>
      </c>
      <c r="D1142" s="24" t="s">
        <v>1050</v>
      </c>
      <c r="E1142" s="15">
        <v>41640</v>
      </c>
      <c r="F1142" s="15">
        <v>42004</v>
      </c>
      <c r="G1142" s="14" t="s">
        <v>415</v>
      </c>
      <c r="H1142" s="24">
        <v>35</v>
      </c>
      <c r="I1142" s="24">
        <v>35</v>
      </c>
      <c r="J1142" s="24">
        <v>35</v>
      </c>
      <c r="K1142" s="24">
        <v>35</v>
      </c>
      <c r="L1142" s="24">
        <v>35</v>
      </c>
      <c r="M1142" s="24">
        <v>35</v>
      </c>
      <c r="N1142" s="24">
        <v>35</v>
      </c>
      <c r="O1142" s="24">
        <v>35</v>
      </c>
      <c r="P1142" s="24">
        <v>35</v>
      </c>
      <c r="Q1142" s="24">
        <v>24</v>
      </c>
      <c r="R1142" s="24">
        <v>24</v>
      </c>
      <c r="S1142" s="24">
        <v>24</v>
      </c>
      <c r="T1142" s="24">
        <v>24</v>
      </c>
      <c r="U1142" s="24">
        <v>24</v>
      </c>
      <c r="V1142" s="24">
        <v>24</v>
      </c>
      <c r="W1142" s="24">
        <v>24</v>
      </c>
      <c r="X1142" s="24">
        <v>24</v>
      </c>
      <c r="Y1142" s="24">
        <v>24</v>
      </c>
      <c r="Z1142" s="24">
        <v>24</v>
      </c>
      <c r="AA1142" s="24">
        <v>35</v>
      </c>
      <c r="AB1142" s="24">
        <v>35</v>
      </c>
      <c r="AC1142" s="24">
        <v>35</v>
      </c>
      <c r="AD1142" s="24">
        <v>35</v>
      </c>
      <c r="AE1142" s="24">
        <v>35</v>
      </c>
      <c r="AF1142" s="14"/>
    </row>
    <row r="1143" spans="1:32" ht="14.25" customHeight="1" x14ac:dyDescent="0.35">
      <c r="A1143" s="24" t="s">
        <v>1069</v>
      </c>
      <c r="B1143" s="14" t="s">
        <v>420</v>
      </c>
      <c r="C1143" s="24" t="s">
        <v>1058</v>
      </c>
      <c r="D1143" s="24" t="s">
        <v>791</v>
      </c>
      <c r="E1143" s="15">
        <v>41640</v>
      </c>
      <c r="F1143" s="15">
        <v>42004</v>
      </c>
      <c r="G1143" s="14" t="s">
        <v>415</v>
      </c>
      <c r="H1143" s="24">
        <v>18</v>
      </c>
      <c r="I1143" s="24">
        <v>18</v>
      </c>
      <c r="J1143" s="24">
        <v>18</v>
      </c>
      <c r="K1143" s="24">
        <v>18</v>
      </c>
      <c r="L1143" s="24">
        <v>18</v>
      </c>
      <c r="M1143" s="24">
        <v>18</v>
      </c>
      <c r="N1143" s="24">
        <v>18</v>
      </c>
      <c r="O1143" s="24">
        <v>20</v>
      </c>
      <c r="P1143" s="24">
        <v>22</v>
      </c>
      <c r="Q1143" s="24">
        <v>22</v>
      </c>
      <c r="R1143" s="24">
        <v>22</v>
      </c>
      <c r="S1143" s="24">
        <v>22</v>
      </c>
      <c r="T1143" s="24">
        <v>22</v>
      </c>
      <c r="U1143" s="24">
        <v>22</v>
      </c>
      <c r="V1143" s="24">
        <v>22</v>
      </c>
      <c r="W1143" s="24">
        <v>22</v>
      </c>
      <c r="X1143" s="24">
        <v>22</v>
      </c>
      <c r="Y1143" s="24">
        <v>22</v>
      </c>
      <c r="Z1143" s="24">
        <v>22</v>
      </c>
      <c r="AA1143" s="24">
        <v>22</v>
      </c>
      <c r="AB1143" s="24">
        <v>22</v>
      </c>
      <c r="AC1143" s="24">
        <v>18</v>
      </c>
      <c r="AD1143" s="24">
        <v>18</v>
      </c>
      <c r="AE1143" s="24">
        <v>18</v>
      </c>
      <c r="AF1143" s="14"/>
    </row>
    <row r="1144" spans="1:32" ht="14.25" customHeight="1" x14ac:dyDescent="0.35">
      <c r="A1144" s="24" t="s">
        <v>1069</v>
      </c>
      <c r="B1144" s="14" t="s">
        <v>420</v>
      </c>
      <c r="C1144" s="24" t="s">
        <v>1058</v>
      </c>
      <c r="D1144" s="24" t="s">
        <v>512</v>
      </c>
      <c r="E1144" s="15">
        <v>41640</v>
      </c>
      <c r="F1144" s="15">
        <v>42004</v>
      </c>
      <c r="G1144" s="14" t="s">
        <v>415</v>
      </c>
      <c r="H1144" s="24">
        <v>18</v>
      </c>
      <c r="I1144" s="24">
        <v>18</v>
      </c>
      <c r="J1144" s="24">
        <v>18</v>
      </c>
      <c r="K1144" s="24">
        <v>18</v>
      </c>
      <c r="L1144" s="24">
        <v>18</v>
      </c>
      <c r="M1144" s="24">
        <v>18</v>
      </c>
      <c r="N1144" s="24">
        <v>18</v>
      </c>
      <c r="O1144" s="24">
        <v>20</v>
      </c>
      <c r="P1144" s="24">
        <v>22</v>
      </c>
      <c r="Q1144" s="24">
        <v>22</v>
      </c>
      <c r="R1144" s="24">
        <v>22</v>
      </c>
      <c r="S1144" s="24">
        <v>22</v>
      </c>
      <c r="T1144" s="24">
        <v>22</v>
      </c>
      <c r="U1144" s="24">
        <v>22</v>
      </c>
      <c r="V1144" s="24">
        <v>22</v>
      </c>
      <c r="W1144" s="24">
        <v>22</v>
      </c>
      <c r="X1144" s="24">
        <v>22</v>
      </c>
      <c r="Y1144" s="24">
        <v>22</v>
      </c>
      <c r="Z1144" s="24">
        <v>22</v>
      </c>
      <c r="AA1144" s="24">
        <v>22</v>
      </c>
      <c r="AB1144" s="24">
        <v>22</v>
      </c>
      <c r="AC1144" s="24">
        <v>18</v>
      </c>
      <c r="AD1144" s="24">
        <v>18</v>
      </c>
      <c r="AE1144" s="24">
        <v>18</v>
      </c>
      <c r="AF1144" s="14"/>
    </row>
    <row r="1145" spans="1:32" ht="14.25" customHeight="1" x14ac:dyDescent="0.35">
      <c r="A1145" s="24" t="s">
        <v>1069</v>
      </c>
      <c r="B1145" s="14" t="s">
        <v>420</v>
      </c>
      <c r="C1145" s="24" t="s">
        <v>1058</v>
      </c>
      <c r="D1145" s="24" t="s">
        <v>1050</v>
      </c>
      <c r="E1145" s="15">
        <v>41640</v>
      </c>
      <c r="F1145" s="15">
        <v>42004</v>
      </c>
      <c r="G1145" s="14" t="s">
        <v>415</v>
      </c>
      <c r="H1145" s="24">
        <v>18</v>
      </c>
      <c r="I1145" s="24">
        <v>18</v>
      </c>
      <c r="J1145" s="24">
        <v>18</v>
      </c>
      <c r="K1145" s="24">
        <v>18</v>
      </c>
      <c r="L1145" s="24">
        <v>18</v>
      </c>
      <c r="M1145" s="24">
        <v>18</v>
      </c>
      <c r="N1145" s="24">
        <v>18</v>
      </c>
      <c r="O1145" s="24">
        <v>18</v>
      </c>
      <c r="P1145" s="24">
        <v>18</v>
      </c>
      <c r="Q1145" s="24">
        <v>20</v>
      </c>
      <c r="R1145" s="24">
        <v>22</v>
      </c>
      <c r="S1145" s="24">
        <v>22</v>
      </c>
      <c r="T1145" s="24">
        <v>22</v>
      </c>
      <c r="U1145" s="24">
        <v>22</v>
      </c>
      <c r="V1145" s="24">
        <v>22</v>
      </c>
      <c r="W1145" s="24">
        <v>22</v>
      </c>
      <c r="X1145" s="24">
        <v>22</v>
      </c>
      <c r="Y1145" s="24">
        <v>22</v>
      </c>
      <c r="Z1145" s="24">
        <v>22</v>
      </c>
      <c r="AA1145" s="24">
        <v>18</v>
      </c>
      <c r="AB1145" s="24">
        <v>18</v>
      </c>
      <c r="AC1145" s="24">
        <v>18</v>
      </c>
      <c r="AD1145" s="24">
        <v>18</v>
      </c>
      <c r="AE1145" s="24">
        <v>18</v>
      </c>
      <c r="AF1145" s="14"/>
    </row>
    <row r="1146" spans="1:32" ht="14.25" customHeight="1" x14ac:dyDescent="0.35">
      <c r="A1146" s="24" t="s">
        <v>351</v>
      </c>
      <c r="B1146" s="14" t="s">
        <v>427</v>
      </c>
      <c r="C1146" s="24" t="s">
        <v>1049</v>
      </c>
      <c r="D1146" s="24" t="s">
        <v>791</v>
      </c>
      <c r="E1146" s="15">
        <v>41640</v>
      </c>
      <c r="F1146" s="15">
        <v>42004</v>
      </c>
      <c r="G1146" s="14" t="s">
        <v>415</v>
      </c>
      <c r="H1146" s="24">
        <v>0.05</v>
      </c>
      <c r="I1146" s="24">
        <v>0.05</v>
      </c>
      <c r="J1146" s="24">
        <v>0.05</v>
      </c>
      <c r="K1146" s="24">
        <v>0.05</v>
      </c>
      <c r="L1146" s="24">
        <v>0.05</v>
      </c>
      <c r="M1146" s="24">
        <v>0.05</v>
      </c>
      <c r="N1146" s="24">
        <v>0.05</v>
      </c>
      <c r="O1146" s="24">
        <v>0.05</v>
      </c>
      <c r="P1146" s="24">
        <v>0.3</v>
      </c>
      <c r="Q1146" s="24">
        <v>0.9</v>
      </c>
      <c r="R1146" s="24">
        <v>0.9</v>
      </c>
      <c r="S1146" s="24">
        <v>0.9</v>
      </c>
      <c r="T1146" s="24">
        <v>0.9</v>
      </c>
      <c r="U1146" s="24">
        <v>0.9</v>
      </c>
      <c r="V1146" s="24">
        <v>0.9</v>
      </c>
      <c r="W1146" s="24">
        <v>0.9</v>
      </c>
      <c r="X1146" s="24">
        <v>0.7</v>
      </c>
      <c r="Y1146" s="24">
        <v>0.5</v>
      </c>
      <c r="Z1146" s="24">
        <v>0.5</v>
      </c>
      <c r="AA1146" s="24">
        <v>0.7</v>
      </c>
      <c r="AB1146" s="24">
        <v>0.7</v>
      </c>
      <c r="AC1146" s="24">
        <v>0.7</v>
      </c>
      <c r="AD1146" s="24">
        <v>0.3</v>
      </c>
      <c r="AE1146" s="24">
        <v>0.05</v>
      </c>
      <c r="AF1146" s="14"/>
    </row>
    <row r="1147" spans="1:32" ht="14.25" customHeight="1" x14ac:dyDescent="0.35">
      <c r="A1147" s="24" t="s">
        <v>351</v>
      </c>
      <c r="B1147" s="14" t="s">
        <v>427</v>
      </c>
      <c r="C1147" s="24" t="s">
        <v>1049</v>
      </c>
      <c r="D1147" s="24" t="s">
        <v>512</v>
      </c>
      <c r="E1147" s="15">
        <v>41640</v>
      </c>
      <c r="F1147" s="15">
        <v>42004</v>
      </c>
      <c r="G1147" s="14" t="s">
        <v>415</v>
      </c>
      <c r="H1147" s="24">
        <v>0.05</v>
      </c>
      <c r="I1147" s="24">
        <v>0.05</v>
      </c>
      <c r="J1147" s="24">
        <v>0.05</v>
      </c>
      <c r="K1147" s="24">
        <v>0.05</v>
      </c>
      <c r="L1147" s="24">
        <v>0.05</v>
      </c>
      <c r="M1147" s="24">
        <v>0.05</v>
      </c>
      <c r="N1147" s="24">
        <v>0.05</v>
      </c>
      <c r="O1147" s="24">
        <v>0.05</v>
      </c>
      <c r="P1147" s="24">
        <v>0.05</v>
      </c>
      <c r="Q1147" s="24">
        <v>0.05</v>
      </c>
      <c r="R1147" s="24">
        <v>0.05</v>
      </c>
      <c r="S1147" s="24">
        <v>0.05</v>
      </c>
      <c r="T1147" s="24">
        <v>0.05</v>
      </c>
      <c r="U1147" s="24">
        <v>0.05</v>
      </c>
      <c r="V1147" s="24">
        <v>0.05</v>
      </c>
      <c r="W1147" s="24">
        <v>0.05</v>
      </c>
      <c r="X1147" s="24">
        <v>0.05</v>
      </c>
      <c r="Y1147" s="24">
        <v>0.05</v>
      </c>
      <c r="Z1147" s="24">
        <v>0.05</v>
      </c>
      <c r="AA1147" s="24">
        <v>0.05</v>
      </c>
      <c r="AB1147" s="24">
        <v>0.05</v>
      </c>
      <c r="AC1147" s="24">
        <v>0.05</v>
      </c>
      <c r="AD1147" s="24">
        <v>0.05</v>
      </c>
      <c r="AE1147" s="24">
        <v>0.05</v>
      </c>
      <c r="AF1147" s="14"/>
    </row>
    <row r="1148" spans="1:32" ht="14.25" customHeight="1" x14ac:dyDescent="0.35">
      <c r="A1148" s="24" t="s">
        <v>351</v>
      </c>
      <c r="B1148" s="14" t="s">
        <v>427</v>
      </c>
      <c r="C1148" s="24" t="s">
        <v>1049</v>
      </c>
      <c r="D1148" s="24" t="s">
        <v>1050</v>
      </c>
      <c r="E1148" s="15">
        <v>41640</v>
      </c>
      <c r="F1148" s="15">
        <v>42004</v>
      </c>
      <c r="G1148" s="14" t="s">
        <v>415</v>
      </c>
      <c r="H1148" s="24">
        <v>0.05</v>
      </c>
      <c r="I1148" s="24">
        <v>0.05</v>
      </c>
      <c r="J1148" s="24">
        <v>0.05</v>
      </c>
      <c r="K1148" s="24">
        <v>0.05</v>
      </c>
      <c r="L1148" s="24">
        <v>0.05</v>
      </c>
      <c r="M1148" s="24">
        <v>0.05</v>
      </c>
      <c r="N1148" s="24">
        <v>0.05</v>
      </c>
      <c r="O1148" s="24">
        <v>0.05</v>
      </c>
      <c r="P1148" s="24">
        <v>0.05</v>
      </c>
      <c r="Q1148" s="24">
        <v>0.05</v>
      </c>
      <c r="R1148" s="24">
        <v>0.05</v>
      </c>
      <c r="S1148" s="24">
        <v>0.05</v>
      </c>
      <c r="T1148" s="24">
        <v>0.05</v>
      </c>
      <c r="U1148" s="24">
        <v>0.05</v>
      </c>
      <c r="V1148" s="24">
        <v>0.05</v>
      </c>
      <c r="W1148" s="24">
        <v>0.05</v>
      </c>
      <c r="X1148" s="24">
        <v>0.05</v>
      </c>
      <c r="Y1148" s="24">
        <v>0.05</v>
      </c>
      <c r="Z1148" s="24">
        <v>0.05</v>
      </c>
      <c r="AA1148" s="24">
        <v>0.05</v>
      </c>
      <c r="AB1148" s="24">
        <v>0.05</v>
      </c>
      <c r="AC1148" s="24">
        <v>0.05</v>
      </c>
      <c r="AD1148" s="24">
        <v>0.05</v>
      </c>
      <c r="AE1148" s="24">
        <v>0.05</v>
      </c>
      <c r="AF1148" s="14"/>
    </row>
    <row r="1149" spans="1:32" ht="14.25" customHeight="1" x14ac:dyDescent="0.35">
      <c r="A1149" s="24" t="s">
        <v>1070</v>
      </c>
      <c r="B1149" s="14" t="s">
        <v>1052</v>
      </c>
      <c r="C1149" s="24" t="s">
        <v>1053</v>
      </c>
      <c r="D1149" s="24" t="s">
        <v>791</v>
      </c>
      <c r="E1149" s="15">
        <v>41640</v>
      </c>
      <c r="F1149" s="15">
        <v>42004</v>
      </c>
      <c r="G1149" s="14" t="s">
        <v>415</v>
      </c>
      <c r="H1149" s="24">
        <v>0</v>
      </c>
      <c r="I1149" s="24">
        <v>0</v>
      </c>
      <c r="J1149" s="24">
        <v>0</v>
      </c>
      <c r="K1149" s="24">
        <v>0</v>
      </c>
      <c r="L1149" s="24">
        <v>0</v>
      </c>
      <c r="M1149" s="24">
        <v>0</v>
      </c>
      <c r="N1149" s="24">
        <v>0</v>
      </c>
      <c r="O1149" s="24">
        <v>1</v>
      </c>
      <c r="P1149" s="24">
        <v>1</v>
      </c>
      <c r="Q1149" s="24">
        <v>1</v>
      </c>
      <c r="R1149" s="24">
        <v>1</v>
      </c>
      <c r="S1149" s="24">
        <v>1</v>
      </c>
      <c r="T1149" s="24">
        <v>1</v>
      </c>
      <c r="U1149" s="24">
        <v>1</v>
      </c>
      <c r="V1149" s="24">
        <v>1</v>
      </c>
      <c r="W1149" s="24">
        <v>1</v>
      </c>
      <c r="X1149" s="24">
        <v>1</v>
      </c>
      <c r="Y1149" s="24">
        <v>1</v>
      </c>
      <c r="Z1149" s="24">
        <v>1</v>
      </c>
      <c r="AA1149" s="24">
        <v>1</v>
      </c>
      <c r="AB1149" s="24">
        <v>1</v>
      </c>
      <c r="AC1149" s="24">
        <v>1</v>
      </c>
      <c r="AD1149" s="24">
        <v>1</v>
      </c>
      <c r="AE1149" s="24">
        <v>0</v>
      </c>
      <c r="AF1149" s="14"/>
    </row>
    <row r="1150" spans="1:32" ht="14.25" customHeight="1" x14ac:dyDescent="0.35">
      <c r="A1150" s="24" t="s">
        <v>1070</v>
      </c>
      <c r="B1150" s="14" t="s">
        <v>1052</v>
      </c>
      <c r="C1150" s="24" t="s">
        <v>1053</v>
      </c>
      <c r="D1150" s="24" t="s">
        <v>512</v>
      </c>
      <c r="E1150" s="15">
        <v>41640</v>
      </c>
      <c r="F1150" s="15">
        <v>42004</v>
      </c>
      <c r="G1150" s="14" t="s">
        <v>415</v>
      </c>
      <c r="H1150" s="24">
        <v>0</v>
      </c>
      <c r="I1150" s="24">
        <v>0</v>
      </c>
      <c r="J1150" s="24">
        <v>0</v>
      </c>
      <c r="K1150" s="24">
        <v>0</v>
      </c>
      <c r="L1150" s="24">
        <v>0</v>
      </c>
      <c r="M1150" s="24">
        <v>0</v>
      </c>
      <c r="N1150" s="24">
        <v>0</v>
      </c>
      <c r="O1150" s="24">
        <v>0</v>
      </c>
      <c r="P1150" s="24">
        <v>0</v>
      </c>
      <c r="Q1150" s="24">
        <v>0</v>
      </c>
      <c r="R1150" s="24">
        <v>0</v>
      </c>
      <c r="S1150" s="24">
        <v>0</v>
      </c>
      <c r="T1150" s="24">
        <v>0</v>
      </c>
      <c r="U1150" s="24">
        <v>0</v>
      </c>
      <c r="V1150" s="24">
        <v>0</v>
      </c>
      <c r="W1150" s="24">
        <v>0</v>
      </c>
      <c r="X1150" s="24">
        <v>0</v>
      </c>
      <c r="Y1150" s="24">
        <v>0</v>
      </c>
      <c r="Z1150" s="24">
        <v>0</v>
      </c>
      <c r="AA1150" s="24">
        <v>0</v>
      </c>
      <c r="AB1150" s="24">
        <v>0</v>
      </c>
      <c r="AC1150" s="24">
        <v>0</v>
      </c>
      <c r="AD1150" s="24">
        <v>0</v>
      </c>
      <c r="AE1150" s="24">
        <v>0</v>
      </c>
      <c r="AF1150" s="14"/>
    </row>
    <row r="1151" spans="1:32" ht="14.25" customHeight="1" x14ac:dyDescent="0.35">
      <c r="A1151" s="24" t="s">
        <v>1070</v>
      </c>
      <c r="B1151" s="14" t="s">
        <v>1052</v>
      </c>
      <c r="C1151" s="24" t="s">
        <v>1053</v>
      </c>
      <c r="D1151" s="24" t="s">
        <v>1050</v>
      </c>
      <c r="E1151" s="15">
        <v>41640</v>
      </c>
      <c r="F1151" s="15">
        <v>42004</v>
      </c>
      <c r="G1151" s="14" t="s">
        <v>415</v>
      </c>
      <c r="H1151" s="24">
        <v>0</v>
      </c>
      <c r="I1151" s="24">
        <v>0</v>
      </c>
      <c r="J1151" s="24">
        <v>0</v>
      </c>
      <c r="K1151" s="24">
        <v>0</v>
      </c>
      <c r="L1151" s="24">
        <v>0</v>
      </c>
      <c r="M1151" s="24">
        <v>0</v>
      </c>
      <c r="N1151" s="24">
        <v>0</v>
      </c>
      <c r="O1151" s="24">
        <v>0</v>
      </c>
      <c r="P1151" s="24">
        <v>0</v>
      </c>
      <c r="Q1151" s="24">
        <v>0</v>
      </c>
      <c r="R1151" s="24">
        <v>0</v>
      </c>
      <c r="S1151" s="24">
        <v>0</v>
      </c>
      <c r="T1151" s="24">
        <v>0</v>
      </c>
      <c r="U1151" s="24">
        <v>0</v>
      </c>
      <c r="V1151" s="24">
        <v>0</v>
      </c>
      <c r="W1151" s="24">
        <v>0</v>
      </c>
      <c r="X1151" s="24">
        <v>0</v>
      </c>
      <c r="Y1151" s="24">
        <v>0</v>
      </c>
      <c r="Z1151" s="24">
        <v>0</v>
      </c>
      <c r="AA1151" s="24">
        <v>0</v>
      </c>
      <c r="AB1151" s="24">
        <v>0</v>
      </c>
      <c r="AC1151" s="24">
        <v>0</v>
      </c>
      <c r="AD1151" s="24">
        <v>0</v>
      </c>
      <c r="AE1151" s="24">
        <v>0</v>
      </c>
      <c r="AF1151" s="14"/>
    </row>
    <row r="1152" spans="1:32" ht="14.25" customHeight="1" x14ac:dyDescent="0.35">
      <c r="A1152" s="24" t="s">
        <v>372</v>
      </c>
      <c r="B1152" s="14" t="s">
        <v>424</v>
      </c>
      <c r="C1152" s="24" t="s">
        <v>1049</v>
      </c>
      <c r="D1152" s="24" t="s">
        <v>791</v>
      </c>
      <c r="E1152" s="15">
        <v>41640</v>
      </c>
      <c r="F1152" s="15">
        <v>42004</v>
      </c>
      <c r="G1152" s="14" t="s">
        <v>415</v>
      </c>
      <c r="H1152" s="24">
        <v>0.05</v>
      </c>
      <c r="I1152" s="24">
        <v>0.05</v>
      </c>
      <c r="J1152" s="24">
        <v>0.05</v>
      </c>
      <c r="K1152" s="24">
        <v>0.05</v>
      </c>
      <c r="L1152" s="24">
        <v>0.05</v>
      </c>
      <c r="M1152" s="24">
        <v>0.05</v>
      </c>
      <c r="N1152" s="24">
        <v>0.05</v>
      </c>
      <c r="O1152" s="24">
        <v>0.05</v>
      </c>
      <c r="P1152" s="24">
        <v>0.3</v>
      </c>
      <c r="Q1152" s="24">
        <v>0.9</v>
      </c>
      <c r="R1152" s="24">
        <v>0.9</v>
      </c>
      <c r="S1152" s="24">
        <v>0.9</v>
      </c>
      <c r="T1152" s="24">
        <v>0.9</v>
      </c>
      <c r="U1152" s="24">
        <v>0.9</v>
      </c>
      <c r="V1152" s="24">
        <v>0.9</v>
      </c>
      <c r="W1152" s="24">
        <v>0.9</v>
      </c>
      <c r="X1152" s="24">
        <v>0.7</v>
      </c>
      <c r="Y1152" s="24">
        <v>0.5</v>
      </c>
      <c r="Z1152" s="24">
        <v>0.5</v>
      </c>
      <c r="AA1152" s="24">
        <v>0.7</v>
      </c>
      <c r="AB1152" s="24">
        <v>0.7</v>
      </c>
      <c r="AC1152" s="24">
        <v>0.7</v>
      </c>
      <c r="AD1152" s="24">
        <v>0.3</v>
      </c>
      <c r="AE1152" s="24">
        <v>0.05</v>
      </c>
      <c r="AF1152" s="14"/>
    </row>
    <row r="1153" spans="1:32" ht="14.25" customHeight="1" x14ac:dyDescent="0.35">
      <c r="A1153" s="24" t="s">
        <v>372</v>
      </c>
      <c r="B1153" s="14" t="s">
        <v>424</v>
      </c>
      <c r="C1153" s="24" t="s">
        <v>1049</v>
      </c>
      <c r="D1153" s="24" t="s">
        <v>512</v>
      </c>
      <c r="E1153" s="15">
        <v>41640</v>
      </c>
      <c r="F1153" s="15">
        <v>42004</v>
      </c>
      <c r="G1153" s="14" t="s">
        <v>415</v>
      </c>
      <c r="H1153" s="24">
        <v>0.05</v>
      </c>
      <c r="I1153" s="24">
        <v>0.05</v>
      </c>
      <c r="J1153" s="24">
        <v>0.05</v>
      </c>
      <c r="K1153" s="24">
        <v>0.05</v>
      </c>
      <c r="L1153" s="24">
        <v>0.05</v>
      </c>
      <c r="M1153" s="24">
        <v>0.05</v>
      </c>
      <c r="N1153" s="24">
        <v>0.05</v>
      </c>
      <c r="O1153" s="24">
        <v>0.05</v>
      </c>
      <c r="P1153" s="24">
        <v>0.05</v>
      </c>
      <c r="Q1153" s="24">
        <v>0.05</v>
      </c>
      <c r="R1153" s="24">
        <v>0.05</v>
      </c>
      <c r="S1153" s="24">
        <v>0.05</v>
      </c>
      <c r="T1153" s="24">
        <v>0.05</v>
      </c>
      <c r="U1153" s="24">
        <v>0.05</v>
      </c>
      <c r="V1153" s="24">
        <v>0.05</v>
      </c>
      <c r="W1153" s="24">
        <v>0.05</v>
      </c>
      <c r="X1153" s="24">
        <v>0.05</v>
      </c>
      <c r="Y1153" s="24">
        <v>0.05</v>
      </c>
      <c r="Z1153" s="24">
        <v>0.05</v>
      </c>
      <c r="AA1153" s="24">
        <v>0.05</v>
      </c>
      <c r="AB1153" s="24">
        <v>0.05</v>
      </c>
      <c r="AC1153" s="24">
        <v>0.05</v>
      </c>
      <c r="AD1153" s="24">
        <v>0.05</v>
      </c>
      <c r="AE1153" s="24">
        <v>0.05</v>
      </c>
      <c r="AF1153" s="14"/>
    </row>
    <row r="1154" spans="1:32" ht="14.25" customHeight="1" x14ac:dyDescent="0.35">
      <c r="A1154" s="24" t="s">
        <v>372</v>
      </c>
      <c r="B1154" s="14" t="s">
        <v>424</v>
      </c>
      <c r="C1154" s="24" t="s">
        <v>1049</v>
      </c>
      <c r="D1154" s="24" t="s">
        <v>1050</v>
      </c>
      <c r="E1154" s="15">
        <v>41640</v>
      </c>
      <c r="F1154" s="15">
        <v>42004</v>
      </c>
      <c r="G1154" s="14" t="s">
        <v>415</v>
      </c>
      <c r="H1154" s="24">
        <v>0.05</v>
      </c>
      <c r="I1154" s="24">
        <v>0.05</v>
      </c>
      <c r="J1154" s="24">
        <v>0.05</v>
      </c>
      <c r="K1154" s="24">
        <v>0.05</v>
      </c>
      <c r="L1154" s="24">
        <v>0.05</v>
      </c>
      <c r="M1154" s="24">
        <v>0.05</v>
      </c>
      <c r="N1154" s="24">
        <v>0.05</v>
      </c>
      <c r="O1154" s="24">
        <v>0.05</v>
      </c>
      <c r="P1154" s="24">
        <v>0.05</v>
      </c>
      <c r="Q1154" s="24">
        <v>0.05</v>
      </c>
      <c r="R1154" s="24">
        <v>0.05</v>
      </c>
      <c r="S1154" s="24">
        <v>0.05</v>
      </c>
      <c r="T1154" s="24">
        <v>0.05</v>
      </c>
      <c r="U1154" s="24">
        <v>0.05</v>
      </c>
      <c r="V1154" s="24">
        <v>0.05</v>
      </c>
      <c r="W1154" s="24">
        <v>0.05</v>
      </c>
      <c r="X1154" s="24">
        <v>0.05</v>
      </c>
      <c r="Y1154" s="24">
        <v>0.05</v>
      </c>
      <c r="Z1154" s="24">
        <v>0.05</v>
      </c>
      <c r="AA1154" s="24">
        <v>0.05</v>
      </c>
      <c r="AB1154" s="24">
        <v>0.05</v>
      </c>
      <c r="AC1154" s="24">
        <v>0.05</v>
      </c>
      <c r="AD1154" s="24">
        <v>0.05</v>
      </c>
      <c r="AE1154" s="24">
        <v>0.05</v>
      </c>
      <c r="AF1154" s="14"/>
    </row>
    <row r="1155" spans="1:32" ht="14.25" customHeight="1" x14ac:dyDescent="0.35">
      <c r="A1155" s="24" t="s">
        <v>360</v>
      </c>
      <c r="B1155" s="14" t="s">
        <v>448</v>
      </c>
      <c r="C1155" s="24" t="s">
        <v>1049</v>
      </c>
      <c r="D1155" s="24" t="s">
        <v>791</v>
      </c>
      <c r="E1155" s="15">
        <v>41640</v>
      </c>
      <c r="F1155" s="15">
        <v>42004</v>
      </c>
      <c r="G1155" s="14" t="s">
        <v>415</v>
      </c>
      <c r="H1155" s="24">
        <v>0</v>
      </c>
      <c r="I1155" s="24">
        <v>0</v>
      </c>
      <c r="J1155" s="24">
        <v>0</v>
      </c>
      <c r="K1155" s="24">
        <v>0</v>
      </c>
      <c r="L1155" s="24">
        <v>0</v>
      </c>
      <c r="M1155" s="24">
        <v>0</v>
      </c>
      <c r="N1155" s="24">
        <v>0</v>
      </c>
      <c r="O1155" s="24">
        <v>0</v>
      </c>
      <c r="P1155" s="24">
        <v>0.1</v>
      </c>
      <c r="Q1155" s="24">
        <v>0.9</v>
      </c>
      <c r="R1155" s="24">
        <v>0.9</v>
      </c>
      <c r="S1155" s="24">
        <v>0.9</v>
      </c>
      <c r="T1155" s="24">
        <v>0.8</v>
      </c>
      <c r="U1155" s="24">
        <v>0.8</v>
      </c>
      <c r="V1155" s="24">
        <v>0.8</v>
      </c>
      <c r="W1155" s="24">
        <v>0.8</v>
      </c>
      <c r="X1155" s="24">
        <v>0.5</v>
      </c>
      <c r="Y1155" s="24">
        <v>0.2</v>
      </c>
      <c r="Z1155" s="24">
        <v>0.1</v>
      </c>
      <c r="AA1155" s="24">
        <v>0.3</v>
      </c>
      <c r="AB1155" s="24">
        <v>0.3</v>
      </c>
      <c r="AC1155" s="24">
        <v>0.3</v>
      </c>
      <c r="AD1155" s="24">
        <v>0.1</v>
      </c>
      <c r="AE1155" s="24">
        <v>0</v>
      </c>
      <c r="AF1155" s="14"/>
    </row>
    <row r="1156" spans="1:32" ht="14.25" customHeight="1" x14ac:dyDescent="0.35">
      <c r="A1156" s="24" t="s">
        <v>360</v>
      </c>
      <c r="B1156" s="14" t="s">
        <v>448</v>
      </c>
      <c r="C1156" s="24" t="s">
        <v>1049</v>
      </c>
      <c r="D1156" s="24" t="s">
        <v>512</v>
      </c>
      <c r="E1156" s="15">
        <v>41640</v>
      </c>
      <c r="F1156" s="15">
        <v>42004</v>
      </c>
      <c r="G1156" s="14" t="s">
        <v>415</v>
      </c>
      <c r="H1156" s="24">
        <v>0</v>
      </c>
      <c r="I1156" s="24">
        <v>0</v>
      </c>
      <c r="J1156" s="24">
        <v>0</v>
      </c>
      <c r="K1156" s="24">
        <v>0</v>
      </c>
      <c r="L1156" s="24">
        <v>0</v>
      </c>
      <c r="M1156" s="24">
        <v>0</v>
      </c>
      <c r="N1156" s="24">
        <v>0</v>
      </c>
      <c r="O1156" s="24">
        <v>0</v>
      </c>
      <c r="P1156" s="24">
        <v>0</v>
      </c>
      <c r="Q1156" s="24">
        <v>0</v>
      </c>
      <c r="R1156" s="24">
        <v>0</v>
      </c>
      <c r="S1156" s="24">
        <v>0</v>
      </c>
      <c r="T1156" s="24">
        <v>0</v>
      </c>
      <c r="U1156" s="24">
        <v>0</v>
      </c>
      <c r="V1156" s="24">
        <v>0</v>
      </c>
      <c r="W1156" s="24">
        <v>0</v>
      </c>
      <c r="X1156" s="24">
        <v>0</v>
      </c>
      <c r="Y1156" s="24">
        <v>0</v>
      </c>
      <c r="Z1156" s="24">
        <v>0</v>
      </c>
      <c r="AA1156" s="24">
        <v>0</v>
      </c>
      <c r="AB1156" s="24">
        <v>0</v>
      </c>
      <c r="AC1156" s="24">
        <v>0</v>
      </c>
      <c r="AD1156" s="24">
        <v>0</v>
      </c>
      <c r="AE1156" s="24">
        <v>0</v>
      </c>
      <c r="AF1156" s="14"/>
    </row>
    <row r="1157" spans="1:32" ht="14.25" customHeight="1" x14ac:dyDescent="0.35">
      <c r="A1157" s="24" t="s">
        <v>360</v>
      </c>
      <c r="B1157" s="14" t="s">
        <v>448</v>
      </c>
      <c r="C1157" s="24" t="s">
        <v>1049</v>
      </c>
      <c r="D1157" s="24" t="s">
        <v>1050</v>
      </c>
      <c r="E1157" s="15">
        <v>41640</v>
      </c>
      <c r="F1157" s="15">
        <v>42004</v>
      </c>
      <c r="G1157" s="14" t="s">
        <v>415</v>
      </c>
      <c r="H1157" s="24">
        <v>0</v>
      </c>
      <c r="I1157" s="24">
        <v>0</v>
      </c>
      <c r="J1157" s="24">
        <v>0</v>
      </c>
      <c r="K1157" s="24">
        <v>0</v>
      </c>
      <c r="L1157" s="24">
        <v>0</v>
      </c>
      <c r="M1157" s="24">
        <v>0</v>
      </c>
      <c r="N1157" s="24">
        <v>0</v>
      </c>
      <c r="O1157" s="24">
        <v>0</v>
      </c>
      <c r="P1157" s="24">
        <v>0</v>
      </c>
      <c r="Q1157" s="24">
        <v>0</v>
      </c>
      <c r="R1157" s="24">
        <v>0</v>
      </c>
      <c r="S1157" s="24">
        <v>0</v>
      </c>
      <c r="T1157" s="24">
        <v>0</v>
      </c>
      <c r="U1157" s="24">
        <v>0</v>
      </c>
      <c r="V1157" s="24">
        <v>0</v>
      </c>
      <c r="W1157" s="24">
        <v>0</v>
      </c>
      <c r="X1157" s="24">
        <v>0</v>
      </c>
      <c r="Y1157" s="24">
        <v>0</v>
      </c>
      <c r="Z1157" s="24">
        <v>0</v>
      </c>
      <c r="AA1157" s="24">
        <v>0</v>
      </c>
      <c r="AB1157" s="24">
        <v>0</v>
      </c>
      <c r="AC1157" s="24">
        <v>0</v>
      </c>
      <c r="AD1157" s="24">
        <v>0</v>
      </c>
      <c r="AE1157" s="24">
        <v>0</v>
      </c>
      <c r="AF1157" s="14"/>
    </row>
    <row r="1158" spans="1:32" ht="14.25" customHeight="1" x14ac:dyDescent="0.35">
      <c r="A1158" s="24" t="s">
        <v>1071</v>
      </c>
      <c r="B1158" s="14" t="s">
        <v>1055</v>
      </c>
      <c r="C1158" s="24" t="s">
        <v>1049</v>
      </c>
      <c r="D1158" s="24" t="s">
        <v>791</v>
      </c>
      <c r="E1158" s="15">
        <v>41640</v>
      </c>
      <c r="F1158" s="15">
        <v>42004</v>
      </c>
      <c r="G1158" s="14" t="s">
        <v>415</v>
      </c>
      <c r="H1158" s="24">
        <v>0.05</v>
      </c>
      <c r="I1158" s="24">
        <v>0.05</v>
      </c>
      <c r="J1158" s="24">
        <v>0.05</v>
      </c>
      <c r="K1158" s="24">
        <v>0.05</v>
      </c>
      <c r="L1158" s="24">
        <v>0.05</v>
      </c>
      <c r="M1158" s="24">
        <v>0.05</v>
      </c>
      <c r="N1158" s="24">
        <v>0.05</v>
      </c>
      <c r="O1158" s="24">
        <v>0.05</v>
      </c>
      <c r="P1158" s="24">
        <v>0.3</v>
      </c>
      <c r="Q1158" s="24">
        <v>0.9</v>
      </c>
      <c r="R1158" s="24">
        <v>0.9</v>
      </c>
      <c r="S1158" s="24">
        <v>0.9</v>
      </c>
      <c r="T1158" s="24">
        <v>0.9</v>
      </c>
      <c r="U1158" s="24">
        <v>0.9</v>
      </c>
      <c r="V1158" s="24">
        <v>0.9</v>
      </c>
      <c r="W1158" s="24">
        <v>0.9</v>
      </c>
      <c r="X1158" s="24">
        <v>0.7</v>
      </c>
      <c r="Y1158" s="24">
        <v>0.5</v>
      </c>
      <c r="Z1158" s="24">
        <v>0.5</v>
      </c>
      <c r="AA1158" s="24">
        <v>0.7</v>
      </c>
      <c r="AB1158" s="24">
        <v>0.7</v>
      </c>
      <c r="AC1158" s="24">
        <v>0.7</v>
      </c>
      <c r="AD1158" s="24">
        <v>0.3</v>
      </c>
      <c r="AE1158" s="24">
        <v>0.05</v>
      </c>
      <c r="AF1158" s="14"/>
    </row>
    <row r="1159" spans="1:32" ht="14.25" customHeight="1" x14ac:dyDescent="0.35">
      <c r="A1159" s="24" t="s">
        <v>1071</v>
      </c>
      <c r="B1159" s="14" t="s">
        <v>1055</v>
      </c>
      <c r="C1159" s="24" t="s">
        <v>1049</v>
      </c>
      <c r="D1159" s="24" t="s">
        <v>512</v>
      </c>
      <c r="E1159" s="15">
        <v>41640</v>
      </c>
      <c r="F1159" s="15">
        <v>42004</v>
      </c>
      <c r="G1159" s="14" t="s">
        <v>415</v>
      </c>
      <c r="H1159" s="24">
        <v>0.05</v>
      </c>
      <c r="I1159" s="24">
        <v>0.05</v>
      </c>
      <c r="J1159" s="24">
        <v>0.05</v>
      </c>
      <c r="K1159" s="24">
        <v>0.05</v>
      </c>
      <c r="L1159" s="24">
        <v>0.05</v>
      </c>
      <c r="M1159" s="24">
        <v>0.05</v>
      </c>
      <c r="N1159" s="24">
        <v>0.05</v>
      </c>
      <c r="O1159" s="24">
        <v>0.05</v>
      </c>
      <c r="P1159" s="24">
        <v>0.05</v>
      </c>
      <c r="Q1159" s="24">
        <v>0.05</v>
      </c>
      <c r="R1159" s="24">
        <v>0.05</v>
      </c>
      <c r="S1159" s="24">
        <v>0.05</v>
      </c>
      <c r="T1159" s="24">
        <v>0.05</v>
      </c>
      <c r="U1159" s="24">
        <v>0.05</v>
      </c>
      <c r="V1159" s="24">
        <v>0.05</v>
      </c>
      <c r="W1159" s="24">
        <v>0.05</v>
      </c>
      <c r="X1159" s="24">
        <v>0.05</v>
      </c>
      <c r="Y1159" s="24">
        <v>0.05</v>
      </c>
      <c r="Z1159" s="24">
        <v>0.05</v>
      </c>
      <c r="AA1159" s="24">
        <v>0.05</v>
      </c>
      <c r="AB1159" s="24">
        <v>0.05</v>
      </c>
      <c r="AC1159" s="24">
        <v>0.05</v>
      </c>
      <c r="AD1159" s="24">
        <v>0.05</v>
      </c>
      <c r="AE1159" s="24">
        <v>0.05</v>
      </c>
      <c r="AF1159" s="14"/>
    </row>
    <row r="1160" spans="1:32" ht="14.25" customHeight="1" x14ac:dyDescent="0.35">
      <c r="A1160" s="24" t="s">
        <v>1071</v>
      </c>
      <c r="B1160" s="14" t="s">
        <v>1055</v>
      </c>
      <c r="C1160" s="24" t="s">
        <v>1049</v>
      </c>
      <c r="D1160" s="24" t="s">
        <v>1050</v>
      </c>
      <c r="E1160" s="15">
        <v>41640</v>
      </c>
      <c r="F1160" s="15">
        <v>42004</v>
      </c>
      <c r="G1160" s="14" t="s">
        <v>415</v>
      </c>
      <c r="H1160" s="24">
        <v>0.05</v>
      </c>
      <c r="I1160" s="24">
        <v>0.05</v>
      </c>
      <c r="J1160" s="24">
        <v>0.05</v>
      </c>
      <c r="K1160" s="24">
        <v>0.05</v>
      </c>
      <c r="L1160" s="24">
        <v>0.05</v>
      </c>
      <c r="M1160" s="24">
        <v>0.05</v>
      </c>
      <c r="N1160" s="24">
        <v>0.05</v>
      </c>
      <c r="O1160" s="24">
        <v>0.05</v>
      </c>
      <c r="P1160" s="24">
        <v>0.05</v>
      </c>
      <c r="Q1160" s="24">
        <v>0.05</v>
      </c>
      <c r="R1160" s="24">
        <v>0.05</v>
      </c>
      <c r="S1160" s="24">
        <v>0.05</v>
      </c>
      <c r="T1160" s="24">
        <v>0.05</v>
      </c>
      <c r="U1160" s="24">
        <v>0.05</v>
      </c>
      <c r="V1160" s="24">
        <v>0.05</v>
      </c>
      <c r="W1160" s="24">
        <v>0.05</v>
      </c>
      <c r="X1160" s="24">
        <v>0.05</v>
      </c>
      <c r="Y1160" s="24">
        <v>0.05</v>
      </c>
      <c r="Z1160" s="24">
        <v>0.05</v>
      </c>
      <c r="AA1160" s="24">
        <v>0.05</v>
      </c>
      <c r="AB1160" s="24">
        <v>0.05</v>
      </c>
      <c r="AC1160" s="24">
        <v>0.05</v>
      </c>
      <c r="AD1160" s="24">
        <v>0.05</v>
      </c>
      <c r="AE1160" s="24">
        <v>0.05</v>
      </c>
      <c r="AF1160" s="14"/>
    </row>
    <row r="1161" spans="1:32" ht="14.25" customHeight="1" x14ac:dyDescent="0.35">
      <c r="A1161" s="24" t="s">
        <v>1072</v>
      </c>
      <c r="B1161" s="14" t="s">
        <v>460</v>
      </c>
      <c r="C1161" s="24" t="s">
        <v>1049</v>
      </c>
      <c r="D1161" s="24" t="s">
        <v>791</v>
      </c>
      <c r="E1161" s="15">
        <v>41640</v>
      </c>
      <c r="F1161" s="15">
        <v>42004</v>
      </c>
      <c r="G1161" s="14" t="s">
        <v>415</v>
      </c>
      <c r="H1161" s="24">
        <v>0.05</v>
      </c>
      <c r="I1161" s="24">
        <v>0.05</v>
      </c>
      <c r="J1161" s="24">
        <v>0.05</v>
      </c>
      <c r="K1161" s="24">
        <v>0.05</v>
      </c>
      <c r="L1161" s="24">
        <v>0.05</v>
      </c>
      <c r="M1161" s="24">
        <v>0.05</v>
      </c>
      <c r="N1161" s="24">
        <v>0.05</v>
      </c>
      <c r="O1161" s="24">
        <v>0.05</v>
      </c>
      <c r="P1161" s="24">
        <v>0.5</v>
      </c>
      <c r="Q1161" s="24">
        <v>0.5</v>
      </c>
      <c r="R1161" s="24">
        <v>0.9</v>
      </c>
      <c r="S1161" s="24">
        <v>0.9</v>
      </c>
      <c r="T1161" s="24">
        <v>0.9</v>
      </c>
      <c r="U1161" s="24">
        <v>0.9</v>
      </c>
      <c r="V1161" s="24">
        <v>0.9</v>
      </c>
      <c r="W1161" s="24">
        <v>0.9</v>
      </c>
      <c r="X1161" s="24">
        <v>0.7</v>
      </c>
      <c r="Y1161" s="24">
        <v>0.3</v>
      </c>
      <c r="Z1161" s="24">
        <v>0.5</v>
      </c>
      <c r="AA1161" s="24">
        <v>0.5</v>
      </c>
      <c r="AB1161" s="24">
        <v>0.5</v>
      </c>
      <c r="AC1161" s="24">
        <v>0.3</v>
      </c>
      <c r="AD1161" s="24">
        <v>0.05</v>
      </c>
      <c r="AE1161" s="24">
        <v>0.05</v>
      </c>
      <c r="AF1161" s="14"/>
    </row>
    <row r="1162" spans="1:32" ht="14.25" customHeight="1" x14ac:dyDescent="0.35">
      <c r="A1162" s="24" t="s">
        <v>1072</v>
      </c>
      <c r="B1162" s="14" t="s">
        <v>460</v>
      </c>
      <c r="C1162" s="24" t="s">
        <v>1049</v>
      </c>
      <c r="D1162" s="24" t="s">
        <v>512</v>
      </c>
      <c r="E1162" s="15">
        <v>41640</v>
      </c>
      <c r="F1162" s="15">
        <v>42004</v>
      </c>
      <c r="G1162" s="14" t="s">
        <v>415</v>
      </c>
      <c r="H1162" s="24">
        <v>0.05</v>
      </c>
      <c r="I1162" s="24">
        <v>0.05</v>
      </c>
      <c r="J1162" s="24">
        <v>0.05</v>
      </c>
      <c r="K1162" s="24">
        <v>0.05</v>
      </c>
      <c r="L1162" s="24">
        <v>0.05</v>
      </c>
      <c r="M1162" s="24">
        <v>0.05</v>
      </c>
      <c r="N1162" s="24">
        <v>0.05</v>
      </c>
      <c r="O1162" s="24">
        <v>0.05</v>
      </c>
      <c r="P1162" s="24">
        <v>0.05</v>
      </c>
      <c r="Q1162" s="24">
        <v>0.05</v>
      </c>
      <c r="R1162" s="24">
        <v>0.05</v>
      </c>
      <c r="S1162" s="24">
        <v>0.05</v>
      </c>
      <c r="T1162" s="24">
        <v>0.05</v>
      </c>
      <c r="U1162" s="24">
        <v>0.05</v>
      </c>
      <c r="V1162" s="24">
        <v>0.05</v>
      </c>
      <c r="W1162" s="24">
        <v>0.05</v>
      </c>
      <c r="X1162" s="24">
        <v>0.05</v>
      </c>
      <c r="Y1162" s="24">
        <v>0.05</v>
      </c>
      <c r="Z1162" s="24">
        <v>0.05</v>
      </c>
      <c r="AA1162" s="24">
        <v>0.05</v>
      </c>
      <c r="AB1162" s="24">
        <v>0.05</v>
      </c>
      <c r="AC1162" s="24">
        <v>0.05</v>
      </c>
      <c r="AD1162" s="24">
        <v>0.05</v>
      </c>
      <c r="AE1162" s="24">
        <v>0.05</v>
      </c>
      <c r="AF1162" s="14"/>
    </row>
    <row r="1163" spans="1:32" ht="14.25" customHeight="1" x14ac:dyDescent="0.35">
      <c r="A1163" s="24" t="s">
        <v>1072</v>
      </c>
      <c r="B1163" s="14" t="s">
        <v>460</v>
      </c>
      <c r="C1163" s="24" t="s">
        <v>1049</v>
      </c>
      <c r="D1163" s="24" t="s">
        <v>1050</v>
      </c>
      <c r="E1163" s="15">
        <v>41640</v>
      </c>
      <c r="F1163" s="15">
        <v>42004</v>
      </c>
      <c r="G1163" s="14" t="s">
        <v>415</v>
      </c>
      <c r="H1163" s="24">
        <v>0.05</v>
      </c>
      <c r="I1163" s="24">
        <v>0.05</v>
      </c>
      <c r="J1163" s="24">
        <v>0.05</v>
      </c>
      <c r="K1163" s="24">
        <v>0.05</v>
      </c>
      <c r="L1163" s="24">
        <v>0.05</v>
      </c>
      <c r="M1163" s="24">
        <v>0.05</v>
      </c>
      <c r="N1163" s="24">
        <v>0.05</v>
      </c>
      <c r="O1163" s="24">
        <v>0.05</v>
      </c>
      <c r="P1163" s="24">
        <v>0.05</v>
      </c>
      <c r="Q1163" s="24">
        <v>0.05</v>
      </c>
      <c r="R1163" s="24">
        <v>0.05</v>
      </c>
      <c r="S1163" s="24">
        <v>0.05</v>
      </c>
      <c r="T1163" s="24">
        <v>0.05</v>
      </c>
      <c r="U1163" s="24">
        <v>0.05</v>
      </c>
      <c r="V1163" s="24">
        <v>0.05</v>
      </c>
      <c r="W1163" s="24">
        <v>0.05</v>
      </c>
      <c r="X1163" s="24">
        <v>0.05</v>
      </c>
      <c r="Y1163" s="24">
        <v>0.05</v>
      </c>
      <c r="Z1163" s="24">
        <v>0.05</v>
      </c>
      <c r="AA1163" s="24">
        <v>0.05</v>
      </c>
      <c r="AB1163" s="24">
        <v>0.05</v>
      </c>
      <c r="AC1163" s="24">
        <v>0.05</v>
      </c>
      <c r="AD1163" s="24">
        <v>0.05</v>
      </c>
      <c r="AE1163" s="24">
        <v>0.05</v>
      </c>
      <c r="AF1163" s="14"/>
    </row>
    <row r="1164" spans="1:32" ht="14.25" customHeight="1" x14ac:dyDescent="0.35">
      <c r="A1164" s="24" t="s">
        <v>1073</v>
      </c>
      <c r="B1164" s="14" t="s">
        <v>420</v>
      </c>
      <c r="C1164" s="24" t="s">
        <v>1058</v>
      </c>
      <c r="D1164" s="24" t="s">
        <v>791</v>
      </c>
      <c r="E1164" s="15">
        <v>41640</v>
      </c>
      <c r="F1164" s="15">
        <v>42004</v>
      </c>
      <c r="G1164" s="14" t="s">
        <v>415</v>
      </c>
      <c r="H1164" s="24">
        <v>35</v>
      </c>
      <c r="I1164" s="24">
        <v>35</v>
      </c>
      <c r="J1164" s="24">
        <v>35</v>
      </c>
      <c r="K1164" s="24">
        <v>35</v>
      </c>
      <c r="L1164" s="24">
        <v>35</v>
      </c>
      <c r="M1164" s="24">
        <v>35</v>
      </c>
      <c r="N1164" s="24">
        <v>35</v>
      </c>
      <c r="O1164" s="24">
        <v>24</v>
      </c>
      <c r="P1164" s="24">
        <v>24</v>
      </c>
      <c r="Q1164" s="24">
        <v>24</v>
      </c>
      <c r="R1164" s="24">
        <v>24</v>
      </c>
      <c r="S1164" s="24">
        <v>24</v>
      </c>
      <c r="T1164" s="24">
        <v>24</v>
      </c>
      <c r="U1164" s="24">
        <v>24</v>
      </c>
      <c r="V1164" s="24">
        <v>24</v>
      </c>
      <c r="W1164" s="24">
        <v>24</v>
      </c>
      <c r="X1164" s="24">
        <v>24</v>
      </c>
      <c r="Y1164" s="24">
        <v>24</v>
      </c>
      <c r="Z1164" s="24">
        <v>24</v>
      </c>
      <c r="AA1164" s="24">
        <v>24</v>
      </c>
      <c r="AB1164" s="24">
        <v>24</v>
      </c>
      <c r="AC1164" s="24">
        <v>24</v>
      </c>
      <c r="AD1164" s="24">
        <v>24</v>
      </c>
      <c r="AE1164" s="24">
        <v>35</v>
      </c>
      <c r="AF1164" s="14"/>
    </row>
    <row r="1165" spans="1:32" ht="14.25" customHeight="1" x14ac:dyDescent="0.35">
      <c r="A1165" s="24" t="s">
        <v>1073</v>
      </c>
      <c r="B1165" s="14" t="s">
        <v>420</v>
      </c>
      <c r="C1165" s="24" t="s">
        <v>1058</v>
      </c>
      <c r="D1165" s="24" t="s">
        <v>512</v>
      </c>
      <c r="E1165" s="15">
        <v>41640</v>
      </c>
      <c r="F1165" s="15">
        <v>42004</v>
      </c>
      <c r="G1165" s="14" t="s">
        <v>415</v>
      </c>
      <c r="H1165" s="24">
        <v>35</v>
      </c>
      <c r="I1165" s="24">
        <v>35</v>
      </c>
      <c r="J1165" s="24">
        <v>35</v>
      </c>
      <c r="K1165" s="24">
        <v>35</v>
      </c>
      <c r="L1165" s="24">
        <v>35</v>
      </c>
      <c r="M1165" s="24">
        <v>35</v>
      </c>
      <c r="N1165" s="24">
        <v>35</v>
      </c>
      <c r="O1165" s="24">
        <v>35</v>
      </c>
      <c r="P1165" s="24">
        <v>35</v>
      </c>
      <c r="Q1165" s="24">
        <v>35</v>
      </c>
      <c r="R1165" s="24">
        <v>35</v>
      </c>
      <c r="S1165" s="24">
        <v>35</v>
      </c>
      <c r="T1165" s="24">
        <v>35</v>
      </c>
      <c r="U1165" s="24">
        <v>35</v>
      </c>
      <c r="V1165" s="24">
        <v>35</v>
      </c>
      <c r="W1165" s="24">
        <v>35</v>
      </c>
      <c r="X1165" s="24">
        <v>35</v>
      </c>
      <c r="Y1165" s="24">
        <v>35</v>
      </c>
      <c r="Z1165" s="24">
        <v>35</v>
      </c>
      <c r="AA1165" s="24">
        <v>35</v>
      </c>
      <c r="AB1165" s="24">
        <v>35</v>
      </c>
      <c r="AC1165" s="24">
        <v>35</v>
      </c>
      <c r="AD1165" s="24">
        <v>35</v>
      </c>
      <c r="AE1165" s="24">
        <v>35</v>
      </c>
      <c r="AF1165" s="14"/>
    </row>
    <row r="1166" spans="1:32" ht="14.25" customHeight="1" x14ac:dyDescent="0.35">
      <c r="A1166" s="24" t="s">
        <v>1073</v>
      </c>
      <c r="B1166" s="14" t="s">
        <v>420</v>
      </c>
      <c r="C1166" s="24" t="s">
        <v>1058</v>
      </c>
      <c r="D1166" s="24" t="s">
        <v>1050</v>
      </c>
      <c r="E1166" s="15">
        <v>41640</v>
      </c>
      <c r="F1166" s="15">
        <v>42004</v>
      </c>
      <c r="G1166" s="14" t="s">
        <v>415</v>
      </c>
      <c r="H1166" s="24">
        <v>35</v>
      </c>
      <c r="I1166" s="24">
        <v>35</v>
      </c>
      <c r="J1166" s="24">
        <v>35</v>
      </c>
      <c r="K1166" s="24">
        <v>35</v>
      </c>
      <c r="L1166" s="24">
        <v>35</v>
      </c>
      <c r="M1166" s="24">
        <v>35</v>
      </c>
      <c r="N1166" s="24">
        <v>35</v>
      </c>
      <c r="O1166" s="24">
        <v>35</v>
      </c>
      <c r="P1166" s="24">
        <v>35</v>
      </c>
      <c r="Q1166" s="24">
        <v>35</v>
      </c>
      <c r="R1166" s="24">
        <v>35</v>
      </c>
      <c r="S1166" s="24">
        <v>35</v>
      </c>
      <c r="T1166" s="24">
        <v>35</v>
      </c>
      <c r="U1166" s="24">
        <v>35</v>
      </c>
      <c r="V1166" s="24">
        <v>35</v>
      </c>
      <c r="W1166" s="24">
        <v>35</v>
      </c>
      <c r="X1166" s="24">
        <v>35</v>
      </c>
      <c r="Y1166" s="24">
        <v>35</v>
      </c>
      <c r="Z1166" s="24">
        <v>35</v>
      </c>
      <c r="AA1166" s="24">
        <v>35</v>
      </c>
      <c r="AB1166" s="24">
        <v>35</v>
      </c>
      <c r="AC1166" s="24">
        <v>35</v>
      </c>
      <c r="AD1166" s="24">
        <v>35</v>
      </c>
      <c r="AE1166" s="24">
        <v>35</v>
      </c>
      <c r="AF1166" s="14"/>
    </row>
    <row r="1167" spans="1:32" ht="14.25" customHeight="1" x14ac:dyDescent="0.35">
      <c r="A1167" s="24" t="s">
        <v>1074</v>
      </c>
      <c r="B1167" s="14" t="s">
        <v>420</v>
      </c>
      <c r="C1167" s="24" t="s">
        <v>1058</v>
      </c>
      <c r="D1167" s="24" t="s">
        <v>791</v>
      </c>
      <c r="E1167" s="15">
        <v>41640</v>
      </c>
      <c r="F1167" s="15">
        <v>42004</v>
      </c>
      <c r="G1167" s="14" t="s">
        <v>415</v>
      </c>
      <c r="H1167" s="24">
        <v>18</v>
      </c>
      <c r="I1167" s="24">
        <v>18</v>
      </c>
      <c r="J1167" s="24">
        <v>18</v>
      </c>
      <c r="K1167" s="24">
        <v>18</v>
      </c>
      <c r="L1167" s="24">
        <v>18</v>
      </c>
      <c r="M1167" s="24">
        <v>18</v>
      </c>
      <c r="N1167" s="24">
        <v>18</v>
      </c>
      <c r="O1167" s="24">
        <v>20</v>
      </c>
      <c r="P1167" s="24">
        <v>22</v>
      </c>
      <c r="Q1167" s="24">
        <v>22</v>
      </c>
      <c r="R1167" s="24">
        <v>22</v>
      </c>
      <c r="S1167" s="24">
        <v>22</v>
      </c>
      <c r="T1167" s="24">
        <v>22</v>
      </c>
      <c r="U1167" s="24">
        <v>22</v>
      </c>
      <c r="V1167" s="24">
        <v>22</v>
      </c>
      <c r="W1167" s="24">
        <v>22</v>
      </c>
      <c r="X1167" s="24">
        <v>22</v>
      </c>
      <c r="Y1167" s="24">
        <v>22</v>
      </c>
      <c r="Z1167" s="24">
        <v>22</v>
      </c>
      <c r="AA1167" s="24">
        <v>22</v>
      </c>
      <c r="AB1167" s="24">
        <v>22</v>
      </c>
      <c r="AC1167" s="24">
        <v>22</v>
      </c>
      <c r="AD1167" s="24">
        <v>22</v>
      </c>
      <c r="AE1167" s="24">
        <v>18</v>
      </c>
      <c r="AF1167" s="14"/>
    </row>
    <row r="1168" spans="1:32" ht="14.25" customHeight="1" x14ac:dyDescent="0.35">
      <c r="A1168" s="24" t="s">
        <v>1074</v>
      </c>
      <c r="B1168" s="14" t="s">
        <v>420</v>
      </c>
      <c r="C1168" s="24" t="s">
        <v>1058</v>
      </c>
      <c r="D1168" s="24" t="s">
        <v>512</v>
      </c>
      <c r="E1168" s="15">
        <v>41640</v>
      </c>
      <c r="F1168" s="15">
        <v>42004</v>
      </c>
      <c r="G1168" s="14" t="s">
        <v>415</v>
      </c>
      <c r="H1168" s="24">
        <v>18</v>
      </c>
      <c r="I1168" s="24">
        <v>18</v>
      </c>
      <c r="J1168" s="24">
        <v>18</v>
      </c>
      <c r="K1168" s="24">
        <v>18</v>
      </c>
      <c r="L1168" s="24">
        <v>18</v>
      </c>
      <c r="M1168" s="24">
        <v>18</v>
      </c>
      <c r="N1168" s="24">
        <v>18</v>
      </c>
      <c r="O1168" s="24">
        <v>18</v>
      </c>
      <c r="P1168" s="24">
        <v>18</v>
      </c>
      <c r="Q1168" s="24">
        <v>18</v>
      </c>
      <c r="R1168" s="24">
        <v>18</v>
      </c>
      <c r="S1168" s="24">
        <v>18</v>
      </c>
      <c r="T1168" s="24">
        <v>18</v>
      </c>
      <c r="U1168" s="24">
        <v>18</v>
      </c>
      <c r="V1168" s="24">
        <v>18</v>
      </c>
      <c r="W1168" s="24">
        <v>18</v>
      </c>
      <c r="X1168" s="24">
        <v>18</v>
      </c>
      <c r="Y1168" s="24">
        <v>18</v>
      </c>
      <c r="Z1168" s="24">
        <v>18</v>
      </c>
      <c r="AA1168" s="24">
        <v>18</v>
      </c>
      <c r="AB1168" s="24">
        <v>18</v>
      </c>
      <c r="AC1168" s="24">
        <v>18</v>
      </c>
      <c r="AD1168" s="24">
        <v>18</v>
      </c>
      <c r="AE1168" s="24">
        <v>18</v>
      </c>
      <c r="AF1168" s="14"/>
    </row>
    <row r="1169" spans="1:32" ht="14.25" customHeight="1" x14ac:dyDescent="0.35">
      <c r="A1169" s="24" t="s">
        <v>1074</v>
      </c>
      <c r="B1169" s="14" t="s">
        <v>420</v>
      </c>
      <c r="C1169" s="24" t="s">
        <v>1058</v>
      </c>
      <c r="D1169" s="24" t="s">
        <v>1050</v>
      </c>
      <c r="E1169" s="15">
        <v>41640</v>
      </c>
      <c r="F1169" s="15">
        <v>42004</v>
      </c>
      <c r="G1169" s="14" t="s">
        <v>415</v>
      </c>
      <c r="H1169" s="24">
        <v>18</v>
      </c>
      <c r="I1169" s="24">
        <v>18</v>
      </c>
      <c r="J1169" s="24">
        <v>18</v>
      </c>
      <c r="K1169" s="24">
        <v>18</v>
      </c>
      <c r="L1169" s="24">
        <v>18</v>
      </c>
      <c r="M1169" s="24">
        <v>18</v>
      </c>
      <c r="N1169" s="24">
        <v>18</v>
      </c>
      <c r="O1169" s="24">
        <v>18</v>
      </c>
      <c r="P1169" s="24">
        <v>18</v>
      </c>
      <c r="Q1169" s="24">
        <v>18</v>
      </c>
      <c r="R1169" s="24">
        <v>18</v>
      </c>
      <c r="S1169" s="24">
        <v>18</v>
      </c>
      <c r="T1169" s="24">
        <v>18</v>
      </c>
      <c r="U1169" s="24">
        <v>18</v>
      </c>
      <c r="V1169" s="24">
        <v>18</v>
      </c>
      <c r="W1169" s="24">
        <v>18</v>
      </c>
      <c r="X1169" s="24">
        <v>18</v>
      </c>
      <c r="Y1169" s="24">
        <v>18</v>
      </c>
      <c r="Z1169" s="24">
        <v>18</v>
      </c>
      <c r="AA1169" s="24">
        <v>18</v>
      </c>
      <c r="AB1169" s="24">
        <v>18</v>
      </c>
      <c r="AC1169" s="24">
        <v>18</v>
      </c>
      <c r="AD1169" s="24">
        <v>18</v>
      </c>
      <c r="AE1169" s="24">
        <v>18</v>
      </c>
      <c r="AF1169" s="14"/>
    </row>
    <row r="1170" spans="1:32" ht="14.25" customHeight="1" x14ac:dyDescent="0.35">
      <c r="A1170" s="24" t="s">
        <v>335</v>
      </c>
      <c r="B1170" s="14" t="s">
        <v>427</v>
      </c>
      <c r="C1170" s="24" t="s">
        <v>1049</v>
      </c>
      <c r="D1170" s="24" t="s">
        <v>791</v>
      </c>
      <c r="E1170" s="15">
        <v>41640</v>
      </c>
      <c r="F1170" s="15">
        <v>42004</v>
      </c>
      <c r="G1170" s="14" t="s">
        <v>415</v>
      </c>
      <c r="H1170" s="24">
        <v>0.05</v>
      </c>
      <c r="I1170" s="24">
        <v>0.05</v>
      </c>
      <c r="J1170" s="24">
        <v>0.05</v>
      </c>
      <c r="K1170" s="24">
        <v>0.05</v>
      </c>
      <c r="L1170" s="24">
        <v>0.05</v>
      </c>
      <c r="M1170" s="24">
        <v>0.05</v>
      </c>
      <c r="N1170" s="24">
        <v>0.05</v>
      </c>
      <c r="O1170" s="24">
        <v>0.05</v>
      </c>
      <c r="P1170" s="24">
        <v>0.4</v>
      </c>
      <c r="Q1170" s="24">
        <v>0.7</v>
      </c>
      <c r="R1170" s="24">
        <v>0.9</v>
      </c>
      <c r="S1170" s="24">
        <v>0.9</v>
      </c>
      <c r="T1170" s="24">
        <v>0.9</v>
      </c>
      <c r="U1170" s="24">
        <v>0.9</v>
      </c>
      <c r="V1170" s="24">
        <v>0.9</v>
      </c>
      <c r="W1170" s="24">
        <v>0.9</v>
      </c>
      <c r="X1170" s="24">
        <v>0.9</v>
      </c>
      <c r="Y1170" s="24">
        <v>0.9</v>
      </c>
      <c r="Z1170" s="24">
        <v>0.4</v>
      </c>
      <c r="AA1170" s="24">
        <v>0.05</v>
      </c>
      <c r="AB1170" s="24">
        <v>0.05</v>
      </c>
      <c r="AC1170" s="24">
        <v>0.05</v>
      </c>
      <c r="AD1170" s="24">
        <v>0.05</v>
      </c>
      <c r="AE1170" s="24">
        <v>0.05</v>
      </c>
      <c r="AF1170" s="14"/>
    </row>
    <row r="1171" spans="1:32" ht="14.25" customHeight="1" x14ac:dyDescent="0.35">
      <c r="A1171" s="24" t="s">
        <v>335</v>
      </c>
      <c r="B1171" s="14" t="s">
        <v>427</v>
      </c>
      <c r="C1171" s="24" t="s">
        <v>1049</v>
      </c>
      <c r="D1171" s="24" t="s">
        <v>512</v>
      </c>
      <c r="E1171" s="15">
        <v>41640</v>
      </c>
      <c r="F1171" s="15">
        <v>42004</v>
      </c>
      <c r="G1171" s="14" t="s">
        <v>415</v>
      </c>
      <c r="H1171" s="24">
        <v>0.05</v>
      </c>
      <c r="I1171" s="24">
        <v>0.05</v>
      </c>
      <c r="J1171" s="24">
        <v>0.05</v>
      </c>
      <c r="K1171" s="24">
        <v>0.05</v>
      </c>
      <c r="L1171" s="24">
        <v>0.05</v>
      </c>
      <c r="M1171" s="24">
        <v>0.05</v>
      </c>
      <c r="N1171" s="24">
        <v>0.05</v>
      </c>
      <c r="O1171" s="24">
        <v>0.05</v>
      </c>
      <c r="P1171" s="24">
        <v>0.05</v>
      </c>
      <c r="Q1171" s="24">
        <v>0.5</v>
      </c>
      <c r="R1171" s="24">
        <v>0.9</v>
      </c>
      <c r="S1171" s="24">
        <v>0.9</v>
      </c>
      <c r="T1171" s="24">
        <v>0.9</v>
      </c>
      <c r="U1171" s="24">
        <v>0.9</v>
      </c>
      <c r="V1171" s="24">
        <v>0.9</v>
      </c>
      <c r="W1171" s="24">
        <v>0.7</v>
      </c>
      <c r="X1171" s="24">
        <v>0.5</v>
      </c>
      <c r="Y1171" s="24">
        <v>0.05</v>
      </c>
      <c r="Z1171" s="24">
        <v>0.05</v>
      </c>
      <c r="AA1171" s="24">
        <v>0.05</v>
      </c>
      <c r="AB1171" s="24">
        <v>0.05</v>
      </c>
      <c r="AC1171" s="24">
        <v>0.05</v>
      </c>
      <c r="AD1171" s="24">
        <v>0.05</v>
      </c>
      <c r="AE1171" s="24">
        <v>0.05</v>
      </c>
      <c r="AF1171" s="14"/>
    </row>
    <row r="1172" spans="1:32" ht="14.25" customHeight="1" x14ac:dyDescent="0.35">
      <c r="A1172" s="24" t="s">
        <v>335</v>
      </c>
      <c r="B1172" s="14" t="s">
        <v>427</v>
      </c>
      <c r="C1172" s="24" t="s">
        <v>1049</v>
      </c>
      <c r="D1172" s="24" t="s">
        <v>1050</v>
      </c>
      <c r="E1172" s="15">
        <v>41640</v>
      </c>
      <c r="F1172" s="15">
        <v>42004</v>
      </c>
      <c r="G1172" s="14" t="s">
        <v>415</v>
      </c>
      <c r="H1172" s="24">
        <v>0.05</v>
      </c>
      <c r="I1172" s="24">
        <v>0.05</v>
      </c>
      <c r="J1172" s="24">
        <v>0.05</v>
      </c>
      <c r="K1172" s="24">
        <v>0.05</v>
      </c>
      <c r="L1172" s="24">
        <v>0.05</v>
      </c>
      <c r="M1172" s="24">
        <v>0.05</v>
      </c>
      <c r="N1172" s="24">
        <v>0.05</v>
      </c>
      <c r="O1172" s="24">
        <v>0.05</v>
      </c>
      <c r="P1172" s="24">
        <v>0.05</v>
      </c>
      <c r="Q1172" s="24">
        <v>0.05</v>
      </c>
      <c r="R1172" s="24">
        <v>0.05</v>
      </c>
      <c r="S1172" s="24">
        <v>0.05</v>
      </c>
      <c r="T1172" s="24">
        <v>0.05</v>
      </c>
      <c r="U1172" s="24">
        <v>0.05</v>
      </c>
      <c r="V1172" s="24">
        <v>0.05</v>
      </c>
      <c r="W1172" s="24">
        <v>0.05</v>
      </c>
      <c r="X1172" s="24">
        <v>0.05</v>
      </c>
      <c r="Y1172" s="24">
        <v>0.05</v>
      </c>
      <c r="Z1172" s="24">
        <v>0.05</v>
      </c>
      <c r="AA1172" s="24">
        <v>0.05</v>
      </c>
      <c r="AB1172" s="24">
        <v>0.05</v>
      </c>
      <c r="AC1172" s="24">
        <v>0.05</v>
      </c>
      <c r="AD1172" s="24">
        <v>0.05</v>
      </c>
      <c r="AE1172" s="24">
        <v>0.05</v>
      </c>
      <c r="AF1172" s="14"/>
    </row>
    <row r="1173" spans="1:32" ht="14.25" customHeight="1" x14ac:dyDescent="0.35">
      <c r="A1173" s="24" t="s">
        <v>1075</v>
      </c>
      <c r="B1173" s="14" t="s">
        <v>1052</v>
      </c>
      <c r="C1173" s="24" t="s">
        <v>1053</v>
      </c>
      <c r="D1173" s="24" t="s">
        <v>791</v>
      </c>
      <c r="E1173" s="15">
        <v>41640</v>
      </c>
      <c r="F1173" s="15">
        <v>42004</v>
      </c>
      <c r="G1173" s="14" t="s">
        <v>415</v>
      </c>
      <c r="H1173" s="24">
        <v>0</v>
      </c>
      <c r="I1173" s="24">
        <v>0</v>
      </c>
      <c r="J1173" s="24">
        <v>0</v>
      </c>
      <c r="K1173" s="24">
        <v>0</v>
      </c>
      <c r="L1173" s="24">
        <v>0</v>
      </c>
      <c r="M1173" s="24">
        <v>0</v>
      </c>
      <c r="N1173" s="24">
        <v>0</v>
      </c>
      <c r="O1173" s="24">
        <v>1</v>
      </c>
      <c r="P1173" s="24">
        <v>1</v>
      </c>
      <c r="Q1173" s="24">
        <v>1</v>
      </c>
      <c r="R1173" s="24">
        <v>1</v>
      </c>
      <c r="S1173" s="24">
        <v>1</v>
      </c>
      <c r="T1173" s="24">
        <v>1</v>
      </c>
      <c r="U1173" s="24">
        <v>1</v>
      </c>
      <c r="V1173" s="24">
        <v>1</v>
      </c>
      <c r="W1173" s="24">
        <v>1</v>
      </c>
      <c r="X1173" s="24">
        <v>1</v>
      </c>
      <c r="Y1173" s="24">
        <v>1</v>
      </c>
      <c r="Z1173" s="24">
        <v>1</v>
      </c>
      <c r="AA1173" s="24">
        <v>0</v>
      </c>
      <c r="AB1173" s="24">
        <v>0</v>
      </c>
      <c r="AC1173" s="24">
        <v>0</v>
      </c>
      <c r="AD1173" s="24">
        <v>0</v>
      </c>
      <c r="AE1173" s="24">
        <v>0</v>
      </c>
      <c r="AF1173" s="14"/>
    </row>
    <row r="1174" spans="1:32" ht="14.25" customHeight="1" x14ac:dyDescent="0.35">
      <c r="A1174" s="24" t="s">
        <v>1075</v>
      </c>
      <c r="B1174" s="14" t="s">
        <v>1052</v>
      </c>
      <c r="C1174" s="24" t="s">
        <v>1053</v>
      </c>
      <c r="D1174" s="24" t="s">
        <v>512</v>
      </c>
      <c r="E1174" s="15">
        <v>41640</v>
      </c>
      <c r="F1174" s="15">
        <v>42004</v>
      </c>
      <c r="G1174" s="14" t="s">
        <v>415</v>
      </c>
      <c r="H1174" s="24">
        <v>0</v>
      </c>
      <c r="I1174" s="24">
        <v>0</v>
      </c>
      <c r="J1174" s="24">
        <v>0</v>
      </c>
      <c r="K1174" s="24">
        <v>0</v>
      </c>
      <c r="L1174" s="24">
        <v>0</v>
      </c>
      <c r="M1174" s="24">
        <v>0</v>
      </c>
      <c r="N1174" s="24">
        <v>0</v>
      </c>
      <c r="O1174" s="24">
        <v>0</v>
      </c>
      <c r="P1174" s="24">
        <v>1</v>
      </c>
      <c r="Q1174" s="24">
        <v>1</v>
      </c>
      <c r="R1174" s="24">
        <v>1</v>
      </c>
      <c r="S1174" s="24">
        <v>1</v>
      </c>
      <c r="T1174" s="24">
        <v>1</v>
      </c>
      <c r="U1174" s="24">
        <v>1</v>
      </c>
      <c r="V1174" s="24">
        <v>1</v>
      </c>
      <c r="W1174" s="24">
        <v>1</v>
      </c>
      <c r="X1174" s="24">
        <v>1</v>
      </c>
      <c r="Y1174" s="24">
        <v>0</v>
      </c>
      <c r="Z1174" s="24">
        <v>0</v>
      </c>
      <c r="AA1174" s="24">
        <v>0</v>
      </c>
      <c r="AB1174" s="24">
        <v>0</v>
      </c>
      <c r="AC1174" s="24">
        <v>0</v>
      </c>
      <c r="AD1174" s="24">
        <v>0</v>
      </c>
      <c r="AE1174" s="24">
        <v>0</v>
      </c>
      <c r="AF1174" s="14"/>
    </row>
    <row r="1175" spans="1:32" ht="14.25" customHeight="1" x14ac:dyDescent="0.35">
      <c r="A1175" s="24" t="s">
        <v>1075</v>
      </c>
      <c r="B1175" s="14" t="s">
        <v>1052</v>
      </c>
      <c r="C1175" s="24" t="s">
        <v>1053</v>
      </c>
      <c r="D1175" s="24" t="s">
        <v>1050</v>
      </c>
      <c r="E1175" s="15">
        <v>41640</v>
      </c>
      <c r="F1175" s="15">
        <v>42004</v>
      </c>
      <c r="G1175" s="14" t="s">
        <v>415</v>
      </c>
      <c r="H1175" s="24">
        <v>0</v>
      </c>
      <c r="I1175" s="24">
        <v>0</v>
      </c>
      <c r="J1175" s="24">
        <v>0</v>
      </c>
      <c r="K1175" s="24">
        <v>0</v>
      </c>
      <c r="L1175" s="24">
        <v>0</v>
      </c>
      <c r="M1175" s="24">
        <v>0</v>
      </c>
      <c r="N1175" s="24">
        <v>0</v>
      </c>
      <c r="O1175" s="24">
        <v>0</v>
      </c>
      <c r="P1175" s="24">
        <v>0</v>
      </c>
      <c r="Q1175" s="24">
        <v>0</v>
      </c>
      <c r="R1175" s="24">
        <v>0</v>
      </c>
      <c r="S1175" s="24">
        <v>0</v>
      </c>
      <c r="T1175" s="24">
        <v>0</v>
      </c>
      <c r="U1175" s="24">
        <v>0</v>
      </c>
      <c r="V1175" s="24">
        <v>0</v>
      </c>
      <c r="W1175" s="24">
        <v>0</v>
      </c>
      <c r="X1175" s="24">
        <v>0</v>
      </c>
      <c r="Y1175" s="24">
        <v>0</v>
      </c>
      <c r="Z1175" s="24">
        <v>0</v>
      </c>
      <c r="AA1175" s="24">
        <v>0</v>
      </c>
      <c r="AB1175" s="24">
        <v>0</v>
      </c>
      <c r="AC1175" s="24">
        <v>0</v>
      </c>
      <c r="AD1175" s="24">
        <v>0</v>
      </c>
      <c r="AE1175" s="24">
        <v>0</v>
      </c>
      <c r="AF1175" s="14"/>
    </row>
    <row r="1176" spans="1:32" ht="14.25" customHeight="1" x14ac:dyDescent="0.35">
      <c r="A1176" s="24" t="s">
        <v>364</v>
      </c>
      <c r="B1176" s="14" t="s">
        <v>424</v>
      </c>
      <c r="C1176" s="24" t="s">
        <v>1049</v>
      </c>
      <c r="D1176" s="24" t="s">
        <v>791</v>
      </c>
      <c r="E1176" s="15">
        <v>41640</v>
      </c>
      <c r="F1176" s="15">
        <v>42004</v>
      </c>
      <c r="G1176" s="14" t="s">
        <v>415</v>
      </c>
      <c r="H1176" s="24">
        <v>0.05</v>
      </c>
      <c r="I1176" s="24">
        <v>0.05</v>
      </c>
      <c r="J1176" s="24">
        <v>0.05</v>
      </c>
      <c r="K1176" s="24">
        <v>0.05</v>
      </c>
      <c r="L1176" s="24">
        <v>0.05</v>
      </c>
      <c r="M1176" s="24">
        <v>0.05</v>
      </c>
      <c r="N1176" s="24">
        <v>0.05</v>
      </c>
      <c r="O1176" s="24">
        <v>0.05</v>
      </c>
      <c r="P1176" s="24">
        <v>0.4</v>
      </c>
      <c r="Q1176" s="24">
        <v>0.7</v>
      </c>
      <c r="R1176" s="24">
        <v>0.9</v>
      </c>
      <c r="S1176" s="24">
        <v>0.9</v>
      </c>
      <c r="T1176" s="24">
        <v>0.9</v>
      </c>
      <c r="U1176" s="24">
        <v>0.9</v>
      </c>
      <c r="V1176" s="24">
        <v>0.9</v>
      </c>
      <c r="W1176" s="24">
        <v>0.9</v>
      </c>
      <c r="X1176" s="24">
        <v>0.9</v>
      </c>
      <c r="Y1176" s="24">
        <v>0.9</v>
      </c>
      <c r="Z1176" s="24">
        <v>0.4</v>
      </c>
      <c r="AA1176" s="24">
        <v>0.05</v>
      </c>
      <c r="AB1176" s="24">
        <v>0.05</v>
      </c>
      <c r="AC1176" s="24">
        <v>0.05</v>
      </c>
      <c r="AD1176" s="24">
        <v>0.05</v>
      </c>
      <c r="AE1176" s="24">
        <v>0.05</v>
      </c>
      <c r="AF1176" s="14"/>
    </row>
    <row r="1177" spans="1:32" ht="14.25" customHeight="1" x14ac:dyDescent="0.35">
      <c r="A1177" s="24" t="s">
        <v>364</v>
      </c>
      <c r="B1177" s="14" t="s">
        <v>424</v>
      </c>
      <c r="C1177" s="24" t="s">
        <v>1049</v>
      </c>
      <c r="D1177" s="24" t="s">
        <v>512</v>
      </c>
      <c r="E1177" s="15">
        <v>41640</v>
      </c>
      <c r="F1177" s="15">
        <v>42004</v>
      </c>
      <c r="G1177" s="14" t="s">
        <v>415</v>
      </c>
      <c r="H1177" s="24">
        <v>0.05</v>
      </c>
      <c r="I1177" s="24">
        <v>0.05</v>
      </c>
      <c r="J1177" s="24">
        <v>0.05</v>
      </c>
      <c r="K1177" s="24">
        <v>0.05</v>
      </c>
      <c r="L1177" s="24">
        <v>0.05</v>
      </c>
      <c r="M1177" s="24">
        <v>0.05</v>
      </c>
      <c r="N1177" s="24">
        <v>0.05</v>
      </c>
      <c r="O1177" s="24">
        <v>0.05</v>
      </c>
      <c r="P1177" s="24">
        <v>0.05</v>
      </c>
      <c r="Q1177" s="24">
        <v>0.5</v>
      </c>
      <c r="R1177" s="24">
        <v>0.9</v>
      </c>
      <c r="S1177" s="24">
        <v>0.9</v>
      </c>
      <c r="T1177" s="24">
        <v>0.9</v>
      </c>
      <c r="U1177" s="24">
        <v>0.9</v>
      </c>
      <c r="V1177" s="24">
        <v>0.9</v>
      </c>
      <c r="W1177" s="24">
        <v>0.7</v>
      </c>
      <c r="X1177" s="24">
        <v>0.5</v>
      </c>
      <c r="Y1177" s="24">
        <v>0.05</v>
      </c>
      <c r="Z1177" s="24">
        <v>0.05</v>
      </c>
      <c r="AA1177" s="24">
        <v>0.05</v>
      </c>
      <c r="AB1177" s="24">
        <v>0.05</v>
      </c>
      <c r="AC1177" s="24">
        <v>0.05</v>
      </c>
      <c r="AD1177" s="24">
        <v>0.05</v>
      </c>
      <c r="AE1177" s="24">
        <v>0.05</v>
      </c>
      <c r="AF1177" s="14"/>
    </row>
    <row r="1178" spans="1:32" ht="14.25" customHeight="1" x14ac:dyDescent="0.35">
      <c r="A1178" s="24" t="s">
        <v>364</v>
      </c>
      <c r="B1178" s="14" t="s">
        <v>424</v>
      </c>
      <c r="C1178" s="24" t="s">
        <v>1049</v>
      </c>
      <c r="D1178" s="24" t="s">
        <v>1050</v>
      </c>
      <c r="E1178" s="15">
        <v>41640</v>
      </c>
      <c r="F1178" s="15">
        <v>42004</v>
      </c>
      <c r="G1178" s="14" t="s">
        <v>415</v>
      </c>
      <c r="H1178" s="24">
        <v>0.05</v>
      </c>
      <c r="I1178" s="24">
        <v>0.05</v>
      </c>
      <c r="J1178" s="24">
        <v>0.05</v>
      </c>
      <c r="K1178" s="24">
        <v>0.05</v>
      </c>
      <c r="L1178" s="24">
        <v>0.05</v>
      </c>
      <c r="M1178" s="24">
        <v>0.05</v>
      </c>
      <c r="N1178" s="24">
        <v>0.05</v>
      </c>
      <c r="O1178" s="24">
        <v>0.05</v>
      </c>
      <c r="P1178" s="24">
        <v>0.05</v>
      </c>
      <c r="Q1178" s="24">
        <v>0.05</v>
      </c>
      <c r="R1178" s="24">
        <v>0.05</v>
      </c>
      <c r="S1178" s="24">
        <v>0.05</v>
      </c>
      <c r="T1178" s="24">
        <v>0.05</v>
      </c>
      <c r="U1178" s="24">
        <v>0.05</v>
      </c>
      <c r="V1178" s="24">
        <v>0.05</v>
      </c>
      <c r="W1178" s="24">
        <v>0.05</v>
      </c>
      <c r="X1178" s="24">
        <v>0.05</v>
      </c>
      <c r="Y1178" s="24">
        <v>0.05</v>
      </c>
      <c r="Z1178" s="24">
        <v>0.05</v>
      </c>
      <c r="AA1178" s="24">
        <v>0.05</v>
      </c>
      <c r="AB1178" s="24">
        <v>0.05</v>
      </c>
      <c r="AC1178" s="24">
        <v>0.05</v>
      </c>
      <c r="AD1178" s="24">
        <v>0.05</v>
      </c>
      <c r="AE1178" s="24">
        <v>0.05</v>
      </c>
      <c r="AF1178" s="14"/>
    </row>
    <row r="1179" spans="1:32" ht="14.25" customHeight="1" x14ac:dyDescent="0.35">
      <c r="A1179" s="24" t="s">
        <v>352</v>
      </c>
      <c r="B1179" s="14" t="s">
        <v>448</v>
      </c>
      <c r="C1179" s="24" t="s">
        <v>1049</v>
      </c>
      <c r="D1179" s="24" t="s">
        <v>791</v>
      </c>
      <c r="E1179" s="15">
        <v>41640</v>
      </c>
      <c r="F1179" s="15">
        <v>42004</v>
      </c>
      <c r="G1179" s="14" t="s">
        <v>415</v>
      </c>
      <c r="H1179" s="24">
        <v>0</v>
      </c>
      <c r="I1179" s="24">
        <v>0</v>
      </c>
      <c r="J1179" s="24">
        <v>0</v>
      </c>
      <c r="K1179" s="24">
        <v>0</v>
      </c>
      <c r="L1179" s="24">
        <v>0</v>
      </c>
      <c r="M1179" s="24">
        <v>0</v>
      </c>
      <c r="N1179" s="24">
        <v>0</v>
      </c>
      <c r="O1179" s="24">
        <v>0</v>
      </c>
      <c r="P1179" s="24">
        <v>0.2</v>
      </c>
      <c r="Q1179" s="24">
        <v>0.7</v>
      </c>
      <c r="R1179" s="24">
        <v>0.9</v>
      </c>
      <c r="S1179" s="24">
        <v>0.9</v>
      </c>
      <c r="T1179" s="24">
        <v>0.9</v>
      </c>
      <c r="U1179" s="24">
        <v>0.9</v>
      </c>
      <c r="V1179" s="24">
        <v>0.5</v>
      </c>
      <c r="W1179" s="24">
        <v>0.9</v>
      </c>
      <c r="X1179" s="24">
        <v>0.8</v>
      </c>
      <c r="Y1179" s="24">
        <v>0.8</v>
      </c>
      <c r="Z1179" s="24">
        <v>0.2</v>
      </c>
      <c r="AA1179" s="24">
        <v>0</v>
      </c>
      <c r="AB1179" s="24">
        <v>0</v>
      </c>
      <c r="AC1179" s="24">
        <v>0</v>
      </c>
      <c r="AD1179" s="24">
        <v>0</v>
      </c>
      <c r="AE1179" s="24">
        <v>0</v>
      </c>
      <c r="AF1179" s="14"/>
    </row>
    <row r="1180" spans="1:32" ht="14.25" customHeight="1" x14ac:dyDescent="0.35">
      <c r="A1180" s="24" t="s">
        <v>352</v>
      </c>
      <c r="B1180" s="14" t="s">
        <v>448</v>
      </c>
      <c r="C1180" s="24" t="s">
        <v>1049</v>
      </c>
      <c r="D1180" s="24" t="s">
        <v>512</v>
      </c>
      <c r="E1180" s="15">
        <v>41640</v>
      </c>
      <c r="F1180" s="15">
        <v>42004</v>
      </c>
      <c r="G1180" s="14" t="s">
        <v>415</v>
      </c>
      <c r="H1180" s="24">
        <v>0</v>
      </c>
      <c r="I1180" s="24">
        <v>0</v>
      </c>
      <c r="J1180" s="24">
        <v>0</v>
      </c>
      <c r="K1180" s="24">
        <v>0</v>
      </c>
      <c r="L1180" s="24">
        <v>0</v>
      </c>
      <c r="M1180" s="24">
        <v>0</v>
      </c>
      <c r="N1180" s="24">
        <v>0</v>
      </c>
      <c r="O1180" s="24">
        <v>0</v>
      </c>
      <c r="P1180" s="24">
        <v>0</v>
      </c>
      <c r="Q1180" s="24">
        <v>0.2</v>
      </c>
      <c r="R1180" s="24">
        <v>0.2</v>
      </c>
      <c r="S1180" s="24">
        <v>0.2</v>
      </c>
      <c r="T1180" s="24">
        <v>0.2</v>
      </c>
      <c r="U1180" s="24">
        <v>0.1</v>
      </c>
      <c r="V1180" s="24">
        <v>0.1</v>
      </c>
      <c r="W1180" s="24">
        <v>0.1</v>
      </c>
      <c r="X1180" s="24">
        <v>0.1</v>
      </c>
      <c r="Y1180" s="24">
        <v>0</v>
      </c>
      <c r="Z1180" s="24">
        <v>0</v>
      </c>
      <c r="AA1180" s="24">
        <v>0</v>
      </c>
      <c r="AB1180" s="24">
        <v>0</v>
      </c>
      <c r="AC1180" s="24">
        <v>0</v>
      </c>
      <c r="AD1180" s="24">
        <v>0</v>
      </c>
      <c r="AE1180" s="24">
        <v>0</v>
      </c>
      <c r="AF1180" s="14"/>
    </row>
    <row r="1181" spans="1:32" ht="14.25" customHeight="1" x14ac:dyDescent="0.35">
      <c r="A1181" s="24" t="s">
        <v>352</v>
      </c>
      <c r="B1181" s="14" t="s">
        <v>448</v>
      </c>
      <c r="C1181" s="24" t="s">
        <v>1049</v>
      </c>
      <c r="D1181" s="24" t="s">
        <v>1050</v>
      </c>
      <c r="E1181" s="15">
        <v>41640</v>
      </c>
      <c r="F1181" s="15">
        <v>42004</v>
      </c>
      <c r="G1181" s="14" t="s">
        <v>415</v>
      </c>
      <c r="H1181" s="24">
        <v>0</v>
      </c>
      <c r="I1181" s="24">
        <v>0</v>
      </c>
      <c r="J1181" s="24">
        <v>0</v>
      </c>
      <c r="K1181" s="24">
        <v>0</v>
      </c>
      <c r="L1181" s="24">
        <v>0</v>
      </c>
      <c r="M1181" s="24">
        <v>0</v>
      </c>
      <c r="N1181" s="24">
        <v>0</v>
      </c>
      <c r="O1181" s="24">
        <v>0</v>
      </c>
      <c r="P1181" s="24">
        <v>0</v>
      </c>
      <c r="Q1181" s="24">
        <v>0</v>
      </c>
      <c r="R1181" s="24">
        <v>0</v>
      </c>
      <c r="S1181" s="24">
        <v>0</v>
      </c>
      <c r="T1181" s="24">
        <v>0</v>
      </c>
      <c r="U1181" s="24">
        <v>0</v>
      </c>
      <c r="V1181" s="24">
        <v>0</v>
      </c>
      <c r="W1181" s="24">
        <v>0</v>
      </c>
      <c r="X1181" s="24">
        <v>0</v>
      </c>
      <c r="Y1181" s="24">
        <v>0</v>
      </c>
      <c r="Z1181" s="24">
        <v>0</v>
      </c>
      <c r="AA1181" s="24">
        <v>0</v>
      </c>
      <c r="AB1181" s="24">
        <v>0</v>
      </c>
      <c r="AC1181" s="24">
        <v>0</v>
      </c>
      <c r="AD1181" s="24">
        <v>0</v>
      </c>
      <c r="AE1181" s="24">
        <v>0</v>
      </c>
      <c r="AF1181" s="14"/>
    </row>
    <row r="1182" spans="1:32" ht="14.25" customHeight="1" x14ac:dyDescent="0.35">
      <c r="A1182" s="24" t="s">
        <v>1076</v>
      </c>
      <c r="B1182" s="14" t="s">
        <v>1055</v>
      </c>
      <c r="C1182" s="24" t="s">
        <v>1049</v>
      </c>
      <c r="D1182" s="24" t="s">
        <v>791</v>
      </c>
      <c r="E1182" s="15">
        <v>41640</v>
      </c>
      <c r="F1182" s="15">
        <v>42004</v>
      </c>
      <c r="G1182" s="14" t="s">
        <v>415</v>
      </c>
      <c r="H1182" s="24">
        <v>0.05</v>
      </c>
      <c r="I1182" s="24">
        <v>0.05</v>
      </c>
      <c r="J1182" s="24">
        <v>0.05</v>
      </c>
      <c r="K1182" s="24">
        <v>0.05</v>
      </c>
      <c r="L1182" s="24">
        <v>0.05</v>
      </c>
      <c r="M1182" s="24">
        <v>0.05</v>
      </c>
      <c r="N1182" s="24">
        <v>0.05</v>
      </c>
      <c r="O1182" s="24">
        <v>0.05</v>
      </c>
      <c r="P1182" s="24">
        <v>0.4</v>
      </c>
      <c r="Q1182" s="24">
        <v>0.7</v>
      </c>
      <c r="R1182" s="24">
        <v>0.9</v>
      </c>
      <c r="S1182" s="24">
        <v>0.9</v>
      </c>
      <c r="T1182" s="24">
        <v>0.9</v>
      </c>
      <c r="U1182" s="24">
        <v>0.9</v>
      </c>
      <c r="V1182" s="24">
        <v>0.9</v>
      </c>
      <c r="W1182" s="24">
        <v>0.9</v>
      </c>
      <c r="X1182" s="24">
        <v>0.9</v>
      </c>
      <c r="Y1182" s="24">
        <v>0.9</v>
      </c>
      <c r="Z1182" s="24">
        <v>0.4</v>
      </c>
      <c r="AA1182" s="24">
        <v>0.05</v>
      </c>
      <c r="AB1182" s="24">
        <v>0.05</v>
      </c>
      <c r="AC1182" s="24">
        <v>0.05</v>
      </c>
      <c r="AD1182" s="24">
        <v>0.05</v>
      </c>
      <c r="AE1182" s="24">
        <v>0.05</v>
      </c>
      <c r="AF1182" s="14"/>
    </row>
    <row r="1183" spans="1:32" ht="14.25" customHeight="1" x14ac:dyDescent="0.35">
      <c r="A1183" s="24" t="s">
        <v>1076</v>
      </c>
      <c r="B1183" s="14" t="s">
        <v>1055</v>
      </c>
      <c r="C1183" s="24" t="s">
        <v>1049</v>
      </c>
      <c r="D1183" s="24" t="s">
        <v>512</v>
      </c>
      <c r="E1183" s="15">
        <v>41640</v>
      </c>
      <c r="F1183" s="15">
        <v>42004</v>
      </c>
      <c r="G1183" s="14" t="s">
        <v>415</v>
      </c>
      <c r="H1183" s="24">
        <v>0.05</v>
      </c>
      <c r="I1183" s="24">
        <v>0.05</v>
      </c>
      <c r="J1183" s="24">
        <v>0.05</v>
      </c>
      <c r="K1183" s="24">
        <v>0.05</v>
      </c>
      <c r="L1183" s="24">
        <v>0.05</v>
      </c>
      <c r="M1183" s="24">
        <v>0.05</v>
      </c>
      <c r="N1183" s="24">
        <v>0.05</v>
      </c>
      <c r="O1183" s="24">
        <v>0.05</v>
      </c>
      <c r="P1183" s="24">
        <v>0.05</v>
      </c>
      <c r="Q1183" s="24">
        <v>0.5</v>
      </c>
      <c r="R1183" s="24">
        <v>0.9</v>
      </c>
      <c r="S1183" s="24">
        <v>0.9</v>
      </c>
      <c r="T1183" s="24">
        <v>0.9</v>
      </c>
      <c r="U1183" s="24">
        <v>0.9</v>
      </c>
      <c r="V1183" s="24">
        <v>0.9</v>
      </c>
      <c r="W1183" s="24">
        <v>0.7</v>
      </c>
      <c r="X1183" s="24">
        <v>0.5</v>
      </c>
      <c r="Y1183" s="24">
        <v>0.05</v>
      </c>
      <c r="Z1183" s="24">
        <v>0.05</v>
      </c>
      <c r="AA1183" s="24">
        <v>0.05</v>
      </c>
      <c r="AB1183" s="24">
        <v>0.05</v>
      </c>
      <c r="AC1183" s="24">
        <v>0.05</v>
      </c>
      <c r="AD1183" s="24">
        <v>0.05</v>
      </c>
      <c r="AE1183" s="24">
        <v>0.05</v>
      </c>
      <c r="AF1183" s="14"/>
    </row>
    <row r="1184" spans="1:32" ht="14.25" customHeight="1" x14ac:dyDescent="0.35">
      <c r="A1184" s="24" t="s">
        <v>1076</v>
      </c>
      <c r="B1184" s="14" t="s">
        <v>1055</v>
      </c>
      <c r="C1184" s="24" t="s">
        <v>1049</v>
      </c>
      <c r="D1184" s="24" t="s">
        <v>1050</v>
      </c>
      <c r="E1184" s="15">
        <v>41640</v>
      </c>
      <c r="F1184" s="15">
        <v>42004</v>
      </c>
      <c r="G1184" s="14" t="s">
        <v>415</v>
      </c>
      <c r="H1184" s="24">
        <v>0.05</v>
      </c>
      <c r="I1184" s="24">
        <v>0.05</v>
      </c>
      <c r="J1184" s="24">
        <v>0.05</v>
      </c>
      <c r="K1184" s="24">
        <v>0.05</v>
      </c>
      <c r="L1184" s="24">
        <v>0.05</v>
      </c>
      <c r="M1184" s="24">
        <v>0.05</v>
      </c>
      <c r="N1184" s="24">
        <v>0.05</v>
      </c>
      <c r="O1184" s="24">
        <v>0.05</v>
      </c>
      <c r="P1184" s="24">
        <v>0.05</v>
      </c>
      <c r="Q1184" s="24">
        <v>0.05</v>
      </c>
      <c r="R1184" s="24">
        <v>0.05</v>
      </c>
      <c r="S1184" s="24">
        <v>0.05</v>
      </c>
      <c r="T1184" s="24">
        <v>0.05</v>
      </c>
      <c r="U1184" s="24">
        <v>0.05</v>
      </c>
      <c r="V1184" s="24">
        <v>0.05</v>
      </c>
      <c r="W1184" s="24">
        <v>0.05</v>
      </c>
      <c r="X1184" s="24">
        <v>0.05</v>
      </c>
      <c r="Y1184" s="24">
        <v>0.05</v>
      </c>
      <c r="Z1184" s="24">
        <v>0.05</v>
      </c>
      <c r="AA1184" s="24">
        <v>0.05</v>
      </c>
      <c r="AB1184" s="24">
        <v>0.05</v>
      </c>
      <c r="AC1184" s="24">
        <v>0.05</v>
      </c>
      <c r="AD1184" s="24">
        <v>0.05</v>
      </c>
      <c r="AE1184" s="24">
        <v>0.05</v>
      </c>
      <c r="AF1184" s="14"/>
    </row>
    <row r="1185" spans="1:32" ht="14.25" customHeight="1" x14ac:dyDescent="0.35">
      <c r="A1185" s="24" t="s">
        <v>1077</v>
      </c>
      <c r="B1185" s="14" t="s">
        <v>460</v>
      </c>
      <c r="C1185" s="24" t="s">
        <v>1049</v>
      </c>
      <c r="D1185" s="24" t="s">
        <v>791</v>
      </c>
      <c r="E1185" s="15">
        <v>41640</v>
      </c>
      <c r="F1185" s="15">
        <v>42004</v>
      </c>
      <c r="G1185" s="14" t="s">
        <v>415</v>
      </c>
      <c r="H1185" s="24">
        <v>0.05</v>
      </c>
      <c r="I1185" s="24">
        <v>0.05</v>
      </c>
      <c r="J1185" s="24">
        <v>0.05</v>
      </c>
      <c r="K1185" s="24">
        <v>0.05</v>
      </c>
      <c r="L1185" s="24">
        <v>0.05</v>
      </c>
      <c r="M1185" s="24">
        <v>0.05</v>
      </c>
      <c r="N1185" s="24">
        <v>0.05</v>
      </c>
      <c r="O1185" s="24">
        <v>0.05</v>
      </c>
      <c r="P1185" s="24">
        <v>0.1</v>
      </c>
      <c r="Q1185" s="24">
        <v>0.4</v>
      </c>
      <c r="R1185" s="24">
        <v>0.5</v>
      </c>
      <c r="S1185" s="24">
        <v>0.5</v>
      </c>
      <c r="T1185" s="24">
        <v>0.7</v>
      </c>
      <c r="U1185" s="24">
        <v>0.9</v>
      </c>
      <c r="V1185" s="24">
        <v>0.8</v>
      </c>
      <c r="W1185" s="24">
        <v>0.7</v>
      </c>
      <c r="X1185" s="24">
        <v>0.8</v>
      </c>
      <c r="Y1185" s="24">
        <v>0.3</v>
      </c>
      <c r="Z1185" s="24">
        <v>0.05</v>
      </c>
      <c r="AA1185" s="24">
        <v>0.05</v>
      </c>
      <c r="AB1185" s="24">
        <v>0.05</v>
      </c>
      <c r="AC1185" s="24">
        <v>0.05</v>
      </c>
      <c r="AD1185" s="24">
        <v>0.05</v>
      </c>
      <c r="AE1185" s="24">
        <v>0.05</v>
      </c>
      <c r="AF1185" s="14"/>
    </row>
    <row r="1186" spans="1:32" ht="14.25" customHeight="1" x14ac:dyDescent="0.35">
      <c r="A1186" s="24" t="s">
        <v>1077</v>
      </c>
      <c r="B1186" s="14" t="s">
        <v>460</v>
      </c>
      <c r="C1186" s="24" t="s">
        <v>1049</v>
      </c>
      <c r="D1186" s="24" t="s">
        <v>512</v>
      </c>
      <c r="E1186" s="15">
        <v>41640</v>
      </c>
      <c r="F1186" s="15">
        <v>42004</v>
      </c>
      <c r="G1186" s="14" t="s">
        <v>415</v>
      </c>
      <c r="H1186" s="24">
        <v>0.05</v>
      </c>
      <c r="I1186" s="24">
        <v>0.05</v>
      </c>
      <c r="J1186" s="24">
        <v>0.05</v>
      </c>
      <c r="K1186" s="24">
        <v>0.05</v>
      </c>
      <c r="L1186" s="24">
        <v>0.05</v>
      </c>
      <c r="M1186" s="24">
        <v>0.05</v>
      </c>
      <c r="N1186" s="24">
        <v>0.05</v>
      </c>
      <c r="O1186" s="24">
        <v>0.05</v>
      </c>
      <c r="P1186" s="24">
        <v>0.05</v>
      </c>
      <c r="Q1186" s="24">
        <v>0.05</v>
      </c>
      <c r="R1186" s="24">
        <v>0.2</v>
      </c>
      <c r="S1186" s="24">
        <v>0.2</v>
      </c>
      <c r="T1186" s="24">
        <v>0.4</v>
      </c>
      <c r="U1186" s="24">
        <v>0.2</v>
      </c>
      <c r="V1186" s="24">
        <v>0.2</v>
      </c>
      <c r="W1186" s="24">
        <v>0.2</v>
      </c>
      <c r="X1186" s="24">
        <v>0.05</v>
      </c>
      <c r="Y1186" s="24">
        <v>0.05</v>
      </c>
      <c r="Z1186" s="24">
        <v>0.05</v>
      </c>
      <c r="AA1186" s="24">
        <v>0.05</v>
      </c>
      <c r="AB1186" s="24">
        <v>0.05</v>
      </c>
      <c r="AC1186" s="24">
        <v>0.05</v>
      </c>
      <c r="AD1186" s="24">
        <v>0.05</v>
      </c>
      <c r="AE1186" s="24">
        <v>0.05</v>
      </c>
      <c r="AF1186" s="14"/>
    </row>
    <row r="1187" spans="1:32" ht="14.25" customHeight="1" x14ac:dyDescent="0.35">
      <c r="A1187" s="24" t="s">
        <v>1077</v>
      </c>
      <c r="B1187" s="14" t="s">
        <v>460</v>
      </c>
      <c r="C1187" s="24" t="s">
        <v>1049</v>
      </c>
      <c r="D1187" s="24" t="s">
        <v>1050</v>
      </c>
      <c r="E1187" s="15">
        <v>41640</v>
      </c>
      <c r="F1187" s="15">
        <v>42004</v>
      </c>
      <c r="G1187" s="14" t="s">
        <v>415</v>
      </c>
      <c r="H1187" s="24">
        <v>0.05</v>
      </c>
      <c r="I1187" s="24">
        <v>0.05</v>
      </c>
      <c r="J1187" s="24">
        <v>0.05</v>
      </c>
      <c r="K1187" s="24">
        <v>0.05</v>
      </c>
      <c r="L1187" s="24">
        <v>0.05</v>
      </c>
      <c r="M1187" s="24">
        <v>0.05</v>
      </c>
      <c r="N1187" s="24">
        <v>0.05</v>
      </c>
      <c r="O1187" s="24">
        <v>0.05</v>
      </c>
      <c r="P1187" s="24">
        <v>0.05</v>
      </c>
      <c r="Q1187" s="24">
        <v>0.05</v>
      </c>
      <c r="R1187" s="24">
        <v>0.05</v>
      </c>
      <c r="S1187" s="24">
        <v>0.05</v>
      </c>
      <c r="T1187" s="24">
        <v>0.05</v>
      </c>
      <c r="U1187" s="24">
        <v>0.05</v>
      </c>
      <c r="V1187" s="24">
        <v>0.05</v>
      </c>
      <c r="W1187" s="24">
        <v>0.05</v>
      </c>
      <c r="X1187" s="24">
        <v>0.05</v>
      </c>
      <c r="Y1187" s="24">
        <v>0.05</v>
      </c>
      <c r="Z1187" s="24">
        <v>0.05</v>
      </c>
      <c r="AA1187" s="24">
        <v>0.05</v>
      </c>
      <c r="AB1187" s="24">
        <v>0.05</v>
      </c>
      <c r="AC1187" s="24">
        <v>0.05</v>
      </c>
      <c r="AD1187" s="24">
        <v>0.05</v>
      </c>
      <c r="AE1187" s="24">
        <v>0.05</v>
      </c>
      <c r="AF1187" s="14"/>
    </row>
    <row r="1188" spans="1:32" ht="14.25" customHeight="1" x14ac:dyDescent="0.35">
      <c r="A1188" s="24" t="s">
        <v>1078</v>
      </c>
      <c r="B1188" s="14" t="s">
        <v>420</v>
      </c>
      <c r="C1188" s="24" t="s">
        <v>1058</v>
      </c>
      <c r="D1188" s="24" t="s">
        <v>791</v>
      </c>
      <c r="E1188" s="15">
        <v>41640</v>
      </c>
      <c r="F1188" s="15">
        <v>42004</v>
      </c>
      <c r="G1188" s="14" t="s">
        <v>415</v>
      </c>
      <c r="H1188" s="24">
        <v>35</v>
      </c>
      <c r="I1188" s="24">
        <v>35</v>
      </c>
      <c r="J1188" s="24">
        <v>35</v>
      </c>
      <c r="K1188" s="24">
        <v>35</v>
      </c>
      <c r="L1188" s="24">
        <v>35</v>
      </c>
      <c r="M1188" s="24">
        <v>35</v>
      </c>
      <c r="N1188" s="24">
        <v>35</v>
      </c>
      <c r="O1188" s="24">
        <v>24</v>
      </c>
      <c r="P1188" s="24">
        <v>24</v>
      </c>
      <c r="Q1188" s="24">
        <v>24</v>
      </c>
      <c r="R1188" s="24">
        <v>24</v>
      </c>
      <c r="S1188" s="24">
        <v>24</v>
      </c>
      <c r="T1188" s="24">
        <v>24</v>
      </c>
      <c r="U1188" s="24">
        <v>24</v>
      </c>
      <c r="V1188" s="24">
        <v>24</v>
      </c>
      <c r="W1188" s="24">
        <v>24</v>
      </c>
      <c r="X1188" s="24">
        <v>24</v>
      </c>
      <c r="Y1188" s="24">
        <v>24</v>
      </c>
      <c r="Z1188" s="24">
        <v>24</v>
      </c>
      <c r="AA1188" s="24">
        <v>35</v>
      </c>
      <c r="AB1188" s="24">
        <v>35</v>
      </c>
      <c r="AC1188" s="24">
        <v>35</v>
      </c>
      <c r="AD1188" s="24">
        <v>35</v>
      </c>
      <c r="AE1188" s="24">
        <v>35</v>
      </c>
      <c r="AF1188" s="14"/>
    </row>
    <row r="1189" spans="1:32" ht="14.25" customHeight="1" x14ac:dyDescent="0.35">
      <c r="A1189" s="24" t="s">
        <v>1078</v>
      </c>
      <c r="B1189" s="14" t="s">
        <v>420</v>
      </c>
      <c r="C1189" s="24" t="s">
        <v>1058</v>
      </c>
      <c r="D1189" s="24" t="s">
        <v>512</v>
      </c>
      <c r="E1189" s="15">
        <v>41640</v>
      </c>
      <c r="F1189" s="15">
        <v>42004</v>
      </c>
      <c r="G1189" s="14" t="s">
        <v>415</v>
      </c>
      <c r="H1189" s="24">
        <v>35</v>
      </c>
      <c r="I1189" s="24">
        <v>35</v>
      </c>
      <c r="J1189" s="24">
        <v>35</v>
      </c>
      <c r="K1189" s="24">
        <v>35</v>
      </c>
      <c r="L1189" s="24">
        <v>35</v>
      </c>
      <c r="M1189" s="24">
        <v>35</v>
      </c>
      <c r="N1189" s="24">
        <v>35</v>
      </c>
      <c r="O1189" s="24">
        <v>35</v>
      </c>
      <c r="P1189" s="24">
        <v>24</v>
      </c>
      <c r="Q1189" s="24">
        <v>24</v>
      </c>
      <c r="R1189" s="24">
        <v>24</v>
      </c>
      <c r="S1189" s="24">
        <v>24</v>
      </c>
      <c r="T1189" s="24">
        <v>24</v>
      </c>
      <c r="U1189" s="24">
        <v>24</v>
      </c>
      <c r="V1189" s="24">
        <v>24</v>
      </c>
      <c r="W1189" s="24">
        <v>24</v>
      </c>
      <c r="X1189" s="24">
        <v>24</v>
      </c>
      <c r="Y1189" s="24">
        <v>35</v>
      </c>
      <c r="Z1189" s="24">
        <v>35</v>
      </c>
      <c r="AA1189" s="24">
        <v>35</v>
      </c>
      <c r="AB1189" s="24">
        <v>35</v>
      </c>
      <c r="AC1189" s="24">
        <v>35</v>
      </c>
      <c r="AD1189" s="24">
        <v>35</v>
      </c>
      <c r="AE1189" s="24">
        <v>35</v>
      </c>
      <c r="AF1189" s="14"/>
    </row>
    <row r="1190" spans="1:32" ht="14.25" customHeight="1" x14ac:dyDescent="0.35">
      <c r="A1190" s="24" t="s">
        <v>1078</v>
      </c>
      <c r="B1190" s="14" t="s">
        <v>420</v>
      </c>
      <c r="C1190" s="24" t="s">
        <v>1058</v>
      </c>
      <c r="D1190" s="24" t="s">
        <v>1050</v>
      </c>
      <c r="E1190" s="15">
        <v>41640</v>
      </c>
      <c r="F1190" s="15">
        <v>42004</v>
      </c>
      <c r="G1190" s="14" t="s">
        <v>415</v>
      </c>
      <c r="H1190" s="24">
        <v>35</v>
      </c>
      <c r="I1190" s="24">
        <v>35</v>
      </c>
      <c r="J1190" s="24">
        <v>35</v>
      </c>
      <c r="K1190" s="24">
        <v>35</v>
      </c>
      <c r="L1190" s="24">
        <v>35</v>
      </c>
      <c r="M1190" s="24">
        <v>35</v>
      </c>
      <c r="N1190" s="24">
        <v>35</v>
      </c>
      <c r="O1190" s="24">
        <v>35</v>
      </c>
      <c r="P1190" s="24">
        <v>35</v>
      </c>
      <c r="Q1190" s="24">
        <v>35</v>
      </c>
      <c r="R1190" s="24">
        <v>35</v>
      </c>
      <c r="S1190" s="24">
        <v>35</v>
      </c>
      <c r="T1190" s="24">
        <v>35</v>
      </c>
      <c r="U1190" s="24">
        <v>35</v>
      </c>
      <c r="V1190" s="24">
        <v>35</v>
      </c>
      <c r="W1190" s="24">
        <v>35</v>
      </c>
      <c r="X1190" s="24">
        <v>35</v>
      </c>
      <c r="Y1190" s="24">
        <v>35</v>
      </c>
      <c r="Z1190" s="24">
        <v>35</v>
      </c>
      <c r="AA1190" s="24">
        <v>35</v>
      </c>
      <c r="AB1190" s="24">
        <v>35</v>
      </c>
      <c r="AC1190" s="24">
        <v>35</v>
      </c>
      <c r="AD1190" s="24">
        <v>35</v>
      </c>
      <c r="AE1190" s="24">
        <v>35</v>
      </c>
      <c r="AF1190" s="14"/>
    </row>
    <row r="1191" spans="1:32" ht="14.25" customHeight="1" x14ac:dyDescent="0.35">
      <c r="A1191" s="24" t="s">
        <v>1079</v>
      </c>
      <c r="B1191" s="14" t="s">
        <v>420</v>
      </c>
      <c r="C1191" s="24" t="s">
        <v>1058</v>
      </c>
      <c r="D1191" s="24" t="s">
        <v>791</v>
      </c>
      <c r="E1191" s="15">
        <v>41640</v>
      </c>
      <c r="F1191" s="15">
        <v>42004</v>
      </c>
      <c r="G1191" s="14" t="s">
        <v>415</v>
      </c>
      <c r="H1191" s="24">
        <v>18</v>
      </c>
      <c r="I1191" s="24">
        <v>18</v>
      </c>
      <c r="J1191" s="24">
        <v>18</v>
      </c>
      <c r="K1191" s="24">
        <v>18</v>
      </c>
      <c r="L1191" s="24">
        <v>18</v>
      </c>
      <c r="M1191" s="24">
        <v>18</v>
      </c>
      <c r="N1191" s="24">
        <v>18</v>
      </c>
      <c r="O1191" s="24">
        <v>20</v>
      </c>
      <c r="P1191" s="24">
        <v>22</v>
      </c>
      <c r="Q1191" s="24">
        <v>22</v>
      </c>
      <c r="R1191" s="24">
        <v>22</v>
      </c>
      <c r="S1191" s="24">
        <v>22</v>
      </c>
      <c r="T1191" s="24">
        <v>22</v>
      </c>
      <c r="U1191" s="24">
        <v>22</v>
      </c>
      <c r="V1191" s="24">
        <v>22</v>
      </c>
      <c r="W1191" s="24">
        <v>22</v>
      </c>
      <c r="X1191" s="24">
        <v>22</v>
      </c>
      <c r="Y1191" s="24">
        <v>22</v>
      </c>
      <c r="Z1191" s="24">
        <v>22</v>
      </c>
      <c r="AA1191" s="24">
        <v>18</v>
      </c>
      <c r="AB1191" s="24">
        <v>18</v>
      </c>
      <c r="AC1191" s="24">
        <v>18</v>
      </c>
      <c r="AD1191" s="24">
        <v>18</v>
      </c>
      <c r="AE1191" s="24">
        <v>18</v>
      </c>
      <c r="AF1191" s="14"/>
    </row>
    <row r="1192" spans="1:32" ht="14.25" customHeight="1" x14ac:dyDescent="0.35">
      <c r="A1192" s="24" t="s">
        <v>1079</v>
      </c>
      <c r="B1192" s="14" t="s">
        <v>420</v>
      </c>
      <c r="C1192" s="24" t="s">
        <v>1058</v>
      </c>
      <c r="D1192" s="24" t="s">
        <v>512</v>
      </c>
      <c r="E1192" s="15">
        <v>41640</v>
      </c>
      <c r="F1192" s="15">
        <v>42004</v>
      </c>
      <c r="G1192" s="14" t="s">
        <v>415</v>
      </c>
      <c r="H1192" s="24">
        <v>18</v>
      </c>
      <c r="I1192" s="24">
        <v>18</v>
      </c>
      <c r="J1192" s="24">
        <v>18</v>
      </c>
      <c r="K1192" s="24">
        <v>18</v>
      </c>
      <c r="L1192" s="24">
        <v>18</v>
      </c>
      <c r="M1192" s="24">
        <v>18</v>
      </c>
      <c r="N1192" s="24">
        <v>18</v>
      </c>
      <c r="O1192" s="24">
        <v>18</v>
      </c>
      <c r="P1192" s="24">
        <v>20</v>
      </c>
      <c r="Q1192" s="24">
        <v>22</v>
      </c>
      <c r="R1192" s="24">
        <v>22</v>
      </c>
      <c r="S1192" s="24">
        <v>22</v>
      </c>
      <c r="T1192" s="24">
        <v>22</v>
      </c>
      <c r="U1192" s="24">
        <v>22</v>
      </c>
      <c r="V1192" s="24">
        <v>22</v>
      </c>
      <c r="W1192" s="24">
        <v>22</v>
      </c>
      <c r="X1192" s="24">
        <v>22</v>
      </c>
      <c r="Y1192" s="24">
        <v>18</v>
      </c>
      <c r="Z1192" s="24">
        <v>18</v>
      </c>
      <c r="AA1192" s="24">
        <v>18</v>
      </c>
      <c r="AB1192" s="24">
        <v>18</v>
      </c>
      <c r="AC1192" s="24">
        <v>18</v>
      </c>
      <c r="AD1192" s="24">
        <v>18</v>
      </c>
      <c r="AE1192" s="24">
        <v>18</v>
      </c>
      <c r="AF1192" s="14"/>
    </row>
    <row r="1193" spans="1:32" ht="14.25" customHeight="1" x14ac:dyDescent="0.35">
      <c r="A1193" s="24" t="s">
        <v>1079</v>
      </c>
      <c r="B1193" s="14" t="s">
        <v>420</v>
      </c>
      <c r="C1193" s="24" t="s">
        <v>1058</v>
      </c>
      <c r="D1193" s="24" t="s">
        <v>1050</v>
      </c>
      <c r="E1193" s="15">
        <v>41640</v>
      </c>
      <c r="F1193" s="15">
        <v>42004</v>
      </c>
      <c r="G1193" s="14" t="s">
        <v>415</v>
      </c>
      <c r="H1193" s="24">
        <v>18</v>
      </c>
      <c r="I1193" s="24">
        <v>18</v>
      </c>
      <c r="J1193" s="24">
        <v>18</v>
      </c>
      <c r="K1193" s="24">
        <v>18</v>
      </c>
      <c r="L1193" s="24">
        <v>18</v>
      </c>
      <c r="M1193" s="24">
        <v>18</v>
      </c>
      <c r="N1193" s="24">
        <v>18</v>
      </c>
      <c r="O1193" s="24">
        <v>18</v>
      </c>
      <c r="P1193" s="24">
        <v>18</v>
      </c>
      <c r="Q1193" s="24">
        <v>18</v>
      </c>
      <c r="R1193" s="24">
        <v>18</v>
      </c>
      <c r="S1193" s="24">
        <v>18</v>
      </c>
      <c r="T1193" s="24">
        <v>18</v>
      </c>
      <c r="U1193" s="24">
        <v>18</v>
      </c>
      <c r="V1193" s="24">
        <v>18</v>
      </c>
      <c r="W1193" s="24">
        <v>18</v>
      </c>
      <c r="X1193" s="24">
        <v>18</v>
      </c>
      <c r="Y1193" s="24">
        <v>18</v>
      </c>
      <c r="Z1193" s="24">
        <v>18</v>
      </c>
      <c r="AA1193" s="24">
        <v>18</v>
      </c>
      <c r="AB1193" s="24">
        <v>18</v>
      </c>
      <c r="AC1193" s="24">
        <v>18</v>
      </c>
      <c r="AD1193" s="24">
        <v>18</v>
      </c>
      <c r="AE1193" s="24">
        <v>18</v>
      </c>
      <c r="AF1193" s="14"/>
    </row>
    <row r="1194" spans="1:32" ht="14.25" customHeight="1" x14ac:dyDescent="0.35">
      <c r="A1194" s="24" t="s">
        <v>340</v>
      </c>
      <c r="B1194" s="14" t="s">
        <v>427</v>
      </c>
      <c r="C1194" s="24" t="s">
        <v>1049</v>
      </c>
      <c r="D1194" s="24" t="s">
        <v>791</v>
      </c>
      <c r="E1194" s="15">
        <v>41640</v>
      </c>
      <c r="F1194" s="15">
        <v>42004</v>
      </c>
      <c r="G1194" s="14" t="s">
        <v>415</v>
      </c>
      <c r="H1194" s="24">
        <v>0.3</v>
      </c>
      <c r="I1194" s="24">
        <v>0.2</v>
      </c>
      <c r="J1194" s="24">
        <v>0.2</v>
      </c>
      <c r="K1194" s="24">
        <v>0.1</v>
      </c>
      <c r="L1194" s="24">
        <v>0.1</v>
      </c>
      <c r="M1194" s="24">
        <v>0.1</v>
      </c>
      <c r="N1194" s="24">
        <v>0.2</v>
      </c>
      <c r="O1194" s="24">
        <v>0.4</v>
      </c>
      <c r="P1194" s="24">
        <v>0.5</v>
      </c>
      <c r="Q1194" s="24">
        <v>0.4</v>
      </c>
      <c r="R1194" s="24">
        <v>0.4</v>
      </c>
      <c r="S1194" s="24">
        <v>0.3</v>
      </c>
      <c r="T1194" s="24">
        <v>0.2</v>
      </c>
      <c r="U1194" s="24">
        <v>0.2</v>
      </c>
      <c r="V1194" s="24">
        <v>0.2</v>
      </c>
      <c r="W1194" s="24">
        <v>0.2</v>
      </c>
      <c r="X1194" s="24">
        <v>0.2</v>
      </c>
      <c r="Y1194" s="24">
        <v>0.2</v>
      </c>
      <c r="Z1194" s="24">
        <v>0.2</v>
      </c>
      <c r="AA1194" s="24">
        <v>0.6</v>
      </c>
      <c r="AB1194" s="24">
        <v>0.8</v>
      </c>
      <c r="AC1194" s="24">
        <v>0.9</v>
      </c>
      <c r="AD1194" s="24">
        <v>0.8</v>
      </c>
      <c r="AE1194" s="24">
        <v>0.6</v>
      </c>
      <c r="AF1194" s="14"/>
    </row>
    <row r="1195" spans="1:32" ht="14.25" customHeight="1" x14ac:dyDescent="0.35">
      <c r="A1195" s="24" t="s">
        <v>340</v>
      </c>
      <c r="B1195" s="14" t="s">
        <v>427</v>
      </c>
      <c r="C1195" s="24" t="s">
        <v>1049</v>
      </c>
      <c r="D1195" s="24" t="s">
        <v>512</v>
      </c>
      <c r="E1195" s="15">
        <v>41640</v>
      </c>
      <c r="F1195" s="15">
        <v>42004</v>
      </c>
      <c r="G1195" s="14" t="s">
        <v>415</v>
      </c>
      <c r="H1195" s="24">
        <v>0.3</v>
      </c>
      <c r="I1195" s="24">
        <v>0.2</v>
      </c>
      <c r="J1195" s="24">
        <v>0.2</v>
      </c>
      <c r="K1195" s="24">
        <v>0.1</v>
      </c>
      <c r="L1195" s="24">
        <v>0.1</v>
      </c>
      <c r="M1195" s="24">
        <v>0.1</v>
      </c>
      <c r="N1195" s="24">
        <v>0.1</v>
      </c>
      <c r="O1195" s="24">
        <v>0.3</v>
      </c>
      <c r="P1195" s="24">
        <v>0.3</v>
      </c>
      <c r="Q1195" s="24">
        <v>0.4</v>
      </c>
      <c r="R1195" s="24">
        <v>0.4</v>
      </c>
      <c r="S1195" s="24">
        <v>0.3</v>
      </c>
      <c r="T1195" s="24">
        <v>0.2</v>
      </c>
      <c r="U1195" s="24">
        <v>0.2</v>
      </c>
      <c r="V1195" s="24">
        <v>0.2</v>
      </c>
      <c r="W1195" s="24">
        <v>0.2</v>
      </c>
      <c r="X1195" s="24">
        <v>0.2</v>
      </c>
      <c r="Y1195" s="24">
        <v>0.2</v>
      </c>
      <c r="Z1195" s="24">
        <v>0.2</v>
      </c>
      <c r="AA1195" s="24">
        <v>0.6</v>
      </c>
      <c r="AB1195" s="24">
        <v>0.7</v>
      </c>
      <c r="AC1195" s="24">
        <v>0.7</v>
      </c>
      <c r="AD1195" s="24">
        <v>0.7</v>
      </c>
      <c r="AE1195" s="24">
        <v>0.6</v>
      </c>
      <c r="AF1195" s="14"/>
    </row>
    <row r="1196" spans="1:32" ht="14.25" customHeight="1" x14ac:dyDescent="0.35">
      <c r="A1196" s="24" t="s">
        <v>340</v>
      </c>
      <c r="B1196" s="14" t="s">
        <v>427</v>
      </c>
      <c r="C1196" s="24" t="s">
        <v>1049</v>
      </c>
      <c r="D1196" s="24" t="s">
        <v>1050</v>
      </c>
      <c r="E1196" s="15">
        <v>41640</v>
      </c>
      <c r="F1196" s="15">
        <v>42004</v>
      </c>
      <c r="G1196" s="14" t="s">
        <v>415</v>
      </c>
      <c r="H1196" s="24">
        <v>0.3</v>
      </c>
      <c r="I1196" s="24">
        <v>0.3</v>
      </c>
      <c r="J1196" s="24">
        <v>0.3</v>
      </c>
      <c r="K1196" s="24">
        <v>0.2</v>
      </c>
      <c r="L1196" s="24">
        <v>0.2</v>
      </c>
      <c r="M1196" s="24">
        <v>0.2</v>
      </c>
      <c r="N1196" s="24">
        <v>0.2</v>
      </c>
      <c r="O1196" s="24">
        <v>0.3</v>
      </c>
      <c r="P1196" s="24">
        <v>0.4</v>
      </c>
      <c r="Q1196" s="24">
        <v>0.4</v>
      </c>
      <c r="R1196" s="24">
        <v>0.3</v>
      </c>
      <c r="S1196" s="24">
        <v>0.3</v>
      </c>
      <c r="T1196" s="24">
        <v>0.3</v>
      </c>
      <c r="U1196" s="24">
        <v>0.3</v>
      </c>
      <c r="V1196" s="24">
        <v>0.2</v>
      </c>
      <c r="W1196" s="24">
        <v>0.2</v>
      </c>
      <c r="X1196" s="24">
        <v>0.2</v>
      </c>
      <c r="Y1196" s="24">
        <v>0.2</v>
      </c>
      <c r="Z1196" s="24">
        <v>0.2</v>
      </c>
      <c r="AA1196" s="24">
        <v>0.5</v>
      </c>
      <c r="AB1196" s="24">
        <v>0.7</v>
      </c>
      <c r="AC1196" s="24">
        <v>0.8</v>
      </c>
      <c r="AD1196" s="24">
        <v>0.6</v>
      </c>
      <c r="AE1196" s="24">
        <v>0.5</v>
      </c>
      <c r="AF1196" s="14"/>
    </row>
    <row r="1197" spans="1:32" ht="14.25" customHeight="1" x14ac:dyDescent="0.35">
      <c r="A1197" s="24" t="s">
        <v>1080</v>
      </c>
      <c r="B1197" s="14" t="s">
        <v>1052</v>
      </c>
      <c r="C1197" s="24" t="s">
        <v>1053</v>
      </c>
      <c r="D1197" s="24" t="s">
        <v>791</v>
      </c>
      <c r="E1197" s="15">
        <v>41640</v>
      </c>
      <c r="F1197" s="15">
        <v>42004</v>
      </c>
      <c r="G1197" s="14" t="s">
        <v>415</v>
      </c>
      <c r="H1197" s="24">
        <v>1</v>
      </c>
      <c r="I1197" s="24">
        <v>1</v>
      </c>
      <c r="J1197" s="24">
        <v>1</v>
      </c>
      <c r="K1197" s="24">
        <v>1</v>
      </c>
      <c r="L1197" s="24">
        <v>1</v>
      </c>
      <c r="M1197" s="24">
        <v>1</v>
      </c>
      <c r="N1197" s="24">
        <v>1</v>
      </c>
      <c r="O1197" s="24">
        <v>1</v>
      </c>
      <c r="P1197" s="24">
        <v>1</v>
      </c>
      <c r="Q1197" s="24">
        <v>1</v>
      </c>
      <c r="R1197" s="24">
        <v>1</v>
      </c>
      <c r="S1197" s="24">
        <v>1</v>
      </c>
      <c r="T1197" s="24">
        <v>1</v>
      </c>
      <c r="U1197" s="24">
        <v>1</v>
      </c>
      <c r="V1197" s="24">
        <v>1</v>
      </c>
      <c r="W1197" s="24">
        <v>1</v>
      </c>
      <c r="X1197" s="24">
        <v>1</v>
      </c>
      <c r="Y1197" s="24">
        <v>1</v>
      </c>
      <c r="Z1197" s="24">
        <v>1</v>
      </c>
      <c r="AA1197" s="24">
        <v>1</v>
      </c>
      <c r="AB1197" s="24">
        <v>1</v>
      </c>
      <c r="AC1197" s="24">
        <v>1</v>
      </c>
      <c r="AD1197" s="24">
        <v>1</v>
      </c>
      <c r="AE1197" s="24">
        <v>1</v>
      </c>
      <c r="AF1197" s="14"/>
    </row>
    <row r="1198" spans="1:32" ht="14.25" customHeight="1" x14ac:dyDescent="0.35">
      <c r="A1198" s="24" t="s">
        <v>1080</v>
      </c>
      <c r="B1198" s="14" t="s">
        <v>1052</v>
      </c>
      <c r="C1198" s="24" t="s">
        <v>1053</v>
      </c>
      <c r="D1198" s="24" t="s">
        <v>512</v>
      </c>
      <c r="E1198" s="15">
        <v>41640</v>
      </c>
      <c r="F1198" s="15">
        <v>42004</v>
      </c>
      <c r="G1198" s="14" t="s">
        <v>415</v>
      </c>
      <c r="H1198" s="24">
        <v>1</v>
      </c>
      <c r="I1198" s="24">
        <v>1</v>
      </c>
      <c r="J1198" s="24">
        <v>1</v>
      </c>
      <c r="K1198" s="24">
        <v>1</v>
      </c>
      <c r="L1198" s="24">
        <v>1</v>
      </c>
      <c r="M1198" s="24">
        <v>1</v>
      </c>
      <c r="N1198" s="24">
        <v>1</v>
      </c>
      <c r="O1198" s="24">
        <v>1</v>
      </c>
      <c r="P1198" s="24">
        <v>1</v>
      </c>
      <c r="Q1198" s="24">
        <v>1</v>
      </c>
      <c r="R1198" s="24">
        <v>1</v>
      </c>
      <c r="S1198" s="24">
        <v>1</v>
      </c>
      <c r="T1198" s="24">
        <v>1</v>
      </c>
      <c r="U1198" s="24">
        <v>1</v>
      </c>
      <c r="V1198" s="24">
        <v>1</v>
      </c>
      <c r="W1198" s="24">
        <v>1</v>
      </c>
      <c r="X1198" s="24">
        <v>1</v>
      </c>
      <c r="Y1198" s="24">
        <v>1</v>
      </c>
      <c r="Z1198" s="24">
        <v>1</v>
      </c>
      <c r="AA1198" s="24">
        <v>1</v>
      </c>
      <c r="AB1198" s="24">
        <v>1</v>
      </c>
      <c r="AC1198" s="24">
        <v>1</v>
      </c>
      <c r="AD1198" s="24">
        <v>1</v>
      </c>
      <c r="AE1198" s="24">
        <v>1</v>
      </c>
      <c r="AF1198" s="14"/>
    </row>
    <row r="1199" spans="1:32" ht="14.25" customHeight="1" x14ac:dyDescent="0.35">
      <c r="A1199" s="24" t="s">
        <v>1080</v>
      </c>
      <c r="B1199" s="14" t="s">
        <v>1052</v>
      </c>
      <c r="C1199" s="24" t="s">
        <v>1053</v>
      </c>
      <c r="D1199" s="24" t="s">
        <v>1050</v>
      </c>
      <c r="E1199" s="15">
        <v>41640</v>
      </c>
      <c r="F1199" s="15">
        <v>42004</v>
      </c>
      <c r="G1199" s="14" t="s">
        <v>415</v>
      </c>
      <c r="H1199" s="24">
        <v>1</v>
      </c>
      <c r="I1199" s="24">
        <v>1</v>
      </c>
      <c r="J1199" s="24">
        <v>1</v>
      </c>
      <c r="K1199" s="24">
        <v>1</v>
      </c>
      <c r="L1199" s="24">
        <v>1</v>
      </c>
      <c r="M1199" s="24">
        <v>1</v>
      </c>
      <c r="N1199" s="24">
        <v>1</v>
      </c>
      <c r="O1199" s="24">
        <v>1</v>
      </c>
      <c r="P1199" s="24">
        <v>1</v>
      </c>
      <c r="Q1199" s="24">
        <v>1</v>
      </c>
      <c r="R1199" s="24">
        <v>1</v>
      </c>
      <c r="S1199" s="24">
        <v>1</v>
      </c>
      <c r="T1199" s="24">
        <v>1</v>
      </c>
      <c r="U1199" s="24">
        <v>1</v>
      </c>
      <c r="V1199" s="24">
        <v>1</v>
      </c>
      <c r="W1199" s="24">
        <v>1</v>
      </c>
      <c r="X1199" s="24">
        <v>1</v>
      </c>
      <c r="Y1199" s="24">
        <v>1</v>
      </c>
      <c r="Z1199" s="24">
        <v>1</v>
      </c>
      <c r="AA1199" s="24">
        <v>1</v>
      </c>
      <c r="AB1199" s="24">
        <v>1</v>
      </c>
      <c r="AC1199" s="24">
        <v>1</v>
      </c>
      <c r="AD1199" s="24">
        <v>1</v>
      </c>
      <c r="AE1199" s="24">
        <v>1</v>
      </c>
      <c r="AF1199" s="14"/>
    </row>
    <row r="1200" spans="1:32" ht="14.25" customHeight="1" x14ac:dyDescent="0.35">
      <c r="A1200" s="24" t="s">
        <v>369</v>
      </c>
      <c r="B1200" s="14" t="s">
        <v>424</v>
      </c>
      <c r="C1200" s="24" t="s">
        <v>1049</v>
      </c>
      <c r="D1200" s="24" t="s">
        <v>791</v>
      </c>
      <c r="E1200" s="15">
        <v>41640</v>
      </c>
      <c r="F1200" s="15">
        <v>42004</v>
      </c>
      <c r="G1200" s="14" t="s">
        <v>415</v>
      </c>
      <c r="H1200" s="24">
        <v>0.3</v>
      </c>
      <c r="I1200" s="24">
        <v>0.2</v>
      </c>
      <c r="J1200" s="24">
        <v>0.2</v>
      </c>
      <c r="K1200" s="24">
        <v>0.1</v>
      </c>
      <c r="L1200" s="24">
        <v>0.1</v>
      </c>
      <c r="M1200" s="24">
        <v>0.1</v>
      </c>
      <c r="N1200" s="24">
        <v>0.2</v>
      </c>
      <c r="O1200" s="24">
        <v>0.4</v>
      </c>
      <c r="P1200" s="24">
        <v>0.5</v>
      </c>
      <c r="Q1200" s="24">
        <v>0.4</v>
      </c>
      <c r="R1200" s="24">
        <v>0.4</v>
      </c>
      <c r="S1200" s="24">
        <v>0.3</v>
      </c>
      <c r="T1200" s="24">
        <v>0.2</v>
      </c>
      <c r="U1200" s="24">
        <v>0.2</v>
      </c>
      <c r="V1200" s="24">
        <v>0.2</v>
      </c>
      <c r="W1200" s="24">
        <v>0.2</v>
      </c>
      <c r="X1200" s="24">
        <v>0.2</v>
      </c>
      <c r="Y1200" s="24">
        <v>0.2</v>
      </c>
      <c r="Z1200" s="24">
        <v>0.2</v>
      </c>
      <c r="AA1200" s="24">
        <v>0.6</v>
      </c>
      <c r="AB1200" s="24">
        <v>0.8</v>
      </c>
      <c r="AC1200" s="24">
        <v>0.9</v>
      </c>
      <c r="AD1200" s="24">
        <v>0.8</v>
      </c>
      <c r="AE1200" s="24">
        <v>0.6</v>
      </c>
      <c r="AF1200" s="14"/>
    </row>
    <row r="1201" spans="1:32" ht="14.25" customHeight="1" x14ac:dyDescent="0.35">
      <c r="A1201" s="24" t="s">
        <v>369</v>
      </c>
      <c r="B1201" s="14" t="s">
        <v>424</v>
      </c>
      <c r="C1201" s="24" t="s">
        <v>1049</v>
      </c>
      <c r="D1201" s="24" t="s">
        <v>512</v>
      </c>
      <c r="E1201" s="15">
        <v>41640</v>
      </c>
      <c r="F1201" s="15">
        <v>42004</v>
      </c>
      <c r="G1201" s="14" t="s">
        <v>415</v>
      </c>
      <c r="H1201" s="24">
        <v>0.3</v>
      </c>
      <c r="I1201" s="24">
        <v>0.2</v>
      </c>
      <c r="J1201" s="24">
        <v>0.2</v>
      </c>
      <c r="K1201" s="24">
        <v>0.1</v>
      </c>
      <c r="L1201" s="24">
        <v>0.1</v>
      </c>
      <c r="M1201" s="24">
        <v>0.1</v>
      </c>
      <c r="N1201" s="24">
        <v>0.1</v>
      </c>
      <c r="O1201" s="24">
        <v>0.3</v>
      </c>
      <c r="P1201" s="24">
        <v>0.3</v>
      </c>
      <c r="Q1201" s="24">
        <v>0.4</v>
      </c>
      <c r="R1201" s="24">
        <v>0.4</v>
      </c>
      <c r="S1201" s="24">
        <v>0.3</v>
      </c>
      <c r="T1201" s="24">
        <v>0.2</v>
      </c>
      <c r="U1201" s="24">
        <v>0.2</v>
      </c>
      <c r="V1201" s="24">
        <v>0.2</v>
      </c>
      <c r="W1201" s="24">
        <v>0.2</v>
      </c>
      <c r="X1201" s="24">
        <v>0.2</v>
      </c>
      <c r="Y1201" s="24">
        <v>0.2</v>
      </c>
      <c r="Z1201" s="24">
        <v>0.2</v>
      </c>
      <c r="AA1201" s="24">
        <v>0.6</v>
      </c>
      <c r="AB1201" s="24">
        <v>0.7</v>
      </c>
      <c r="AC1201" s="24">
        <v>0.7</v>
      </c>
      <c r="AD1201" s="24">
        <v>0.7</v>
      </c>
      <c r="AE1201" s="24">
        <v>0.6</v>
      </c>
      <c r="AF1201" s="14"/>
    </row>
    <row r="1202" spans="1:32" ht="14.25" customHeight="1" x14ac:dyDescent="0.35">
      <c r="A1202" s="24" t="s">
        <v>369</v>
      </c>
      <c r="B1202" s="14" t="s">
        <v>424</v>
      </c>
      <c r="C1202" s="24" t="s">
        <v>1049</v>
      </c>
      <c r="D1202" s="24" t="s">
        <v>1050</v>
      </c>
      <c r="E1202" s="15">
        <v>41640</v>
      </c>
      <c r="F1202" s="15">
        <v>42004</v>
      </c>
      <c r="G1202" s="14" t="s">
        <v>415</v>
      </c>
      <c r="H1202" s="24">
        <v>0.3</v>
      </c>
      <c r="I1202" s="24">
        <v>0.3</v>
      </c>
      <c r="J1202" s="24">
        <v>0.3</v>
      </c>
      <c r="K1202" s="24">
        <v>0.2</v>
      </c>
      <c r="L1202" s="24">
        <v>0.2</v>
      </c>
      <c r="M1202" s="24">
        <v>0.2</v>
      </c>
      <c r="N1202" s="24">
        <v>0.2</v>
      </c>
      <c r="O1202" s="24">
        <v>0.3</v>
      </c>
      <c r="P1202" s="24">
        <v>0.4</v>
      </c>
      <c r="Q1202" s="24">
        <v>0.4</v>
      </c>
      <c r="R1202" s="24">
        <v>0.3</v>
      </c>
      <c r="S1202" s="24">
        <v>0.3</v>
      </c>
      <c r="T1202" s="24">
        <v>0.3</v>
      </c>
      <c r="U1202" s="24">
        <v>0.3</v>
      </c>
      <c r="V1202" s="24">
        <v>0.2</v>
      </c>
      <c r="W1202" s="24">
        <v>0.2</v>
      </c>
      <c r="X1202" s="24">
        <v>0.2</v>
      </c>
      <c r="Y1202" s="24">
        <v>0.2</v>
      </c>
      <c r="Z1202" s="24">
        <v>0.2</v>
      </c>
      <c r="AA1202" s="24">
        <v>0.5</v>
      </c>
      <c r="AB1202" s="24">
        <v>0.7</v>
      </c>
      <c r="AC1202" s="24">
        <v>0.8</v>
      </c>
      <c r="AD1202" s="24">
        <v>0.6</v>
      </c>
      <c r="AE1202" s="24">
        <v>0.5</v>
      </c>
      <c r="AF1202" s="14"/>
    </row>
    <row r="1203" spans="1:32" ht="14.25" customHeight="1" x14ac:dyDescent="0.35">
      <c r="A1203" s="24" t="s">
        <v>357</v>
      </c>
      <c r="B1203" s="14" t="s">
        <v>448</v>
      </c>
      <c r="C1203" s="24" t="s">
        <v>1049</v>
      </c>
      <c r="D1203" s="24" t="s">
        <v>791</v>
      </c>
      <c r="E1203" s="15">
        <v>41640</v>
      </c>
      <c r="F1203" s="15">
        <v>42004</v>
      </c>
      <c r="G1203" s="14" t="s">
        <v>415</v>
      </c>
      <c r="H1203" s="24">
        <v>0.9</v>
      </c>
      <c r="I1203" s="24">
        <v>0.9</v>
      </c>
      <c r="J1203" s="24">
        <v>0.9</v>
      </c>
      <c r="K1203" s="24">
        <v>0.9</v>
      </c>
      <c r="L1203" s="24">
        <v>0.9</v>
      </c>
      <c r="M1203" s="24">
        <v>0.9</v>
      </c>
      <c r="N1203" s="24">
        <v>0.9</v>
      </c>
      <c r="O1203" s="24">
        <v>0.7</v>
      </c>
      <c r="P1203" s="24">
        <v>0.4</v>
      </c>
      <c r="Q1203" s="24">
        <v>0.4</v>
      </c>
      <c r="R1203" s="24">
        <v>0.2</v>
      </c>
      <c r="S1203" s="24">
        <v>0.2</v>
      </c>
      <c r="T1203" s="24">
        <v>0.2</v>
      </c>
      <c r="U1203" s="24">
        <v>0.2</v>
      </c>
      <c r="V1203" s="24">
        <v>0.2</v>
      </c>
      <c r="W1203" s="24">
        <v>0.2</v>
      </c>
      <c r="X1203" s="24">
        <v>0.3</v>
      </c>
      <c r="Y1203" s="24">
        <v>0.5</v>
      </c>
      <c r="Z1203" s="24">
        <v>0.5</v>
      </c>
      <c r="AA1203" s="24">
        <v>0.5</v>
      </c>
      <c r="AB1203" s="24">
        <v>0.7</v>
      </c>
      <c r="AC1203" s="24">
        <v>0.7</v>
      </c>
      <c r="AD1203" s="24">
        <v>0.8</v>
      </c>
      <c r="AE1203" s="24">
        <v>0.9</v>
      </c>
      <c r="AF1203" s="14"/>
    </row>
    <row r="1204" spans="1:32" ht="14.25" customHeight="1" x14ac:dyDescent="0.35">
      <c r="A1204" s="24" t="s">
        <v>357</v>
      </c>
      <c r="B1204" s="14" t="s">
        <v>448</v>
      </c>
      <c r="C1204" s="24" t="s">
        <v>1049</v>
      </c>
      <c r="D1204" s="24" t="s">
        <v>512</v>
      </c>
      <c r="E1204" s="15">
        <v>41640</v>
      </c>
      <c r="F1204" s="15">
        <v>42004</v>
      </c>
      <c r="G1204" s="14" t="s">
        <v>415</v>
      </c>
      <c r="H1204" s="24">
        <v>0.7</v>
      </c>
      <c r="I1204" s="24">
        <v>0.9</v>
      </c>
      <c r="J1204" s="24">
        <v>0.9</v>
      </c>
      <c r="K1204" s="24">
        <v>0.9</v>
      </c>
      <c r="L1204" s="24">
        <v>0.9</v>
      </c>
      <c r="M1204" s="24">
        <v>0.9</v>
      </c>
      <c r="N1204" s="24">
        <v>0.9</v>
      </c>
      <c r="O1204" s="24">
        <v>0.7</v>
      </c>
      <c r="P1204" s="24">
        <v>0.5</v>
      </c>
      <c r="Q1204" s="24">
        <v>0.5</v>
      </c>
      <c r="R1204" s="24">
        <v>0.3</v>
      </c>
      <c r="S1204" s="24">
        <v>0.3</v>
      </c>
      <c r="T1204" s="24">
        <v>0.3</v>
      </c>
      <c r="U1204" s="24">
        <v>0.3</v>
      </c>
      <c r="V1204" s="24">
        <v>0.3</v>
      </c>
      <c r="W1204" s="24">
        <v>0.3</v>
      </c>
      <c r="X1204" s="24">
        <v>0.3</v>
      </c>
      <c r="Y1204" s="24">
        <v>0.3</v>
      </c>
      <c r="Z1204" s="24">
        <v>0.5</v>
      </c>
      <c r="AA1204" s="24">
        <v>0.6</v>
      </c>
      <c r="AB1204" s="24">
        <v>0.6</v>
      </c>
      <c r="AC1204" s="24">
        <v>0.6</v>
      </c>
      <c r="AD1204" s="24">
        <v>0.7</v>
      </c>
      <c r="AE1204" s="24">
        <v>0.7</v>
      </c>
      <c r="AF1204" s="14"/>
    </row>
    <row r="1205" spans="1:32" ht="14.25" customHeight="1" x14ac:dyDescent="0.35">
      <c r="A1205" s="24" t="s">
        <v>357</v>
      </c>
      <c r="B1205" s="14" t="s">
        <v>448</v>
      </c>
      <c r="C1205" s="24" t="s">
        <v>1049</v>
      </c>
      <c r="D1205" s="24" t="s">
        <v>1050</v>
      </c>
      <c r="E1205" s="15">
        <v>41640</v>
      </c>
      <c r="F1205" s="15">
        <v>42004</v>
      </c>
      <c r="G1205" s="14" t="s">
        <v>415</v>
      </c>
      <c r="H1205" s="24">
        <v>0.8</v>
      </c>
      <c r="I1205" s="24">
        <v>0.7</v>
      </c>
      <c r="J1205" s="24">
        <v>0.7</v>
      </c>
      <c r="K1205" s="24">
        <v>0.7</v>
      </c>
      <c r="L1205" s="24">
        <v>0.7</v>
      </c>
      <c r="M1205" s="24">
        <v>0.7</v>
      </c>
      <c r="N1205" s="24">
        <v>0.7</v>
      </c>
      <c r="O1205" s="24">
        <v>0.7</v>
      </c>
      <c r="P1205" s="24">
        <v>0.7</v>
      </c>
      <c r="Q1205" s="24">
        <v>0.5</v>
      </c>
      <c r="R1205" s="24">
        <v>0.5</v>
      </c>
      <c r="S1205" s="24">
        <v>0.5</v>
      </c>
      <c r="T1205" s="24">
        <v>0.3</v>
      </c>
      <c r="U1205" s="24">
        <v>0.3</v>
      </c>
      <c r="V1205" s="24">
        <v>0.2</v>
      </c>
      <c r="W1205" s="24">
        <v>0.2</v>
      </c>
      <c r="X1205" s="24">
        <v>0.2</v>
      </c>
      <c r="Y1205" s="24">
        <v>0.3</v>
      </c>
      <c r="Z1205" s="24">
        <v>0.4</v>
      </c>
      <c r="AA1205" s="24">
        <v>0.4</v>
      </c>
      <c r="AB1205" s="24">
        <v>0.6</v>
      </c>
      <c r="AC1205" s="24">
        <v>0.6</v>
      </c>
      <c r="AD1205" s="24">
        <v>0.8</v>
      </c>
      <c r="AE1205" s="24">
        <v>0.8</v>
      </c>
      <c r="AF1205" s="14"/>
    </row>
    <row r="1206" spans="1:32" ht="14.25" customHeight="1" x14ac:dyDescent="0.35">
      <c r="A1206" s="24" t="s">
        <v>1081</v>
      </c>
      <c r="B1206" s="14" t="s">
        <v>1055</v>
      </c>
      <c r="C1206" s="24" t="s">
        <v>1049</v>
      </c>
      <c r="D1206" s="24" t="s">
        <v>791</v>
      </c>
      <c r="E1206" s="15">
        <v>41640</v>
      </c>
      <c r="F1206" s="15">
        <v>42004</v>
      </c>
      <c r="G1206" s="14" t="s">
        <v>415</v>
      </c>
      <c r="H1206" s="24">
        <v>0.3</v>
      </c>
      <c r="I1206" s="24">
        <v>0.2</v>
      </c>
      <c r="J1206" s="24">
        <v>0.2</v>
      </c>
      <c r="K1206" s="24">
        <v>0.1</v>
      </c>
      <c r="L1206" s="24">
        <v>0.1</v>
      </c>
      <c r="M1206" s="24">
        <v>0.1</v>
      </c>
      <c r="N1206" s="24">
        <v>0.2</v>
      </c>
      <c r="O1206" s="24">
        <v>0.4</v>
      </c>
      <c r="P1206" s="24">
        <v>0.5</v>
      </c>
      <c r="Q1206" s="24">
        <v>0.4</v>
      </c>
      <c r="R1206" s="24">
        <v>0.4</v>
      </c>
      <c r="S1206" s="24">
        <v>0.3</v>
      </c>
      <c r="T1206" s="24">
        <v>0.2</v>
      </c>
      <c r="U1206" s="24">
        <v>0.2</v>
      </c>
      <c r="V1206" s="24">
        <v>0.2</v>
      </c>
      <c r="W1206" s="24">
        <v>0.2</v>
      </c>
      <c r="X1206" s="24">
        <v>0.2</v>
      </c>
      <c r="Y1206" s="24">
        <v>0.2</v>
      </c>
      <c r="Z1206" s="24">
        <v>0.2</v>
      </c>
      <c r="AA1206" s="24">
        <v>0.6</v>
      </c>
      <c r="AB1206" s="24">
        <v>0.8</v>
      </c>
      <c r="AC1206" s="24">
        <v>0.9</v>
      </c>
      <c r="AD1206" s="24">
        <v>0.8</v>
      </c>
      <c r="AE1206" s="24">
        <v>0.6</v>
      </c>
      <c r="AF1206" s="14"/>
    </row>
    <row r="1207" spans="1:32" ht="14.25" customHeight="1" x14ac:dyDescent="0.35">
      <c r="A1207" s="24" t="s">
        <v>1081</v>
      </c>
      <c r="B1207" s="14" t="s">
        <v>1055</v>
      </c>
      <c r="C1207" s="24" t="s">
        <v>1049</v>
      </c>
      <c r="D1207" s="24" t="s">
        <v>512</v>
      </c>
      <c r="E1207" s="15">
        <v>41640</v>
      </c>
      <c r="F1207" s="15">
        <v>42004</v>
      </c>
      <c r="G1207" s="14" t="s">
        <v>415</v>
      </c>
      <c r="H1207" s="24">
        <v>0.3</v>
      </c>
      <c r="I1207" s="24">
        <v>0.2</v>
      </c>
      <c r="J1207" s="24">
        <v>0.2</v>
      </c>
      <c r="K1207" s="24">
        <v>0.1</v>
      </c>
      <c r="L1207" s="24">
        <v>0.1</v>
      </c>
      <c r="M1207" s="24">
        <v>0.1</v>
      </c>
      <c r="N1207" s="24">
        <v>0.1</v>
      </c>
      <c r="O1207" s="24">
        <v>0.3</v>
      </c>
      <c r="P1207" s="24">
        <v>0.3</v>
      </c>
      <c r="Q1207" s="24">
        <v>0.4</v>
      </c>
      <c r="R1207" s="24">
        <v>0.4</v>
      </c>
      <c r="S1207" s="24">
        <v>0.3</v>
      </c>
      <c r="T1207" s="24">
        <v>0.2</v>
      </c>
      <c r="U1207" s="24">
        <v>0.2</v>
      </c>
      <c r="V1207" s="24">
        <v>0.2</v>
      </c>
      <c r="W1207" s="24">
        <v>0.2</v>
      </c>
      <c r="X1207" s="24">
        <v>0.2</v>
      </c>
      <c r="Y1207" s="24">
        <v>0.2</v>
      </c>
      <c r="Z1207" s="24">
        <v>0.2</v>
      </c>
      <c r="AA1207" s="24">
        <v>0.6</v>
      </c>
      <c r="AB1207" s="24">
        <v>0.7</v>
      </c>
      <c r="AC1207" s="24">
        <v>0.7</v>
      </c>
      <c r="AD1207" s="24">
        <v>0.7</v>
      </c>
      <c r="AE1207" s="24">
        <v>0.6</v>
      </c>
      <c r="AF1207" s="14"/>
    </row>
    <row r="1208" spans="1:32" ht="14.25" customHeight="1" x14ac:dyDescent="0.35">
      <c r="A1208" s="24" t="s">
        <v>1081</v>
      </c>
      <c r="B1208" s="14" t="s">
        <v>1055</v>
      </c>
      <c r="C1208" s="24" t="s">
        <v>1049</v>
      </c>
      <c r="D1208" s="24" t="s">
        <v>1050</v>
      </c>
      <c r="E1208" s="15">
        <v>41640</v>
      </c>
      <c r="F1208" s="15">
        <v>42004</v>
      </c>
      <c r="G1208" s="14" t="s">
        <v>415</v>
      </c>
      <c r="H1208" s="24">
        <v>0.3</v>
      </c>
      <c r="I1208" s="24">
        <v>0.3</v>
      </c>
      <c r="J1208" s="24">
        <v>0.3</v>
      </c>
      <c r="K1208" s="24">
        <v>0.2</v>
      </c>
      <c r="L1208" s="24">
        <v>0.2</v>
      </c>
      <c r="M1208" s="24">
        <v>0.2</v>
      </c>
      <c r="N1208" s="24">
        <v>0.2</v>
      </c>
      <c r="O1208" s="24">
        <v>0.3</v>
      </c>
      <c r="P1208" s="24">
        <v>0.4</v>
      </c>
      <c r="Q1208" s="24">
        <v>0.4</v>
      </c>
      <c r="R1208" s="24">
        <v>0.3</v>
      </c>
      <c r="S1208" s="24">
        <v>0.3</v>
      </c>
      <c r="T1208" s="24">
        <v>0.3</v>
      </c>
      <c r="U1208" s="24">
        <v>0.3</v>
      </c>
      <c r="V1208" s="24">
        <v>0.2</v>
      </c>
      <c r="W1208" s="24">
        <v>0.2</v>
      </c>
      <c r="X1208" s="24">
        <v>0.2</v>
      </c>
      <c r="Y1208" s="24">
        <v>0.2</v>
      </c>
      <c r="Z1208" s="24">
        <v>0.2</v>
      </c>
      <c r="AA1208" s="24">
        <v>0.5</v>
      </c>
      <c r="AB1208" s="24">
        <v>0.7</v>
      </c>
      <c r="AC1208" s="24">
        <v>0.8</v>
      </c>
      <c r="AD1208" s="24">
        <v>0.6</v>
      </c>
      <c r="AE1208" s="24">
        <v>0.5</v>
      </c>
      <c r="AF1208" s="14"/>
    </row>
    <row r="1209" spans="1:32" ht="14.25" customHeight="1" x14ac:dyDescent="0.35">
      <c r="A1209" s="24" t="s">
        <v>1082</v>
      </c>
      <c r="B1209" s="14" t="s">
        <v>460</v>
      </c>
      <c r="C1209" s="24" t="s">
        <v>1049</v>
      </c>
      <c r="D1209" s="24" t="s">
        <v>791</v>
      </c>
      <c r="E1209" s="15">
        <v>41640</v>
      </c>
      <c r="F1209" s="15">
        <v>42004</v>
      </c>
      <c r="G1209" s="14" t="s">
        <v>415</v>
      </c>
      <c r="H1209" s="24">
        <v>0.5</v>
      </c>
      <c r="I1209" s="24">
        <v>0.3</v>
      </c>
      <c r="J1209" s="24">
        <v>0.2</v>
      </c>
      <c r="K1209" s="24">
        <v>0.1</v>
      </c>
      <c r="L1209" s="24">
        <v>0.1</v>
      </c>
      <c r="M1209" s="24">
        <v>0.2</v>
      </c>
      <c r="N1209" s="24">
        <v>0.4</v>
      </c>
      <c r="O1209" s="24">
        <v>0.6</v>
      </c>
      <c r="P1209" s="24">
        <v>0.9</v>
      </c>
      <c r="Q1209" s="24">
        <v>0.7</v>
      </c>
      <c r="R1209" s="24">
        <v>0.5</v>
      </c>
      <c r="S1209" s="24">
        <v>0.5</v>
      </c>
      <c r="T1209" s="24">
        <v>0.4</v>
      </c>
      <c r="U1209" s="24">
        <v>0.5</v>
      </c>
      <c r="V1209" s="24">
        <v>0.4</v>
      </c>
      <c r="W1209" s="24">
        <v>0.3</v>
      </c>
      <c r="X1209" s="24">
        <v>0.3</v>
      </c>
      <c r="Y1209" s="24">
        <v>0.3</v>
      </c>
      <c r="Z1209" s="24">
        <v>0.3</v>
      </c>
      <c r="AA1209" s="24">
        <v>0.5</v>
      </c>
      <c r="AB1209" s="24">
        <v>0.7</v>
      </c>
      <c r="AC1209" s="24">
        <v>0.7</v>
      </c>
      <c r="AD1209" s="24">
        <v>0.7</v>
      </c>
      <c r="AE1209" s="24">
        <v>0.7</v>
      </c>
      <c r="AF1209" s="14"/>
    </row>
    <row r="1210" spans="1:32" ht="14.25" customHeight="1" x14ac:dyDescent="0.35">
      <c r="A1210" s="24" t="s">
        <v>1082</v>
      </c>
      <c r="B1210" s="14" t="s">
        <v>460</v>
      </c>
      <c r="C1210" s="24" t="s">
        <v>1049</v>
      </c>
      <c r="D1210" s="24" t="s">
        <v>512</v>
      </c>
      <c r="E1210" s="15">
        <v>41640</v>
      </c>
      <c r="F1210" s="15">
        <v>42004</v>
      </c>
      <c r="G1210" s="14" t="s">
        <v>415</v>
      </c>
      <c r="H1210" s="24">
        <v>0.5</v>
      </c>
      <c r="I1210" s="24">
        <v>0.3</v>
      </c>
      <c r="J1210" s="24">
        <v>0.2</v>
      </c>
      <c r="K1210" s="24">
        <v>0.1</v>
      </c>
      <c r="L1210" s="24">
        <v>0.1</v>
      </c>
      <c r="M1210" s="24">
        <v>0.2</v>
      </c>
      <c r="N1210" s="24">
        <v>0.4</v>
      </c>
      <c r="O1210" s="24">
        <v>0.5</v>
      </c>
      <c r="P1210" s="24">
        <v>0.8</v>
      </c>
      <c r="Q1210" s="24">
        <v>0.6</v>
      </c>
      <c r="R1210" s="24">
        <v>0.5</v>
      </c>
      <c r="S1210" s="24">
        <v>0.5</v>
      </c>
      <c r="T1210" s="24">
        <v>0.5</v>
      </c>
      <c r="U1210" s="24">
        <v>0.5</v>
      </c>
      <c r="V1210" s="24">
        <v>0.5</v>
      </c>
      <c r="W1210" s="24">
        <v>0.4</v>
      </c>
      <c r="X1210" s="24">
        <v>0.3</v>
      </c>
      <c r="Y1210" s="24">
        <v>0.3</v>
      </c>
      <c r="Z1210" s="24">
        <v>0.3</v>
      </c>
      <c r="AA1210" s="24">
        <v>0.5</v>
      </c>
      <c r="AB1210" s="24">
        <v>0.7</v>
      </c>
      <c r="AC1210" s="24">
        <v>0.7</v>
      </c>
      <c r="AD1210" s="24">
        <v>0.7</v>
      </c>
      <c r="AE1210" s="24">
        <v>0.7</v>
      </c>
      <c r="AF1210" s="14"/>
    </row>
    <row r="1211" spans="1:32" ht="14.25" customHeight="1" x14ac:dyDescent="0.35">
      <c r="A1211" s="24" t="s">
        <v>1082</v>
      </c>
      <c r="B1211" s="14" t="s">
        <v>460</v>
      </c>
      <c r="C1211" s="24" t="s">
        <v>1049</v>
      </c>
      <c r="D1211" s="24" t="s">
        <v>1050</v>
      </c>
      <c r="E1211" s="15">
        <v>41640</v>
      </c>
      <c r="F1211" s="15">
        <v>42004</v>
      </c>
      <c r="G1211" s="14" t="s">
        <v>415</v>
      </c>
      <c r="H1211" s="24">
        <v>0.5</v>
      </c>
      <c r="I1211" s="24">
        <v>0.3</v>
      </c>
      <c r="J1211" s="24">
        <v>0.2</v>
      </c>
      <c r="K1211" s="24">
        <v>0.1</v>
      </c>
      <c r="L1211" s="24">
        <v>0.1</v>
      </c>
      <c r="M1211" s="24">
        <v>0.2</v>
      </c>
      <c r="N1211" s="24">
        <v>0.4</v>
      </c>
      <c r="O1211" s="24">
        <v>0.4</v>
      </c>
      <c r="P1211" s="24">
        <v>0.6</v>
      </c>
      <c r="Q1211" s="24">
        <v>0.9</v>
      </c>
      <c r="R1211" s="24">
        <v>0.7</v>
      </c>
      <c r="S1211" s="24">
        <v>0.5</v>
      </c>
      <c r="T1211" s="24">
        <v>0.5</v>
      </c>
      <c r="U1211" s="24">
        <v>0.5</v>
      </c>
      <c r="V1211" s="24">
        <v>0.4</v>
      </c>
      <c r="W1211" s="24">
        <v>0.3</v>
      </c>
      <c r="X1211" s="24">
        <v>0.3</v>
      </c>
      <c r="Y1211" s="24">
        <v>0.3</v>
      </c>
      <c r="Z1211" s="24">
        <v>0.3</v>
      </c>
      <c r="AA1211" s="24">
        <v>0.4</v>
      </c>
      <c r="AB1211" s="24">
        <v>0.6</v>
      </c>
      <c r="AC1211" s="24">
        <v>0.6</v>
      </c>
      <c r="AD1211" s="24">
        <v>0.6</v>
      </c>
      <c r="AE1211" s="24">
        <v>0.6</v>
      </c>
      <c r="AF1211" s="14"/>
    </row>
    <row r="1212" spans="1:32" ht="14.25" customHeight="1" x14ac:dyDescent="0.35">
      <c r="A1212" s="24" t="s">
        <v>1083</v>
      </c>
      <c r="B1212" s="14" t="s">
        <v>420</v>
      </c>
      <c r="C1212" s="24" t="s">
        <v>1058</v>
      </c>
      <c r="D1212" s="24" t="s">
        <v>791</v>
      </c>
      <c r="E1212" s="15">
        <v>41640</v>
      </c>
      <c r="F1212" s="15">
        <v>42004</v>
      </c>
      <c r="G1212" s="14" t="s">
        <v>415</v>
      </c>
      <c r="H1212" s="24">
        <v>24</v>
      </c>
      <c r="I1212" s="24">
        <v>24</v>
      </c>
      <c r="J1212" s="24">
        <v>24</v>
      </c>
      <c r="K1212" s="24">
        <v>24</v>
      </c>
      <c r="L1212" s="24">
        <v>24</v>
      </c>
      <c r="M1212" s="24">
        <v>24</v>
      </c>
      <c r="N1212" s="24">
        <v>24</v>
      </c>
      <c r="O1212" s="24">
        <v>24</v>
      </c>
      <c r="P1212" s="24">
        <v>24</v>
      </c>
      <c r="Q1212" s="24">
        <v>24</v>
      </c>
      <c r="R1212" s="24">
        <v>24</v>
      </c>
      <c r="S1212" s="24">
        <v>24</v>
      </c>
      <c r="T1212" s="24">
        <v>24</v>
      </c>
      <c r="U1212" s="24">
        <v>24</v>
      </c>
      <c r="V1212" s="24">
        <v>24</v>
      </c>
      <c r="W1212" s="24">
        <v>24</v>
      </c>
      <c r="X1212" s="24">
        <v>24</v>
      </c>
      <c r="Y1212" s="24">
        <v>24</v>
      </c>
      <c r="Z1212" s="24">
        <v>24</v>
      </c>
      <c r="AA1212" s="24">
        <v>24</v>
      </c>
      <c r="AB1212" s="24">
        <v>24</v>
      </c>
      <c r="AC1212" s="24">
        <v>24</v>
      </c>
      <c r="AD1212" s="24">
        <v>24</v>
      </c>
      <c r="AE1212" s="24">
        <v>24</v>
      </c>
      <c r="AF1212" s="14"/>
    </row>
    <row r="1213" spans="1:32" ht="14.25" customHeight="1" x14ac:dyDescent="0.35">
      <c r="A1213" s="24" t="s">
        <v>1083</v>
      </c>
      <c r="B1213" s="14" t="s">
        <v>420</v>
      </c>
      <c r="C1213" s="24" t="s">
        <v>1058</v>
      </c>
      <c r="D1213" s="24" t="s">
        <v>512</v>
      </c>
      <c r="E1213" s="15">
        <v>41640</v>
      </c>
      <c r="F1213" s="15">
        <v>42004</v>
      </c>
      <c r="G1213" s="14" t="s">
        <v>415</v>
      </c>
      <c r="H1213" s="24">
        <v>24</v>
      </c>
      <c r="I1213" s="24">
        <v>24</v>
      </c>
      <c r="J1213" s="24">
        <v>24</v>
      </c>
      <c r="K1213" s="24">
        <v>24</v>
      </c>
      <c r="L1213" s="24">
        <v>24</v>
      </c>
      <c r="M1213" s="24">
        <v>24</v>
      </c>
      <c r="N1213" s="24">
        <v>24</v>
      </c>
      <c r="O1213" s="24">
        <v>24</v>
      </c>
      <c r="P1213" s="24">
        <v>24</v>
      </c>
      <c r="Q1213" s="24">
        <v>24</v>
      </c>
      <c r="R1213" s="24">
        <v>24</v>
      </c>
      <c r="S1213" s="24">
        <v>24</v>
      </c>
      <c r="T1213" s="24">
        <v>24</v>
      </c>
      <c r="U1213" s="24">
        <v>24</v>
      </c>
      <c r="V1213" s="24">
        <v>24</v>
      </c>
      <c r="W1213" s="24">
        <v>24</v>
      </c>
      <c r="X1213" s="24">
        <v>24</v>
      </c>
      <c r="Y1213" s="24">
        <v>24</v>
      </c>
      <c r="Z1213" s="24">
        <v>24</v>
      </c>
      <c r="AA1213" s="24">
        <v>24</v>
      </c>
      <c r="AB1213" s="24">
        <v>24</v>
      </c>
      <c r="AC1213" s="24">
        <v>24</v>
      </c>
      <c r="AD1213" s="24">
        <v>24</v>
      </c>
      <c r="AE1213" s="24">
        <v>24</v>
      </c>
      <c r="AF1213" s="14"/>
    </row>
    <row r="1214" spans="1:32" ht="14.25" customHeight="1" x14ac:dyDescent="0.35">
      <c r="A1214" s="24" t="s">
        <v>1083</v>
      </c>
      <c r="B1214" s="14" t="s">
        <v>420</v>
      </c>
      <c r="C1214" s="24" t="s">
        <v>1058</v>
      </c>
      <c r="D1214" s="24" t="s">
        <v>1050</v>
      </c>
      <c r="E1214" s="15">
        <v>41640</v>
      </c>
      <c r="F1214" s="15">
        <v>42004</v>
      </c>
      <c r="G1214" s="14" t="s">
        <v>415</v>
      </c>
      <c r="H1214" s="24">
        <v>24</v>
      </c>
      <c r="I1214" s="24">
        <v>24</v>
      </c>
      <c r="J1214" s="24">
        <v>24</v>
      </c>
      <c r="K1214" s="24">
        <v>24</v>
      </c>
      <c r="L1214" s="24">
        <v>24</v>
      </c>
      <c r="M1214" s="24">
        <v>24</v>
      </c>
      <c r="N1214" s="24">
        <v>24</v>
      </c>
      <c r="O1214" s="24">
        <v>24</v>
      </c>
      <c r="P1214" s="24">
        <v>24</v>
      </c>
      <c r="Q1214" s="24">
        <v>24</v>
      </c>
      <c r="R1214" s="24">
        <v>24</v>
      </c>
      <c r="S1214" s="24">
        <v>24</v>
      </c>
      <c r="T1214" s="24">
        <v>24</v>
      </c>
      <c r="U1214" s="24">
        <v>24</v>
      </c>
      <c r="V1214" s="24">
        <v>24</v>
      </c>
      <c r="W1214" s="24">
        <v>24</v>
      </c>
      <c r="X1214" s="24">
        <v>24</v>
      </c>
      <c r="Y1214" s="24">
        <v>24</v>
      </c>
      <c r="Z1214" s="24">
        <v>24</v>
      </c>
      <c r="AA1214" s="24">
        <v>24</v>
      </c>
      <c r="AB1214" s="24">
        <v>24</v>
      </c>
      <c r="AC1214" s="24">
        <v>24</v>
      </c>
      <c r="AD1214" s="24">
        <v>24</v>
      </c>
      <c r="AE1214" s="24">
        <v>24</v>
      </c>
      <c r="AF1214" s="14"/>
    </row>
    <row r="1215" spans="1:32" ht="14.25" customHeight="1" x14ac:dyDescent="0.35">
      <c r="A1215" s="24" t="s">
        <v>1084</v>
      </c>
      <c r="B1215" s="14" t="s">
        <v>420</v>
      </c>
      <c r="C1215" s="24" t="s">
        <v>1058</v>
      </c>
      <c r="D1215" s="24" t="s">
        <v>791</v>
      </c>
      <c r="E1215" s="15">
        <v>41640</v>
      </c>
      <c r="F1215" s="15">
        <v>42004</v>
      </c>
      <c r="G1215" s="14" t="s">
        <v>415</v>
      </c>
      <c r="H1215" s="24">
        <v>22</v>
      </c>
      <c r="I1215" s="24">
        <v>18</v>
      </c>
      <c r="J1215" s="24">
        <v>18</v>
      </c>
      <c r="K1215" s="24">
        <v>18</v>
      </c>
      <c r="L1215" s="24">
        <v>18</v>
      </c>
      <c r="M1215" s="24">
        <v>18</v>
      </c>
      <c r="N1215" s="24">
        <v>18</v>
      </c>
      <c r="O1215" s="24">
        <v>20</v>
      </c>
      <c r="P1215" s="24">
        <v>22</v>
      </c>
      <c r="Q1215" s="24">
        <v>22</v>
      </c>
      <c r="R1215" s="24">
        <v>22</v>
      </c>
      <c r="S1215" s="24">
        <v>22</v>
      </c>
      <c r="T1215" s="24">
        <v>22</v>
      </c>
      <c r="U1215" s="24">
        <v>22</v>
      </c>
      <c r="V1215" s="24">
        <v>22</v>
      </c>
      <c r="W1215" s="24">
        <v>22</v>
      </c>
      <c r="X1215" s="24">
        <v>22</v>
      </c>
      <c r="Y1215" s="24">
        <v>22</v>
      </c>
      <c r="Z1215" s="24">
        <v>22</v>
      </c>
      <c r="AA1215" s="24">
        <v>22</v>
      </c>
      <c r="AB1215" s="24">
        <v>22</v>
      </c>
      <c r="AC1215" s="24">
        <v>22</v>
      </c>
      <c r="AD1215" s="24">
        <v>22</v>
      </c>
      <c r="AE1215" s="24">
        <v>22</v>
      </c>
      <c r="AF1215" s="14"/>
    </row>
    <row r="1216" spans="1:32" ht="14.25" customHeight="1" x14ac:dyDescent="0.35">
      <c r="A1216" s="24" t="s">
        <v>1084</v>
      </c>
      <c r="B1216" s="14" t="s">
        <v>420</v>
      </c>
      <c r="C1216" s="24" t="s">
        <v>1058</v>
      </c>
      <c r="D1216" s="24" t="s">
        <v>512</v>
      </c>
      <c r="E1216" s="15">
        <v>41640</v>
      </c>
      <c r="F1216" s="15">
        <v>42004</v>
      </c>
      <c r="G1216" s="14" t="s">
        <v>415</v>
      </c>
      <c r="H1216" s="24">
        <v>22</v>
      </c>
      <c r="I1216" s="24">
        <v>18</v>
      </c>
      <c r="J1216" s="24">
        <v>18</v>
      </c>
      <c r="K1216" s="24">
        <v>18</v>
      </c>
      <c r="L1216" s="24">
        <v>18</v>
      </c>
      <c r="M1216" s="24">
        <v>18</v>
      </c>
      <c r="N1216" s="24">
        <v>18</v>
      </c>
      <c r="O1216" s="24">
        <v>20</v>
      </c>
      <c r="P1216" s="24">
        <v>22</v>
      </c>
      <c r="Q1216" s="24">
        <v>22</v>
      </c>
      <c r="R1216" s="24">
        <v>22</v>
      </c>
      <c r="S1216" s="24">
        <v>22</v>
      </c>
      <c r="T1216" s="24">
        <v>22</v>
      </c>
      <c r="U1216" s="24">
        <v>22</v>
      </c>
      <c r="V1216" s="24">
        <v>22</v>
      </c>
      <c r="W1216" s="24">
        <v>22</v>
      </c>
      <c r="X1216" s="24">
        <v>22</v>
      </c>
      <c r="Y1216" s="24">
        <v>22</v>
      </c>
      <c r="Z1216" s="24">
        <v>22</v>
      </c>
      <c r="AA1216" s="24">
        <v>22</v>
      </c>
      <c r="AB1216" s="24">
        <v>22</v>
      </c>
      <c r="AC1216" s="24">
        <v>22</v>
      </c>
      <c r="AD1216" s="24">
        <v>22</v>
      </c>
      <c r="AE1216" s="24">
        <v>22</v>
      </c>
      <c r="AF1216" s="14"/>
    </row>
    <row r="1217" spans="1:32" ht="14.25" customHeight="1" x14ac:dyDescent="0.35">
      <c r="A1217" s="24" t="s">
        <v>1084</v>
      </c>
      <c r="B1217" s="14" t="s">
        <v>420</v>
      </c>
      <c r="C1217" s="24" t="s">
        <v>1058</v>
      </c>
      <c r="D1217" s="24" t="s">
        <v>1050</v>
      </c>
      <c r="E1217" s="15">
        <v>41640</v>
      </c>
      <c r="F1217" s="15">
        <v>42004</v>
      </c>
      <c r="G1217" s="14" t="s">
        <v>415</v>
      </c>
      <c r="H1217" s="24">
        <v>22</v>
      </c>
      <c r="I1217" s="24">
        <v>18</v>
      </c>
      <c r="J1217" s="24">
        <v>18</v>
      </c>
      <c r="K1217" s="24">
        <v>18</v>
      </c>
      <c r="L1217" s="24">
        <v>18</v>
      </c>
      <c r="M1217" s="24">
        <v>18</v>
      </c>
      <c r="N1217" s="24">
        <v>18</v>
      </c>
      <c r="O1217" s="24">
        <v>20</v>
      </c>
      <c r="P1217" s="24">
        <v>22</v>
      </c>
      <c r="Q1217" s="24">
        <v>22</v>
      </c>
      <c r="R1217" s="24">
        <v>22</v>
      </c>
      <c r="S1217" s="24">
        <v>22</v>
      </c>
      <c r="T1217" s="24">
        <v>22</v>
      </c>
      <c r="U1217" s="24">
        <v>22</v>
      </c>
      <c r="V1217" s="24">
        <v>22</v>
      </c>
      <c r="W1217" s="24">
        <v>22</v>
      </c>
      <c r="X1217" s="24">
        <v>22</v>
      </c>
      <c r="Y1217" s="24">
        <v>22</v>
      </c>
      <c r="Z1217" s="24">
        <v>22</v>
      </c>
      <c r="AA1217" s="24">
        <v>22</v>
      </c>
      <c r="AB1217" s="24">
        <v>22</v>
      </c>
      <c r="AC1217" s="24">
        <v>22</v>
      </c>
      <c r="AD1217" s="24">
        <v>22</v>
      </c>
      <c r="AE1217" s="24">
        <v>22</v>
      </c>
      <c r="AF1217" s="14"/>
    </row>
    <row r="1218" spans="1:32" ht="14.25" customHeight="1" x14ac:dyDescent="0.35">
      <c r="A1218" s="24" t="s">
        <v>339</v>
      </c>
      <c r="B1218" s="14" t="s">
        <v>427</v>
      </c>
      <c r="C1218" s="24" t="s">
        <v>1049</v>
      </c>
      <c r="D1218" s="24" t="s">
        <v>791</v>
      </c>
      <c r="E1218" s="15">
        <v>41640</v>
      </c>
      <c r="F1218" s="15">
        <v>42004</v>
      </c>
      <c r="G1218" s="14" t="s">
        <v>415</v>
      </c>
      <c r="H1218" s="24">
        <v>0.3</v>
      </c>
      <c r="I1218" s="24">
        <v>0.2</v>
      </c>
      <c r="J1218" s="24">
        <v>0.2</v>
      </c>
      <c r="K1218" s="24">
        <v>0.2</v>
      </c>
      <c r="L1218" s="24">
        <v>0.2</v>
      </c>
      <c r="M1218" s="24">
        <v>0.2</v>
      </c>
      <c r="N1218" s="24">
        <v>0.2</v>
      </c>
      <c r="O1218" s="24">
        <v>0.8</v>
      </c>
      <c r="P1218" s="24">
        <v>0.8</v>
      </c>
      <c r="Q1218" s="24">
        <v>0.4</v>
      </c>
      <c r="R1218" s="24">
        <v>0.4</v>
      </c>
      <c r="S1218" s="24">
        <v>0.4</v>
      </c>
      <c r="T1218" s="24">
        <v>0.4</v>
      </c>
      <c r="U1218" s="24">
        <v>0.4</v>
      </c>
      <c r="V1218" s="24">
        <v>0.4</v>
      </c>
      <c r="W1218" s="24">
        <v>0.4</v>
      </c>
      <c r="X1218" s="24">
        <v>0.5</v>
      </c>
      <c r="Y1218" s="24">
        <v>0.2</v>
      </c>
      <c r="Z1218" s="24">
        <v>0.9</v>
      </c>
      <c r="AA1218" s="24">
        <v>0.9</v>
      </c>
      <c r="AB1218" s="24">
        <v>0.7</v>
      </c>
      <c r="AC1218" s="24">
        <v>0.5</v>
      </c>
      <c r="AD1218" s="24">
        <v>0.5</v>
      </c>
      <c r="AE1218" s="24">
        <v>0.5</v>
      </c>
      <c r="AF1218" s="14"/>
    </row>
    <row r="1219" spans="1:32" ht="14.25" customHeight="1" x14ac:dyDescent="0.35">
      <c r="A1219" s="24" t="s">
        <v>339</v>
      </c>
      <c r="B1219" s="14" t="s">
        <v>427</v>
      </c>
      <c r="C1219" s="24" t="s">
        <v>1049</v>
      </c>
      <c r="D1219" s="24" t="s">
        <v>512</v>
      </c>
      <c r="E1219" s="15">
        <v>41640</v>
      </c>
      <c r="F1219" s="15">
        <v>42004</v>
      </c>
      <c r="G1219" s="14" t="s">
        <v>415</v>
      </c>
      <c r="H1219" s="24">
        <v>0.3</v>
      </c>
      <c r="I1219" s="24">
        <v>0.2</v>
      </c>
      <c r="J1219" s="24">
        <v>0.2</v>
      </c>
      <c r="K1219" s="24">
        <v>0.2</v>
      </c>
      <c r="L1219" s="24">
        <v>0.2</v>
      </c>
      <c r="M1219" s="24">
        <v>0.2</v>
      </c>
      <c r="N1219" s="24">
        <v>0.2</v>
      </c>
      <c r="O1219" s="24">
        <v>0.8</v>
      </c>
      <c r="P1219" s="24">
        <v>0.8</v>
      </c>
      <c r="Q1219" s="24">
        <v>0.4</v>
      </c>
      <c r="R1219" s="24">
        <v>0.4</v>
      </c>
      <c r="S1219" s="24">
        <v>0.4</v>
      </c>
      <c r="T1219" s="24">
        <v>0.4</v>
      </c>
      <c r="U1219" s="24">
        <v>0.4</v>
      </c>
      <c r="V1219" s="24">
        <v>0.4</v>
      </c>
      <c r="W1219" s="24">
        <v>0.4</v>
      </c>
      <c r="X1219" s="24">
        <v>0.5</v>
      </c>
      <c r="Y1219" s="24">
        <v>0.2</v>
      </c>
      <c r="Z1219" s="24">
        <v>0.9</v>
      </c>
      <c r="AA1219" s="24">
        <v>0.9</v>
      </c>
      <c r="AB1219" s="24">
        <v>0.7</v>
      </c>
      <c r="AC1219" s="24">
        <v>0.5</v>
      </c>
      <c r="AD1219" s="24">
        <v>0.5</v>
      </c>
      <c r="AE1219" s="24">
        <v>0.5</v>
      </c>
      <c r="AF1219" s="14"/>
    </row>
    <row r="1220" spans="1:32" ht="14.25" customHeight="1" x14ac:dyDescent="0.35">
      <c r="A1220" s="24" t="s">
        <v>339</v>
      </c>
      <c r="B1220" s="14" t="s">
        <v>427</v>
      </c>
      <c r="C1220" s="24" t="s">
        <v>1049</v>
      </c>
      <c r="D1220" s="24" t="s">
        <v>1050</v>
      </c>
      <c r="E1220" s="15">
        <v>41640</v>
      </c>
      <c r="F1220" s="15">
        <v>42004</v>
      </c>
      <c r="G1220" s="14" t="s">
        <v>415</v>
      </c>
      <c r="H1220" s="24">
        <v>0.3</v>
      </c>
      <c r="I1220" s="24">
        <v>0.2</v>
      </c>
      <c r="J1220" s="24">
        <v>0.2</v>
      </c>
      <c r="K1220" s="24">
        <v>0.2</v>
      </c>
      <c r="L1220" s="24">
        <v>0.2</v>
      </c>
      <c r="M1220" s="24">
        <v>0.2</v>
      </c>
      <c r="N1220" s="24">
        <v>0.2</v>
      </c>
      <c r="O1220" s="24">
        <v>0.8</v>
      </c>
      <c r="P1220" s="24">
        <v>0.8</v>
      </c>
      <c r="Q1220" s="24">
        <v>0.4</v>
      </c>
      <c r="R1220" s="24">
        <v>0.4</v>
      </c>
      <c r="S1220" s="24">
        <v>0.4</v>
      </c>
      <c r="T1220" s="24">
        <v>0.4</v>
      </c>
      <c r="U1220" s="24">
        <v>0.4</v>
      </c>
      <c r="V1220" s="24">
        <v>0.4</v>
      </c>
      <c r="W1220" s="24">
        <v>0.4</v>
      </c>
      <c r="X1220" s="24">
        <v>0.5</v>
      </c>
      <c r="Y1220" s="24">
        <v>0.2</v>
      </c>
      <c r="Z1220" s="24">
        <v>0.9</v>
      </c>
      <c r="AA1220" s="24">
        <v>0.9</v>
      </c>
      <c r="AB1220" s="24">
        <v>0.7</v>
      </c>
      <c r="AC1220" s="24">
        <v>0.5</v>
      </c>
      <c r="AD1220" s="24">
        <v>0.5</v>
      </c>
      <c r="AE1220" s="24">
        <v>0.5</v>
      </c>
      <c r="AF1220" s="14"/>
    </row>
    <row r="1221" spans="1:32" ht="14.25" customHeight="1" x14ac:dyDescent="0.35">
      <c r="A1221" s="24" t="s">
        <v>1085</v>
      </c>
      <c r="B1221" s="14" t="s">
        <v>1052</v>
      </c>
      <c r="C1221" s="24" t="s">
        <v>1053</v>
      </c>
      <c r="D1221" s="24" t="s">
        <v>791</v>
      </c>
      <c r="E1221" s="15">
        <v>41640</v>
      </c>
      <c r="F1221" s="15">
        <v>42004</v>
      </c>
      <c r="G1221" s="14" t="s">
        <v>415</v>
      </c>
      <c r="H1221" s="24">
        <v>1</v>
      </c>
      <c r="I1221" s="24">
        <v>1</v>
      </c>
      <c r="J1221" s="24">
        <v>1</v>
      </c>
      <c r="K1221" s="24">
        <v>1</v>
      </c>
      <c r="L1221" s="24">
        <v>1</v>
      </c>
      <c r="M1221" s="24">
        <v>1</v>
      </c>
      <c r="N1221" s="24">
        <v>1</v>
      </c>
      <c r="O1221" s="24">
        <v>1</v>
      </c>
      <c r="P1221" s="24">
        <v>1</v>
      </c>
      <c r="Q1221" s="24">
        <v>1</v>
      </c>
      <c r="R1221" s="24">
        <v>1</v>
      </c>
      <c r="S1221" s="24">
        <v>1</v>
      </c>
      <c r="T1221" s="24">
        <v>1</v>
      </c>
      <c r="U1221" s="24">
        <v>1</v>
      </c>
      <c r="V1221" s="24">
        <v>1</v>
      </c>
      <c r="W1221" s="24">
        <v>1</v>
      </c>
      <c r="X1221" s="24">
        <v>1</v>
      </c>
      <c r="Y1221" s="24">
        <v>1</v>
      </c>
      <c r="Z1221" s="24">
        <v>1</v>
      </c>
      <c r="AA1221" s="24">
        <v>1</v>
      </c>
      <c r="AB1221" s="24">
        <v>1</v>
      </c>
      <c r="AC1221" s="24">
        <v>1</v>
      </c>
      <c r="AD1221" s="24">
        <v>1</v>
      </c>
      <c r="AE1221" s="24">
        <v>1</v>
      </c>
      <c r="AF1221" s="14"/>
    </row>
    <row r="1222" spans="1:32" ht="14.25" customHeight="1" x14ac:dyDescent="0.35">
      <c r="A1222" s="24" t="s">
        <v>1085</v>
      </c>
      <c r="B1222" s="14" t="s">
        <v>1052</v>
      </c>
      <c r="C1222" s="24" t="s">
        <v>1053</v>
      </c>
      <c r="D1222" s="24" t="s">
        <v>512</v>
      </c>
      <c r="E1222" s="15">
        <v>41640</v>
      </c>
      <c r="F1222" s="15">
        <v>42004</v>
      </c>
      <c r="G1222" s="14" t="s">
        <v>415</v>
      </c>
      <c r="H1222" s="24">
        <v>1</v>
      </c>
      <c r="I1222" s="24">
        <v>1</v>
      </c>
      <c r="J1222" s="24">
        <v>1</v>
      </c>
      <c r="K1222" s="24">
        <v>1</v>
      </c>
      <c r="L1222" s="24">
        <v>1</v>
      </c>
      <c r="M1222" s="24">
        <v>1</v>
      </c>
      <c r="N1222" s="24">
        <v>1</v>
      </c>
      <c r="O1222" s="24">
        <v>1</v>
      </c>
      <c r="P1222" s="24">
        <v>1</v>
      </c>
      <c r="Q1222" s="24">
        <v>1</v>
      </c>
      <c r="R1222" s="24">
        <v>1</v>
      </c>
      <c r="S1222" s="24">
        <v>1</v>
      </c>
      <c r="T1222" s="24">
        <v>1</v>
      </c>
      <c r="U1222" s="24">
        <v>1</v>
      </c>
      <c r="V1222" s="24">
        <v>1</v>
      </c>
      <c r="W1222" s="24">
        <v>1</v>
      </c>
      <c r="X1222" s="24">
        <v>1</v>
      </c>
      <c r="Y1222" s="24">
        <v>1</v>
      </c>
      <c r="Z1222" s="24">
        <v>1</v>
      </c>
      <c r="AA1222" s="24">
        <v>1</v>
      </c>
      <c r="AB1222" s="24">
        <v>1</v>
      </c>
      <c r="AC1222" s="24">
        <v>1</v>
      </c>
      <c r="AD1222" s="24">
        <v>1</v>
      </c>
      <c r="AE1222" s="24">
        <v>1</v>
      </c>
      <c r="AF1222" s="14"/>
    </row>
    <row r="1223" spans="1:32" ht="14.25" customHeight="1" x14ac:dyDescent="0.35">
      <c r="A1223" s="24" t="s">
        <v>1085</v>
      </c>
      <c r="B1223" s="14" t="s">
        <v>1052</v>
      </c>
      <c r="C1223" s="24" t="s">
        <v>1053</v>
      </c>
      <c r="D1223" s="24" t="s">
        <v>1050</v>
      </c>
      <c r="E1223" s="15">
        <v>41640</v>
      </c>
      <c r="F1223" s="15">
        <v>42004</v>
      </c>
      <c r="G1223" s="14" t="s">
        <v>415</v>
      </c>
      <c r="H1223" s="24">
        <v>1</v>
      </c>
      <c r="I1223" s="24">
        <v>1</v>
      </c>
      <c r="J1223" s="24">
        <v>1</v>
      </c>
      <c r="K1223" s="24">
        <v>1</v>
      </c>
      <c r="L1223" s="24">
        <v>1</v>
      </c>
      <c r="M1223" s="24">
        <v>1</v>
      </c>
      <c r="N1223" s="24">
        <v>1</v>
      </c>
      <c r="O1223" s="24">
        <v>1</v>
      </c>
      <c r="P1223" s="24">
        <v>1</v>
      </c>
      <c r="Q1223" s="24">
        <v>1</v>
      </c>
      <c r="R1223" s="24">
        <v>1</v>
      </c>
      <c r="S1223" s="24">
        <v>1</v>
      </c>
      <c r="T1223" s="24">
        <v>1</v>
      </c>
      <c r="U1223" s="24">
        <v>1</v>
      </c>
      <c r="V1223" s="24">
        <v>1</v>
      </c>
      <c r="W1223" s="24">
        <v>1</v>
      </c>
      <c r="X1223" s="24">
        <v>1</v>
      </c>
      <c r="Y1223" s="24">
        <v>1</v>
      </c>
      <c r="Z1223" s="24">
        <v>1</v>
      </c>
      <c r="AA1223" s="24">
        <v>1</v>
      </c>
      <c r="AB1223" s="24">
        <v>1</v>
      </c>
      <c r="AC1223" s="24">
        <v>1</v>
      </c>
      <c r="AD1223" s="24">
        <v>1</v>
      </c>
      <c r="AE1223" s="24">
        <v>1</v>
      </c>
      <c r="AF1223" s="14"/>
    </row>
    <row r="1224" spans="1:32" ht="14.25" customHeight="1" x14ac:dyDescent="0.35">
      <c r="A1224" s="24" t="s">
        <v>368</v>
      </c>
      <c r="B1224" s="14" t="s">
        <v>424</v>
      </c>
      <c r="C1224" s="24" t="s">
        <v>1049</v>
      </c>
      <c r="D1224" s="24" t="s">
        <v>791</v>
      </c>
      <c r="E1224" s="15">
        <v>41640</v>
      </c>
      <c r="F1224" s="15">
        <v>42004</v>
      </c>
      <c r="G1224" s="14" t="s">
        <v>415</v>
      </c>
      <c r="H1224" s="24">
        <v>0.3</v>
      </c>
      <c r="I1224" s="24">
        <v>0</v>
      </c>
      <c r="J1224" s="24">
        <v>0</v>
      </c>
      <c r="K1224" s="24">
        <v>0</v>
      </c>
      <c r="L1224" s="24">
        <v>0</v>
      </c>
      <c r="M1224" s="24">
        <v>0</v>
      </c>
      <c r="N1224" s="24">
        <v>0.2</v>
      </c>
      <c r="O1224" s="24">
        <v>0.5</v>
      </c>
      <c r="P1224" s="24">
        <v>0.5</v>
      </c>
      <c r="Q1224" s="24">
        <v>0</v>
      </c>
      <c r="R1224" s="24">
        <v>0</v>
      </c>
      <c r="S1224" s="24">
        <v>0</v>
      </c>
      <c r="T1224" s="24">
        <v>0</v>
      </c>
      <c r="U1224" s="24">
        <v>0</v>
      </c>
      <c r="V1224" s="24">
        <v>0</v>
      </c>
      <c r="W1224" s="24">
        <v>0</v>
      </c>
      <c r="X1224" s="24">
        <v>0</v>
      </c>
      <c r="Y1224" s="24">
        <v>0</v>
      </c>
      <c r="Z1224" s="24">
        <v>0</v>
      </c>
      <c r="AA1224" s="24">
        <v>0.9</v>
      </c>
      <c r="AB1224" s="24">
        <v>0.9</v>
      </c>
      <c r="AC1224" s="24">
        <v>0.9</v>
      </c>
      <c r="AD1224" s="24">
        <v>0.8</v>
      </c>
      <c r="AE1224" s="24">
        <v>0.6</v>
      </c>
      <c r="AF1224" s="14"/>
    </row>
    <row r="1225" spans="1:32" ht="14.25" customHeight="1" x14ac:dyDescent="0.35">
      <c r="A1225" s="24" t="s">
        <v>368</v>
      </c>
      <c r="B1225" s="14" t="s">
        <v>424</v>
      </c>
      <c r="C1225" s="24" t="s">
        <v>1049</v>
      </c>
      <c r="D1225" s="24" t="s">
        <v>512</v>
      </c>
      <c r="E1225" s="15">
        <v>41640</v>
      </c>
      <c r="F1225" s="15">
        <v>42004</v>
      </c>
      <c r="G1225" s="14" t="s">
        <v>415</v>
      </c>
      <c r="H1225" s="24">
        <v>0.3</v>
      </c>
      <c r="I1225" s="24">
        <v>0</v>
      </c>
      <c r="J1225" s="24">
        <v>0</v>
      </c>
      <c r="K1225" s="24">
        <v>0</v>
      </c>
      <c r="L1225" s="24">
        <v>0</v>
      </c>
      <c r="M1225" s="24">
        <v>0</v>
      </c>
      <c r="N1225" s="24">
        <v>0.2</v>
      </c>
      <c r="O1225" s="24">
        <v>0.5</v>
      </c>
      <c r="P1225" s="24">
        <v>0.5</v>
      </c>
      <c r="Q1225" s="24">
        <v>0</v>
      </c>
      <c r="R1225" s="24">
        <v>0</v>
      </c>
      <c r="S1225" s="24">
        <v>0</v>
      </c>
      <c r="T1225" s="24">
        <v>0</v>
      </c>
      <c r="U1225" s="24">
        <v>0</v>
      </c>
      <c r="V1225" s="24">
        <v>0</v>
      </c>
      <c r="W1225" s="24">
        <v>0</v>
      </c>
      <c r="X1225" s="24">
        <v>0</v>
      </c>
      <c r="Y1225" s="24">
        <v>0</v>
      </c>
      <c r="Z1225" s="24">
        <v>0</v>
      </c>
      <c r="AA1225" s="24">
        <v>0.9</v>
      </c>
      <c r="AB1225" s="24">
        <v>0.9</v>
      </c>
      <c r="AC1225" s="24">
        <v>0.9</v>
      </c>
      <c r="AD1225" s="24">
        <v>0.8</v>
      </c>
      <c r="AE1225" s="24">
        <v>0.6</v>
      </c>
      <c r="AF1225" s="14"/>
    </row>
    <row r="1226" spans="1:32" ht="14.25" customHeight="1" x14ac:dyDescent="0.35">
      <c r="A1226" s="24" t="s">
        <v>368</v>
      </c>
      <c r="B1226" s="14" t="s">
        <v>424</v>
      </c>
      <c r="C1226" s="24" t="s">
        <v>1049</v>
      </c>
      <c r="D1226" s="24" t="s">
        <v>1050</v>
      </c>
      <c r="E1226" s="15">
        <v>41640</v>
      </c>
      <c r="F1226" s="15">
        <v>42004</v>
      </c>
      <c r="G1226" s="14" t="s">
        <v>415</v>
      </c>
      <c r="H1226" s="24">
        <v>0.3</v>
      </c>
      <c r="I1226" s="24">
        <v>0</v>
      </c>
      <c r="J1226" s="24">
        <v>0</v>
      </c>
      <c r="K1226" s="24">
        <v>0</v>
      </c>
      <c r="L1226" s="24">
        <v>0</v>
      </c>
      <c r="M1226" s="24">
        <v>0</v>
      </c>
      <c r="N1226" s="24">
        <v>0.2</v>
      </c>
      <c r="O1226" s="24">
        <v>0.5</v>
      </c>
      <c r="P1226" s="24">
        <v>0.5</v>
      </c>
      <c r="Q1226" s="24">
        <v>0</v>
      </c>
      <c r="R1226" s="24">
        <v>0</v>
      </c>
      <c r="S1226" s="24">
        <v>0</v>
      </c>
      <c r="T1226" s="24">
        <v>0</v>
      </c>
      <c r="U1226" s="24">
        <v>0</v>
      </c>
      <c r="V1226" s="24">
        <v>0</v>
      </c>
      <c r="W1226" s="24">
        <v>0</v>
      </c>
      <c r="X1226" s="24">
        <v>0</v>
      </c>
      <c r="Y1226" s="24">
        <v>0</v>
      </c>
      <c r="Z1226" s="24">
        <v>0</v>
      </c>
      <c r="AA1226" s="24">
        <v>0.9</v>
      </c>
      <c r="AB1226" s="24">
        <v>0.9</v>
      </c>
      <c r="AC1226" s="24">
        <v>0.9</v>
      </c>
      <c r="AD1226" s="24">
        <v>0.8</v>
      </c>
      <c r="AE1226" s="24">
        <v>0.6</v>
      </c>
      <c r="AF1226" s="14"/>
    </row>
    <row r="1227" spans="1:32" ht="14.25" customHeight="1" x14ac:dyDescent="0.35">
      <c r="A1227" s="24" t="s">
        <v>356</v>
      </c>
      <c r="B1227" s="14" t="s">
        <v>448</v>
      </c>
      <c r="C1227" s="24" t="s">
        <v>1049</v>
      </c>
      <c r="D1227" s="24" t="s">
        <v>791</v>
      </c>
      <c r="E1227" s="15">
        <v>41640</v>
      </c>
      <c r="F1227" s="15">
        <v>42004</v>
      </c>
      <c r="G1227" s="14" t="s">
        <v>415</v>
      </c>
      <c r="H1227" s="24">
        <v>0.9</v>
      </c>
      <c r="I1227" s="24">
        <v>0.9</v>
      </c>
      <c r="J1227" s="24">
        <v>0.9</v>
      </c>
      <c r="K1227" s="24">
        <v>0.9</v>
      </c>
      <c r="L1227" s="24">
        <v>0.9</v>
      </c>
      <c r="M1227" s="24">
        <v>0.9</v>
      </c>
      <c r="N1227" s="24">
        <v>0.9</v>
      </c>
      <c r="O1227" s="24">
        <v>0.7</v>
      </c>
      <c r="P1227" s="24">
        <v>0.4</v>
      </c>
      <c r="Q1227" s="24">
        <v>0.3</v>
      </c>
      <c r="R1227" s="24">
        <v>0.3</v>
      </c>
      <c r="S1227" s="24">
        <v>0.3</v>
      </c>
      <c r="T1227" s="24">
        <v>0.3</v>
      </c>
      <c r="U1227" s="24">
        <v>0.3</v>
      </c>
      <c r="V1227" s="24">
        <v>0.3</v>
      </c>
      <c r="W1227" s="24">
        <v>0.3</v>
      </c>
      <c r="X1227" s="24">
        <v>0.3</v>
      </c>
      <c r="Y1227" s="24">
        <v>0.5</v>
      </c>
      <c r="Z1227" s="24">
        <v>0.9</v>
      </c>
      <c r="AA1227" s="24">
        <v>0.9</v>
      </c>
      <c r="AB1227" s="24">
        <v>0.9</v>
      </c>
      <c r="AC1227" s="24">
        <v>0.9</v>
      </c>
      <c r="AD1227" s="24">
        <v>0.9</v>
      </c>
      <c r="AE1227" s="24">
        <v>0.9</v>
      </c>
      <c r="AF1227" s="14"/>
    </row>
    <row r="1228" spans="1:32" ht="14.25" customHeight="1" x14ac:dyDescent="0.35">
      <c r="A1228" s="24" t="s">
        <v>356</v>
      </c>
      <c r="B1228" s="14" t="s">
        <v>448</v>
      </c>
      <c r="C1228" s="24" t="s">
        <v>1049</v>
      </c>
      <c r="D1228" s="24" t="s">
        <v>512</v>
      </c>
      <c r="E1228" s="15">
        <v>41640</v>
      </c>
      <c r="F1228" s="15">
        <v>42004</v>
      </c>
      <c r="G1228" s="14" t="s">
        <v>415</v>
      </c>
      <c r="H1228" s="24">
        <v>0.9</v>
      </c>
      <c r="I1228" s="24">
        <v>0.9</v>
      </c>
      <c r="J1228" s="24">
        <v>0.9</v>
      </c>
      <c r="K1228" s="24">
        <v>0.9</v>
      </c>
      <c r="L1228" s="24">
        <v>0.9</v>
      </c>
      <c r="M1228" s="24">
        <v>0.9</v>
      </c>
      <c r="N1228" s="24">
        <v>0.9</v>
      </c>
      <c r="O1228" s="24">
        <v>0.7</v>
      </c>
      <c r="P1228" s="24">
        <v>0.5</v>
      </c>
      <c r="Q1228" s="24">
        <v>0.5</v>
      </c>
      <c r="R1228" s="24">
        <v>0.5</v>
      </c>
      <c r="S1228" s="24">
        <v>0.5</v>
      </c>
      <c r="T1228" s="24">
        <v>0.5</v>
      </c>
      <c r="U1228" s="24">
        <v>0.5</v>
      </c>
      <c r="V1228" s="24">
        <v>0.5</v>
      </c>
      <c r="W1228" s="24">
        <v>0.5</v>
      </c>
      <c r="X1228" s="24">
        <v>0.5</v>
      </c>
      <c r="Y1228" s="24">
        <v>0.7</v>
      </c>
      <c r="Z1228" s="24">
        <v>0.9</v>
      </c>
      <c r="AA1228" s="24">
        <v>0.9</v>
      </c>
      <c r="AB1228" s="24">
        <v>0.9</v>
      </c>
      <c r="AC1228" s="24">
        <v>0.9</v>
      </c>
      <c r="AD1228" s="24">
        <v>0.9</v>
      </c>
      <c r="AE1228" s="24">
        <v>0.9</v>
      </c>
      <c r="AF1228" s="14"/>
    </row>
    <row r="1229" spans="1:32" ht="14.25" customHeight="1" x14ac:dyDescent="0.35">
      <c r="A1229" s="24" t="s">
        <v>356</v>
      </c>
      <c r="B1229" s="14" t="s">
        <v>448</v>
      </c>
      <c r="C1229" s="24" t="s">
        <v>1049</v>
      </c>
      <c r="D1229" s="24" t="s">
        <v>1050</v>
      </c>
      <c r="E1229" s="15">
        <v>41640</v>
      </c>
      <c r="F1229" s="15">
        <v>42004</v>
      </c>
      <c r="G1229" s="14" t="s">
        <v>415</v>
      </c>
      <c r="H1229" s="24">
        <v>0.9</v>
      </c>
      <c r="I1229" s="24">
        <v>0.9</v>
      </c>
      <c r="J1229" s="24">
        <v>0.9</v>
      </c>
      <c r="K1229" s="24">
        <v>0.9</v>
      </c>
      <c r="L1229" s="24">
        <v>0.9</v>
      </c>
      <c r="M1229" s="24">
        <v>0.9</v>
      </c>
      <c r="N1229" s="24">
        <v>0.9</v>
      </c>
      <c r="O1229" s="24">
        <v>0.7</v>
      </c>
      <c r="P1229" s="24">
        <v>0.5</v>
      </c>
      <c r="Q1229" s="24">
        <v>0.5</v>
      </c>
      <c r="R1229" s="24">
        <v>0.5</v>
      </c>
      <c r="S1229" s="24">
        <v>0.5</v>
      </c>
      <c r="T1229" s="24">
        <v>0.5</v>
      </c>
      <c r="U1229" s="24">
        <v>0.5</v>
      </c>
      <c r="V1229" s="24">
        <v>0.5</v>
      </c>
      <c r="W1229" s="24">
        <v>0.5</v>
      </c>
      <c r="X1229" s="24">
        <v>0.5</v>
      </c>
      <c r="Y1229" s="24">
        <v>0.7</v>
      </c>
      <c r="Z1229" s="24">
        <v>0.9</v>
      </c>
      <c r="AA1229" s="24">
        <v>0.9</v>
      </c>
      <c r="AB1229" s="24">
        <v>0.9</v>
      </c>
      <c r="AC1229" s="24">
        <v>0.9</v>
      </c>
      <c r="AD1229" s="24">
        <v>0.9</v>
      </c>
      <c r="AE1229" s="24">
        <v>0.9</v>
      </c>
      <c r="AF1229" s="14"/>
    </row>
    <row r="1230" spans="1:32" ht="14.25" customHeight="1" x14ac:dyDescent="0.35">
      <c r="A1230" s="24" t="s">
        <v>1086</v>
      </c>
      <c r="B1230" s="14" t="s">
        <v>1055</v>
      </c>
      <c r="C1230" s="24" t="s">
        <v>1049</v>
      </c>
      <c r="D1230" s="24" t="s">
        <v>791</v>
      </c>
      <c r="E1230" s="15">
        <v>41640</v>
      </c>
      <c r="F1230" s="15">
        <v>42004</v>
      </c>
      <c r="G1230" s="14" t="s">
        <v>415</v>
      </c>
      <c r="H1230" s="24">
        <v>0.3</v>
      </c>
      <c r="I1230" s="24">
        <v>0.2</v>
      </c>
      <c r="J1230" s="24">
        <v>0.2</v>
      </c>
      <c r="K1230" s="24">
        <v>0.2</v>
      </c>
      <c r="L1230" s="24">
        <v>0.2</v>
      </c>
      <c r="M1230" s="24">
        <v>0.2</v>
      </c>
      <c r="N1230" s="24">
        <v>0.2</v>
      </c>
      <c r="O1230" s="24">
        <v>0.8</v>
      </c>
      <c r="P1230" s="24">
        <v>0.8</v>
      </c>
      <c r="Q1230" s="24">
        <v>0.4</v>
      </c>
      <c r="R1230" s="24">
        <v>0.4</v>
      </c>
      <c r="S1230" s="24">
        <v>0.4</v>
      </c>
      <c r="T1230" s="24">
        <v>0.4</v>
      </c>
      <c r="U1230" s="24">
        <v>0.4</v>
      </c>
      <c r="V1230" s="24">
        <v>0.4</v>
      </c>
      <c r="W1230" s="24">
        <v>0.4</v>
      </c>
      <c r="X1230" s="24">
        <v>0.5</v>
      </c>
      <c r="Y1230" s="24">
        <v>0.2</v>
      </c>
      <c r="Z1230" s="24">
        <v>0.9</v>
      </c>
      <c r="AA1230" s="24">
        <v>0.9</v>
      </c>
      <c r="AB1230" s="24">
        <v>0.7</v>
      </c>
      <c r="AC1230" s="24">
        <v>0.5</v>
      </c>
      <c r="AD1230" s="24">
        <v>0.5</v>
      </c>
      <c r="AE1230" s="24">
        <v>0.5</v>
      </c>
      <c r="AF1230" s="14"/>
    </row>
    <row r="1231" spans="1:32" ht="14.25" customHeight="1" x14ac:dyDescent="0.35">
      <c r="A1231" s="24" t="s">
        <v>1086</v>
      </c>
      <c r="B1231" s="14" t="s">
        <v>1055</v>
      </c>
      <c r="C1231" s="24" t="s">
        <v>1049</v>
      </c>
      <c r="D1231" s="24" t="s">
        <v>512</v>
      </c>
      <c r="E1231" s="15">
        <v>41640</v>
      </c>
      <c r="F1231" s="15">
        <v>42004</v>
      </c>
      <c r="G1231" s="14" t="s">
        <v>415</v>
      </c>
      <c r="H1231" s="24">
        <v>0.3</v>
      </c>
      <c r="I1231" s="24">
        <v>0.2</v>
      </c>
      <c r="J1231" s="24">
        <v>0.2</v>
      </c>
      <c r="K1231" s="24">
        <v>0.2</v>
      </c>
      <c r="L1231" s="24">
        <v>0.2</v>
      </c>
      <c r="M1231" s="24">
        <v>0.2</v>
      </c>
      <c r="N1231" s="24">
        <v>0.2</v>
      </c>
      <c r="O1231" s="24">
        <v>0.8</v>
      </c>
      <c r="P1231" s="24">
        <v>0.8</v>
      </c>
      <c r="Q1231" s="24">
        <v>0.4</v>
      </c>
      <c r="R1231" s="24">
        <v>0.4</v>
      </c>
      <c r="S1231" s="24">
        <v>0.4</v>
      </c>
      <c r="T1231" s="24">
        <v>0.4</v>
      </c>
      <c r="U1231" s="24">
        <v>0.4</v>
      </c>
      <c r="V1231" s="24">
        <v>0.4</v>
      </c>
      <c r="W1231" s="24">
        <v>0.4</v>
      </c>
      <c r="X1231" s="24">
        <v>0.5</v>
      </c>
      <c r="Y1231" s="24">
        <v>0.2</v>
      </c>
      <c r="Z1231" s="24">
        <v>0.9</v>
      </c>
      <c r="AA1231" s="24">
        <v>0.9</v>
      </c>
      <c r="AB1231" s="24">
        <v>0.7</v>
      </c>
      <c r="AC1231" s="24">
        <v>0.5</v>
      </c>
      <c r="AD1231" s="24">
        <v>0.5</v>
      </c>
      <c r="AE1231" s="24">
        <v>0.5</v>
      </c>
      <c r="AF1231" s="14"/>
    </row>
    <row r="1232" spans="1:32" ht="14.25" customHeight="1" x14ac:dyDescent="0.35">
      <c r="A1232" s="24" t="s">
        <v>1086</v>
      </c>
      <c r="B1232" s="14" t="s">
        <v>1055</v>
      </c>
      <c r="C1232" s="24" t="s">
        <v>1049</v>
      </c>
      <c r="D1232" s="24" t="s">
        <v>1050</v>
      </c>
      <c r="E1232" s="15">
        <v>41640</v>
      </c>
      <c r="F1232" s="15">
        <v>42004</v>
      </c>
      <c r="G1232" s="14" t="s">
        <v>415</v>
      </c>
      <c r="H1232" s="24">
        <v>0.3</v>
      </c>
      <c r="I1232" s="24">
        <v>0.2</v>
      </c>
      <c r="J1232" s="24">
        <v>0.2</v>
      </c>
      <c r="K1232" s="24">
        <v>0.2</v>
      </c>
      <c r="L1232" s="24">
        <v>0.2</v>
      </c>
      <c r="M1232" s="24">
        <v>0.2</v>
      </c>
      <c r="N1232" s="24">
        <v>0.2</v>
      </c>
      <c r="O1232" s="24">
        <v>0.8</v>
      </c>
      <c r="P1232" s="24">
        <v>0.8</v>
      </c>
      <c r="Q1232" s="24">
        <v>0.4</v>
      </c>
      <c r="R1232" s="24">
        <v>0.4</v>
      </c>
      <c r="S1232" s="24">
        <v>0.4</v>
      </c>
      <c r="T1232" s="24">
        <v>0.4</v>
      </c>
      <c r="U1232" s="24">
        <v>0.4</v>
      </c>
      <c r="V1232" s="24">
        <v>0.4</v>
      </c>
      <c r="W1232" s="24">
        <v>0.4</v>
      </c>
      <c r="X1232" s="24">
        <v>0.5</v>
      </c>
      <c r="Y1232" s="24">
        <v>0.2</v>
      </c>
      <c r="Z1232" s="24">
        <v>0.9</v>
      </c>
      <c r="AA1232" s="24">
        <v>0.9</v>
      </c>
      <c r="AB1232" s="24">
        <v>0.7</v>
      </c>
      <c r="AC1232" s="24">
        <v>0.5</v>
      </c>
      <c r="AD1232" s="24">
        <v>0.5</v>
      </c>
      <c r="AE1232" s="24">
        <v>0.5</v>
      </c>
      <c r="AF1232" s="14"/>
    </row>
    <row r="1233" spans="1:32" ht="14.25" customHeight="1" x14ac:dyDescent="0.35">
      <c r="A1233" s="24" t="s">
        <v>1087</v>
      </c>
      <c r="B1233" s="14" t="s">
        <v>460</v>
      </c>
      <c r="C1233" s="24" t="s">
        <v>1049</v>
      </c>
      <c r="D1233" s="24" t="s">
        <v>791</v>
      </c>
      <c r="E1233" s="15">
        <v>41640</v>
      </c>
      <c r="F1233" s="15">
        <v>42004</v>
      </c>
      <c r="G1233" s="14" t="s">
        <v>415</v>
      </c>
      <c r="H1233" s="24">
        <v>0.1</v>
      </c>
      <c r="I1233" s="24">
        <v>0.05</v>
      </c>
      <c r="J1233" s="24">
        <v>0.05</v>
      </c>
      <c r="K1233" s="24">
        <v>0.05</v>
      </c>
      <c r="L1233" s="24">
        <v>0.05</v>
      </c>
      <c r="M1233" s="24">
        <v>0.05</v>
      </c>
      <c r="N1233" s="24">
        <v>0.2</v>
      </c>
      <c r="O1233" s="24">
        <v>0.8</v>
      </c>
      <c r="P1233" s="24">
        <v>0.7</v>
      </c>
      <c r="Q1233" s="24">
        <v>0.5</v>
      </c>
      <c r="R1233" s="24">
        <v>0.4</v>
      </c>
      <c r="S1233" s="24">
        <v>0.2</v>
      </c>
      <c r="T1233" s="24">
        <v>0.2</v>
      </c>
      <c r="U1233" s="24">
        <v>0.2</v>
      </c>
      <c r="V1233" s="24">
        <v>0.3</v>
      </c>
      <c r="W1233" s="24">
        <v>0.5</v>
      </c>
      <c r="X1233" s="24">
        <v>0.5</v>
      </c>
      <c r="Y1233" s="24">
        <v>0.7</v>
      </c>
      <c r="Z1233" s="24">
        <v>0.7</v>
      </c>
      <c r="AA1233" s="24">
        <v>0.4</v>
      </c>
      <c r="AB1233" s="24">
        <v>0.4</v>
      </c>
      <c r="AC1233" s="24">
        <v>0.2</v>
      </c>
      <c r="AD1233" s="24">
        <v>0.2</v>
      </c>
      <c r="AE1233" s="24">
        <v>0.1</v>
      </c>
      <c r="AF1233" s="14"/>
    </row>
    <row r="1234" spans="1:32" ht="14.25" customHeight="1" x14ac:dyDescent="0.35">
      <c r="A1234" s="24" t="s">
        <v>1087</v>
      </c>
      <c r="B1234" s="14" t="s">
        <v>460</v>
      </c>
      <c r="C1234" s="24" t="s">
        <v>1049</v>
      </c>
      <c r="D1234" s="24" t="s">
        <v>512</v>
      </c>
      <c r="E1234" s="15">
        <v>41640</v>
      </c>
      <c r="F1234" s="15">
        <v>42004</v>
      </c>
      <c r="G1234" s="14" t="s">
        <v>415</v>
      </c>
      <c r="H1234" s="24">
        <v>0.1</v>
      </c>
      <c r="I1234" s="24">
        <v>0.05</v>
      </c>
      <c r="J1234" s="24">
        <v>0.05</v>
      </c>
      <c r="K1234" s="24">
        <v>0.05</v>
      </c>
      <c r="L1234" s="24">
        <v>0.05</v>
      </c>
      <c r="M1234" s="24">
        <v>0.05</v>
      </c>
      <c r="N1234" s="24">
        <v>0.05</v>
      </c>
      <c r="O1234" s="24">
        <v>0.2</v>
      </c>
      <c r="P1234" s="24">
        <v>0.5</v>
      </c>
      <c r="Q1234" s="24">
        <v>0.5</v>
      </c>
      <c r="R1234" s="24">
        <v>0.5</v>
      </c>
      <c r="S1234" s="24">
        <v>0.3</v>
      </c>
      <c r="T1234" s="24">
        <v>0.3</v>
      </c>
      <c r="U1234" s="24">
        <v>0.3</v>
      </c>
      <c r="V1234" s="24">
        <v>0.3</v>
      </c>
      <c r="W1234" s="24">
        <v>0.7</v>
      </c>
      <c r="X1234" s="24">
        <v>0.9</v>
      </c>
      <c r="Y1234" s="24">
        <v>0.7</v>
      </c>
      <c r="Z1234" s="24">
        <v>0.7</v>
      </c>
      <c r="AA1234" s="24">
        <v>0.6</v>
      </c>
      <c r="AB1234" s="24">
        <v>0.5</v>
      </c>
      <c r="AC1234" s="24">
        <v>0.4</v>
      </c>
      <c r="AD1234" s="24">
        <v>0.3</v>
      </c>
      <c r="AE1234" s="24">
        <v>0.2</v>
      </c>
      <c r="AF1234" s="14"/>
    </row>
    <row r="1235" spans="1:32" ht="14.25" customHeight="1" x14ac:dyDescent="0.35">
      <c r="A1235" s="24" t="s">
        <v>1087</v>
      </c>
      <c r="B1235" s="14" t="s">
        <v>460</v>
      </c>
      <c r="C1235" s="24" t="s">
        <v>1049</v>
      </c>
      <c r="D1235" s="24" t="s">
        <v>1050</v>
      </c>
      <c r="E1235" s="15">
        <v>41640</v>
      </c>
      <c r="F1235" s="15">
        <v>42004</v>
      </c>
      <c r="G1235" s="14" t="s">
        <v>415</v>
      </c>
      <c r="H1235" s="24">
        <v>0.1</v>
      </c>
      <c r="I1235" s="24">
        <v>0.05</v>
      </c>
      <c r="J1235" s="24">
        <v>0.05</v>
      </c>
      <c r="K1235" s="24">
        <v>0.05</v>
      </c>
      <c r="L1235" s="24">
        <v>0.05</v>
      </c>
      <c r="M1235" s="24">
        <v>0.05</v>
      </c>
      <c r="N1235" s="24">
        <v>0.05</v>
      </c>
      <c r="O1235" s="24">
        <v>0.05</v>
      </c>
      <c r="P1235" s="24">
        <v>0.2</v>
      </c>
      <c r="Q1235" s="24">
        <v>0.3</v>
      </c>
      <c r="R1235" s="24">
        <v>0.3</v>
      </c>
      <c r="S1235" s="24">
        <v>0.2</v>
      </c>
      <c r="T1235" s="24">
        <v>0.2</v>
      </c>
      <c r="U1235" s="24">
        <v>0.3</v>
      </c>
      <c r="V1235" s="24">
        <v>0.4</v>
      </c>
      <c r="W1235" s="24">
        <v>0.5</v>
      </c>
      <c r="X1235" s="24">
        <v>0.6</v>
      </c>
      <c r="Y1235" s="24">
        <v>0.7</v>
      </c>
      <c r="Z1235" s="24">
        <v>0.4</v>
      </c>
      <c r="AA1235" s="24">
        <v>0.3</v>
      </c>
      <c r="AB1235" s="24">
        <v>0.2</v>
      </c>
      <c r="AC1235" s="24">
        <v>0.2</v>
      </c>
      <c r="AD1235" s="24">
        <v>0.2</v>
      </c>
      <c r="AE1235" s="24">
        <v>0.2</v>
      </c>
      <c r="AF1235" s="14"/>
    </row>
    <row r="1236" spans="1:32" ht="14.25" customHeight="1" x14ac:dyDescent="0.35">
      <c r="A1236" s="24" t="s">
        <v>1088</v>
      </c>
      <c r="B1236" s="14" t="s">
        <v>420</v>
      </c>
      <c r="C1236" s="24" t="s">
        <v>1058</v>
      </c>
      <c r="D1236" s="24" t="s">
        <v>791</v>
      </c>
      <c r="E1236" s="15">
        <v>41640</v>
      </c>
      <c r="F1236" s="15">
        <v>42004</v>
      </c>
      <c r="G1236" s="14" t="s">
        <v>415</v>
      </c>
      <c r="H1236" s="24">
        <v>24</v>
      </c>
      <c r="I1236" s="24">
        <v>24</v>
      </c>
      <c r="J1236" s="24">
        <v>24</v>
      </c>
      <c r="K1236" s="24">
        <v>24</v>
      </c>
      <c r="L1236" s="24">
        <v>24</v>
      </c>
      <c r="M1236" s="24">
        <v>24</v>
      </c>
      <c r="N1236" s="24">
        <v>24</v>
      </c>
      <c r="O1236" s="24">
        <v>24</v>
      </c>
      <c r="P1236" s="24">
        <v>24</v>
      </c>
      <c r="Q1236" s="24">
        <v>24</v>
      </c>
      <c r="R1236" s="24">
        <v>24</v>
      </c>
      <c r="S1236" s="24">
        <v>24</v>
      </c>
      <c r="T1236" s="24">
        <v>24</v>
      </c>
      <c r="U1236" s="24">
        <v>24</v>
      </c>
      <c r="V1236" s="24">
        <v>24</v>
      </c>
      <c r="W1236" s="24">
        <v>24</v>
      </c>
      <c r="X1236" s="24">
        <v>24</v>
      </c>
      <c r="Y1236" s="24">
        <v>24</v>
      </c>
      <c r="Z1236" s="24">
        <v>24</v>
      </c>
      <c r="AA1236" s="24">
        <v>24</v>
      </c>
      <c r="AB1236" s="24">
        <v>24</v>
      </c>
      <c r="AC1236" s="24">
        <v>24</v>
      </c>
      <c r="AD1236" s="24">
        <v>24</v>
      </c>
      <c r="AE1236" s="24">
        <v>24</v>
      </c>
      <c r="AF1236" s="14"/>
    </row>
    <row r="1237" spans="1:32" ht="14.25" customHeight="1" x14ac:dyDescent="0.35">
      <c r="A1237" s="24" t="s">
        <v>1088</v>
      </c>
      <c r="B1237" s="14" t="s">
        <v>420</v>
      </c>
      <c r="C1237" s="24" t="s">
        <v>1058</v>
      </c>
      <c r="D1237" s="24" t="s">
        <v>512</v>
      </c>
      <c r="E1237" s="15">
        <v>41640</v>
      </c>
      <c r="F1237" s="15">
        <v>42004</v>
      </c>
      <c r="G1237" s="14" t="s">
        <v>415</v>
      </c>
      <c r="H1237" s="24">
        <v>24</v>
      </c>
      <c r="I1237" s="24">
        <v>24</v>
      </c>
      <c r="J1237" s="24">
        <v>24</v>
      </c>
      <c r="K1237" s="24">
        <v>24</v>
      </c>
      <c r="L1237" s="24">
        <v>24</v>
      </c>
      <c r="M1237" s="24">
        <v>24</v>
      </c>
      <c r="N1237" s="24">
        <v>24</v>
      </c>
      <c r="O1237" s="24">
        <v>24</v>
      </c>
      <c r="P1237" s="24">
        <v>24</v>
      </c>
      <c r="Q1237" s="24">
        <v>24</v>
      </c>
      <c r="R1237" s="24">
        <v>24</v>
      </c>
      <c r="S1237" s="24">
        <v>24</v>
      </c>
      <c r="T1237" s="24">
        <v>24</v>
      </c>
      <c r="U1237" s="24">
        <v>24</v>
      </c>
      <c r="V1237" s="24">
        <v>24</v>
      </c>
      <c r="W1237" s="24">
        <v>24</v>
      </c>
      <c r="X1237" s="24">
        <v>24</v>
      </c>
      <c r="Y1237" s="24">
        <v>24</v>
      </c>
      <c r="Z1237" s="24">
        <v>24</v>
      </c>
      <c r="AA1237" s="24">
        <v>24</v>
      </c>
      <c r="AB1237" s="24">
        <v>24</v>
      </c>
      <c r="AC1237" s="24">
        <v>24</v>
      </c>
      <c r="AD1237" s="24">
        <v>24</v>
      </c>
      <c r="AE1237" s="24">
        <v>24</v>
      </c>
      <c r="AF1237" s="14"/>
    </row>
    <row r="1238" spans="1:32" ht="14.25" customHeight="1" x14ac:dyDescent="0.35">
      <c r="A1238" s="24" t="s">
        <v>1088</v>
      </c>
      <c r="B1238" s="14" t="s">
        <v>420</v>
      </c>
      <c r="C1238" s="24" t="s">
        <v>1058</v>
      </c>
      <c r="D1238" s="24" t="s">
        <v>1050</v>
      </c>
      <c r="E1238" s="15">
        <v>41640</v>
      </c>
      <c r="F1238" s="15">
        <v>42004</v>
      </c>
      <c r="G1238" s="14" t="s">
        <v>415</v>
      </c>
      <c r="H1238" s="24">
        <v>24</v>
      </c>
      <c r="I1238" s="24">
        <v>24</v>
      </c>
      <c r="J1238" s="24">
        <v>24</v>
      </c>
      <c r="K1238" s="24">
        <v>24</v>
      </c>
      <c r="L1238" s="24">
        <v>24</v>
      </c>
      <c r="M1238" s="24">
        <v>24</v>
      </c>
      <c r="N1238" s="24">
        <v>24</v>
      </c>
      <c r="O1238" s="24">
        <v>24</v>
      </c>
      <c r="P1238" s="24">
        <v>24</v>
      </c>
      <c r="Q1238" s="24">
        <v>24</v>
      </c>
      <c r="R1238" s="24">
        <v>24</v>
      </c>
      <c r="S1238" s="24">
        <v>24</v>
      </c>
      <c r="T1238" s="24">
        <v>24</v>
      </c>
      <c r="U1238" s="24">
        <v>24</v>
      </c>
      <c r="V1238" s="24">
        <v>24</v>
      </c>
      <c r="W1238" s="24">
        <v>24</v>
      </c>
      <c r="X1238" s="24">
        <v>24</v>
      </c>
      <c r="Y1238" s="24">
        <v>24</v>
      </c>
      <c r="Z1238" s="24">
        <v>24</v>
      </c>
      <c r="AA1238" s="24">
        <v>24</v>
      </c>
      <c r="AB1238" s="24">
        <v>24</v>
      </c>
      <c r="AC1238" s="24">
        <v>24</v>
      </c>
      <c r="AD1238" s="24">
        <v>24</v>
      </c>
      <c r="AE1238" s="24">
        <v>24</v>
      </c>
      <c r="AF1238" s="14"/>
    </row>
    <row r="1239" spans="1:32" ht="14.25" customHeight="1" x14ac:dyDescent="0.35">
      <c r="A1239" s="24" t="s">
        <v>1089</v>
      </c>
      <c r="B1239" s="14" t="s">
        <v>420</v>
      </c>
      <c r="C1239" s="24" t="s">
        <v>1058</v>
      </c>
      <c r="D1239" s="24" t="s">
        <v>791</v>
      </c>
      <c r="E1239" s="15">
        <v>41640</v>
      </c>
      <c r="F1239" s="15">
        <v>42004</v>
      </c>
      <c r="G1239" s="14" t="s">
        <v>415</v>
      </c>
      <c r="H1239" s="24">
        <v>22</v>
      </c>
      <c r="I1239" s="24">
        <v>18</v>
      </c>
      <c r="J1239" s="24">
        <v>18</v>
      </c>
      <c r="K1239" s="24">
        <v>18</v>
      </c>
      <c r="L1239" s="24">
        <v>18</v>
      </c>
      <c r="M1239" s="24">
        <v>18</v>
      </c>
      <c r="N1239" s="24">
        <v>18</v>
      </c>
      <c r="O1239" s="24">
        <v>20</v>
      </c>
      <c r="P1239" s="24">
        <v>22</v>
      </c>
      <c r="Q1239" s="24">
        <v>22</v>
      </c>
      <c r="R1239" s="24">
        <v>22</v>
      </c>
      <c r="S1239" s="24">
        <v>22</v>
      </c>
      <c r="T1239" s="24">
        <v>22</v>
      </c>
      <c r="U1239" s="24">
        <v>22</v>
      </c>
      <c r="V1239" s="24">
        <v>22</v>
      </c>
      <c r="W1239" s="24">
        <v>22</v>
      </c>
      <c r="X1239" s="24">
        <v>22</v>
      </c>
      <c r="Y1239" s="24">
        <v>22</v>
      </c>
      <c r="Z1239" s="24">
        <v>22</v>
      </c>
      <c r="AA1239" s="24">
        <v>22</v>
      </c>
      <c r="AB1239" s="24">
        <v>22</v>
      </c>
      <c r="AC1239" s="24">
        <v>22</v>
      </c>
      <c r="AD1239" s="24">
        <v>22</v>
      </c>
      <c r="AE1239" s="24">
        <v>22</v>
      </c>
      <c r="AF1239" s="14"/>
    </row>
    <row r="1240" spans="1:32" ht="14.25" customHeight="1" x14ac:dyDescent="0.35">
      <c r="A1240" s="24" t="s">
        <v>1089</v>
      </c>
      <c r="B1240" s="14" t="s">
        <v>420</v>
      </c>
      <c r="C1240" s="24" t="s">
        <v>1058</v>
      </c>
      <c r="D1240" s="24" t="s">
        <v>512</v>
      </c>
      <c r="E1240" s="15">
        <v>41640</v>
      </c>
      <c r="F1240" s="15">
        <v>42004</v>
      </c>
      <c r="G1240" s="14" t="s">
        <v>415</v>
      </c>
      <c r="H1240" s="24">
        <v>22</v>
      </c>
      <c r="I1240" s="24">
        <v>18</v>
      </c>
      <c r="J1240" s="24">
        <v>18</v>
      </c>
      <c r="K1240" s="24">
        <v>18</v>
      </c>
      <c r="L1240" s="24">
        <v>18</v>
      </c>
      <c r="M1240" s="24">
        <v>18</v>
      </c>
      <c r="N1240" s="24">
        <v>18</v>
      </c>
      <c r="O1240" s="24">
        <v>20</v>
      </c>
      <c r="P1240" s="24">
        <v>22</v>
      </c>
      <c r="Q1240" s="24">
        <v>22</v>
      </c>
      <c r="R1240" s="24">
        <v>22</v>
      </c>
      <c r="S1240" s="24">
        <v>22</v>
      </c>
      <c r="T1240" s="24">
        <v>22</v>
      </c>
      <c r="U1240" s="24">
        <v>22</v>
      </c>
      <c r="V1240" s="24">
        <v>22</v>
      </c>
      <c r="W1240" s="24">
        <v>22</v>
      </c>
      <c r="X1240" s="24">
        <v>22</v>
      </c>
      <c r="Y1240" s="24">
        <v>22</v>
      </c>
      <c r="Z1240" s="24">
        <v>22</v>
      </c>
      <c r="AA1240" s="24">
        <v>22</v>
      </c>
      <c r="AB1240" s="24">
        <v>22</v>
      </c>
      <c r="AC1240" s="24">
        <v>22</v>
      </c>
      <c r="AD1240" s="24">
        <v>22</v>
      </c>
      <c r="AE1240" s="24">
        <v>22</v>
      </c>
      <c r="AF1240" s="14"/>
    </row>
    <row r="1241" spans="1:32" ht="14.25" customHeight="1" x14ac:dyDescent="0.35">
      <c r="A1241" s="24" t="s">
        <v>1089</v>
      </c>
      <c r="B1241" s="14" t="s">
        <v>420</v>
      </c>
      <c r="C1241" s="24" t="s">
        <v>1058</v>
      </c>
      <c r="D1241" s="24" t="s">
        <v>1050</v>
      </c>
      <c r="E1241" s="15">
        <v>41640</v>
      </c>
      <c r="F1241" s="15">
        <v>42004</v>
      </c>
      <c r="G1241" s="14" t="s">
        <v>415</v>
      </c>
      <c r="H1241" s="24">
        <v>22</v>
      </c>
      <c r="I1241" s="24">
        <v>18</v>
      </c>
      <c r="J1241" s="24">
        <v>18</v>
      </c>
      <c r="K1241" s="24">
        <v>18</v>
      </c>
      <c r="L1241" s="24">
        <v>18</v>
      </c>
      <c r="M1241" s="24">
        <v>18</v>
      </c>
      <c r="N1241" s="24">
        <v>18</v>
      </c>
      <c r="O1241" s="24">
        <v>20</v>
      </c>
      <c r="P1241" s="24">
        <v>22</v>
      </c>
      <c r="Q1241" s="24">
        <v>22</v>
      </c>
      <c r="R1241" s="24">
        <v>22</v>
      </c>
      <c r="S1241" s="24">
        <v>22</v>
      </c>
      <c r="T1241" s="24">
        <v>22</v>
      </c>
      <c r="U1241" s="24">
        <v>22</v>
      </c>
      <c r="V1241" s="24">
        <v>22</v>
      </c>
      <c r="W1241" s="24">
        <v>22</v>
      </c>
      <c r="X1241" s="24">
        <v>22</v>
      </c>
      <c r="Y1241" s="24">
        <v>22</v>
      </c>
      <c r="Z1241" s="24">
        <v>22</v>
      </c>
      <c r="AA1241" s="24">
        <v>22</v>
      </c>
      <c r="AB1241" s="24">
        <v>22</v>
      </c>
      <c r="AC1241" s="24">
        <v>22</v>
      </c>
      <c r="AD1241" s="24">
        <v>22</v>
      </c>
      <c r="AE1241" s="24">
        <v>22</v>
      </c>
      <c r="AF1241" s="14"/>
    </row>
    <row r="1242" spans="1:32" ht="14.25" customHeight="1" x14ac:dyDescent="0.35">
      <c r="A1242" s="24" t="s">
        <v>341</v>
      </c>
      <c r="B1242" s="14" t="s">
        <v>427</v>
      </c>
      <c r="C1242" s="24" t="s">
        <v>1049</v>
      </c>
      <c r="D1242" s="24" t="s">
        <v>791</v>
      </c>
      <c r="E1242" s="15">
        <v>41640</v>
      </c>
      <c r="F1242" s="15">
        <v>42004</v>
      </c>
      <c r="G1242" s="14" t="s">
        <v>415</v>
      </c>
      <c r="H1242" s="24">
        <v>0.9</v>
      </c>
      <c r="I1242" s="24">
        <v>0.9</v>
      </c>
      <c r="J1242" s="24">
        <v>0.9</v>
      </c>
      <c r="K1242" s="24">
        <v>0.9</v>
      </c>
      <c r="L1242" s="24">
        <v>0.9</v>
      </c>
      <c r="M1242" s="24">
        <v>0.9</v>
      </c>
      <c r="N1242" s="24">
        <v>0.9</v>
      </c>
      <c r="O1242" s="24">
        <v>0.9</v>
      </c>
      <c r="P1242" s="24">
        <v>0.9</v>
      </c>
      <c r="Q1242" s="24">
        <v>0.9</v>
      </c>
      <c r="R1242" s="24">
        <v>0.9</v>
      </c>
      <c r="S1242" s="24">
        <v>0.9</v>
      </c>
      <c r="T1242" s="24">
        <v>0.9</v>
      </c>
      <c r="U1242" s="24">
        <v>0.9</v>
      </c>
      <c r="V1242" s="24">
        <v>0.9</v>
      </c>
      <c r="W1242" s="24">
        <v>0.9</v>
      </c>
      <c r="X1242" s="24">
        <v>0.9</v>
      </c>
      <c r="Y1242" s="24">
        <v>0.9</v>
      </c>
      <c r="Z1242" s="24">
        <v>0.9</v>
      </c>
      <c r="AA1242" s="24">
        <v>0.9</v>
      </c>
      <c r="AB1242" s="24">
        <v>0.9</v>
      </c>
      <c r="AC1242" s="24">
        <v>0.9</v>
      </c>
      <c r="AD1242" s="24">
        <v>0.9</v>
      </c>
      <c r="AE1242" s="24">
        <v>0.9</v>
      </c>
      <c r="AF1242" s="14"/>
    </row>
    <row r="1243" spans="1:32" ht="14.25" customHeight="1" x14ac:dyDescent="0.35">
      <c r="A1243" s="24" t="s">
        <v>341</v>
      </c>
      <c r="B1243" s="14" t="s">
        <v>427</v>
      </c>
      <c r="C1243" s="24" t="s">
        <v>1049</v>
      </c>
      <c r="D1243" s="24" t="s">
        <v>512</v>
      </c>
      <c r="E1243" s="15">
        <v>41640</v>
      </c>
      <c r="F1243" s="15">
        <v>42004</v>
      </c>
      <c r="G1243" s="14" t="s">
        <v>415</v>
      </c>
      <c r="H1243" s="24">
        <v>0.9</v>
      </c>
      <c r="I1243" s="24">
        <v>0.9</v>
      </c>
      <c r="J1243" s="24">
        <v>0.9</v>
      </c>
      <c r="K1243" s="24">
        <v>0.9</v>
      </c>
      <c r="L1243" s="24">
        <v>0.9</v>
      </c>
      <c r="M1243" s="24">
        <v>0.9</v>
      </c>
      <c r="N1243" s="24">
        <v>0.9</v>
      </c>
      <c r="O1243" s="24">
        <v>0.9</v>
      </c>
      <c r="P1243" s="24">
        <v>0.9</v>
      </c>
      <c r="Q1243" s="24">
        <v>0.9</v>
      </c>
      <c r="R1243" s="24">
        <v>0.9</v>
      </c>
      <c r="S1243" s="24">
        <v>0.9</v>
      </c>
      <c r="T1243" s="24">
        <v>0.9</v>
      </c>
      <c r="U1243" s="24">
        <v>0.9</v>
      </c>
      <c r="V1243" s="24">
        <v>0.9</v>
      </c>
      <c r="W1243" s="24">
        <v>0.9</v>
      </c>
      <c r="X1243" s="24">
        <v>0.9</v>
      </c>
      <c r="Y1243" s="24">
        <v>0.9</v>
      </c>
      <c r="Z1243" s="24">
        <v>0.9</v>
      </c>
      <c r="AA1243" s="24">
        <v>0.9</v>
      </c>
      <c r="AB1243" s="24">
        <v>0.9</v>
      </c>
      <c r="AC1243" s="24">
        <v>0.9</v>
      </c>
      <c r="AD1243" s="24">
        <v>0.9</v>
      </c>
      <c r="AE1243" s="24">
        <v>0.9</v>
      </c>
      <c r="AF1243" s="14"/>
    </row>
    <row r="1244" spans="1:32" ht="14.25" customHeight="1" x14ac:dyDescent="0.35">
      <c r="A1244" s="24" t="s">
        <v>341</v>
      </c>
      <c r="B1244" s="14" t="s">
        <v>427</v>
      </c>
      <c r="C1244" s="24" t="s">
        <v>1049</v>
      </c>
      <c r="D1244" s="24" t="s">
        <v>1050</v>
      </c>
      <c r="E1244" s="15">
        <v>41640</v>
      </c>
      <c r="F1244" s="15">
        <v>42004</v>
      </c>
      <c r="G1244" s="14" t="s">
        <v>415</v>
      </c>
      <c r="H1244" s="24">
        <v>0.9</v>
      </c>
      <c r="I1244" s="24">
        <v>0.9</v>
      </c>
      <c r="J1244" s="24">
        <v>0.9</v>
      </c>
      <c r="K1244" s="24">
        <v>0.9</v>
      </c>
      <c r="L1244" s="24">
        <v>0.9</v>
      </c>
      <c r="M1244" s="24">
        <v>0.9</v>
      </c>
      <c r="N1244" s="24">
        <v>0.9</v>
      </c>
      <c r="O1244" s="24">
        <v>0.9</v>
      </c>
      <c r="P1244" s="24">
        <v>0.9</v>
      </c>
      <c r="Q1244" s="24">
        <v>0.9</v>
      </c>
      <c r="R1244" s="24">
        <v>0.9</v>
      </c>
      <c r="S1244" s="24">
        <v>0.9</v>
      </c>
      <c r="T1244" s="24">
        <v>0.9</v>
      </c>
      <c r="U1244" s="24">
        <v>0.9</v>
      </c>
      <c r="V1244" s="24">
        <v>0.9</v>
      </c>
      <c r="W1244" s="24">
        <v>0.9</v>
      </c>
      <c r="X1244" s="24">
        <v>0.9</v>
      </c>
      <c r="Y1244" s="24">
        <v>0.9</v>
      </c>
      <c r="Z1244" s="24">
        <v>0.9</v>
      </c>
      <c r="AA1244" s="24">
        <v>0.9</v>
      </c>
      <c r="AB1244" s="24">
        <v>0.9</v>
      </c>
      <c r="AC1244" s="24">
        <v>0.9</v>
      </c>
      <c r="AD1244" s="24">
        <v>0.9</v>
      </c>
      <c r="AE1244" s="24">
        <v>0.9</v>
      </c>
      <c r="AF1244" s="14"/>
    </row>
    <row r="1245" spans="1:32" ht="14.25" customHeight="1" x14ac:dyDescent="0.35">
      <c r="A1245" s="24" t="s">
        <v>1090</v>
      </c>
      <c r="B1245" s="14" t="s">
        <v>1052</v>
      </c>
      <c r="C1245" s="24" t="s">
        <v>1053</v>
      </c>
      <c r="D1245" s="24" t="s">
        <v>791</v>
      </c>
      <c r="E1245" s="15">
        <v>41640</v>
      </c>
      <c r="F1245" s="15">
        <v>42004</v>
      </c>
      <c r="G1245" s="14" t="s">
        <v>415</v>
      </c>
      <c r="H1245" s="24">
        <v>1</v>
      </c>
      <c r="I1245" s="24">
        <v>1</v>
      </c>
      <c r="J1245" s="24">
        <v>1</v>
      </c>
      <c r="K1245" s="24">
        <v>1</v>
      </c>
      <c r="L1245" s="24">
        <v>1</v>
      </c>
      <c r="M1245" s="24">
        <v>1</v>
      </c>
      <c r="N1245" s="24">
        <v>1</v>
      </c>
      <c r="O1245" s="24">
        <v>1</v>
      </c>
      <c r="P1245" s="24">
        <v>1</v>
      </c>
      <c r="Q1245" s="24">
        <v>1</v>
      </c>
      <c r="R1245" s="24">
        <v>1</v>
      </c>
      <c r="S1245" s="24">
        <v>1</v>
      </c>
      <c r="T1245" s="24">
        <v>1</v>
      </c>
      <c r="U1245" s="24">
        <v>1</v>
      </c>
      <c r="V1245" s="24">
        <v>1</v>
      </c>
      <c r="W1245" s="24">
        <v>1</v>
      </c>
      <c r="X1245" s="24">
        <v>1</v>
      </c>
      <c r="Y1245" s="24">
        <v>1</v>
      </c>
      <c r="Z1245" s="24">
        <v>1</v>
      </c>
      <c r="AA1245" s="24">
        <v>1</v>
      </c>
      <c r="AB1245" s="24">
        <v>1</v>
      </c>
      <c r="AC1245" s="24">
        <v>1</v>
      </c>
      <c r="AD1245" s="24">
        <v>1</v>
      </c>
      <c r="AE1245" s="24">
        <v>1</v>
      </c>
      <c r="AF1245" s="14"/>
    </row>
    <row r="1246" spans="1:32" ht="14.25" customHeight="1" x14ac:dyDescent="0.35">
      <c r="A1246" s="24" t="s">
        <v>1090</v>
      </c>
      <c r="B1246" s="14" t="s">
        <v>1052</v>
      </c>
      <c r="C1246" s="24" t="s">
        <v>1053</v>
      </c>
      <c r="D1246" s="24" t="s">
        <v>512</v>
      </c>
      <c r="E1246" s="15">
        <v>41640</v>
      </c>
      <c r="F1246" s="15">
        <v>42004</v>
      </c>
      <c r="G1246" s="14" t="s">
        <v>415</v>
      </c>
      <c r="H1246" s="24">
        <v>1</v>
      </c>
      <c r="I1246" s="24">
        <v>1</v>
      </c>
      <c r="J1246" s="24">
        <v>1</v>
      </c>
      <c r="K1246" s="24">
        <v>1</v>
      </c>
      <c r="L1246" s="24">
        <v>1</v>
      </c>
      <c r="M1246" s="24">
        <v>1</v>
      </c>
      <c r="N1246" s="24">
        <v>1</v>
      </c>
      <c r="O1246" s="24">
        <v>1</v>
      </c>
      <c r="P1246" s="24">
        <v>1</v>
      </c>
      <c r="Q1246" s="24">
        <v>1</v>
      </c>
      <c r="R1246" s="24">
        <v>1</v>
      </c>
      <c r="S1246" s="24">
        <v>1</v>
      </c>
      <c r="T1246" s="24">
        <v>1</v>
      </c>
      <c r="U1246" s="24">
        <v>1</v>
      </c>
      <c r="V1246" s="24">
        <v>1</v>
      </c>
      <c r="W1246" s="24">
        <v>1</v>
      </c>
      <c r="X1246" s="24">
        <v>1</v>
      </c>
      <c r="Y1246" s="24">
        <v>1</v>
      </c>
      <c r="Z1246" s="24">
        <v>1</v>
      </c>
      <c r="AA1246" s="24">
        <v>1</v>
      </c>
      <c r="AB1246" s="24">
        <v>1</v>
      </c>
      <c r="AC1246" s="24">
        <v>1</v>
      </c>
      <c r="AD1246" s="24">
        <v>1</v>
      </c>
      <c r="AE1246" s="24">
        <v>1</v>
      </c>
      <c r="AF1246" s="14"/>
    </row>
    <row r="1247" spans="1:32" ht="14.25" customHeight="1" x14ac:dyDescent="0.35">
      <c r="A1247" s="24" t="s">
        <v>1090</v>
      </c>
      <c r="B1247" s="14" t="s">
        <v>1052</v>
      </c>
      <c r="C1247" s="24" t="s">
        <v>1053</v>
      </c>
      <c r="D1247" s="24" t="s">
        <v>1050</v>
      </c>
      <c r="E1247" s="15">
        <v>41640</v>
      </c>
      <c r="F1247" s="15">
        <v>42004</v>
      </c>
      <c r="G1247" s="14" t="s">
        <v>415</v>
      </c>
      <c r="H1247" s="24">
        <v>1</v>
      </c>
      <c r="I1247" s="24">
        <v>1</v>
      </c>
      <c r="J1247" s="24">
        <v>1</v>
      </c>
      <c r="K1247" s="24">
        <v>1</v>
      </c>
      <c r="L1247" s="24">
        <v>1</v>
      </c>
      <c r="M1247" s="24">
        <v>1</v>
      </c>
      <c r="N1247" s="24">
        <v>1</v>
      </c>
      <c r="O1247" s="24">
        <v>1</v>
      </c>
      <c r="P1247" s="24">
        <v>1</v>
      </c>
      <c r="Q1247" s="24">
        <v>1</v>
      </c>
      <c r="R1247" s="24">
        <v>1</v>
      </c>
      <c r="S1247" s="24">
        <v>1</v>
      </c>
      <c r="T1247" s="24">
        <v>1</v>
      </c>
      <c r="U1247" s="24">
        <v>1</v>
      </c>
      <c r="V1247" s="24">
        <v>1</v>
      </c>
      <c r="W1247" s="24">
        <v>1</v>
      </c>
      <c r="X1247" s="24">
        <v>1</v>
      </c>
      <c r="Y1247" s="24">
        <v>1</v>
      </c>
      <c r="Z1247" s="24">
        <v>1</v>
      </c>
      <c r="AA1247" s="24">
        <v>1</v>
      </c>
      <c r="AB1247" s="24">
        <v>1</v>
      </c>
      <c r="AC1247" s="24">
        <v>1</v>
      </c>
      <c r="AD1247" s="24">
        <v>1</v>
      </c>
      <c r="AE1247" s="24">
        <v>1</v>
      </c>
      <c r="AF1247" s="14"/>
    </row>
    <row r="1248" spans="1:32" ht="14.25" customHeight="1" x14ac:dyDescent="0.35">
      <c r="A1248" s="24" t="s">
        <v>370</v>
      </c>
      <c r="B1248" s="14" t="s">
        <v>424</v>
      </c>
      <c r="C1248" s="24" t="s">
        <v>1049</v>
      </c>
      <c r="D1248" s="24" t="s">
        <v>791</v>
      </c>
      <c r="E1248" s="15">
        <v>41640</v>
      </c>
      <c r="F1248" s="15">
        <v>42004</v>
      </c>
      <c r="G1248" s="14" t="s">
        <v>415</v>
      </c>
      <c r="H1248" s="24">
        <v>0.9</v>
      </c>
      <c r="I1248" s="24">
        <v>0.9</v>
      </c>
      <c r="J1248" s="24">
        <v>0.9</v>
      </c>
      <c r="K1248" s="24">
        <v>0.9</v>
      </c>
      <c r="L1248" s="24">
        <v>0.9</v>
      </c>
      <c r="M1248" s="24">
        <v>0.9</v>
      </c>
      <c r="N1248" s="24">
        <v>0.9</v>
      </c>
      <c r="O1248" s="24">
        <v>0.9</v>
      </c>
      <c r="P1248" s="24">
        <v>0.9</v>
      </c>
      <c r="Q1248" s="24">
        <v>0.9</v>
      </c>
      <c r="R1248" s="24">
        <v>0.9</v>
      </c>
      <c r="S1248" s="24">
        <v>0.9</v>
      </c>
      <c r="T1248" s="24">
        <v>0.9</v>
      </c>
      <c r="U1248" s="24">
        <v>0.9</v>
      </c>
      <c r="V1248" s="24">
        <v>0.9</v>
      </c>
      <c r="W1248" s="24">
        <v>0.9</v>
      </c>
      <c r="X1248" s="24">
        <v>0.9</v>
      </c>
      <c r="Y1248" s="24">
        <v>0.9</v>
      </c>
      <c r="Z1248" s="24">
        <v>0.9</v>
      </c>
      <c r="AA1248" s="24">
        <v>0.9</v>
      </c>
      <c r="AB1248" s="24">
        <v>0.9</v>
      </c>
      <c r="AC1248" s="24">
        <v>0.9</v>
      </c>
      <c r="AD1248" s="24">
        <v>0.9</v>
      </c>
      <c r="AE1248" s="24">
        <v>0.9</v>
      </c>
      <c r="AF1248" s="14"/>
    </row>
    <row r="1249" spans="1:32" ht="14.25" customHeight="1" x14ac:dyDescent="0.35">
      <c r="A1249" s="24" t="s">
        <v>370</v>
      </c>
      <c r="B1249" s="14" t="s">
        <v>424</v>
      </c>
      <c r="C1249" s="24" t="s">
        <v>1049</v>
      </c>
      <c r="D1249" s="24" t="s">
        <v>512</v>
      </c>
      <c r="E1249" s="15">
        <v>41640</v>
      </c>
      <c r="F1249" s="15">
        <v>42004</v>
      </c>
      <c r="G1249" s="14" t="s">
        <v>415</v>
      </c>
      <c r="H1249" s="24">
        <v>0.9</v>
      </c>
      <c r="I1249" s="24">
        <v>0.9</v>
      </c>
      <c r="J1249" s="24">
        <v>0.9</v>
      </c>
      <c r="K1249" s="24">
        <v>0.9</v>
      </c>
      <c r="L1249" s="24">
        <v>0.9</v>
      </c>
      <c r="M1249" s="24">
        <v>0.9</v>
      </c>
      <c r="N1249" s="24">
        <v>0.9</v>
      </c>
      <c r="O1249" s="24">
        <v>0.9</v>
      </c>
      <c r="P1249" s="24">
        <v>0.9</v>
      </c>
      <c r="Q1249" s="24">
        <v>0.9</v>
      </c>
      <c r="R1249" s="24">
        <v>0.9</v>
      </c>
      <c r="S1249" s="24">
        <v>0.9</v>
      </c>
      <c r="T1249" s="24">
        <v>0.9</v>
      </c>
      <c r="U1249" s="24">
        <v>0.9</v>
      </c>
      <c r="V1249" s="24">
        <v>0.9</v>
      </c>
      <c r="W1249" s="24">
        <v>0.9</v>
      </c>
      <c r="X1249" s="24">
        <v>0.9</v>
      </c>
      <c r="Y1249" s="24">
        <v>0.9</v>
      </c>
      <c r="Z1249" s="24">
        <v>0.9</v>
      </c>
      <c r="AA1249" s="24">
        <v>0.9</v>
      </c>
      <c r="AB1249" s="24">
        <v>0.9</v>
      </c>
      <c r="AC1249" s="24">
        <v>0.9</v>
      </c>
      <c r="AD1249" s="24">
        <v>0.9</v>
      </c>
      <c r="AE1249" s="24">
        <v>0.9</v>
      </c>
      <c r="AF1249" s="14"/>
    </row>
    <row r="1250" spans="1:32" ht="14.25" customHeight="1" x14ac:dyDescent="0.35">
      <c r="A1250" s="24" t="s">
        <v>370</v>
      </c>
      <c r="B1250" s="14" t="s">
        <v>424</v>
      </c>
      <c r="C1250" s="24" t="s">
        <v>1049</v>
      </c>
      <c r="D1250" s="24" t="s">
        <v>1050</v>
      </c>
      <c r="E1250" s="15">
        <v>41640</v>
      </c>
      <c r="F1250" s="15">
        <v>42004</v>
      </c>
      <c r="G1250" s="14" t="s">
        <v>415</v>
      </c>
      <c r="H1250" s="24">
        <v>0.9</v>
      </c>
      <c r="I1250" s="24">
        <v>0.9</v>
      </c>
      <c r="J1250" s="24">
        <v>0.9</v>
      </c>
      <c r="K1250" s="24">
        <v>0.9</v>
      </c>
      <c r="L1250" s="24">
        <v>0.9</v>
      </c>
      <c r="M1250" s="24">
        <v>0.9</v>
      </c>
      <c r="N1250" s="24">
        <v>0.9</v>
      </c>
      <c r="O1250" s="24">
        <v>0.9</v>
      </c>
      <c r="P1250" s="24">
        <v>0.9</v>
      </c>
      <c r="Q1250" s="24">
        <v>0.9</v>
      </c>
      <c r="R1250" s="24">
        <v>0.9</v>
      </c>
      <c r="S1250" s="24">
        <v>0.9</v>
      </c>
      <c r="T1250" s="24">
        <v>0.9</v>
      </c>
      <c r="U1250" s="24">
        <v>0.9</v>
      </c>
      <c r="V1250" s="24">
        <v>0.9</v>
      </c>
      <c r="W1250" s="24">
        <v>0.9</v>
      </c>
      <c r="X1250" s="24">
        <v>0.9</v>
      </c>
      <c r="Y1250" s="24">
        <v>0.9</v>
      </c>
      <c r="Z1250" s="24">
        <v>0.9</v>
      </c>
      <c r="AA1250" s="24">
        <v>0.9</v>
      </c>
      <c r="AB1250" s="24">
        <v>0.9</v>
      </c>
      <c r="AC1250" s="24">
        <v>0.9</v>
      </c>
      <c r="AD1250" s="24">
        <v>0.9</v>
      </c>
      <c r="AE1250" s="24">
        <v>0.9</v>
      </c>
      <c r="AF1250" s="14"/>
    </row>
    <row r="1251" spans="1:32" ht="14.25" customHeight="1" x14ac:dyDescent="0.35">
      <c r="A1251" s="24" t="s">
        <v>358</v>
      </c>
      <c r="B1251" s="14" t="s">
        <v>448</v>
      </c>
      <c r="C1251" s="24" t="s">
        <v>1049</v>
      </c>
      <c r="D1251" s="24" t="s">
        <v>791</v>
      </c>
      <c r="E1251" s="15">
        <v>41640</v>
      </c>
      <c r="F1251" s="15">
        <v>42004</v>
      </c>
      <c r="G1251" s="14" t="s">
        <v>415</v>
      </c>
      <c r="H1251" s="24">
        <v>0.9</v>
      </c>
      <c r="I1251" s="24">
        <v>0.9</v>
      </c>
      <c r="J1251" s="24">
        <v>0.9</v>
      </c>
      <c r="K1251" s="24">
        <v>0.9</v>
      </c>
      <c r="L1251" s="24">
        <v>0.9</v>
      </c>
      <c r="M1251" s="24">
        <v>0.9</v>
      </c>
      <c r="N1251" s="24">
        <v>0.9</v>
      </c>
      <c r="O1251" s="24">
        <v>0.9</v>
      </c>
      <c r="P1251" s="24">
        <v>0.9</v>
      </c>
      <c r="Q1251" s="24">
        <v>0.9</v>
      </c>
      <c r="R1251" s="24">
        <v>0.9</v>
      </c>
      <c r="S1251" s="24">
        <v>0.9</v>
      </c>
      <c r="T1251" s="24">
        <v>0.9</v>
      </c>
      <c r="U1251" s="24">
        <v>0.9</v>
      </c>
      <c r="V1251" s="24">
        <v>0.9</v>
      </c>
      <c r="W1251" s="24">
        <v>0.9</v>
      </c>
      <c r="X1251" s="24">
        <v>0.9</v>
      </c>
      <c r="Y1251" s="24">
        <v>0.9</v>
      </c>
      <c r="Z1251" s="24">
        <v>0.9</v>
      </c>
      <c r="AA1251" s="24">
        <v>0.9</v>
      </c>
      <c r="AB1251" s="24">
        <v>0.9</v>
      </c>
      <c r="AC1251" s="24">
        <v>0.9</v>
      </c>
      <c r="AD1251" s="24">
        <v>0.9</v>
      </c>
      <c r="AE1251" s="24">
        <v>0.9</v>
      </c>
      <c r="AF1251" s="14"/>
    </row>
    <row r="1252" spans="1:32" ht="14.25" customHeight="1" x14ac:dyDescent="0.35">
      <c r="A1252" s="24" t="s">
        <v>358</v>
      </c>
      <c r="B1252" s="14" t="s">
        <v>448</v>
      </c>
      <c r="C1252" s="24" t="s">
        <v>1049</v>
      </c>
      <c r="D1252" s="24" t="s">
        <v>512</v>
      </c>
      <c r="E1252" s="15">
        <v>41640</v>
      </c>
      <c r="F1252" s="15">
        <v>42004</v>
      </c>
      <c r="G1252" s="14" t="s">
        <v>415</v>
      </c>
      <c r="H1252" s="24">
        <v>0.9</v>
      </c>
      <c r="I1252" s="24">
        <v>0.9</v>
      </c>
      <c r="J1252" s="24">
        <v>0.9</v>
      </c>
      <c r="K1252" s="24">
        <v>0.9</v>
      </c>
      <c r="L1252" s="24">
        <v>0.9</v>
      </c>
      <c r="M1252" s="24">
        <v>0.9</v>
      </c>
      <c r="N1252" s="24">
        <v>0.9</v>
      </c>
      <c r="O1252" s="24">
        <v>0.9</v>
      </c>
      <c r="P1252" s="24">
        <v>0.9</v>
      </c>
      <c r="Q1252" s="24">
        <v>0.9</v>
      </c>
      <c r="R1252" s="24">
        <v>0.9</v>
      </c>
      <c r="S1252" s="24">
        <v>0.9</v>
      </c>
      <c r="T1252" s="24">
        <v>0.9</v>
      </c>
      <c r="U1252" s="24">
        <v>0.9</v>
      </c>
      <c r="V1252" s="24">
        <v>0.9</v>
      </c>
      <c r="W1252" s="24">
        <v>0.9</v>
      </c>
      <c r="X1252" s="24">
        <v>0.9</v>
      </c>
      <c r="Y1252" s="24">
        <v>0.9</v>
      </c>
      <c r="Z1252" s="24">
        <v>0.9</v>
      </c>
      <c r="AA1252" s="24">
        <v>0.9</v>
      </c>
      <c r="AB1252" s="24">
        <v>0.9</v>
      </c>
      <c r="AC1252" s="24">
        <v>0.9</v>
      </c>
      <c r="AD1252" s="24">
        <v>0.9</v>
      </c>
      <c r="AE1252" s="24">
        <v>0.9</v>
      </c>
      <c r="AF1252" s="14"/>
    </row>
    <row r="1253" spans="1:32" ht="14.25" customHeight="1" x14ac:dyDescent="0.35">
      <c r="A1253" s="24" t="s">
        <v>358</v>
      </c>
      <c r="B1253" s="14" t="s">
        <v>448</v>
      </c>
      <c r="C1253" s="24" t="s">
        <v>1049</v>
      </c>
      <c r="D1253" s="24" t="s">
        <v>1050</v>
      </c>
      <c r="E1253" s="15">
        <v>41640</v>
      </c>
      <c r="F1253" s="15">
        <v>42004</v>
      </c>
      <c r="G1253" s="14" t="s">
        <v>415</v>
      </c>
      <c r="H1253" s="24">
        <v>0.9</v>
      </c>
      <c r="I1253" s="24">
        <v>0.9</v>
      </c>
      <c r="J1253" s="24">
        <v>0.9</v>
      </c>
      <c r="K1253" s="24">
        <v>0.9</v>
      </c>
      <c r="L1253" s="24">
        <v>0.9</v>
      </c>
      <c r="M1253" s="24">
        <v>0.9</v>
      </c>
      <c r="N1253" s="24">
        <v>0.9</v>
      </c>
      <c r="O1253" s="24">
        <v>0.9</v>
      </c>
      <c r="P1253" s="24">
        <v>0.9</v>
      </c>
      <c r="Q1253" s="24">
        <v>0.9</v>
      </c>
      <c r="R1253" s="24">
        <v>0.9</v>
      </c>
      <c r="S1253" s="24">
        <v>0.9</v>
      </c>
      <c r="T1253" s="24">
        <v>0.9</v>
      </c>
      <c r="U1253" s="24">
        <v>0.9</v>
      </c>
      <c r="V1253" s="24">
        <v>0.9</v>
      </c>
      <c r="W1253" s="24">
        <v>0.9</v>
      </c>
      <c r="X1253" s="24">
        <v>0.9</v>
      </c>
      <c r="Y1253" s="24">
        <v>0.9</v>
      </c>
      <c r="Z1253" s="24">
        <v>0.9</v>
      </c>
      <c r="AA1253" s="24">
        <v>0.9</v>
      </c>
      <c r="AB1253" s="24">
        <v>0.9</v>
      </c>
      <c r="AC1253" s="24">
        <v>0.9</v>
      </c>
      <c r="AD1253" s="24">
        <v>0.9</v>
      </c>
      <c r="AE1253" s="24">
        <v>0.9</v>
      </c>
      <c r="AF1253" s="14"/>
    </row>
    <row r="1254" spans="1:32" ht="14.25" customHeight="1" x14ac:dyDescent="0.35">
      <c r="A1254" s="24" t="s">
        <v>1091</v>
      </c>
      <c r="B1254" s="14" t="s">
        <v>1055</v>
      </c>
      <c r="C1254" s="24" t="s">
        <v>1049</v>
      </c>
      <c r="D1254" s="24" t="s">
        <v>791</v>
      </c>
      <c r="E1254" s="15">
        <v>41640</v>
      </c>
      <c r="F1254" s="15">
        <v>42004</v>
      </c>
      <c r="G1254" s="14" t="s">
        <v>415</v>
      </c>
      <c r="H1254" s="24">
        <v>0.9</v>
      </c>
      <c r="I1254" s="24">
        <v>0.9</v>
      </c>
      <c r="J1254" s="24">
        <v>0.9</v>
      </c>
      <c r="K1254" s="24">
        <v>0.9</v>
      </c>
      <c r="L1254" s="24">
        <v>0.9</v>
      </c>
      <c r="M1254" s="24">
        <v>0.9</v>
      </c>
      <c r="N1254" s="24">
        <v>0.9</v>
      </c>
      <c r="O1254" s="24">
        <v>0.9</v>
      </c>
      <c r="P1254" s="24">
        <v>0.9</v>
      </c>
      <c r="Q1254" s="24">
        <v>0.9</v>
      </c>
      <c r="R1254" s="24">
        <v>0.9</v>
      </c>
      <c r="S1254" s="24">
        <v>0.9</v>
      </c>
      <c r="T1254" s="24">
        <v>0.9</v>
      </c>
      <c r="U1254" s="24">
        <v>0.9</v>
      </c>
      <c r="V1254" s="24">
        <v>0.9</v>
      </c>
      <c r="W1254" s="24">
        <v>0.9</v>
      </c>
      <c r="X1254" s="24">
        <v>0.9</v>
      </c>
      <c r="Y1254" s="24">
        <v>0.9</v>
      </c>
      <c r="Z1254" s="24">
        <v>0.9</v>
      </c>
      <c r="AA1254" s="24">
        <v>0.9</v>
      </c>
      <c r="AB1254" s="24">
        <v>0.9</v>
      </c>
      <c r="AC1254" s="24">
        <v>0.9</v>
      </c>
      <c r="AD1254" s="24">
        <v>0.9</v>
      </c>
      <c r="AE1254" s="24">
        <v>0.9</v>
      </c>
      <c r="AF1254" s="14"/>
    </row>
    <row r="1255" spans="1:32" ht="14.25" customHeight="1" x14ac:dyDescent="0.35">
      <c r="A1255" s="24" t="s">
        <v>1091</v>
      </c>
      <c r="B1255" s="14" t="s">
        <v>1055</v>
      </c>
      <c r="C1255" s="24" t="s">
        <v>1049</v>
      </c>
      <c r="D1255" s="24" t="s">
        <v>512</v>
      </c>
      <c r="E1255" s="15">
        <v>41640</v>
      </c>
      <c r="F1255" s="15">
        <v>42004</v>
      </c>
      <c r="G1255" s="14" t="s">
        <v>415</v>
      </c>
      <c r="H1255" s="24">
        <v>0.9</v>
      </c>
      <c r="I1255" s="24">
        <v>0.9</v>
      </c>
      <c r="J1255" s="24">
        <v>0.9</v>
      </c>
      <c r="K1255" s="24">
        <v>0.9</v>
      </c>
      <c r="L1255" s="24">
        <v>0.9</v>
      </c>
      <c r="M1255" s="24">
        <v>0.9</v>
      </c>
      <c r="N1255" s="24">
        <v>0.9</v>
      </c>
      <c r="O1255" s="24">
        <v>0.9</v>
      </c>
      <c r="P1255" s="24">
        <v>0.9</v>
      </c>
      <c r="Q1255" s="24">
        <v>0.9</v>
      </c>
      <c r="R1255" s="24">
        <v>0.9</v>
      </c>
      <c r="S1255" s="24">
        <v>0.9</v>
      </c>
      <c r="T1255" s="24">
        <v>0.9</v>
      </c>
      <c r="U1255" s="24">
        <v>0.9</v>
      </c>
      <c r="V1255" s="24">
        <v>0.9</v>
      </c>
      <c r="W1255" s="24">
        <v>0.9</v>
      </c>
      <c r="X1255" s="24">
        <v>0.9</v>
      </c>
      <c r="Y1255" s="24">
        <v>0.9</v>
      </c>
      <c r="Z1255" s="24">
        <v>0.9</v>
      </c>
      <c r="AA1255" s="24">
        <v>0.9</v>
      </c>
      <c r="AB1255" s="24">
        <v>0.9</v>
      </c>
      <c r="AC1255" s="24">
        <v>0.9</v>
      </c>
      <c r="AD1255" s="24">
        <v>0.9</v>
      </c>
      <c r="AE1255" s="24">
        <v>0.9</v>
      </c>
      <c r="AF1255" s="14"/>
    </row>
    <row r="1256" spans="1:32" ht="14.25" customHeight="1" x14ac:dyDescent="0.35">
      <c r="A1256" s="24" t="s">
        <v>1091</v>
      </c>
      <c r="B1256" s="14" t="s">
        <v>1055</v>
      </c>
      <c r="C1256" s="24" t="s">
        <v>1049</v>
      </c>
      <c r="D1256" s="24" t="s">
        <v>1050</v>
      </c>
      <c r="E1256" s="15">
        <v>41640</v>
      </c>
      <c r="F1256" s="15">
        <v>42004</v>
      </c>
      <c r="G1256" s="14" t="s">
        <v>415</v>
      </c>
      <c r="H1256" s="24">
        <v>0.9</v>
      </c>
      <c r="I1256" s="24">
        <v>0.9</v>
      </c>
      <c r="J1256" s="24">
        <v>0.9</v>
      </c>
      <c r="K1256" s="24">
        <v>0.9</v>
      </c>
      <c r="L1256" s="24">
        <v>0.9</v>
      </c>
      <c r="M1256" s="24">
        <v>0.9</v>
      </c>
      <c r="N1256" s="24">
        <v>0.9</v>
      </c>
      <c r="O1256" s="24">
        <v>0.9</v>
      </c>
      <c r="P1256" s="24">
        <v>0.9</v>
      </c>
      <c r="Q1256" s="24">
        <v>0.9</v>
      </c>
      <c r="R1256" s="24">
        <v>0.9</v>
      </c>
      <c r="S1256" s="24">
        <v>0.9</v>
      </c>
      <c r="T1256" s="24">
        <v>0.9</v>
      </c>
      <c r="U1256" s="24">
        <v>0.9</v>
      </c>
      <c r="V1256" s="24">
        <v>0.9</v>
      </c>
      <c r="W1256" s="24">
        <v>0.9</v>
      </c>
      <c r="X1256" s="24">
        <v>0.9</v>
      </c>
      <c r="Y1256" s="24">
        <v>0.9</v>
      </c>
      <c r="Z1256" s="24">
        <v>0.9</v>
      </c>
      <c r="AA1256" s="24">
        <v>0.9</v>
      </c>
      <c r="AB1256" s="24">
        <v>0.9</v>
      </c>
      <c r="AC1256" s="24">
        <v>0.9</v>
      </c>
      <c r="AD1256" s="24">
        <v>0.9</v>
      </c>
      <c r="AE1256" s="24">
        <v>0.9</v>
      </c>
      <c r="AF1256" s="14"/>
    </row>
    <row r="1257" spans="1:32" ht="14.25" customHeight="1" x14ac:dyDescent="0.35">
      <c r="A1257" s="24" t="s">
        <v>1092</v>
      </c>
      <c r="B1257" s="14" t="s">
        <v>460</v>
      </c>
      <c r="C1257" s="24" t="s">
        <v>1049</v>
      </c>
      <c r="D1257" s="24" t="s">
        <v>791</v>
      </c>
      <c r="E1257" s="15">
        <v>41640</v>
      </c>
      <c r="F1257" s="15">
        <v>42004</v>
      </c>
      <c r="G1257" s="14" t="s">
        <v>415</v>
      </c>
      <c r="H1257" s="24">
        <v>0.9</v>
      </c>
      <c r="I1257" s="24">
        <v>0.9</v>
      </c>
      <c r="J1257" s="24">
        <v>0.9</v>
      </c>
      <c r="K1257" s="24">
        <v>0.9</v>
      </c>
      <c r="L1257" s="24">
        <v>0.9</v>
      </c>
      <c r="M1257" s="24">
        <v>0.9</v>
      </c>
      <c r="N1257" s="24">
        <v>0.9</v>
      </c>
      <c r="O1257" s="24">
        <v>0.9</v>
      </c>
      <c r="P1257" s="24">
        <v>0.9</v>
      </c>
      <c r="Q1257" s="24">
        <v>0.9</v>
      </c>
      <c r="R1257" s="24">
        <v>0.9</v>
      </c>
      <c r="S1257" s="24">
        <v>0.9</v>
      </c>
      <c r="T1257" s="24">
        <v>0.9</v>
      </c>
      <c r="U1257" s="24">
        <v>0.9</v>
      </c>
      <c r="V1257" s="24">
        <v>0.9</v>
      </c>
      <c r="W1257" s="24">
        <v>0.9</v>
      </c>
      <c r="X1257" s="24">
        <v>0.9</v>
      </c>
      <c r="Y1257" s="24">
        <v>0.9</v>
      </c>
      <c r="Z1257" s="24">
        <v>0.9</v>
      </c>
      <c r="AA1257" s="24">
        <v>0.9</v>
      </c>
      <c r="AB1257" s="24">
        <v>0.9</v>
      </c>
      <c r="AC1257" s="24">
        <v>0.9</v>
      </c>
      <c r="AD1257" s="24">
        <v>0.9</v>
      </c>
      <c r="AE1257" s="24">
        <v>0.9</v>
      </c>
      <c r="AF1257" s="14"/>
    </row>
    <row r="1258" spans="1:32" ht="14.25" customHeight="1" x14ac:dyDescent="0.35">
      <c r="A1258" s="24" t="s">
        <v>1092</v>
      </c>
      <c r="B1258" s="14" t="s">
        <v>460</v>
      </c>
      <c r="C1258" s="24" t="s">
        <v>1049</v>
      </c>
      <c r="D1258" s="24" t="s">
        <v>512</v>
      </c>
      <c r="E1258" s="15">
        <v>41640</v>
      </c>
      <c r="F1258" s="15">
        <v>42004</v>
      </c>
      <c r="G1258" s="14" t="s">
        <v>415</v>
      </c>
      <c r="H1258" s="24">
        <v>0.9</v>
      </c>
      <c r="I1258" s="24">
        <v>0.9</v>
      </c>
      <c r="J1258" s="24">
        <v>0.9</v>
      </c>
      <c r="K1258" s="24">
        <v>0.9</v>
      </c>
      <c r="L1258" s="24">
        <v>0.9</v>
      </c>
      <c r="M1258" s="24">
        <v>0.9</v>
      </c>
      <c r="N1258" s="24">
        <v>0.9</v>
      </c>
      <c r="O1258" s="24">
        <v>0.9</v>
      </c>
      <c r="P1258" s="24">
        <v>0.9</v>
      </c>
      <c r="Q1258" s="24">
        <v>0.9</v>
      </c>
      <c r="R1258" s="24">
        <v>0.9</v>
      </c>
      <c r="S1258" s="24">
        <v>0.9</v>
      </c>
      <c r="T1258" s="24">
        <v>0.9</v>
      </c>
      <c r="U1258" s="24">
        <v>0.9</v>
      </c>
      <c r="V1258" s="24">
        <v>0.9</v>
      </c>
      <c r="W1258" s="24">
        <v>0.9</v>
      </c>
      <c r="X1258" s="24">
        <v>0.9</v>
      </c>
      <c r="Y1258" s="24">
        <v>0.9</v>
      </c>
      <c r="Z1258" s="24">
        <v>0.9</v>
      </c>
      <c r="AA1258" s="24">
        <v>0.9</v>
      </c>
      <c r="AB1258" s="24">
        <v>0.9</v>
      </c>
      <c r="AC1258" s="24">
        <v>0.9</v>
      </c>
      <c r="AD1258" s="24">
        <v>0.9</v>
      </c>
      <c r="AE1258" s="24">
        <v>0.9</v>
      </c>
      <c r="AF1258" s="14"/>
    </row>
    <row r="1259" spans="1:32" ht="14.25" customHeight="1" x14ac:dyDescent="0.35">
      <c r="A1259" s="24" t="s">
        <v>1092</v>
      </c>
      <c r="B1259" s="14" t="s">
        <v>460</v>
      </c>
      <c r="C1259" s="24" t="s">
        <v>1049</v>
      </c>
      <c r="D1259" s="24" t="s">
        <v>1050</v>
      </c>
      <c r="E1259" s="15">
        <v>41640</v>
      </c>
      <c r="F1259" s="15">
        <v>42004</v>
      </c>
      <c r="G1259" s="14" t="s">
        <v>415</v>
      </c>
      <c r="H1259" s="24">
        <v>0.9</v>
      </c>
      <c r="I1259" s="24">
        <v>0.9</v>
      </c>
      <c r="J1259" s="24">
        <v>0.9</v>
      </c>
      <c r="K1259" s="24">
        <v>0.9</v>
      </c>
      <c r="L1259" s="24">
        <v>0.9</v>
      </c>
      <c r="M1259" s="24">
        <v>0.9</v>
      </c>
      <c r="N1259" s="24">
        <v>0.9</v>
      </c>
      <c r="O1259" s="24">
        <v>0.9</v>
      </c>
      <c r="P1259" s="24">
        <v>0.9</v>
      </c>
      <c r="Q1259" s="24">
        <v>0.9</v>
      </c>
      <c r="R1259" s="24">
        <v>0.9</v>
      </c>
      <c r="S1259" s="24">
        <v>0.9</v>
      </c>
      <c r="T1259" s="24">
        <v>0.9</v>
      </c>
      <c r="U1259" s="24">
        <v>0.9</v>
      </c>
      <c r="V1259" s="24">
        <v>0.9</v>
      </c>
      <c r="W1259" s="24">
        <v>0.9</v>
      </c>
      <c r="X1259" s="24">
        <v>0.9</v>
      </c>
      <c r="Y1259" s="24">
        <v>0.9</v>
      </c>
      <c r="Z1259" s="24">
        <v>0.9</v>
      </c>
      <c r="AA1259" s="24">
        <v>0.9</v>
      </c>
      <c r="AB1259" s="24">
        <v>0.9</v>
      </c>
      <c r="AC1259" s="24">
        <v>0.9</v>
      </c>
      <c r="AD1259" s="24">
        <v>0.9</v>
      </c>
      <c r="AE1259" s="24">
        <v>0.9</v>
      </c>
      <c r="AF1259" s="14"/>
    </row>
    <row r="1260" spans="1:32" ht="14.25" customHeight="1" x14ac:dyDescent="0.35">
      <c r="A1260" s="24" t="s">
        <v>1093</v>
      </c>
      <c r="B1260" s="14" t="s">
        <v>420</v>
      </c>
      <c r="C1260" s="24" t="s">
        <v>1058</v>
      </c>
      <c r="D1260" s="24" t="s">
        <v>791</v>
      </c>
      <c r="E1260" s="15">
        <v>41640</v>
      </c>
      <c r="F1260" s="15">
        <v>42004</v>
      </c>
      <c r="G1260" s="14" t="s">
        <v>415</v>
      </c>
      <c r="H1260" s="24">
        <v>24</v>
      </c>
      <c r="I1260" s="24">
        <v>24</v>
      </c>
      <c r="J1260" s="24">
        <v>24</v>
      </c>
      <c r="K1260" s="24">
        <v>24</v>
      </c>
      <c r="L1260" s="24">
        <v>24</v>
      </c>
      <c r="M1260" s="24">
        <v>24</v>
      </c>
      <c r="N1260" s="24">
        <v>24</v>
      </c>
      <c r="O1260" s="24">
        <v>24</v>
      </c>
      <c r="P1260" s="24">
        <v>24</v>
      </c>
      <c r="Q1260" s="24">
        <v>24</v>
      </c>
      <c r="R1260" s="24">
        <v>24</v>
      </c>
      <c r="S1260" s="24">
        <v>24</v>
      </c>
      <c r="T1260" s="24">
        <v>24</v>
      </c>
      <c r="U1260" s="24">
        <v>24</v>
      </c>
      <c r="V1260" s="24">
        <v>24</v>
      </c>
      <c r="W1260" s="24">
        <v>24</v>
      </c>
      <c r="X1260" s="24">
        <v>24</v>
      </c>
      <c r="Y1260" s="24">
        <v>24</v>
      </c>
      <c r="Z1260" s="24">
        <v>24</v>
      </c>
      <c r="AA1260" s="24">
        <v>24</v>
      </c>
      <c r="AB1260" s="24">
        <v>24</v>
      </c>
      <c r="AC1260" s="24">
        <v>24</v>
      </c>
      <c r="AD1260" s="24">
        <v>24</v>
      </c>
      <c r="AE1260" s="24">
        <v>24</v>
      </c>
      <c r="AF1260" s="14"/>
    </row>
    <row r="1261" spans="1:32" ht="14.25" customHeight="1" x14ac:dyDescent="0.35">
      <c r="A1261" s="24" t="s">
        <v>1093</v>
      </c>
      <c r="B1261" s="14" t="s">
        <v>420</v>
      </c>
      <c r="C1261" s="24" t="s">
        <v>1058</v>
      </c>
      <c r="D1261" s="24" t="s">
        <v>512</v>
      </c>
      <c r="E1261" s="15">
        <v>41640</v>
      </c>
      <c r="F1261" s="15">
        <v>42004</v>
      </c>
      <c r="G1261" s="14" t="s">
        <v>415</v>
      </c>
      <c r="H1261" s="24">
        <v>24</v>
      </c>
      <c r="I1261" s="24">
        <v>24</v>
      </c>
      <c r="J1261" s="24">
        <v>24</v>
      </c>
      <c r="K1261" s="24">
        <v>24</v>
      </c>
      <c r="L1261" s="24">
        <v>24</v>
      </c>
      <c r="M1261" s="24">
        <v>24</v>
      </c>
      <c r="N1261" s="24">
        <v>24</v>
      </c>
      <c r="O1261" s="24">
        <v>24</v>
      </c>
      <c r="P1261" s="24">
        <v>24</v>
      </c>
      <c r="Q1261" s="24">
        <v>24</v>
      </c>
      <c r="R1261" s="24">
        <v>24</v>
      </c>
      <c r="S1261" s="24">
        <v>24</v>
      </c>
      <c r="T1261" s="24">
        <v>24</v>
      </c>
      <c r="U1261" s="24">
        <v>24</v>
      </c>
      <c r="V1261" s="24">
        <v>24</v>
      </c>
      <c r="W1261" s="24">
        <v>24</v>
      </c>
      <c r="X1261" s="24">
        <v>24</v>
      </c>
      <c r="Y1261" s="24">
        <v>24</v>
      </c>
      <c r="Z1261" s="24">
        <v>24</v>
      </c>
      <c r="AA1261" s="24">
        <v>24</v>
      </c>
      <c r="AB1261" s="24">
        <v>24</v>
      </c>
      <c r="AC1261" s="24">
        <v>24</v>
      </c>
      <c r="AD1261" s="24">
        <v>24</v>
      </c>
      <c r="AE1261" s="24">
        <v>24</v>
      </c>
      <c r="AF1261" s="14"/>
    </row>
    <row r="1262" spans="1:32" ht="14.25" customHeight="1" x14ac:dyDescent="0.35">
      <c r="A1262" s="24" t="s">
        <v>1093</v>
      </c>
      <c r="B1262" s="14" t="s">
        <v>420</v>
      </c>
      <c r="C1262" s="24" t="s">
        <v>1058</v>
      </c>
      <c r="D1262" s="24" t="s">
        <v>1050</v>
      </c>
      <c r="E1262" s="15">
        <v>41640</v>
      </c>
      <c r="F1262" s="15">
        <v>42004</v>
      </c>
      <c r="G1262" s="14" t="s">
        <v>415</v>
      </c>
      <c r="H1262" s="24">
        <v>24</v>
      </c>
      <c r="I1262" s="24">
        <v>24</v>
      </c>
      <c r="J1262" s="24">
        <v>24</v>
      </c>
      <c r="K1262" s="24">
        <v>24</v>
      </c>
      <c r="L1262" s="24">
        <v>24</v>
      </c>
      <c r="M1262" s="24">
        <v>24</v>
      </c>
      <c r="N1262" s="24">
        <v>24</v>
      </c>
      <c r="O1262" s="24">
        <v>24</v>
      </c>
      <c r="P1262" s="24">
        <v>24</v>
      </c>
      <c r="Q1262" s="24">
        <v>24</v>
      </c>
      <c r="R1262" s="24">
        <v>24</v>
      </c>
      <c r="S1262" s="24">
        <v>24</v>
      </c>
      <c r="T1262" s="24">
        <v>24</v>
      </c>
      <c r="U1262" s="24">
        <v>24</v>
      </c>
      <c r="V1262" s="24">
        <v>24</v>
      </c>
      <c r="W1262" s="24">
        <v>24</v>
      </c>
      <c r="X1262" s="24">
        <v>24</v>
      </c>
      <c r="Y1262" s="24">
        <v>24</v>
      </c>
      <c r="Z1262" s="24">
        <v>24</v>
      </c>
      <c r="AA1262" s="24">
        <v>24</v>
      </c>
      <c r="AB1262" s="24">
        <v>24</v>
      </c>
      <c r="AC1262" s="24">
        <v>24</v>
      </c>
      <c r="AD1262" s="24">
        <v>24</v>
      </c>
      <c r="AE1262" s="24">
        <v>24</v>
      </c>
      <c r="AF1262" s="14"/>
    </row>
    <row r="1263" spans="1:32" ht="14.25" customHeight="1" x14ac:dyDescent="0.35">
      <c r="A1263" s="24" t="s">
        <v>1094</v>
      </c>
      <c r="B1263" s="14" t="s">
        <v>420</v>
      </c>
      <c r="C1263" s="24" t="s">
        <v>1058</v>
      </c>
      <c r="D1263" s="24" t="s">
        <v>791</v>
      </c>
      <c r="E1263" s="15">
        <v>41640</v>
      </c>
      <c r="F1263" s="15">
        <v>42004</v>
      </c>
      <c r="G1263" s="14" t="s">
        <v>415</v>
      </c>
      <c r="H1263" s="24">
        <v>22</v>
      </c>
      <c r="I1263" s="24">
        <v>18</v>
      </c>
      <c r="J1263" s="24">
        <v>18</v>
      </c>
      <c r="K1263" s="24">
        <v>18</v>
      </c>
      <c r="L1263" s="24">
        <v>18</v>
      </c>
      <c r="M1263" s="24">
        <v>18</v>
      </c>
      <c r="N1263" s="24">
        <v>18</v>
      </c>
      <c r="O1263" s="24">
        <v>20</v>
      </c>
      <c r="P1263" s="24">
        <v>22</v>
      </c>
      <c r="Q1263" s="24">
        <v>22</v>
      </c>
      <c r="R1263" s="24">
        <v>22</v>
      </c>
      <c r="S1263" s="24">
        <v>22</v>
      </c>
      <c r="T1263" s="24">
        <v>22</v>
      </c>
      <c r="U1263" s="24">
        <v>22</v>
      </c>
      <c r="V1263" s="24">
        <v>22</v>
      </c>
      <c r="W1263" s="24">
        <v>22</v>
      </c>
      <c r="X1263" s="24">
        <v>22</v>
      </c>
      <c r="Y1263" s="24">
        <v>22</v>
      </c>
      <c r="Z1263" s="24">
        <v>22</v>
      </c>
      <c r="AA1263" s="24">
        <v>22</v>
      </c>
      <c r="AB1263" s="24">
        <v>22</v>
      </c>
      <c r="AC1263" s="24">
        <v>22</v>
      </c>
      <c r="AD1263" s="24">
        <v>22</v>
      </c>
      <c r="AE1263" s="24">
        <v>22</v>
      </c>
      <c r="AF1263" s="14"/>
    </row>
    <row r="1264" spans="1:32" ht="14.25" customHeight="1" x14ac:dyDescent="0.35">
      <c r="A1264" s="24" t="s">
        <v>1094</v>
      </c>
      <c r="B1264" s="14" t="s">
        <v>420</v>
      </c>
      <c r="C1264" s="24" t="s">
        <v>1058</v>
      </c>
      <c r="D1264" s="24" t="s">
        <v>512</v>
      </c>
      <c r="E1264" s="15">
        <v>41640</v>
      </c>
      <c r="F1264" s="15">
        <v>42004</v>
      </c>
      <c r="G1264" s="14" t="s">
        <v>415</v>
      </c>
      <c r="H1264" s="24">
        <v>22</v>
      </c>
      <c r="I1264" s="24">
        <v>18</v>
      </c>
      <c r="J1264" s="24">
        <v>18</v>
      </c>
      <c r="K1264" s="24">
        <v>18</v>
      </c>
      <c r="L1264" s="24">
        <v>18</v>
      </c>
      <c r="M1264" s="24">
        <v>18</v>
      </c>
      <c r="N1264" s="24">
        <v>18</v>
      </c>
      <c r="O1264" s="24">
        <v>20</v>
      </c>
      <c r="P1264" s="24">
        <v>22</v>
      </c>
      <c r="Q1264" s="24">
        <v>22</v>
      </c>
      <c r="R1264" s="24">
        <v>22</v>
      </c>
      <c r="S1264" s="24">
        <v>22</v>
      </c>
      <c r="T1264" s="24">
        <v>22</v>
      </c>
      <c r="U1264" s="24">
        <v>22</v>
      </c>
      <c r="V1264" s="24">
        <v>22</v>
      </c>
      <c r="W1264" s="24">
        <v>22</v>
      </c>
      <c r="X1264" s="24">
        <v>22</v>
      </c>
      <c r="Y1264" s="24">
        <v>22</v>
      </c>
      <c r="Z1264" s="24">
        <v>22</v>
      </c>
      <c r="AA1264" s="24">
        <v>22</v>
      </c>
      <c r="AB1264" s="24">
        <v>22</v>
      </c>
      <c r="AC1264" s="24">
        <v>22</v>
      </c>
      <c r="AD1264" s="24">
        <v>22</v>
      </c>
      <c r="AE1264" s="24">
        <v>22</v>
      </c>
      <c r="AF1264" s="14"/>
    </row>
    <row r="1265" spans="1:32" ht="14.25" customHeight="1" x14ac:dyDescent="0.35">
      <c r="A1265" s="24" t="s">
        <v>1094</v>
      </c>
      <c r="B1265" s="14" t="s">
        <v>420</v>
      </c>
      <c r="C1265" s="24" t="s">
        <v>1058</v>
      </c>
      <c r="D1265" s="24" t="s">
        <v>1050</v>
      </c>
      <c r="E1265" s="15">
        <v>41640</v>
      </c>
      <c r="F1265" s="15">
        <v>42004</v>
      </c>
      <c r="G1265" s="14" t="s">
        <v>415</v>
      </c>
      <c r="H1265" s="24">
        <v>22</v>
      </c>
      <c r="I1265" s="24">
        <v>18</v>
      </c>
      <c r="J1265" s="24">
        <v>18</v>
      </c>
      <c r="K1265" s="24">
        <v>18</v>
      </c>
      <c r="L1265" s="24">
        <v>18</v>
      </c>
      <c r="M1265" s="24">
        <v>18</v>
      </c>
      <c r="N1265" s="24">
        <v>18</v>
      </c>
      <c r="O1265" s="24">
        <v>20</v>
      </c>
      <c r="P1265" s="24">
        <v>22</v>
      </c>
      <c r="Q1265" s="24">
        <v>22</v>
      </c>
      <c r="R1265" s="24">
        <v>22</v>
      </c>
      <c r="S1265" s="24">
        <v>22</v>
      </c>
      <c r="T1265" s="24">
        <v>22</v>
      </c>
      <c r="U1265" s="24">
        <v>22</v>
      </c>
      <c r="V1265" s="24">
        <v>22</v>
      </c>
      <c r="W1265" s="24">
        <v>22</v>
      </c>
      <c r="X1265" s="24">
        <v>22</v>
      </c>
      <c r="Y1265" s="24">
        <v>22</v>
      </c>
      <c r="Z1265" s="24">
        <v>22</v>
      </c>
      <c r="AA1265" s="24">
        <v>22</v>
      </c>
      <c r="AB1265" s="24">
        <v>22</v>
      </c>
      <c r="AC1265" s="24">
        <v>22</v>
      </c>
      <c r="AD1265" s="24">
        <v>22</v>
      </c>
      <c r="AE1265" s="24">
        <v>22</v>
      </c>
      <c r="AF1265" s="14"/>
    </row>
    <row r="1266" spans="1:32" ht="14.25" customHeight="1" x14ac:dyDescent="0.35">
      <c r="A1266" s="24" t="s">
        <v>342</v>
      </c>
      <c r="B1266" s="14" t="s">
        <v>427</v>
      </c>
      <c r="C1266" s="24" t="s">
        <v>1049</v>
      </c>
      <c r="D1266" s="24" t="s">
        <v>791</v>
      </c>
      <c r="E1266" s="15">
        <v>41640</v>
      </c>
      <c r="F1266" s="15">
        <v>42004</v>
      </c>
      <c r="G1266" s="14" t="s">
        <v>415</v>
      </c>
      <c r="H1266" s="24">
        <v>0.1</v>
      </c>
      <c r="I1266" s="24">
        <v>0.1</v>
      </c>
      <c r="J1266" s="24">
        <v>0.1</v>
      </c>
      <c r="K1266" s="24">
        <v>0.1</v>
      </c>
      <c r="L1266" s="24">
        <v>0.1</v>
      </c>
      <c r="M1266" s="24">
        <v>0.1</v>
      </c>
      <c r="N1266" s="24">
        <v>0.1</v>
      </c>
      <c r="O1266" s="24">
        <v>0.1</v>
      </c>
      <c r="P1266" s="24">
        <v>0.1</v>
      </c>
      <c r="Q1266" s="24">
        <v>0.1</v>
      </c>
      <c r="R1266" s="24">
        <v>0.1</v>
      </c>
      <c r="S1266" s="24">
        <v>0.1</v>
      </c>
      <c r="T1266" s="24">
        <v>0.1</v>
      </c>
      <c r="U1266" s="24">
        <v>0.1</v>
      </c>
      <c r="V1266" s="24">
        <v>0.1</v>
      </c>
      <c r="W1266" s="24">
        <v>0.2</v>
      </c>
      <c r="X1266" s="24">
        <v>0.2</v>
      </c>
      <c r="Y1266" s="24">
        <v>0.2</v>
      </c>
      <c r="Z1266" s="24">
        <v>0.8</v>
      </c>
      <c r="AA1266" s="24">
        <v>0.8</v>
      </c>
      <c r="AB1266" s="24">
        <v>0.8</v>
      </c>
      <c r="AC1266" s="24">
        <v>0.8</v>
      </c>
      <c r="AD1266" s="24">
        <v>0.8</v>
      </c>
      <c r="AE1266" s="24">
        <v>0.8</v>
      </c>
      <c r="AF1266" s="14"/>
    </row>
    <row r="1267" spans="1:32" ht="14.25" customHeight="1" x14ac:dyDescent="0.35">
      <c r="A1267" s="24" t="s">
        <v>342</v>
      </c>
      <c r="B1267" s="14" t="s">
        <v>427</v>
      </c>
      <c r="C1267" s="24" t="s">
        <v>1049</v>
      </c>
      <c r="D1267" s="24" t="s">
        <v>512</v>
      </c>
      <c r="E1267" s="15">
        <v>41640</v>
      </c>
      <c r="F1267" s="15">
        <v>42004</v>
      </c>
      <c r="G1267" s="14" t="s">
        <v>415</v>
      </c>
      <c r="H1267" s="24">
        <v>0.1</v>
      </c>
      <c r="I1267" s="24">
        <v>0.1</v>
      </c>
      <c r="J1267" s="24">
        <v>0.1</v>
      </c>
      <c r="K1267" s="24">
        <v>0.1</v>
      </c>
      <c r="L1267" s="24">
        <v>0.1</v>
      </c>
      <c r="M1267" s="24">
        <v>0.1</v>
      </c>
      <c r="N1267" s="24">
        <v>0.1</v>
      </c>
      <c r="O1267" s="24">
        <v>0.1</v>
      </c>
      <c r="P1267" s="24">
        <v>0.1</v>
      </c>
      <c r="Q1267" s="24">
        <v>0.1</v>
      </c>
      <c r="R1267" s="24">
        <v>0.2</v>
      </c>
      <c r="S1267" s="24">
        <v>0.2</v>
      </c>
      <c r="T1267" s="24">
        <v>0.2</v>
      </c>
      <c r="U1267" s="24">
        <v>0.8</v>
      </c>
      <c r="V1267" s="24">
        <v>0.8</v>
      </c>
      <c r="W1267" s="24">
        <v>0.8</v>
      </c>
      <c r="X1267" s="24">
        <v>0.8</v>
      </c>
      <c r="Y1267" s="24">
        <v>0.8</v>
      </c>
      <c r="Z1267" s="24">
        <v>0.8</v>
      </c>
      <c r="AA1267" s="24">
        <v>0.8</v>
      </c>
      <c r="AB1267" s="24">
        <v>0.8</v>
      </c>
      <c r="AC1267" s="24">
        <v>0.8</v>
      </c>
      <c r="AD1267" s="24">
        <v>0.8</v>
      </c>
      <c r="AE1267" s="24">
        <v>0.8</v>
      </c>
      <c r="AF1267" s="14"/>
    </row>
    <row r="1268" spans="1:32" ht="14.25" customHeight="1" x14ac:dyDescent="0.35">
      <c r="A1268" s="24" t="s">
        <v>342</v>
      </c>
      <c r="B1268" s="14" t="s">
        <v>427</v>
      </c>
      <c r="C1268" s="24" t="s">
        <v>1049</v>
      </c>
      <c r="D1268" s="24" t="s">
        <v>1050</v>
      </c>
      <c r="E1268" s="15">
        <v>41640</v>
      </c>
      <c r="F1268" s="15">
        <v>42004</v>
      </c>
      <c r="G1268" s="14" t="s">
        <v>415</v>
      </c>
      <c r="H1268" s="24">
        <v>0.1</v>
      </c>
      <c r="I1268" s="24">
        <v>0.1</v>
      </c>
      <c r="J1268" s="24">
        <v>0.1</v>
      </c>
      <c r="K1268" s="24">
        <v>0.1</v>
      </c>
      <c r="L1268" s="24">
        <v>0.1</v>
      </c>
      <c r="M1268" s="24">
        <v>0.1</v>
      </c>
      <c r="N1268" s="24">
        <v>0.1</v>
      </c>
      <c r="O1268" s="24">
        <v>0.1</v>
      </c>
      <c r="P1268" s="24">
        <v>0.8</v>
      </c>
      <c r="Q1268" s="24">
        <v>0.8</v>
      </c>
      <c r="R1268" s="24">
        <v>0.8</v>
      </c>
      <c r="S1268" s="24">
        <v>0.8</v>
      </c>
      <c r="T1268" s="24">
        <v>0.8</v>
      </c>
      <c r="U1268" s="24">
        <v>0.2</v>
      </c>
      <c r="V1268" s="24">
        <v>0.1</v>
      </c>
      <c r="W1268" s="24">
        <v>0.1</v>
      </c>
      <c r="X1268" s="24">
        <v>0.1</v>
      </c>
      <c r="Y1268" s="24">
        <v>0.1</v>
      </c>
      <c r="Z1268" s="24">
        <v>0.1</v>
      </c>
      <c r="AA1268" s="24">
        <v>0.1</v>
      </c>
      <c r="AB1268" s="24">
        <v>0.1</v>
      </c>
      <c r="AC1268" s="24">
        <v>0.1</v>
      </c>
      <c r="AD1268" s="24">
        <v>0.1</v>
      </c>
      <c r="AE1268" s="24">
        <v>0.1</v>
      </c>
      <c r="AF1268" s="14"/>
    </row>
    <row r="1269" spans="1:32" ht="14.25" customHeight="1" x14ac:dyDescent="0.35">
      <c r="A1269" s="24" t="s">
        <v>1095</v>
      </c>
      <c r="B1269" s="14" t="s">
        <v>1052</v>
      </c>
      <c r="C1269" s="24" t="s">
        <v>1053</v>
      </c>
      <c r="D1269" s="24" t="s">
        <v>791</v>
      </c>
      <c r="E1269" s="15">
        <v>41640</v>
      </c>
      <c r="F1269" s="15">
        <v>42004</v>
      </c>
      <c r="G1269" s="14" t="s">
        <v>415</v>
      </c>
      <c r="H1269" s="24">
        <v>1</v>
      </c>
      <c r="I1269" s="24">
        <v>0</v>
      </c>
      <c r="J1269" s="24">
        <v>0</v>
      </c>
      <c r="K1269" s="24">
        <v>0</v>
      </c>
      <c r="L1269" s="24">
        <v>0</v>
      </c>
      <c r="M1269" s="24">
        <v>0</v>
      </c>
      <c r="N1269" s="24">
        <v>0</v>
      </c>
      <c r="O1269" s="24">
        <v>0</v>
      </c>
      <c r="P1269" s="24">
        <v>0</v>
      </c>
      <c r="Q1269" s="24">
        <v>0</v>
      </c>
      <c r="R1269" s="24">
        <v>0</v>
      </c>
      <c r="S1269" s="24">
        <v>0</v>
      </c>
      <c r="T1269" s="24">
        <v>0</v>
      </c>
      <c r="U1269" s="24">
        <v>0</v>
      </c>
      <c r="V1269" s="24">
        <v>1</v>
      </c>
      <c r="W1269" s="24">
        <v>1</v>
      </c>
      <c r="X1269" s="24">
        <v>1</v>
      </c>
      <c r="Y1269" s="24">
        <v>1</v>
      </c>
      <c r="Z1269" s="24">
        <v>1</v>
      </c>
      <c r="AA1269" s="24">
        <v>1</v>
      </c>
      <c r="AB1269" s="24">
        <v>1</v>
      </c>
      <c r="AC1269" s="24">
        <v>1</v>
      </c>
      <c r="AD1269" s="24">
        <v>1</v>
      </c>
      <c r="AE1269" s="24">
        <v>1</v>
      </c>
      <c r="AF1269" s="14"/>
    </row>
    <row r="1270" spans="1:32" ht="14.25" customHeight="1" x14ac:dyDescent="0.35">
      <c r="A1270" s="24" t="s">
        <v>1095</v>
      </c>
      <c r="B1270" s="14" t="s">
        <v>1052</v>
      </c>
      <c r="C1270" s="24" t="s">
        <v>1053</v>
      </c>
      <c r="D1270" s="24" t="s">
        <v>512</v>
      </c>
      <c r="E1270" s="15">
        <v>41640</v>
      </c>
      <c r="F1270" s="15">
        <v>42004</v>
      </c>
      <c r="G1270" s="14" t="s">
        <v>415</v>
      </c>
      <c r="H1270" s="24">
        <v>1</v>
      </c>
      <c r="I1270" s="24">
        <v>0</v>
      </c>
      <c r="J1270" s="24">
        <v>0</v>
      </c>
      <c r="K1270" s="24">
        <v>0</v>
      </c>
      <c r="L1270" s="24">
        <v>0</v>
      </c>
      <c r="M1270" s="24">
        <v>0</v>
      </c>
      <c r="N1270" s="24">
        <v>0</v>
      </c>
      <c r="O1270" s="24">
        <v>0</v>
      </c>
      <c r="P1270" s="24">
        <v>0</v>
      </c>
      <c r="Q1270" s="24">
        <v>0</v>
      </c>
      <c r="R1270" s="24">
        <v>1</v>
      </c>
      <c r="S1270" s="24">
        <v>1</v>
      </c>
      <c r="T1270" s="24">
        <v>1</v>
      </c>
      <c r="U1270" s="24">
        <v>1</v>
      </c>
      <c r="V1270" s="24">
        <v>1</v>
      </c>
      <c r="W1270" s="24">
        <v>1</v>
      </c>
      <c r="X1270" s="24">
        <v>1</v>
      </c>
      <c r="Y1270" s="24">
        <v>1</v>
      </c>
      <c r="Z1270" s="24">
        <v>1</v>
      </c>
      <c r="AA1270" s="24">
        <v>1</v>
      </c>
      <c r="AB1270" s="24">
        <v>1</v>
      </c>
      <c r="AC1270" s="24">
        <v>1</v>
      </c>
      <c r="AD1270" s="24">
        <v>1</v>
      </c>
      <c r="AE1270" s="24">
        <v>1</v>
      </c>
      <c r="AF1270" s="14"/>
    </row>
    <row r="1271" spans="1:32" ht="14.25" customHeight="1" x14ac:dyDescent="0.35">
      <c r="A1271" s="24" t="s">
        <v>1095</v>
      </c>
      <c r="B1271" s="14" t="s">
        <v>1052</v>
      </c>
      <c r="C1271" s="24" t="s">
        <v>1053</v>
      </c>
      <c r="D1271" s="24" t="s">
        <v>1050</v>
      </c>
      <c r="E1271" s="15">
        <v>41640</v>
      </c>
      <c r="F1271" s="15">
        <v>42004</v>
      </c>
      <c r="G1271" s="14" t="s">
        <v>415</v>
      </c>
      <c r="H1271" s="24">
        <v>0</v>
      </c>
      <c r="I1271" s="24">
        <v>0</v>
      </c>
      <c r="J1271" s="24">
        <v>0</v>
      </c>
      <c r="K1271" s="24">
        <v>0</v>
      </c>
      <c r="L1271" s="24">
        <v>0</v>
      </c>
      <c r="M1271" s="24">
        <v>0</v>
      </c>
      <c r="N1271" s="24">
        <v>0</v>
      </c>
      <c r="O1271" s="24">
        <v>1</v>
      </c>
      <c r="P1271" s="24">
        <v>1</v>
      </c>
      <c r="Q1271" s="24">
        <v>1</v>
      </c>
      <c r="R1271" s="24">
        <v>1</v>
      </c>
      <c r="S1271" s="24">
        <v>1</v>
      </c>
      <c r="T1271" s="24">
        <v>1</v>
      </c>
      <c r="U1271" s="24">
        <v>1</v>
      </c>
      <c r="V1271" s="24">
        <v>0</v>
      </c>
      <c r="W1271" s="24">
        <v>0</v>
      </c>
      <c r="X1271" s="24">
        <v>0</v>
      </c>
      <c r="Y1271" s="24">
        <v>0</v>
      </c>
      <c r="Z1271" s="24">
        <v>0</v>
      </c>
      <c r="AA1271" s="24">
        <v>0</v>
      </c>
      <c r="AB1271" s="24">
        <v>0</v>
      </c>
      <c r="AC1271" s="24">
        <v>0</v>
      </c>
      <c r="AD1271" s="24">
        <v>0</v>
      </c>
      <c r="AE1271" s="24">
        <v>0</v>
      </c>
      <c r="AF1271" s="14"/>
    </row>
    <row r="1272" spans="1:32" ht="14.25" customHeight="1" x14ac:dyDescent="0.35">
      <c r="A1272" s="24" t="s">
        <v>371</v>
      </c>
      <c r="B1272" s="14" t="s">
        <v>424</v>
      </c>
      <c r="C1272" s="24" t="s">
        <v>1049</v>
      </c>
      <c r="D1272" s="24" t="s">
        <v>791</v>
      </c>
      <c r="E1272" s="15">
        <v>41640</v>
      </c>
      <c r="F1272" s="15">
        <v>42004</v>
      </c>
      <c r="G1272" s="14" t="s">
        <v>415</v>
      </c>
      <c r="H1272" s="24">
        <v>0.5</v>
      </c>
      <c r="I1272" s="24">
        <v>0.05</v>
      </c>
      <c r="J1272" s="24">
        <v>0.05</v>
      </c>
      <c r="K1272" s="24">
        <v>0.05</v>
      </c>
      <c r="L1272" s="24">
        <v>0.05</v>
      </c>
      <c r="M1272" s="24">
        <v>0.05</v>
      </c>
      <c r="N1272" s="24">
        <v>0.05</v>
      </c>
      <c r="O1272" s="24">
        <v>0.05</v>
      </c>
      <c r="P1272" s="24">
        <v>0.05</v>
      </c>
      <c r="Q1272" s="24">
        <v>0.05</v>
      </c>
      <c r="R1272" s="24">
        <v>0.05</v>
      </c>
      <c r="S1272" s="24">
        <v>0.05</v>
      </c>
      <c r="T1272" s="24">
        <v>0.05</v>
      </c>
      <c r="U1272" s="24">
        <v>0.05</v>
      </c>
      <c r="V1272" s="24">
        <v>0.05</v>
      </c>
      <c r="W1272" s="24">
        <v>0.5</v>
      </c>
      <c r="X1272" s="24">
        <v>0.5</v>
      </c>
      <c r="Y1272" s="24">
        <v>0.5</v>
      </c>
      <c r="Z1272" s="24">
        <v>0.8</v>
      </c>
      <c r="AA1272" s="24">
        <v>0.9</v>
      </c>
      <c r="AB1272" s="24">
        <v>0.9</v>
      </c>
      <c r="AC1272" s="24">
        <v>0.9</v>
      </c>
      <c r="AD1272" s="24">
        <v>0.9</v>
      </c>
      <c r="AE1272" s="24">
        <v>0.9</v>
      </c>
      <c r="AF1272" s="14"/>
    </row>
    <row r="1273" spans="1:32" ht="14.25" customHeight="1" x14ac:dyDescent="0.35">
      <c r="A1273" s="24" t="s">
        <v>371</v>
      </c>
      <c r="B1273" s="14" t="s">
        <v>424</v>
      </c>
      <c r="C1273" s="24" t="s">
        <v>1049</v>
      </c>
      <c r="D1273" s="24" t="s">
        <v>512</v>
      </c>
      <c r="E1273" s="15">
        <v>41640</v>
      </c>
      <c r="F1273" s="15">
        <v>42004</v>
      </c>
      <c r="G1273" s="14" t="s">
        <v>415</v>
      </c>
      <c r="H1273" s="24">
        <v>0.5</v>
      </c>
      <c r="I1273" s="24">
        <v>0.05</v>
      </c>
      <c r="J1273" s="24">
        <v>0.05</v>
      </c>
      <c r="K1273" s="24">
        <v>0.05</v>
      </c>
      <c r="L1273" s="24">
        <v>0.05</v>
      </c>
      <c r="M1273" s="24">
        <v>0.05</v>
      </c>
      <c r="N1273" s="24">
        <v>0.05</v>
      </c>
      <c r="O1273" s="24">
        <v>0.05</v>
      </c>
      <c r="P1273" s="24">
        <v>0.05</v>
      </c>
      <c r="Q1273" s="24">
        <v>0.05</v>
      </c>
      <c r="R1273" s="24">
        <v>0.5</v>
      </c>
      <c r="S1273" s="24">
        <v>0.5</v>
      </c>
      <c r="T1273" s="24">
        <v>0.5</v>
      </c>
      <c r="U1273" s="24">
        <v>0.8</v>
      </c>
      <c r="V1273" s="24">
        <v>0.9</v>
      </c>
      <c r="W1273" s="24">
        <v>0.9</v>
      </c>
      <c r="X1273" s="24">
        <v>0.9</v>
      </c>
      <c r="Y1273" s="24">
        <v>0.8</v>
      </c>
      <c r="Z1273" s="24">
        <v>0.6</v>
      </c>
      <c r="AA1273" s="24">
        <v>0.8</v>
      </c>
      <c r="AB1273" s="24">
        <v>0.9</v>
      </c>
      <c r="AC1273" s="24">
        <v>0.9</v>
      </c>
      <c r="AD1273" s="24">
        <v>0.9</v>
      </c>
      <c r="AE1273" s="24">
        <v>0.9</v>
      </c>
      <c r="AF1273" s="14"/>
    </row>
    <row r="1274" spans="1:32" ht="14.25" customHeight="1" x14ac:dyDescent="0.35">
      <c r="A1274" s="24" t="s">
        <v>371</v>
      </c>
      <c r="B1274" s="14" t="s">
        <v>424</v>
      </c>
      <c r="C1274" s="24" t="s">
        <v>1049</v>
      </c>
      <c r="D1274" s="24" t="s">
        <v>1050</v>
      </c>
      <c r="E1274" s="15">
        <v>41640</v>
      </c>
      <c r="F1274" s="15">
        <v>42004</v>
      </c>
      <c r="G1274" s="14" t="s">
        <v>415</v>
      </c>
      <c r="H1274" s="24">
        <v>0.05</v>
      </c>
      <c r="I1274" s="24">
        <v>0.05</v>
      </c>
      <c r="J1274" s="24">
        <v>0.05</v>
      </c>
      <c r="K1274" s="24">
        <v>0.05</v>
      </c>
      <c r="L1274" s="24">
        <v>0.05</v>
      </c>
      <c r="M1274" s="24">
        <v>0.05</v>
      </c>
      <c r="N1274" s="24">
        <v>0.05</v>
      </c>
      <c r="O1274" s="24">
        <v>0.05</v>
      </c>
      <c r="P1274" s="24">
        <v>0.5</v>
      </c>
      <c r="Q1274" s="24">
        <v>0.9</v>
      </c>
      <c r="R1274" s="24">
        <v>0.9</v>
      </c>
      <c r="S1274" s="24">
        <v>0.9</v>
      </c>
      <c r="T1274" s="24">
        <v>0.9</v>
      </c>
      <c r="U1274" s="24">
        <v>0.5</v>
      </c>
      <c r="V1274" s="24">
        <v>0.05</v>
      </c>
      <c r="W1274" s="24">
        <v>0.05</v>
      </c>
      <c r="X1274" s="24">
        <v>0.05</v>
      </c>
      <c r="Y1274" s="24">
        <v>0.05</v>
      </c>
      <c r="Z1274" s="24">
        <v>0.05</v>
      </c>
      <c r="AA1274" s="24">
        <v>0.05</v>
      </c>
      <c r="AB1274" s="24">
        <v>0.05</v>
      </c>
      <c r="AC1274" s="24">
        <v>0.05</v>
      </c>
      <c r="AD1274" s="24">
        <v>0.05</v>
      </c>
      <c r="AE1274" s="24">
        <v>0.05</v>
      </c>
      <c r="AF1274" s="14"/>
    </row>
    <row r="1275" spans="1:32" ht="14.25" customHeight="1" x14ac:dyDescent="0.35">
      <c r="A1275" s="24" t="s">
        <v>359</v>
      </c>
      <c r="B1275" s="14" t="s">
        <v>448</v>
      </c>
      <c r="C1275" s="24" t="s">
        <v>1049</v>
      </c>
      <c r="D1275" s="24" t="s">
        <v>791</v>
      </c>
      <c r="E1275" s="15">
        <v>41640</v>
      </c>
      <c r="F1275" s="15">
        <v>42004</v>
      </c>
      <c r="G1275" s="14" t="s">
        <v>415</v>
      </c>
      <c r="H1275" s="24">
        <v>0.1</v>
      </c>
      <c r="I1275" s="24">
        <v>0</v>
      </c>
      <c r="J1275" s="24">
        <v>0</v>
      </c>
      <c r="K1275" s="24">
        <v>0</v>
      </c>
      <c r="L1275" s="24">
        <v>0</v>
      </c>
      <c r="M1275" s="24">
        <v>0</v>
      </c>
      <c r="N1275" s="24">
        <v>0</v>
      </c>
      <c r="O1275" s="24">
        <v>0</v>
      </c>
      <c r="P1275" s="24">
        <v>0</v>
      </c>
      <c r="Q1275" s="24">
        <v>0</v>
      </c>
      <c r="R1275" s="24">
        <v>0</v>
      </c>
      <c r="S1275" s="24">
        <v>0</v>
      </c>
      <c r="T1275" s="24">
        <v>0</v>
      </c>
      <c r="U1275" s="24">
        <v>0</v>
      </c>
      <c r="V1275" s="24">
        <v>0</v>
      </c>
      <c r="W1275" s="24">
        <v>0.1</v>
      </c>
      <c r="X1275" s="24">
        <v>0.1</v>
      </c>
      <c r="Y1275" s="24">
        <v>0.1</v>
      </c>
      <c r="Z1275" s="24">
        <v>0.4</v>
      </c>
      <c r="AA1275" s="24">
        <v>0.8</v>
      </c>
      <c r="AB1275" s="24">
        <v>0.8</v>
      </c>
      <c r="AC1275" s="24">
        <v>0.8</v>
      </c>
      <c r="AD1275" s="24">
        <v>0.6</v>
      </c>
      <c r="AE1275" s="24">
        <v>0.4</v>
      </c>
      <c r="AF1275" s="14"/>
    </row>
    <row r="1276" spans="1:32" ht="14.25" customHeight="1" x14ac:dyDescent="0.35">
      <c r="A1276" s="24" t="s">
        <v>359</v>
      </c>
      <c r="B1276" s="14" t="s">
        <v>448</v>
      </c>
      <c r="C1276" s="24" t="s">
        <v>1049</v>
      </c>
      <c r="D1276" s="24" t="s">
        <v>512</v>
      </c>
      <c r="E1276" s="15">
        <v>41640</v>
      </c>
      <c r="F1276" s="15">
        <v>42004</v>
      </c>
      <c r="G1276" s="14" t="s">
        <v>415</v>
      </c>
      <c r="H1276" s="24">
        <v>0.1</v>
      </c>
      <c r="I1276" s="24">
        <v>0</v>
      </c>
      <c r="J1276" s="24">
        <v>0</v>
      </c>
      <c r="K1276" s="24">
        <v>0</v>
      </c>
      <c r="L1276" s="24">
        <v>0</v>
      </c>
      <c r="M1276" s="24">
        <v>0</v>
      </c>
      <c r="N1276" s="24">
        <v>0</v>
      </c>
      <c r="O1276" s="24">
        <v>0</v>
      </c>
      <c r="P1276" s="24">
        <v>0</v>
      </c>
      <c r="Q1276" s="24">
        <v>0</v>
      </c>
      <c r="R1276" s="24">
        <v>0.1</v>
      </c>
      <c r="S1276" s="24">
        <v>0.1</v>
      </c>
      <c r="T1276" s="24">
        <v>0.1</v>
      </c>
      <c r="U1276" s="24">
        <v>0.4</v>
      </c>
      <c r="V1276" s="24">
        <v>0.6</v>
      </c>
      <c r="W1276" s="24">
        <v>0.8</v>
      </c>
      <c r="X1276" s="24">
        <v>0.6</v>
      </c>
      <c r="Y1276" s="24">
        <v>0.4</v>
      </c>
      <c r="Z1276" s="24">
        <v>0.2</v>
      </c>
      <c r="AA1276" s="24">
        <v>0.4</v>
      </c>
      <c r="AB1276" s="24">
        <v>0.8</v>
      </c>
      <c r="AC1276" s="24">
        <v>0.8</v>
      </c>
      <c r="AD1276" s="24">
        <v>0.6</v>
      </c>
      <c r="AE1276" s="24">
        <v>0.4</v>
      </c>
      <c r="AF1276" s="14"/>
    </row>
    <row r="1277" spans="1:32" ht="14.25" customHeight="1" x14ac:dyDescent="0.35">
      <c r="A1277" s="24" t="s">
        <v>359</v>
      </c>
      <c r="B1277" s="14" t="s">
        <v>448</v>
      </c>
      <c r="C1277" s="24" t="s">
        <v>1049</v>
      </c>
      <c r="D1277" s="24" t="s">
        <v>1050</v>
      </c>
      <c r="E1277" s="15">
        <v>41640</v>
      </c>
      <c r="F1277" s="15">
        <v>42004</v>
      </c>
      <c r="G1277" s="14" t="s">
        <v>415</v>
      </c>
      <c r="H1277" s="24">
        <v>0</v>
      </c>
      <c r="I1277" s="24">
        <v>0</v>
      </c>
      <c r="J1277" s="24">
        <v>0</v>
      </c>
      <c r="K1277" s="24">
        <v>0</v>
      </c>
      <c r="L1277" s="24">
        <v>0</v>
      </c>
      <c r="M1277" s="24">
        <v>0</v>
      </c>
      <c r="N1277" s="24">
        <v>0</v>
      </c>
      <c r="O1277" s="24">
        <v>0</v>
      </c>
      <c r="P1277" s="24">
        <v>0.2</v>
      </c>
      <c r="Q1277" s="24">
        <v>0.4</v>
      </c>
      <c r="R1277" s="24">
        <v>0.8</v>
      </c>
      <c r="S1277" s="24">
        <v>0.8</v>
      </c>
      <c r="T1277" s="24">
        <v>0.4</v>
      </c>
      <c r="U1277" s="24">
        <v>0.2</v>
      </c>
      <c r="V1277" s="24">
        <v>0</v>
      </c>
      <c r="W1277" s="24">
        <v>0</v>
      </c>
      <c r="X1277" s="24">
        <v>0</v>
      </c>
      <c r="Y1277" s="24">
        <v>0</v>
      </c>
      <c r="Z1277" s="24">
        <v>0</v>
      </c>
      <c r="AA1277" s="24">
        <v>0</v>
      </c>
      <c r="AB1277" s="24">
        <v>0</v>
      </c>
      <c r="AC1277" s="24">
        <v>0</v>
      </c>
      <c r="AD1277" s="24">
        <v>0</v>
      </c>
      <c r="AE1277" s="24">
        <v>0</v>
      </c>
      <c r="AF1277" s="14"/>
    </row>
    <row r="1278" spans="1:32" ht="14.25" customHeight="1" x14ac:dyDescent="0.35">
      <c r="A1278" s="24" t="s">
        <v>1096</v>
      </c>
      <c r="B1278" s="14" t="s">
        <v>1055</v>
      </c>
      <c r="C1278" s="24" t="s">
        <v>1049</v>
      </c>
      <c r="D1278" s="24" t="s">
        <v>791</v>
      </c>
      <c r="E1278" s="15">
        <v>41640</v>
      </c>
      <c r="F1278" s="15">
        <v>42004</v>
      </c>
      <c r="G1278" s="14" t="s">
        <v>415</v>
      </c>
      <c r="H1278" s="24">
        <v>0.1</v>
      </c>
      <c r="I1278" s="24">
        <v>0.1</v>
      </c>
      <c r="J1278" s="24">
        <v>0.1</v>
      </c>
      <c r="K1278" s="24">
        <v>0.1</v>
      </c>
      <c r="L1278" s="24">
        <v>0.1</v>
      </c>
      <c r="M1278" s="24">
        <v>0.1</v>
      </c>
      <c r="N1278" s="24">
        <v>0.1</v>
      </c>
      <c r="O1278" s="24">
        <v>0.1</v>
      </c>
      <c r="P1278" s="24">
        <v>0.1</v>
      </c>
      <c r="Q1278" s="24">
        <v>0.1</v>
      </c>
      <c r="R1278" s="24">
        <v>0.1</v>
      </c>
      <c r="S1278" s="24">
        <v>0.1</v>
      </c>
      <c r="T1278" s="24">
        <v>0.1</v>
      </c>
      <c r="U1278" s="24">
        <v>0.1</v>
      </c>
      <c r="V1278" s="24">
        <v>0.1</v>
      </c>
      <c r="W1278" s="24">
        <v>0.2</v>
      </c>
      <c r="X1278" s="24">
        <v>0.2</v>
      </c>
      <c r="Y1278" s="24">
        <v>0.2</v>
      </c>
      <c r="Z1278" s="24">
        <v>0.8</v>
      </c>
      <c r="AA1278" s="24">
        <v>0.8</v>
      </c>
      <c r="AB1278" s="24">
        <v>0.8</v>
      </c>
      <c r="AC1278" s="24">
        <v>0.8</v>
      </c>
      <c r="AD1278" s="24">
        <v>0.8</v>
      </c>
      <c r="AE1278" s="24">
        <v>0.8</v>
      </c>
      <c r="AF1278" s="14"/>
    </row>
    <row r="1279" spans="1:32" ht="14.25" customHeight="1" x14ac:dyDescent="0.35">
      <c r="A1279" s="24" t="s">
        <v>1096</v>
      </c>
      <c r="B1279" s="14" t="s">
        <v>1055</v>
      </c>
      <c r="C1279" s="24" t="s">
        <v>1049</v>
      </c>
      <c r="D1279" s="24" t="s">
        <v>512</v>
      </c>
      <c r="E1279" s="15">
        <v>41640</v>
      </c>
      <c r="F1279" s="15">
        <v>42004</v>
      </c>
      <c r="G1279" s="14" t="s">
        <v>415</v>
      </c>
      <c r="H1279" s="24">
        <v>0.1</v>
      </c>
      <c r="I1279" s="24">
        <v>0.1</v>
      </c>
      <c r="J1279" s="24">
        <v>0.1</v>
      </c>
      <c r="K1279" s="24">
        <v>0.1</v>
      </c>
      <c r="L1279" s="24">
        <v>0.1</v>
      </c>
      <c r="M1279" s="24">
        <v>0.1</v>
      </c>
      <c r="N1279" s="24">
        <v>0.1</v>
      </c>
      <c r="O1279" s="24">
        <v>0.1</v>
      </c>
      <c r="P1279" s="24">
        <v>0.1</v>
      </c>
      <c r="Q1279" s="24">
        <v>0.1</v>
      </c>
      <c r="R1279" s="24">
        <v>0.2</v>
      </c>
      <c r="S1279" s="24">
        <v>0.2</v>
      </c>
      <c r="T1279" s="24">
        <v>0.2</v>
      </c>
      <c r="U1279" s="24">
        <v>0.8</v>
      </c>
      <c r="V1279" s="24">
        <v>0.8</v>
      </c>
      <c r="W1279" s="24">
        <v>0.8</v>
      </c>
      <c r="X1279" s="24">
        <v>0.8</v>
      </c>
      <c r="Y1279" s="24">
        <v>0.8</v>
      </c>
      <c r="Z1279" s="24">
        <v>0.8</v>
      </c>
      <c r="AA1279" s="24">
        <v>0.8</v>
      </c>
      <c r="AB1279" s="24">
        <v>0.8</v>
      </c>
      <c r="AC1279" s="24">
        <v>0.8</v>
      </c>
      <c r="AD1279" s="24">
        <v>0.8</v>
      </c>
      <c r="AE1279" s="24">
        <v>0.8</v>
      </c>
      <c r="AF1279" s="14"/>
    </row>
    <row r="1280" spans="1:32" ht="14.25" customHeight="1" x14ac:dyDescent="0.35">
      <c r="A1280" s="24" t="s">
        <v>1096</v>
      </c>
      <c r="B1280" s="14" t="s">
        <v>1055</v>
      </c>
      <c r="C1280" s="24" t="s">
        <v>1049</v>
      </c>
      <c r="D1280" s="24" t="s">
        <v>1050</v>
      </c>
      <c r="E1280" s="15">
        <v>41640</v>
      </c>
      <c r="F1280" s="15">
        <v>42004</v>
      </c>
      <c r="G1280" s="14" t="s">
        <v>415</v>
      </c>
      <c r="H1280" s="24">
        <v>0.1</v>
      </c>
      <c r="I1280" s="24">
        <v>0.1</v>
      </c>
      <c r="J1280" s="24">
        <v>0.1</v>
      </c>
      <c r="K1280" s="24">
        <v>0.1</v>
      </c>
      <c r="L1280" s="24">
        <v>0.1</v>
      </c>
      <c r="M1280" s="24">
        <v>0.1</v>
      </c>
      <c r="N1280" s="24">
        <v>0.1</v>
      </c>
      <c r="O1280" s="24">
        <v>0.1</v>
      </c>
      <c r="P1280" s="24">
        <v>0.8</v>
      </c>
      <c r="Q1280" s="24">
        <v>0.8</v>
      </c>
      <c r="R1280" s="24">
        <v>0.8</v>
      </c>
      <c r="S1280" s="24">
        <v>0.8</v>
      </c>
      <c r="T1280" s="24">
        <v>0.8</v>
      </c>
      <c r="U1280" s="24">
        <v>0.2</v>
      </c>
      <c r="V1280" s="24">
        <v>0.1</v>
      </c>
      <c r="W1280" s="24">
        <v>0.1</v>
      </c>
      <c r="X1280" s="24">
        <v>0.1</v>
      </c>
      <c r="Y1280" s="24">
        <v>0.1</v>
      </c>
      <c r="Z1280" s="24">
        <v>0.1</v>
      </c>
      <c r="AA1280" s="24">
        <v>0.1</v>
      </c>
      <c r="AB1280" s="24">
        <v>0.1</v>
      </c>
      <c r="AC1280" s="24">
        <v>0.1</v>
      </c>
      <c r="AD1280" s="24">
        <v>0.1</v>
      </c>
      <c r="AE1280" s="24">
        <v>0.1</v>
      </c>
      <c r="AF1280" s="14"/>
    </row>
    <row r="1281" spans="1:32" ht="14.25" customHeight="1" x14ac:dyDescent="0.35">
      <c r="A1281" s="24" t="s">
        <v>1097</v>
      </c>
      <c r="B1281" s="14" t="s">
        <v>460</v>
      </c>
      <c r="C1281" s="24" t="s">
        <v>1049</v>
      </c>
      <c r="D1281" s="24" t="s">
        <v>791</v>
      </c>
      <c r="E1281" s="15">
        <v>41640</v>
      </c>
      <c r="F1281" s="15">
        <v>42004</v>
      </c>
      <c r="G1281" s="14" t="s">
        <v>415</v>
      </c>
      <c r="H1281" s="24">
        <v>0.2</v>
      </c>
      <c r="I1281" s="24">
        <v>0.05</v>
      </c>
      <c r="J1281" s="24">
        <v>0.05</v>
      </c>
      <c r="K1281" s="24">
        <v>0.05</v>
      </c>
      <c r="L1281" s="24">
        <v>0.05</v>
      </c>
      <c r="M1281" s="24">
        <v>0.05</v>
      </c>
      <c r="N1281" s="24">
        <v>0.05</v>
      </c>
      <c r="O1281" s="24">
        <v>0.05</v>
      </c>
      <c r="P1281" s="24">
        <v>0.05</v>
      </c>
      <c r="Q1281" s="24">
        <v>0.05</v>
      </c>
      <c r="R1281" s="24">
        <v>0.05</v>
      </c>
      <c r="S1281" s="24">
        <v>0.05</v>
      </c>
      <c r="T1281" s="24">
        <v>0.05</v>
      </c>
      <c r="U1281" s="24">
        <v>0.05</v>
      </c>
      <c r="V1281" s="24">
        <v>0.05</v>
      </c>
      <c r="W1281" s="24">
        <v>0.2</v>
      </c>
      <c r="X1281" s="24">
        <v>0.2</v>
      </c>
      <c r="Y1281" s="24">
        <v>0.2</v>
      </c>
      <c r="Z1281" s="24">
        <v>0.4</v>
      </c>
      <c r="AA1281" s="24">
        <v>0.9</v>
      </c>
      <c r="AB1281" s="24">
        <v>0.9</v>
      </c>
      <c r="AC1281" s="24">
        <v>0.9</v>
      </c>
      <c r="AD1281" s="24">
        <v>0.8</v>
      </c>
      <c r="AE1281" s="24">
        <v>0.6</v>
      </c>
      <c r="AF1281" s="14"/>
    </row>
    <row r="1282" spans="1:32" ht="14.25" customHeight="1" x14ac:dyDescent="0.35">
      <c r="A1282" s="24" t="s">
        <v>1097</v>
      </c>
      <c r="B1282" s="14" t="s">
        <v>460</v>
      </c>
      <c r="C1282" s="24" t="s">
        <v>1049</v>
      </c>
      <c r="D1282" s="24" t="s">
        <v>512</v>
      </c>
      <c r="E1282" s="15">
        <v>41640</v>
      </c>
      <c r="F1282" s="15">
        <v>42004</v>
      </c>
      <c r="G1282" s="14" t="s">
        <v>415</v>
      </c>
      <c r="H1282" s="24">
        <v>0.2</v>
      </c>
      <c r="I1282" s="24">
        <v>0.05</v>
      </c>
      <c r="J1282" s="24">
        <v>0.05</v>
      </c>
      <c r="K1282" s="24">
        <v>0.05</v>
      </c>
      <c r="L1282" s="24">
        <v>0.05</v>
      </c>
      <c r="M1282" s="24">
        <v>0.05</v>
      </c>
      <c r="N1282" s="24">
        <v>0.05</v>
      </c>
      <c r="O1282" s="24">
        <v>0.05</v>
      </c>
      <c r="P1282" s="24">
        <v>0.05</v>
      </c>
      <c r="Q1282" s="24">
        <v>0.05</v>
      </c>
      <c r="R1282" s="24">
        <v>0.2</v>
      </c>
      <c r="S1282" s="24">
        <v>0.2</v>
      </c>
      <c r="T1282" s="24">
        <v>0.2</v>
      </c>
      <c r="U1282" s="24">
        <v>0.4</v>
      </c>
      <c r="V1282" s="24">
        <v>0.8</v>
      </c>
      <c r="W1282" s="24">
        <v>0.9</v>
      </c>
      <c r="X1282" s="24">
        <v>0.8</v>
      </c>
      <c r="Y1282" s="24">
        <v>0.6</v>
      </c>
      <c r="Z1282" s="24">
        <v>0.4</v>
      </c>
      <c r="AA1282" s="24">
        <v>0.4</v>
      </c>
      <c r="AB1282" s="24">
        <v>0.9</v>
      </c>
      <c r="AC1282" s="24">
        <v>0.9</v>
      </c>
      <c r="AD1282" s="24">
        <v>0.8</v>
      </c>
      <c r="AE1282" s="24">
        <v>0.6</v>
      </c>
      <c r="AF1282" s="14"/>
    </row>
    <row r="1283" spans="1:32" ht="14.25" customHeight="1" x14ac:dyDescent="0.35">
      <c r="A1283" s="24" t="s">
        <v>1097</v>
      </c>
      <c r="B1283" s="14" t="s">
        <v>460</v>
      </c>
      <c r="C1283" s="24" t="s">
        <v>1049</v>
      </c>
      <c r="D1283" s="24" t="s">
        <v>1050</v>
      </c>
      <c r="E1283" s="15">
        <v>41640</v>
      </c>
      <c r="F1283" s="15">
        <v>42004</v>
      </c>
      <c r="G1283" s="14" t="s">
        <v>415</v>
      </c>
      <c r="H1283" s="24">
        <v>0.05</v>
      </c>
      <c r="I1283" s="24">
        <v>0.05</v>
      </c>
      <c r="J1283" s="24">
        <v>0.05</v>
      </c>
      <c r="K1283" s="24">
        <v>0.05</v>
      </c>
      <c r="L1283" s="24">
        <v>0.05</v>
      </c>
      <c r="M1283" s="24">
        <v>0.05</v>
      </c>
      <c r="N1283" s="24">
        <v>0.05</v>
      </c>
      <c r="O1283" s="24">
        <v>0.1</v>
      </c>
      <c r="P1283" s="24">
        <v>0.2</v>
      </c>
      <c r="Q1283" s="24">
        <v>0.4</v>
      </c>
      <c r="R1283" s="24">
        <v>0.4</v>
      </c>
      <c r="S1283" s="24">
        <v>0.2</v>
      </c>
      <c r="T1283" s="24">
        <v>0.1</v>
      </c>
      <c r="U1283" s="24">
        <v>0.05</v>
      </c>
      <c r="V1283" s="24">
        <v>0.05</v>
      </c>
      <c r="W1283" s="24">
        <v>0.05</v>
      </c>
      <c r="X1283" s="24">
        <v>0.05</v>
      </c>
      <c r="Y1283" s="24">
        <v>0.05</v>
      </c>
      <c r="Z1283" s="24">
        <v>0.05</v>
      </c>
      <c r="AA1283" s="24">
        <v>0.05</v>
      </c>
      <c r="AB1283" s="24">
        <v>0.05</v>
      </c>
      <c r="AC1283" s="24">
        <v>0.05</v>
      </c>
      <c r="AD1283" s="24">
        <v>0.05</v>
      </c>
      <c r="AE1283" s="24">
        <v>0.05</v>
      </c>
      <c r="AF1283" s="14"/>
    </row>
    <row r="1284" spans="1:32" ht="14.25" customHeight="1" x14ac:dyDescent="0.35">
      <c r="A1284" s="24" t="s">
        <v>1098</v>
      </c>
      <c r="B1284" s="14" t="s">
        <v>420</v>
      </c>
      <c r="C1284" s="24" t="s">
        <v>1058</v>
      </c>
      <c r="D1284" s="24" t="s">
        <v>791</v>
      </c>
      <c r="E1284" s="15">
        <v>41640</v>
      </c>
      <c r="F1284" s="15">
        <v>42004</v>
      </c>
      <c r="G1284" s="14" t="s">
        <v>415</v>
      </c>
      <c r="H1284" s="24">
        <v>35</v>
      </c>
      <c r="I1284" s="24">
        <v>35</v>
      </c>
      <c r="J1284" s="24">
        <v>35</v>
      </c>
      <c r="K1284" s="24">
        <v>35</v>
      </c>
      <c r="L1284" s="24">
        <v>35</v>
      </c>
      <c r="M1284" s="24">
        <v>35</v>
      </c>
      <c r="N1284" s="24">
        <v>35</v>
      </c>
      <c r="O1284" s="24">
        <v>35</v>
      </c>
      <c r="P1284" s="24">
        <v>35</v>
      </c>
      <c r="Q1284" s="24">
        <v>35</v>
      </c>
      <c r="R1284" s="24">
        <v>35</v>
      </c>
      <c r="S1284" s="24">
        <v>35</v>
      </c>
      <c r="T1284" s="24">
        <v>35</v>
      </c>
      <c r="U1284" s="24">
        <v>35</v>
      </c>
      <c r="V1284" s="24">
        <v>24</v>
      </c>
      <c r="W1284" s="24">
        <v>24</v>
      </c>
      <c r="X1284" s="24">
        <v>24</v>
      </c>
      <c r="Y1284" s="24">
        <v>24</v>
      </c>
      <c r="Z1284" s="24">
        <v>24</v>
      </c>
      <c r="AA1284" s="24">
        <v>24</v>
      </c>
      <c r="AB1284" s="24">
        <v>24</v>
      </c>
      <c r="AC1284" s="24">
        <v>24</v>
      </c>
      <c r="AD1284" s="24">
        <v>24</v>
      </c>
      <c r="AE1284" s="24">
        <v>24</v>
      </c>
      <c r="AF1284" s="14"/>
    </row>
    <row r="1285" spans="1:32" ht="14.25" customHeight="1" x14ac:dyDescent="0.35">
      <c r="A1285" s="24" t="s">
        <v>1098</v>
      </c>
      <c r="B1285" s="14" t="s">
        <v>420</v>
      </c>
      <c r="C1285" s="24" t="s">
        <v>1058</v>
      </c>
      <c r="D1285" s="24" t="s">
        <v>512</v>
      </c>
      <c r="E1285" s="15">
        <v>41640</v>
      </c>
      <c r="F1285" s="15">
        <v>42004</v>
      </c>
      <c r="G1285" s="14" t="s">
        <v>415</v>
      </c>
      <c r="H1285" s="24">
        <v>35</v>
      </c>
      <c r="I1285" s="24">
        <v>35</v>
      </c>
      <c r="J1285" s="24">
        <v>35</v>
      </c>
      <c r="K1285" s="24">
        <v>35</v>
      </c>
      <c r="L1285" s="24">
        <v>35</v>
      </c>
      <c r="M1285" s="24">
        <v>35</v>
      </c>
      <c r="N1285" s="24">
        <v>35</v>
      </c>
      <c r="O1285" s="24">
        <v>35</v>
      </c>
      <c r="P1285" s="24">
        <v>35</v>
      </c>
      <c r="Q1285" s="24">
        <v>35</v>
      </c>
      <c r="R1285" s="24">
        <v>24</v>
      </c>
      <c r="S1285" s="24">
        <v>24</v>
      </c>
      <c r="T1285" s="24">
        <v>24</v>
      </c>
      <c r="U1285" s="24">
        <v>24</v>
      </c>
      <c r="V1285" s="24">
        <v>24</v>
      </c>
      <c r="W1285" s="24">
        <v>24</v>
      </c>
      <c r="X1285" s="24">
        <v>24</v>
      </c>
      <c r="Y1285" s="24">
        <v>24</v>
      </c>
      <c r="Z1285" s="24">
        <v>24</v>
      </c>
      <c r="AA1285" s="24">
        <v>24</v>
      </c>
      <c r="AB1285" s="24">
        <v>24</v>
      </c>
      <c r="AC1285" s="24">
        <v>24</v>
      </c>
      <c r="AD1285" s="24">
        <v>24</v>
      </c>
      <c r="AE1285" s="24">
        <v>24</v>
      </c>
      <c r="AF1285" s="14"/>
    </row>
    <row r="1286" spans="1:32" ht="14.25" customHeight="1" x14ac:dyDescent="0.35">
      <c r="A1286" s="24" t="s">
        <v>1098</v>
      </c>
      <c r="B1286" s="14" t="s">
        <v>420</v>
      </c>
      <c r="C1286" s="24" t="s">
        <v>1058</v>
      </c>
      <c r="D1286" s="24" t="s">
        <v>1050</v>
      </c>
      <c r="E1286" s="15">
        <v>41640</v>
      </c>
      <c r="F1286" s="15">
        <v>42004</v>
      </c>
      <c r="G1286" s="14" t="s">
        <v>415</v>
      </c>
      <c r="H1286" s="24">
        <v>35</v>
      </c>
      <c r="I1286" s="24">
        <v>35</v>
      </c>
      <c r="J1286" s="24">
        <v>35</v>
      </c>
      <c r="K1286" s="24">
        <v>35</v>
      </c>
      <c r="L1286" s="24">
        <v>35</v>
      </c>
      <c r="M1286" s="24">
        <v>35</v>
      </c>
      <c r="N1286" s="24">
        <v>35</v>
      </c>
      <c r="O1286" s="24">
        <v>24</v>
      </c>
      <c r="P1286" s="24">
        <v>24</v>
      </c>
      <c r="Q1286" s="24">
        <v>24</v>
      </c>
      <c r="R1286" s="24">
        <v>24</v>
      </c>
      <c r="S1286" s="24">
        <v>24</v>
      </c>
      <c r="T1286" s="24">
        <v>24</v>
      </c>
      <c r="U1286" s="24">
        <v>24</v>
      </c>
      <c r="V1286" s="24">
        <v>35</v>
      </c>
      <c r="W1286" s="24">
        <v>35</v>
      </c>
      <c r="X1286" s="24">
        <v>35</v>
      </c>
      <c r="Y1286" s="24">
        <v>35</v>
      </c>
      <c r="Z1286" s="24">
        <v>35</v>
      </c>
      <c r="AA1286" s="24">
        <v>35</v>
      </c>
      <c r="AB1286" s="24">
        <v>35</v>
      </c>
      <c r="AC1286" s="24">
        <v>35</v>
      </c>
      <c r="AD1286" s="24">
        <v>35</v>
      </c>
      <c r="AE1286" s="24">
        <v>35</v>
      </c>
      <c r="AF1286" s="14"/>
    </row>
    <row r="1287" spans="1:32" ht="14.25" customHeight="1" x14ac:dyDescent="0.35">
      <c r="A1287" s="24" t="s">
        <v>1099</v>
      </c>
      <c r="B1287" s="14" t="s">
        <v>420</v>
      </c>
      <c r="C1287" s="24" t="s">
        <v>1058</v>
      </c>
      <c r="D1287" s="24" t="s">
        <v>791</v>
      </c>
      <c r="E1287" s="15">
        <v>41640</v>
      </c>
      <c r="F1287" s="15">
        <v>42004</v>
      </c>
      <c r="G1287" s="14" t="s">
        <v>415</v>
      </c>
      <c r="H1287" s="24">
        <v>18</v>
      </c>
      <c r="I1287" s="24">
        <v>18</v>
      </c>
      <c r="J1287" s="24">
        <v>18</v>
      </c>
      <c r="K1287" s="24">
        <v>18</v>
      </c>
      <c r="L1287" s="24">
        <v>18</v>
      </c>
      <c r="M1287" s="24">
        <v>18</v>
      </c>
      <c r="N1287" s="24">
        <v>18</v>
      </c>
      <c r="O1287" s="24">
        <v>18</v>
      </c>
      <c r="P1287" s="24">
        <v>18</v>
      </c>
      <c r="Q1287" s="24">
        <v>18</v>
      </c>
      <c r="R1287" s="24">
        <v>18</v>
      </c>
      <c r="S1287" s="24">
        <v>18</v>
      </c>
      <c r="T1287" s="24">
        <v>18</v>
      </c>
      <c r="U1287" s="24">
        <v>18</v>
      </c>
      <c r="V1287" s="24">
        <v>20</v>
      </c>
      <c r="W1287" s="24">
        <v>22</v>
      </c>
      <c r="X1287" s="24">
        <v>22</v>
      </c>
      <c r="Y1287" s="24">
        <v>22</v>
      </c>
      <c r="Z1287" s="24">
        <v>22</v>
      </c>
      <c r="AA1287" s="24">
        <v>22</v>
      </c>
      <c r="AB1287" s="24">
        <v>22</v>
      </c>
      <c r="AC1287" s="24">
        <v>22</v>
      </c>
      <c r="AD1287" s="24">
        <v>22</v>
      </c>
      <c r="AE1287" s="24">
        <v>22</v>
      </c>
      <c r="AF1287" s="14"/>
    </row>
    <row r="1288" spans="1:32" ht="14.25" customHeight="1" x14ac:dyDescent="0.35">
      <c r="A1288" s="24" t="s">
        <v>1099</v>
      </c>
      <c r="B1288" s="14" t="s">
        <v>420</v>
      </c>
      <c r="C1288" s="24" t="s">
        <v>1058</v>
      </c>
      <c r="D1288" s="24" t="s">
        <v>512</v>
      </c>
      <c r="E1288" s="15">
        <v>41640</v>
      </c>
      <c r="F1288" s="15">
        <v>42004</v>
      </c>
      <c r="G1288" s="14" t="s">
        <v>415</v>
      </c>
      <c r="H1288" s="24">
        <v>18</v>
      </c>
      <c r="I1288" s="24">
        <v>18</v>
      </c>
      <c r="J1288" s="24">
        <v>18</v>
      </c>
      <c r="K1288" s="24">
        <v>18</v>
      </c>
      <c r="L1288" s="24">
        <v>18</v>
      </c>
      <c r="M1288" s="24">
        <v>18</v>
      </c>
      <c r="N1288" s="24">
        <v>18</v>
      </c>
      <c r="O1288" s="24">
        <v>18</v>
      </c>
      <c r="P1288" s="24">
        <v>18</v>
      </c>
      <c r="Q1288" s="24">
        <v>18</v>
      </c>
      <c r="R1288" s="24">
        <v>20</v>
      </c>
      <c r="S1288" s="24">
        <v>22</v>
      </c>
      <c r="T1288" s="24">
        <v>22</v>
      </c>
      <c r="U1288" s="24">
        <v>22</v>
      </c>
      <c r="V1288" s="24">
        <v>22</v>
      </c>
      <c r="W1288" s="24">
        <v>22</v>
      </c>
      <c r="X1288" s="24">
        <v>22</v>
      </c>
      <c r="Y1288" s="24">
        <v>22</v>
      </c>
      <c r="Z1288" s="24">
        <v>22</v>
      </c>
      <c r="AA1288" s="24">
        <v>22</v>
      </c>
      <c r="AB1288" s="24">
        <v>22</v>
      </c>
      <c r="AC1288" s="24">
        <v>22</v>
      </c>
      <c r="AD1288" s="24">
        <v>22</v>
      </c>
      <c r="AE1288" s="24">
        <v>22</v>
      </c>
      <c r="AF1288" s="14"/>
    </row>
    <row r="1289" spans="1:32" ht="14.25" customHeight="1" x14ac:dyDescent="0.35">
      <c r="A1289" s="24" t="s">
        <v>1099</v>
      </c>
      <c r="B1289" s="14" t="s">
        <v>420</v>
      </c>
      <c r="C1289" s="24" t="s">
        <v>1058</v>
      </c>
      <c r="D1289" s="24" t="s">
        <v>1050</v>
      </c>
      <c r="E1289" s="15">
        <v>41640</v>
      </c>
      <c r="F1289" s="15">
        <v>42004</v>
      </c>
      <c r="G1289" s="14" t="s">
        <v>415</v>
      </c>
      <c r="H1289" s="24">
        <v>18</v>
      </c>
      <c r="I1289" s="24">
        <v>18</v>
      </c>
      <c r="J1289" s="24">
        <v>18</v>
      </c>
      <c r="K1289" s="24">
        <v>18</v>
      </c>
      <c r="L1289" s="24">
        <v>18</v>
      </c>
      <c r="M1289" s="24">
        <v>18</v>
      </c>
      <c r="N1289" s="24">
        <v>18</v>
      </c>
      <c r="O1289" s="24">
        <v>20</v>
      </c>
      <c r="P1289" s="24">
        <v>22</v>
      </c>
      <c r="Q1289" s="24">
        <v>22</v>
      </c>
      <c r="R1289" s="24">
        <v>22</v>
      </c>
      <c r="S1289" s="24">
        <v>22</v>
      </c>
      <c r="T1289" s="24">
        <v>22</v>
      </c>
      <c r="U1289" s="24">
        <v>22</v>
      </c>
      <c r="V1289" s="24">
        <v>18</v>
      </c>
      <c r="W1289" s="24">
        <v>18</v>
      </c>
      <c r="X1289" s="24">
        <v>18</v>
      </c>
      <c r="Y1289" s="24">
        <v>18</v>
      </c>
      <c r="Z1289" s="24">
        <v>18</v>
      </c>
      <c r="AA1289" s="24">
        <v>18</v>
      </c>
      <c r="AB1289" s="24">
        <v>18</v>
      </c>
      <c r="AC1289" s="24">
        <v>18</v>
      </c>
      <c r="AD1289" s="24">
        <v>18</v>
      </c>
      <c r="AE1289" s="24">
        <v>18</v>
      </c>
      <c r="AF1289" s="14"/>
    </row>
    <row r="1290" spans="1:32" ht="1.5" customHeight="1" x14ac:dyDescent="0.35">
      <c r="A1290" s="16" t="s">
        <v>1100</v>
      </c>
      <c r="B1290" s="16" t="s">
        <v>427</v>
      </c>
      <c r="C1290" s="16"/>
      <c r="D1290" s="16" t="s">
        <v>417</v>
      </c>
      <c r="E1290" s="17">
        <v>41640</v>
      </c>
      <c r="F1290" s="17">
        <v>42004</v>
      </c>
      <c r="G1290" s="16" t="s">
        <v>415</v>
      </c>
      <c r="H1290" s="16">
        <v>0.4</v>
      </c>
      <c r="I1290" s="16">
        <v>0.4</v>
      </c>
      <c r="J1290" s="16">
        <v>0.4</v>
      </c>
      <c r="K1290" s="16">
        <v>0.4</v>
      </c>
      <c r="L1290" s="16">
        <v>0.4</v>
      </c>
      <c r="M1290" s="16">
        <v>0.4</v>
      </c>
      <c r="N1290" s="16">
        <v>0.4</v>
      </c>
      <c r="O1290" s="16">
        <v>0.4</v>
      </c>
      <c r="P1290" s="16">
        <v>0.9</v>
      </c>
      <c r="Q1290" s="16">
        <v>0.9</v>
      </c>
      <c r="R1290" s="16">
        <v>0.9</v>
      </c>
      <c r="S1290" s="16">
        <v>0.9</v>
      </c>
      <c r="T1290" s="16">
        <v>0.8</v>
      </c>
      <c r="U1290" s="16">
        <v>0.9</v>
      </c>
      <c r="V1290" s="16">
        <v>0.9</v>
      </c>
      <c r="W1290" s="16">
        <v>0.9</v>
      </c>
      <c r="X1290" s="16">
        <v>0.9</v>
      </c>
      <c r="Y1290" s="16">
        <v>0.8</v>
      </c>
      <c r="Z1290" s="16">
        <v>0.6</v>
      </c>
      <c r="AA1290" s="16">
        <v>0.6</v>
      </c>
      <c r="AB1290" s="16">
        <v>0.5</v>
      </c>
      <c r="AC1290" s="16">
        <v>0.5</v>
      </c>
      <c r="AD1290" s="16">
        <v>0.4</v>
      </c>
      <c r="AE1290" s="16">
        <v>0.4</v>
      </c>
      <c r="AF1290" s="16" t="s">
        <v>411</v>
      </c>
    </row>
    <row r="1291" spans="1:32" ht="14.25" customHeight="1" x14ac:dyDescent="0.35">
      <c r="A1291" s="16" t="s">
        <v>1100</v>
      </c>
      <c r="B1291" s="16" t="s">
        <v>427</v>
      </c>
      <c r="C1291" s="16"/>
      <c r="D1291" s="16" t="s">
        <v>512</v>
      </c>
      <c r="E1291" s="17">
        <v>41640</v>
      </c>
      <c r="F1291" s="17">
        <v>42004</v>
      </c>
      <c r="G1291" s="16" t="s">
        <v>415</v>
      </c>
      <c r="H1291" s="16">
        <v>0.3</v>
      </c>
      <c r="I1291" s="16">
        <v>0.3</v>
      </c>
      <c r="J1291" s="16">
        <v>0.3</v>
      </c>
      <c r="K1291" s="16">
        <v>0.3</v>
      </c>
      <c r="L1291" s="16">
        <v>0.3</v>
      </c>
      <c r="M1291" s="16">
        <v>0.3</v>
      </c>
      <c r="N1291" s="16">
        <v>0.4</v>
      </c>
      <c r="O1291" s="16">
        <v>0.4</v>
      </c>
      <c r="P1291" s="16">
        <v>0.5</v>
      </c>
      <c r="Q1291" s="16">
        <v>0.5</v>
      </c>
      <c r="R1291" s="16">
        <v>0.5</v>
      </c>
      <c r="S1291" s="16">
        <v>0.5</v>
      </c>
      <c r="T1291" s="16">
        <v>0.5</v>
      </c>
      <c r="U1291" s="16">
        <v>0.5</v>
      </c>
      <c r="V1291" s="16">
        <v>0.35</v>
      </c>
      <c r="W1291" s="16">
        <v>0.35</v>
      </c>
      <c r="X1291" s="16">
        <v>0.35</v>
      </c>
      <c r="Y1291" s="16">
        <v>0.3</v>
      </c>
      <c r="Z1291" s="16">
        <v>0.3</v>
      </c>
      <c r="AA1291" s="16">
        <v>0.3</v>
      </c>
      <c r="AB1291" s="16">
        <v>0.3</v>
      </c>
      <c r="AC1291" s="16">
        <v>0.3</v>
      </c>
      <c r="AD1291" s="16">
        <v>0.3</v>
      </c>
      <c r="AE1291" s="16">
        <v>0.3</v>
      </c>
      <c r="AF1291" s="16" t="s">
        <v>411</v>
      </c>
    </row>
    <row r="1292" spans="1:32" ht="14.25" customHeight="1" x14ac:dyDescent="0.35">
      <c r="A1292" s="16" t="s">
        <v>1100</v>
      </c>
      <c r="B1292" s="16" t="s">
        <v>427</v>
      </c>
      <c r="C1292" s="16"/>
      <c r="D1292" s="16" t="s">
        <v>419</v>
      </c>
      <c r="E1292" s="17">
        <v>41640</v>
      </c>
      <c r="F1292" s="17">
        <v>42004</v>
      </c>
      <c r="G1292" s="16" t="s">
        <v>410</v>
      </c>
      <c r="H1292" s="16">
        <v>1</v>
      </c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 t="s">
        <v>411</v>
      </c>
    </row>
    <row r="1293" spans="1:32" ht="14.25" customHeight="1" x14ac:dyDescent="0.35">
      <c r="A1293" s="14" t="s">
        <v>1100</v>
      </c>
      <c r="B1293" s="14" t="s">
        <v>427</v>
      </c>
      <c r="C1293" s="14"/>
      <c r="D1293" s="14" t="s">
        <v>511</v>
      </c>
      <c r="E1293" s="15">
        <v>41640</v>
      </c>
      <c r="F1293" s="15">
        <v>42004</v>
      </c>
      <c r="G1293" s="14" t="s">
        <v>410</v>
      </c>
      <c r="H1293" s="14">
        <v>0.3</v>
      </c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 t="s">
        <v>411</v>
      </c>
    </row>
    <row r="1294" spans="1:32" ht="14.25" customHeight="1" x14ac:dyDescent="0.35">
      <c r="A1294" s="14" t="s">
        <v>1100</v>
      </c>
      <c r="B1294" s="14" t="s">
        <v>427</v>
      </c>
      <c r="C1294" s="14"/>
      <c r="D1294" s="14" t="s">
        <v>418</v>
      </c>
      <c r="E1294" s="15">
        <v>41640</v>
      </c>
      <c r="F1294" s="15">
        <v>42004</v>
      </c>
      <c r="G1294" s="14" t="s">
        <v>410</v>
      </c>
      <c r="H1294" s="14">
        <v>0</v>
      </c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 t="s">
        <v>411</v>
      </c>
    </row>
    <row r="1295" spans="1:32" ht="14.25" customHeight="1" x14ac:dyDescent="0.35">
      <c r="A1295" s="14" t="s">
        <v>1101</v>
      </c>
      <c r="B1295" s="14" t="s">
        <v>424</v>
      </c>
      <c r="C1295" s="14"/>
      <c r="D1295" s="14" t="s">
        <v>417</v>
      </c>
      <c r="E1295" s="15">
        <v>41640</v>
      </c>
      <c r="F1295" s="15">
        <v>42004</v>
      </c>
      <c r="G1295" s="14" t="s">
        <v>415</v>
      </c>
      <c r="H1295" s="14">
        <v>0.05</v>
      </c>
      <c r="I1295" s="14">
        <v>0.05</v>
      </c>
      <c r="J1295" s="14">
        <v>0.05</v>
      </c>
      <c r="K1295" s="14">
        <v>0.05</v>
      </c>
      <c r="L1295" s="14">
        <v>0.05</v>
      </c>
      <c r="M1295" s="14">
        <v>0.1</v>
      </c>
      <c r="N1295" s="14">
        <v>0.1</v>
      </c>
      <c r="O1295" s="14">
        <v>0.3</v>
      </c>
      <c r="P1295" s="14">
        <v>0.9</v>
      </c>
      <c r="Q1295" s="14">
        <v>0.9</v>
      </c>
      <c r="R1295" s="14">
        <v>0.9</v>
      </c>
      <c r="S1295" s="14">
        <v>0.9</v>
      </c>
      <c r="T1295" s="14">
        <v>0.9</v>
      </c>
      <c r="U1295" s="14">
        <v>0.9</v>
      </c>
      <c r="V1295" s="14">
        <v>0.9</v>
      </c>
      <c r="W1295" s="14">
        <v>0.9</v>
      </c>
      <c r="X1295" s="14">
        <v>0.9</v>
      </c>
      <c r="Y1295" s="14">
        <v>0.5</v>
      </c>
      <c r="Z1295" s="14">
        <v>0.3</v>
      </c>
      <c r="AA1295" s="14">
        <v>0.3</v>
      </c>
      <c r="AB1295" s="14">
        <v>0.2</v>
      </c>
      <c r="AC1295" s="14">
        <v>0.2</v>
      </c>
      <c r="AD1295" s="14">
        <v>0.1</v>
      </c>
      <c r="AE1295" s="14">
        <v>0.05</v>
      </c>
      <c r="AF1295" s="14" t="s">
        <v>411</v>
      </c>
    </row>
    <row r="1296" spans="1:32" ht="14.25" customHeight="1" x14ac:dyDescent="0.35">
      <c r="A1296" s="14" t="s">
        <v>1101</v>
      </c>
      <c r="B1296" s="14" t="s">
        <v>424</v>
      </c>
      <c r="C1296" s="14"/>
      <c r="D1296" s="14" t="s">
        <v>512</v>
      </c>
      <c r="E1296" s="15">
        <v>41640</v>
      </c>
      <c r="F1296" s="15">
        <v>42004</v>
      </c>
      <c r="G1296" s="14" t="s">
        <v>415</v>
      </c>
      <c r="H1296" s="14">
        <v>0.05</v>
      </c>
      <c r="I1296" s="14">
        <v>0.05</v>
      </c>
      <c r="J1296" s="14">
        <v>0.05</v>
      </c>
      <c r="K1296" s="14">
        <v>0.05</v>
      </c>
      <c r="L1296" s="14">
        <v>0.05</v>
      </c>
      <c r="M1296" s="14">
        <v>0.05</v>
      </c>
      <c r="N1296" s="14">
        <v>0.1</v>
      </c>
      <c r="O1296" s="14">
        <v>0.1</v>
      </c>
      <c r="P1296" s="14">
        <v>0.3</v>
      </c>
      <c r="Q1296" s="14">
        <v>0.3</v>
      </c>
      <c r="R1296" s="14">
        <v>0.3</v>
      </c>
      <c r="S1296" s="14">
        <v>0.3</v>
      </c>
      <c r="T1296" s="14">
        <v>0.15</v>
      </c>
      <c r="U1296" s="14">
        <v>0.15</v>
      </c>
      <c r="V1296" s="14">
        <v>0.15</v>
      </c>
      <c r="W1296" s="14">
        <v>0.15</v>
      </c>
      <c r="X1296" s="14">
        <v>0.15</v>
      </c>
      <c r="Y1296" s="14">
        <v>0.05</v>
      </c>
      <c r="Z1296" s="14">
        <v>0.05</v>
      </c>
      <c r="AA1296" s="14">
        <v>0.05</v>
      </c>
      <c r="AB1296" s="14">
        <v>0.05</v>
      </c>
      <c r="AC1296" s="14">
        <v>0.05</v>
      </c>
      <c r="AD1296" s="14">
        <v>0.05</v>
      </c>
      <c r="AE1296" s="14">
        <v>0.05</v>
      </c>
      <c r="AF1296" s="14" t="s">
        <v>411</v>
      </c>
    </row>
    <row r="1297" spans="1:32" ht="14.25" customHeight="1" x14ac:dyDescent="0.35">
      <c r="A1297" s="14" t="s">
        <v>1101</v>
      </c>
      <c r="B1297" s="14" t="s">
        <v>424</v>
      </c>
      <c r="C1297" s="14"/>
      <c r="D1297" s="14" t="s">
        <v>419</v>
      </c>
      <c r="E1297" s="15">
        <v>41640</v>
      </c>
      <c r="F1297" s="15">
        <v>42004</v>
      </c>
      <c r="G1297" s="14" t="s">
        <v>410</v>
      </c>
      <c r="H1297" s="14">
        <v>1</v>
      </c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 t="s">
        <v>411</v>
      </c>
    </row>
    <row r="1298" spans="1:32" ht="14.25" customHeight="1" x14ac:dyDescent="0.35">
      <c r="A1298" s="16" t="s">
        <v>1101</v>
      </c>
      <c r="B1298" s="16" t="s">
        <v>424</v>
      </c>
      <c r="C1298" s="16"/>
      <c r="D1298" s="16" t="s">
        <v>511</v>
      </c>
      <c r="E1298" s="17">
        <v>41640</v>
      </c>
      <c r="F1298" s="17">
        <v>42004</v>
      </c>
      <c r="G1298" s="16" t="s">
        <v>410</v>
      </c>
      <c r="H1298" s="16">
        <v>0.05</v>
      </c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 t="s">
        <v>411</v>
      </c>
    </row>
    <row r="1299" spans="1:32" ht="14.25" customHeight="1" x14ac:dyDescent="0.35">
      <c r="A1299" s="16" t="s">
        <v>1101</v>
      </c>
      <c r="B1299" s="16" t="s">
        <v>424</v>
      </c>
      <c r="C1299" s="16"/>
      <c r="D1299" s="16" t="s">
        <v>418</v>
      </c>
      <c r="E1299" s="17">
        <v>41640</v>
      </c>
      <c r="F1299" s="17">
        <v>42004</v>
      </c>
      <c r="G1299" s="16" t="s">
        <v>410</v>
      </c>
      <c r="H1299" s="16">
        <v>0</v>
      </c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 t="s">
        <v>411</v>
      </c>
    </row>
    <row r="1300" spans="1:32" ht="14.25" customHeight="1" x14ac:dyDescent="0.35">
      <c r="A1300" s="16" t="s">
        <v>1102</v>
      </c>
      <c r="B1300" s="16" t="s">
        <v>441</v>
      </c>
      <c r="C1300" s="16"/>
      <c r="D1300" s="16" t="s">
        <v>453</v>
      </c>
      <c r="E1300" s="17">
        <v>41640</v>
      </c>
      <c r="F1300" s="17">
        <v>42004</v>
      </c>
      <c r="G1300" s="16" t="s">
        <v>415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0.25</v>
      </c>
      <c r="O1300" s="16">
        <v>0.25</v>
      </c>
      <c r="P1300" s="16">
        <v>0.25</v>
      </c>
      <c r="Q1300" s="16">
        <v>0.25</v>
      </c>
      <c r="R1300" s="16">
        <v>0.25</v>
      </c>
      <c r="S1300" s="16">
        <v>0.25</v>
      </c>
      <c r="T1300" s="16">
        <v>0.25</v>
      </c>
      <c r="U1300" s="16">
        <v>0.25</v>
      </c>
      <c r="V1300" s="16">
        <v>0.25</v>
      </c>
      <c r="W1300" s="16">
        <v>0.25</v>
      </c>
      <c r="X1300" s="16">
        <v>0.25</v>
      </c>
      <c r="Y1300" s="16">
        <v>0.25</v>
      </c>
      <c r="Z1300" s="16">
        <v>0.25</v>
      </c>
      <c r="AA1300" s="16">
        <v>0.25</v>
      </c>
      <c r="AB1300" s="16">
        <v>0.25</v>
      </c>
      <c r="AC1300" s="16">
        <v>0.25</v>
      </c>
      <c r="AD1300" s="16">
        <v>1</v>
      </c>
      <c r="AE1300" s="16">
        <v>1</v>
      </c>
      <c r="AF1300" s="16" t="s">
        <v>411</v>
      </c>
    </row>
    <row r="1301" spans="1:32" ht="14.25" customHeight="1" x14ac:dyDescent="0.35">
      <c r="A1301" s="16" t="s">
        <v>1102</v>
      </c>
      <c r="B1301" s="16" t="s">
        <v>441</v>
      </c>
      <c r="C1301" s="16"/>
      <c r="D1301" s="16" t="s">
        <v>511</v>
      </c>
      <c r="E1301" s="17">
        <v>41640</v>
      </c>
      <c r="F1301" s="17">
        <v>42004</v>
      </c>
      <c r="G1301" s="16" t="s">
        <v>410</v>
      </c>
      <c r="H1301" s="16">
        <v>1</v>
      </c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 t="s">
        <v>411</v>
      </c>
    </row>
    <row r="1302" spans="1:32" ht="14.25" customHeight="1" x14ac:dyDescent="0.35">
      <c r="A1302" s="14" t="s">
        <v>1102</v>
      </c>
      <c r="B1302" s="14" t="s">
        <v>441</v>
      </c>
      <c r="C1302" s="14"/>
      <c r="D1302" s="14" t="s">
        <v>514</v>
      </c>
      <c r="E1302" s="15">
        <v>41640</v>
      </c>
      <c r="F1302" s="15">
        <v>42004</v>
      </c>
      <c r="G1302" s="14" t="s">
        <v>415</v>
      </c>
      <c r="H1302" s="14">
        <v>1</v>
      </c>
      <c r="I1302" s="14">
        <v>1</v>
      </c>
      <c r="J1302" s="14">
        <v>1</v>
      </c>
      <c r="K1302" s="14">
        <v>1</v>
      </c>
      <c r="L1302" s="14">
        <v>1</v>
      </c>
      <c r="M1302" s="14">
        <v>1</v>
      </c>
      <c r="N1302" s="14">
        <v>0.25</v>
      </c>
      <c r="O1302" s="14">
        <v>0.25</v>
      </c>
      <c r="P1302" s="14">
        <v>0.25</v>
      </c>
      <c r="Q1302" s="14">
        <v>0.25</v>
      </c>
      <c r="R1302" s="14">
        <v>0.25</v>
      </c>
      <c r="S1302" s="14">
        <v>0.25</v>
      </c>
      <c r="T1302" s="14">
        <v>0.25</v>
      </c>
      <c r="U1302" s="14">
        <v>0.25</v>
      </c>
      <c r="V1302" s="14">
        <v>0.25</v>
      </c>
      <c r="W1302" s="14">
        <v>0.25</v>
      </c>
      <c r="X1302" s="14">
        <v>0.25</v>
      </c>
      <c r="Y1302" s="14">
        <v>0.25</v>
      </c>
      <c r="Z1302" s="14">
        <v>1</v>
      </c>
      <c r="AA1302" s="14">
        <v>1</v>
      </c>
      <c r="AB1302" s="14">
        <v>1</v>
      </c>
      <c r="AC1302" s="14">
        <v>1</v>
      </c>
      <c r="AD1302" s="14">
        <v>1</v>
      </c>
      <c r="AE1302" s="14">
        <v>1</v>
      </c>
      <c r="AF1302" s="14" t="s">
        <v>411</v>
      </c>
    </row>
    <row r="1303" spans="1:32" ht="14.25" customHeight="1" x14ac:dyDescent="0.35">
      <c r="A1303" s="14" t="s">
        <v>1103</v>
      </c>
      <c r="B1303" s="14" t="s">
        <v>448</v>
      </c>
      <c r="C1303" s="14"/>
      <c r="D1303" s="14" t="s">
        <v>417</v>
      </c>
      <c r="E1303" s="15">
        <v>41640</v>
      </c>
      <c r="F1303" s="15">
        <v>42004</v>
      </c>
      <c r="G1303" s="14" t="s">
        <v>415</v>
      </c>
      <c r="H1303" s="14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0.10000000149011599</v>
      </c>
      <c r="O1303" s="14">
        <v>0.20000000298023199</v>
      </c>
      <c r="P1303" s="14">
        <v>0.40000000596046398</v>
      </c>
      <c r="Q1303" s="14">
        <v>0.40000000596046398</v>
      </c>
      <c r="R1303" s="14">
        <v>0.40000000596046398</v>
      </c>
      <c r="S1303" s="14">
        <v>0.40000000596046398</v>
      </c>
      <c r="T1303" s="14">
        <v>0.40000000596046398</v>
      </c>
      <c r="U1303" s="14">
        <v>0.40000000596046398</v>
      </c>
      <c r="V1303" s="14">
        <v>0.40000000596046398</v>
      </c>
      <c r="W1303" s="14">
        <v>0.40000000596046398</v>
      </c>
      <c r="X1303" s="14">
        <v>0.40000000596046398</v>
      </c>
      <c r="Y1303" s="14">
        <v>0.40000000596046398</v>
      </c>
      <c r="Z1303" s="14">
        <v>0.40000000596046398</v>
      </c>
      <c r="AA1303" s="14">
        <v>0.40000000596046398</v>
      </c>
      <c r="AB1303" s="14">
        <v>0.10000000149011599</v>
      </c>
      <c r="AC1303" s="14">
        <v>0.10000000149011599</v>
      </c>
      <c r="AD1303" s="14">
        <v>5.0000000745058101E-2</v>
      </c>
      <c r="AE1303" s="14">
        <v>5.0000000745058101E-2</v>
      </c>
      <c r="AF1303" s="14" t="s">
        <v>411</v>
      </c>
    </row>
    <row r="1304" spans="1:32" ht="14.25" customHeight="1" x14ac:dyDescent="0.35">
      <c r="A1304" s="16" t="s">
        <v>1103</v>
      </c>
      <c r="B1304" s="16" t="s">
        <v>448</v>
      </c>
      <c r="C1304" s="16"/>
      <c r="D1304" s="16" t="s">
        <v>512</v>
      </c>
      <c r="E1304" s="17">
        <v>41640</v>
      </c>
      <c r="F1304" s="17">
        <v>42004</v>
      </c>
      <c r="G1304" s="16" t="s">
        <v>415</v>
      </c>
      <c r="H1304" s="16">
        <v>0</v>
      </c>
      <c r="I1304" s="16">
        <v>0</v>
      </c>
      <c r="J1304" s="16">
        <v>0</v>
      </c>
      <c r="K1304" s="16">
        <v>0</v>
      </c>
      <c r="L1304" s="16">
        <v>0</v>
      </c>
      <c r="M1304" s="16">
        <v>0</v>
      </c>
      <c r="N1304" s="16">
        <v>0.10000000149011599</v>
      </c>
      <c r="O1304" s="16">
        <v>0.10000000149011599</v>
      </c>
      <c r="P1304" s="16">
        <v>0.25</v>
      </c>
      <c r="Q1304" s="16">
        <v>0.25</v>
      </c>
      <c r="R1304" s="16">
        <v>0.25</v>
      </c>
      <c r="S1304" s="16">
        <v>0.25</v>
      </c>
      <c r="T1304" s="16">
        <v>0.25</v>
      </c>
      <c r="U1304" s="16">
        <v>0.25</v>
      </c>
      <c r="V1304" s="16">
        <v>0.10000000149011599</v>
      </c>
      <c r="W1304" s="16">
        <v>0.10000000149011599</v>
      </c>
      <c r="X1304" s="16">
        <v>0.10000000149011599</v>
      </c>
      <c r="Y1304" s="16">
        <v>0</v>
      </c>
      <c r="Z1304" s="16">
        <v>0</v>
      </c>
      <c r="AA1304" s="16">
        <v>0</v>
      </c>
      <c r="AB1304" s="16">
        <v>0</v>
      </c>
      <c r="AC1304" s="16">
        <v>0</v>
      </c>
      <c r="AD1304" s="16">
        <v>0</v>
      </c>
      <c r="AE1304" s="16">
        <v>0</v>
      </c>
      <c r="AF1304" s="16" t="s">
        <v>411</v>
      </c>
    </row>
    <row r="1305" spans="1:32" ht="14.25" customHeight="1" x14ac:dyDescent="0.35">
      <c r="A1305" s="14" t="s">
        <v>1103</v>
      </c>
      <c r="B1305" s="14" t="s">
        <v>448</v>
      </c>
      <c r="C1305" s="14"/>
      <c r="D1305" s="14" t="s">
        <v>419</v>
      </c>
      <c r="E1305" s="15">
        <v>41640</v>
      </c>
      <c r="F1305" s="15">
        <v>42004</v>
      </c>
      <c r="G1305" s="14" t="s">
        <v>415</v>
      </c>
      <c r="H1305" s="14">
        <v>0</v>
      </c>
      <c r="I1305" s="14">
        <v>0</v>
      </c>
      <c r="J1305" s="14">
        <v>0</v>
      </c>
      <c r="K1305" s="14">
        <v>0</v>
      </c>
      <c r="L1305" s="14">
        <v>0</v>
      </c>
      <c r="M1305" s="14">
        <v>0</v>
      </c>
      <c r="N1305" s="14">
        <v>1</v>
      </c>
      <c r="O1305" s="14">
        <v>1</v>
      </c>
      <c r="P1305" s="14">
        <v>1</v>
      </c>
      <c r="Q1305" s="14">
        <v>1</v>
      </c>
      <c r="R1305" s="14">
        <v>1</v>
      </c>
      <c r="S1305" s="14">
        <v>1</v>
      </c>
      <c r="T1305" s="14">
        <v>1</v>
      </c>
      <c r="U1305" s="14">
        <v>1</v>
      </c>
      <c r="V1305" s="14">
        <v>1</v>
      </c>
      <c r="W1305" s="14">
        <v>1</v>
      </c>
      <c r="X1305" s="14">
        <v>1</v>
      </c>
      <c r="Y1305" s="14">
        <v>1</v>
      </c>
      <c r="Z1305" s="14">
        <v>1</v>
      </c>
      <c r="AA1305" s="14">
        <v>1</v>
      </c>
      <c r="AB1305" s="14">
        <v>1</v>
      </c>
      <c r="AC1305" s="14">
        <v>1</v>
      </c>
      <c r="AD1305" s="14">
        <v>0.05</v>
      </c>
      <c r="AE1305" s="14">
        <v>0.05</v>
      </c>
      <c r="AF1305" s="14" t="s">
        <v>411</v>
      </c>
    </row>
    <row r="1306" spans="1:32" ht="14.25" customHeight="1" x14ac:dyDescent="0.35">
      <c r="A1306" s="16" t="s">
        <v>1103</v>
      </c>
      <c r="B1306" s="16" t="s">
        <v>448</v>
      </c>
      <c r="C1306" s="16"/>
      <c r="D1306" s="16" t="s">
        <v>979</v>
      </c>
      <c r="E1306" s="17">
        <v>41640</v>
      </c>
      <c r="F1306" s="17">
        <v>42004</v>
      </c>
      <c r="G1306" s="16" t="s">
        <v>410</v>
      </c>
      <c r="H1306" s="16">
        <v>0</v>
      </c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 t="s">
        <v>411</v>
      </c>
    </row>
    <row r="1307" spans="1:32" ht="14.25" customHeight="1" x14ac:dyDescent="0.35">
      <c r="A1307" s="14" t="s">
        <v>1104</v>
      </c>
      <c r="B1307" s="14" t="s">
        <v>448</v>
      </c>
      <c r="C1307" s="14"/>
      <c r="D1307" s="14" t="s">
        <v>417</v>
      </c>
      <c r="E1307" s="15">
        <v>41640</v>
      </c>
      <c r="F1307" s="15">
        <v>42004</v>
      </c>
      <c r="G1307" s="14" t="s">
        <v>415</v>
      </c>
      <c r="H1307" s="14">
        <v>0</v>
      </c>
      <c r="I1307" s="14">
        <v>0</v>
      </c>
      <c r="J1307" s="14">
        <v>0</v>
      </c>
      <c r="K1307" s="14">
        <v>0</v>
      </c>
      <c r="L1307" s="14">
        <v>0</v>
      </c>
      <c r="M1307" s="14">
        <v>0</v>
      </c>
      <c r="N1307" s="14">
        <v>0.10000000149011599</v>
      </c>
      <c r="O1307" s="14">
        <v>0.20000000298023199</v>
      </c>
      <c r="P1307" s="14">
        <v>0.85000002384185802</v>
      </c>
      <c r="Q1307" s="14">
        <v>0.85000002384185802</v>
      </c>
      <c r="R1307" s="14">
        <v>0.85000002384185802</v>
      </c>
      <c r="S1307" s="14">
        <v>0.85000002384185802</v>
      </c>
      <c r="T1307" s="14">
        <v>0.5</v>
      </c>
      <c r="U1307" s="14">
        <v>0.85000002384185802</v>
      </c>
      <c r="V1307" s="14">
        <v>0.85000002384185802</v>
      </c>
      <c r="W1307" s="14">
        <v>0.85000002384185802</v>
      </c>
      <c r="X1307" s="14">
        <v>0.85000002384185802</v>
      </c>
      <c r="Y1307" s="14">
        <v>0.69999998807907104</v>
      </c>
      <c r="Z1307" s="14">
        <v>0.40000000596046398</v>
      </c>
      <c r="AA1307" s="14">
        <v>0.40000000596046398</v>
      </c>
      <c r="AB1307" s="14">
        <v>0.10000000149011599</v>
      </c>
      <c r="AC1307" s="14">
        <v>0.10000000149011599</v>
      </c>
      <c r="AD1307" s="14">
        <v>5.0000000745058101E-2</v>
      </c>
      <c r="AE1307" s="14">
        <v>5.0000000745058101E-2</v>
      </c>
      <c r="AF1307" s="14" t="s">
        <v>411</v>
      </c>
    </row>
    <row r="1308" spans="1:32" ht="14.25" customHeight="1" x14ac:dyDescent="0.35">
      <c r="A1308" s="16" t="s">
        <v>1104</v>
      </c>
      <c r="B1308" s="16" t="s">
        <v>448</v>
      </c>
      <c r="C1308" s="16"/>
      <c r="D1308" s="16" t="s">
        <v>512</v>
      </c>
      <c r="E1308" s="17">
        <v>41640</v>
      </c>
      <c r="F1308" s="17">
        <v>42004</v>
      </c>
      <c r="G1308" s="16" t="s">
        <v>415</v>
      </c>
      <c r="H1308" s="16">
        <v>0</v>
      </c>
      <c r="I1308" s="16">
        <v>0</v>
      </c>
      <c r="J1308" s="16">
        <v>0</v>
      </c>
      <c r="K1308" s="16">
        <v>0</v>
      </c>
      <c r="L1308" s="16">
        <v>0</v>
      </c>
      <c r="M1308" s="16">
        <v>0</v>
      </c>
      <c r="N1308" s="16">
        <v>0.10000000149011599</v>
      </c>
      <c r="O1308" s="16">
        <v>0.10000000149011599</v>
      </c>
      <c r="P1308" s="16">
        <v>0.40000000596046398</v>
      </c>
      <c r="Q1308" s="16">
        <v>0.40000000596046398</v>
      </c>
      <c r="R1308" s="16">
        <v>0.40000000596046398</v>
      </c>
      <c r="S1308" s="16">
        <v>0.40000000596046398</v>
      </c>
      <c r="T1308" s="16">
        <v>0.40000000596046398</v>
      </c>
      <c r="U1308" s="16">
        <v>0.40000000596046398</v>
      </c>
      <c r="V1308" s="16">
        <v>0.10000000149011599</v>
      </c>
      <c r="W1308" s="16">
        <v>0.10000000149011599</v>
      </c>
      <c r="X1308" s="16">
        <v>0.10000000149011599</v>
      </c>
      <c r="Y1308" s="16">
        <v>0</v>
      </c>
      <c r="Z1308" s="16">
        <v>0</v>
      </c>
      <c r="AA1308" s="16">
        <v>0</v>
      </c>
      <c r="AB1308" s="16">
        <v>0</v>
      </c>
      <c r="AC1308" s="16">
        <v>0</v>
      </c>
      <c r="AD1308" s="16">
        <v>0</v>
      </c>
      <c r="AE1308" s="16">
        <v>0</v>
      </c>
      <c r="AF1308" s="16" t="s">
        <v>411</v>
      </c>
    </row>
    <row r="1309" spans="1:32" ht="14.25" customHeight="1" x14ac:dyDescent="0.35">
      <c r="A1309" s="14" t="s">
        <v>1104</v>
      </c>
      <c r="B1309" s="14" t="s">
        <v>448</v>
      </c>
      <c r="C1309" s="14"/>
      <c r="D1309" s="14" t="s">
        <v>419</v>
      </c>
      <c r="E1309" s="15">
        <v>41640</v>
      </c>
      <c r="F1309" s="15">
        <v>42004</v>
      </c>
      <c r="G1309" s="14" t="s">
        <v>415</v>
      </c>
      <c r="H1309" s="14">
        <v>0</v>
      </c>
      <c r="I1309" s="14">
        <v>0</v>
      </c>
      <c r="J1309" s="14">
        <v>0</v>
      </c>
      <c r="K1309" s="14">
        <v>0</v>
      </c>
      <c r="L1309" s="14">
        <v>0</v>
      </c>
      <c r="M1309" s="14">
        <v>0</v>
      </c>
      <c r="N1309" s="14">
        <v>1</v>
      </c>
      <c r="O1309" s="14">
        <v>1</v>
      </c>
      <c r="P1309" s="14">
        <v>1</v>
      </c>
      <c r="Q1309" s="14">
        <v>1</v>
      </c>
      <c r="R1309" s="14">
        <v>1</v>
      </c>
      <c r="S1309" s="14">
        <v>1</v>
      </c>
      <c r="T1309" s="14">
        <v>1</v>
      </c>
      <c r="U1309" s="14">
        <v>1</v>
      </c>
      <c r="V1309" s="14">
        <v>1</v>
      </c>
      <c r="W1309" s="14">
        <v>1</v>
      </c>
      <c r="X1309" s="14">
        <v>1</v>
      </c>
      <c r="Y1309" s="14">
        <v>1</v>
      </c>
      <c r="Z1309" s="14">
        <v>1</v>
      </c>
      <c r="AA1309" s="14">
        <v>1</v>
      </c>
      <c r="AB1309" s="14">
        <v>1</v>
      </c>
      <c r="AC1309" s="14">
        <v>1</v>
      </c>
      <c r="AD1309" s="14">
        <v>0.05</v>
      </c>
      <c r="AE1309" s="14">
        <v>0.05</v>
      </c>
      <c r="AF1309" s="14" t="s">
        <v>411</v>
      </c>
    </row>
    <row r="1310" spans="1:32" ht="14.25" customHeight="1" x14ac:dyDescent="0.35">
      <c r="A1310" s="16" t="s">
        <v>1104</v>
      </c>
      <c r="B1310" s="16" t="s">
        <v>448</v>
      </c>
      <c r="C1310" s="16"/>
      <c r="D1310" s="16" t="s">
        <v>979</v>
      </c>
      <c r="E1310" s="17">
        <v>41640</v>
      </c>
      <c r="F1310" s="17">
        <v>42004</v>
      </c>
      <c r="G1310" s="16" t="s">
        <v>410</v>
      </c>
      <c r="H1310" s="16">
        <v>0</v>
      </c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 t="s">
        <v>411</v>
      </c>
    </row>
    <row r="1311" spans="1:32" ht="14.25" customHeight="1" x14ac:dyDescent="0.35">
      <c r="A1311" s="16" t="s">
        <v>1105</v>
      </c>
      <c r="B1311" s="16" t="s">
        <v>408</v>
      </c>
      <c r="C1311" s="16" t="s">
        <v>412</v>
      </c>
      <c r="D1311" s="16" t="s">
        <v>409</v>
      </c>
      <c r="E1311" s="17">
        <v>41640</v>
      </c>
      <c r="F1311" s="17">
        <v>42004</v>
      </c>
      <c r="G1311" s="16" t="s">
        <v>410</v>
      </c>
      <c r="H1311" s="16">
        <v>0.2</v>
      </c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 t="s">
        <v>413</v>
      </c>
    </row>
    <row r="1312" spans="1:32" ht="14.25" customHeight="1" x14ac:dyDescent="0.35">
      <c r="A1312" s="14" t="s">
        <v>1106</v>
      </c>
      <c r="B1312" s="14" t="s">
        <v>408</v>
      </c>
      <c r="C1312" s="14"/>
      <c r="D1312" s="14" t="s">
        <v>409</v>
      </c>
      <c r="E1312" s="15">
        <v>41640</v>
      </c>
      <c r="F1312" s="15">
        <v>42004</v>
      </c>
      <c r="G1312" s="14" t="s">
        <v>410</v>
      </c>
      <c r="H1312" s="14">
        <v>0</v>
      </c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 t="s">
        <v>413</v>
      </c>
    </row>
    <row r="1313" spans="1:32" ht="14.25" customHeight="1" x14ac:dyDescent="0.35">
      <c r="A1313" s="16" t="s">
        <v>1107</v>
      </c>
      <c r="B1313" s="16" t="s">
        <v>408</v>
      </c>
      <c r="C1313" s="16"/>
      <c r="D1313" s="16" t="s">
        <v>409</v>
      </c>
      <c r="E1313" s="17">
        <v>41640</v>
      </c>
      <c r="F1313" s="17">
        <v>42004</v>
      </c>
      <c r="G1313" s="16" t="s">
        <v>410</v>
      </c>
      <c r="H1313" s="16">
        <v>1</v>
      </c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 t="s">
        <v>413</v>
      </c>
    </row>
    <row r="1314" spans="1:32" ht="14.25" customHeight="1" x14ac:dyDescent="0.35">
      <c r="A1314" s="14" t="s">
        <v>1108</v>
      </c>
      <c r="B1314" s="14" t="s">
        <v>416</v>
      </c>
      <c r="C1314" s="14"/>
      <c r="D1314" s="14" t="s">
        <v>417</v>
      </c>
      <c r="E1314" s="15">
        <v>41640</v>
      </c>
      <c r="F1314" s="15">
        <v>42004</v>
      </c>
      <c r="G1314" s="14" t="s">
        <v>415</v>
      </c>
      <c r="H1314" s="14">
        <v>0.05</v>
      </c>
      <c r="I1314" s="14">
        <v>0.05</v>
      </c>
      <c r="J1314" s="14">
        <v>0.05</v>
      </c>
      <c r="K1314" s="14">
        <v>0.05</v>
      </c>
      <c r="L1314" s="14">
        <v>0.1</v>
      </c>
      <c r="M1314" s="14">
        <v>0.2</v>
      </c>
      <c r="N1314" s="14">
        <v>0.4</v>
      </c>
      <c r="O1314" s="14">
        <v>0.5</v>
      </c>
      <c r="P1314" s="14">
        <v>0.5</v>
      </c>
      <c r="Q1314" s="14">
        <v>0.35</v>
      </c>
      <c r="R1314" s="14">
        <v>0.15</v>
      </c>
      <c r="S1314" s="14">
        <v>0.15</v>
      </c>
      <c r="T1314" s="14">
        <v>0.15</v>
      </c>
      <c r="U1314" s="14">
        <v>0.15</v>
      </c>
      <c r="V1314" s="14">
        <v>0.15</v>
      </c>
      <c r="W1314" s="14">
        <v>0.15</v>
      </c>
      <c r="X1314" s="14">
        <v>0.35</v>
      </c>
      <c r="Y1314" s="14">
        <v>0.5</v>
      </c>
      <c r="Z1314" s="14">
        <v>0.5</v>
      </c>
      <c r="AA1314" s="14">
        <v>0.4</v>
      </c>
      <c r="AB1314" s="14">
        <v>0.4</v>
      </c>
      <c r="AC1314" s="14">
        <v>0.3</v>
      </c>
      <c r="AD1314" s="14">
        <v>0.2</v>
      </c>
      <c r="AE1314" s="14">
        <v>0.1</v>
      </c>
      <c r="AF1314" s="14" t="s">
        <v>413</v>
      </c>
    </row>
    <row r="1315" spans="1:32" ht="14.25" customHeight="1" x14ac:dyDescent="0.35">
      <c r="A1315" s="14" t="s">
        <v>1108</v>
      </c>
      <c r="B1315" s="14" t="s">
        <v>416</v>
      </c>
      <c r="C1315" s="14"/>
      <c r="D1315" s="14" t="s">
        <v>419</v>
      </c>
      <c r="E1315" s="15">
        <v>41640</v>
      </c>
      <c r="F1315" s="15">
        <v>42004</v>
      </c>
      <c r="G1315" s="14" t="s">
        <v>410</v>
      </c>
      <c r="H1315" s="14">
        <v>0.5</v>
      </c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 t="s">
        <v>413</v>
      </c>
    </row>
    <row r="1316" spans="1:32" ht="14.25" customHeight="1" x14ac:dyDescent="0.35">
      <c r="A1316" s="16" t="s">
        <v>1108</v>
      </c>
      <c r="B1316" s="16" t="s">
        <v>416</v>
      </c>
      <c r="C1316" s="16"/>
      <c r="D1316" s="16" t="s">
        <v>418</v>
      </c>
      <c r="E1316" s="17">
        <v>41640</v>
      </c>
      <c r="F1316" s="17">
        <v>42004</v>
      </c>
      <c r="G1316" s="16" t="s">
        <v>410</v>
      </c>
      <c r="H1316" s="16">
        <v>0.05</v>
      </c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 t="s">
        <v>413</v>
      </c>
    </row>
    <row r="1317" spans="1:32" ht="14.25" customHeight="1" x14ac:dyDescent="0.35">
      <c r="A1317" s="16" t="s">
        <v>1109</v>
      </c>
      <c r="B1317" s="16" t="s">
        <v>427</v>
      </c>
      <c r="C1317" s="16"/>
      <c r="D1317" s="16" t="s">
        <v>417</v>
      </c>
      <c r="E1317" s="17">
        <v>41640</v>
      </c>
      <c r="F1317" s="17">
        <v>42004</v>
      </c>
      <c r="G1317" s="16" t="s">
        <v>410</v>
      </c>
      <c r="H1317" s="16">
        <v>0.3</v>
      </c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 t="s">
        <v>413</v>
      </c>
    </row>
    <row r="1318" spans="1:32" ht="14.25" customHeight="1" x14ac:dyDescent="0.35">
      <c r="A1318" s="14" t="s">
        <v>1109</v>
      </c>
      <c r="B1318" s="14" t="s">
        <v>427</v>
      </c>
      <c r="C1318" s="14"/>
      <c r="D1318" s="14" t="s">
        <v>512</v>
      </c>
      <c r="E1318" s="15">
        <v>41640</v>
      </c>
      <c r="F1318" s="15">
        <v>42004</v>
      </c>
      <c r="G1318" s="14" t="s">
        <v>415</v>
      </c>
      <c r="H1318" s="14">
        <v>0.3</v>
      </c>
      <c r="I1318" s="14">
        <v>0.3</v>
      </c>
      <c r="J1318" s="14">
        <v>0.3</v>
      </c>
      <c r="K1318" s="14">
        <v>0.3</v>
      </c>
      <c r="L1318" s="14">
        <v>0.3</v>
      </c>
      <c r="M1318" s="14">
        <v>0.3</v>
      </c>
      <c r="N1318" s="14">
        <v>0.4</v>
      </c>
      <c r="O1318" s="14">
        <v>0.4</v>
      </c>
      <c r="P1318" s="14">
        <v>0.5</v>
      </c>
      <c r="Q1318" s="14">
        <v>0.5</v>
      </c>
      <c r="R1318" s="14">
        <v>0.5</v>
      </c>
      <c r="S1318" s="14">
        <v>0.5</v>
      </c>
      <c r="T1318" s="14">
        <v>0.35</v>
      </c>
      <c r="U1318" s="14">
        <v>0.35</v>
      </c>
      <c r="V1318" s="14">
        <v>0.35</v>
      </c>
      <c r="W1318" s="14">
        <v>0.35</v>
      </c>
      <c r="X1318" s="14">
        <v>0.35</v>
      </c>
      <c r="Y1318" s="14">
        <v>0.3</v>
      </c>
      <c r="Z1318" s="14">
        <v>0.3</v>
      </c>
      <c r="AA1318" s="14">
        <v>0.3</v>
      </c>
      <c r="AB1318" s="14">
        <v>0.3</v>
      </c>
      <c r="AC1318" s="14">
        <v>0.3</v>
      </c>
      <c r="AD1318" s="14">
        <v>0.3</v>
      </c>
      <c r="AE1318" s="14">
        <v>0.3</v>
      </c>
      <c r="AF1318" s="14" t="s">
        <v>413</v>
      </c>
    </row>
    <row r="1319" spans="1:32" ht="14.25" customHeight="1" x14ac:dyDescent="0.35">
      <c r="A1319" s="16" t="s">
        <v>1109</v>
      </c>
      <c r="B1319" s="16" t="s">
        <v>427</v>
      </c>
      <c r="C1319" s="16"/>
      <c r="D1319" s="16" t="s">
        <v>419</v>
      </c>
      <c r="E1319" s="17">
        <v>41640</v>
      </c>
      <c r="F1319" s="17">
        <v>42004</v>
      </c>
      <c r="G1319" s="16" t="s">
        <v>410</v>
      </c>
      <c r="H1319" s="16">
        <v>1</v>
      </c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 t="s">
        <v>413</v>
      </c>
    </row>
    <row r="1320" spans="1:32" ht="14.25" customHeight="1" x14ac:dyDescent="0.35">
      <c r="A1320" s="16" t="s">
        <v>1109</v>
      </c>
      <c r="B1320" s="16" t="s">
        <v>427</v>
      </c>
      <c r="C1320" s="16"/>
      <c r="D1320" s="16" t="s">
        <v>429</v>
      </c>
      <c r="E1320" s="17">
        <v>41640</v>
      </c>
      <c r="F1320" s="17">
        <v>42004</v>
      </c>
      <c r="G1320" s="16" t="s">
        <v>415</v>
      </c>
      <c r="H1320" s="16">
        <v>0.4</v>
      </c>
      <c r="I1320" s="16">
        <v>0.4</v>
      </c>
      <c r="J1320" s="16">
        <v>0.4</v>
      </c>
      <c r="K1320" s="16">
        <v>0.4</v>
      </c>
      <c r="L1320" s="16">
        <v>0.4</v>
      </c>
      <c r="M1320" s="16">
        <v>0.4</v>
      </c>
      <c r="N1320" s="16">
        <v>0.4</v>
      </c>
      <c r="O1320" s="16">
        <v>0.4</v>
      </c>
      <c r="P1320" s="16">
        <v>0.9</v>
      </c>
      <c r="Q1320" s="16">
        <v>0.9</v>
      </c>
      <c r="R1320" s="16">
        <v>0.9</v>
      </c>
      <c r="S1320" s="16">
        <v>0.9</v>
      </c>
      <c r="T1320" s="16">
        <v>0.8</v>
      </c>
      <c r="U1320" s="16">
        <v>0.9</v>
      </c>
      <c r="V1320" s="16">
        <v>0.9</v>
      </c>
      <c r="W1320" s="16">
        <v>0.9</v>
      </c>
      <c r="X1320" s="16">
        <v>0.9</v>
      </c>
      <c r="Y1320" s="16">
        <v>0.5</v>
      </c>
      <c r="Z1320" s="16">
        <v>0.4</v>
      </c>
      <c r="AA1320" s="16">
        <v>0.4</v>
      </c>
      <c r="AB1320" s="16">
        <v>0.4</v>
      </c>
      <c r="AC1320" s="16">
        <v>0.4</v>
      </c>
      <c r="AD1320" s="16">
        <v>0.4</v>
      </c>
      <c r="AE1320" s="16">
        <v>0.4</v>
      </c>
      <c r="AF1320" s="16" t="s">
        <v>413</v>
      </c>
    </row>
    <row r="1321" spans="1:32" ht="14.25" customHeight="1" x14ac:dyDescent="0.35">
      <c r="A1321" s="14" t="s">
        <v>1109</v>
      </c>
      <c r="B1321" s="14" t="s">
        <v>427</v>
      </c>
      <c r="C1321" s="14"/>
      <c r="D1321" s="14" t="s">
        <v>418</v>
      </c>
      <c r="E1321" s="15">
        <v>41640</v>
      </c>
      <c r="F1321" s="15">
        <v>42004</v>
      </c>
      <c r="G1321" s="14" t="s">
        <v>410</v>
      </c>
      <c r="H1321" s="14">
        <v>0</v>
      </c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 t="s">
        <v>413</v>
      </c>
    </row>
    <row r="1322" spans="1:32" ht="14.25" customHeight="1" x14ac:dyDescent="0.35">
      <c r="A1322" s="14" t="s">
        <v>1110</v>
      </c>
      <c r="B1322" s="14" t="s">
        <v>424</v>
      </c>
      <c r="C1322" s="14"/>
      <c r="D1322" s="14" t="s">
        <v>417</v>
      </c>
      <c r="E1322" s="15">
        <v>41640</v>
      </c>
      <c r="F1322" s="15">
        <v>42004</v>
      </c>
      <c r="G1322" s="14" t="s">
        <v>410</v>
      </c>
      <c r="H1322" s="14">
        <v>0.05</v>
      </c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 t="s">
        <v>413</v>
      </c>
    </row>
    <row r="1323" spans="1:32" ht="14.25" customHeight="1" x14ac:dyDescent="0.35">
      <c r="A1323" s="16" t="s">
        <v>1110</v>
      </c>
      <c r="B1323" s="16" t="s">
        <v>424</v>
      </c>
      <c r="C1323" s="16"/>
      <c r="D1323" s="16" t="s">
        <v>512</v>
      </c>
      <c r="E1323" s="17">
        <v>41640</v>
      </c>
      <c r="F1323" s="17">
        <v>42004</v>
      </c>
      <c r="G1323" s="16" t="s">
        <v>415</v>
      </c>
      <c r="H1323" s="16">
        <v>0.05</v>
      </c>
      <c r="I1323" s="16">
        <v>0.05</v>
      </c>
      <c r="J1323" s="16">
        <v>0.05</v>
      </c>
      <c r="K1323" s="16">
        <v>0.05</v>
      </c>
      <c r="L1323" s="16">
        <v>0.05</v>
      </c>
      <c r="M1323" s="16">
        <v>0.05</v>
      </c>
      <c r="N1323" s="16">
        <v>0.1</v>
      </c>
      <c r="O1323" s="16">
        <v>0.1</v>
      </c>
      <c r="P1323" s="16">
        <v>0.3</v>
      </c>
      <c r="Q1323" s="16">
        <v>0.3</v>
      </c>
      <c r="R1323" s="16">
        <v>0.3</v>
      </c>
      <c r="S1323" s="16">
        <v>0.3</v>
      </c>
      <c r="T1323" s="16">
        <v>0.15</v>
      </c>
      <c r="U1323" s="16">
        <v>0.15</v>
      </c>
      <c r="V1323" s="16">
        <v>0.15</v>
      </c>
      <c r="W1323" s="16">
        <v>0.15</v>
      </c>
      <c r="X1323" s="16">
        <v>0.15</v>
      </c>
      <c r="Y1323" s="16">
        <v>0.05</v>
      </c>
      <c r="Z1323" s="16">
        <v>0.05</v>
      </c>
      <c r="AA1323" s="16">
        <v>0.05</v>
      </c>
      <c r="AB1323" s="16">
        <v>0.05</v>
      </c>
      <c r="AC1323" s="16">
        <v>0.05</v>
      </c>
      <c r="AD1323" s="16">
        <v>0.05</v>
      </c>
      <c r="AE1323" s="16">
        <v>0.05</v>
      </c>
      <c r="AF1323" s="16" t="s">
        <v>413</v>
      </c>
    </row>
    <row r="1324" spans="1:32" ht="14.25" customHeight="1" x14ac:dyDescent="0.35">
      <c r="A1324" s="14" t="s">
        <v>1110</v>
      </c>
      <c r="B1324" s="14" t="s">
        <v>424</v>
      </c>
      <c r="C1324" s="14"/>
      <c r="D1324" s="14" t="s">
        <v>419</v>
      </c>
      <c r="E1324" s="15">
        <v>41640</v>
      </c>
      <c r="F1324" s="15">
        <v>42004</v>
      </c>
      <c r="G1324" s="14" t="s">
        <v>410</v>
      </c>
      <c r="H1324" s="14">
        <v>1</v>
      </c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 t="s">
        <v>413</v>
      </c>
    </row>
    <row r="1325" spans="1:32" ht="14.25" customHeight="1" x14ac:dyDescent="0.35">
      <c r="A1325" s="14" t="s">
        <v>1110</v>
      </c>
      <c r="B1325" s="14" t="s">
        <v>424</v>
      </c>
      <c r="C1325" s="14"/>
      <c r="D1325" s="14" t="s">
        <v>429</v>
      </c>
      <c r="E1325" s="15">
        <v>41640</v>
      </c>
      <c r="F1325" s="15">
        <v>42004</v>
      </c>
      <c r="G1325" s="14" t="s">
        <v>415</v>
      </c>
      <c r="H1325" s="14">
        <v>0.05</v>
      </c>
      <c r="I1325" s="14">
        <v>0.05</v>
      </c>
      <c r="J1325" s="14">
        <v>0.05</v>
      </c>
      <c r="K1325" s="14">
        <v>0.05</v>
      </c>
      <c r="L1325" s="14">
        <v>0.05</v>
      </c>
      <c r="M1325" s="14">
        <v>0.1</v>
      </c>
      <c r="N1325" s="14">
        <v>0.1</v>
      </c>
      <c r="O1325" s="14">
        <v>0.3</v>
      </c>
      <c r="P1325" s="14">
        <v>0.9</v>
      </c>
      <c r="Q1325" s="14">
        <v>0.9</v>
      </c>
      <c r="R1325" s="14">
        <v>0.9</v>
      </c>
      <c r="S1325" s="14">
        <v>0.9</v>
      </c>
      <c r="T1325" s="14">
        <v>0.9</v>
      </c>
      <c r="U1325" s="14">
        <v>0.9</v>
      </c>
      <c r="V1325" s="14">
        <v>0.9</v>
      </c>
      <c r="W1325" s="14">
        <v>0.9</v>
      </c>
      <c r="X1325" s="14">
        <v>0.9</v>
      </c>
      <c r="Y1325" s="14">
        <v>0.5</v>
      </c>
      <c r="Z1325" s="14">
        <v>0.3</v>
      </c>
      <c r="AA1325" s="14">
        <v>0.3</v>
      </c>
      <c r="AB1325" s="14">
        <v>0.2</v>
      </c>
      <c r="AC1325" s="14">
        <v>0.2</v>
      </c>
      <c r="AD1325" s="14">
        <v>0.1</v>
      </c>
      <c r="AE1325" s="14">
        <v>0.05</v>
      </c>
      <c r="AF1325" s="14" t="s">
        <v>413</v>
      </c>
    </row>
    <row r="1326" spans="1:32" ht="14.25" customHeight="1" x14ac:dyDescent="0.35">
      <c r="A1326" s="16" t="s">
        <v>1110</v>
      </c>
      <c r="B1326" s="16" t="s">
        <v>424</v>
      </c>
      <c r="C1326" s="16"/>
      <c r="D1326" s="16" t="s">
        <v>418</v>
      </c>
      <c r="E1326" s="17">
        <v>41640</v>
      </c>
      <c r="F1326" s="17">
        <v>42004</v>
      </c>
      <c r="G1326" s="16" t="s">
        <v>410</v>
      </c>
      <c r="H1326" s="16">
        <v>0</v>
      </c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 t="s">
        <v>413</v>
      </c>
    </row>
    <row r="1327" spans="1:32" ht="14.25" customHeight="1" x14ac:dyDescent="0.35">
      <c r="A1327" s="16" t="s">
        <v>1111</v>
      </c>
      <c r="B1327" s="16" t="s">
        <v>448</v>
      </c>
      <c r="C1327" s="16"/>
      <c r="D1327" s="16" t="s">
        <v>417</v>
      </c>
      <c r="E1327" s="17">
        <v>41640</v>
      </c>
      <c r="F1327" s="17">
        <v>42004</v>
      </c>
      <c r="G1327" s="16" t="s">
        <v>415</v>
      </c>
      <c r="H1327" s="16">
        <v>0</v>
      </c>
      <c r="I1327" s="16">
        <v>0</v>
      </c>
      <c r="J1327" s="16">
        <v>0</v>
      </c>
      <c r="K1327" s="16">
        <v>0</v>
      </c>
      <c r="L1327" s="16">
        <v>0</v>
      </c>
      <c r="M1327" s="16">
        <v>0</v>
      </c>
      <c r="N1327" s="16">
        <v>0.05</v>
      </c>
      <c r="O1327" s="16">
        <v>0.05</v>
      </c>
      <c r="P1327" s="16">
        <v>0.05</v>
      </c>
      <c r="Q1327" s="16">
        <v>0.05</v>
      </c>
      <c r="R1327" s="16">
        <v>0.05</v>
      </c>
      <c r="S1327" s="16">
        <v>0.05</v>
      </c>
      <c r="T1327" s="16">
        <v>0.05</v>
      </c>
      <c r="U1327" s="16">
        <v>0.05</v>
      </c>
      <c r="V1327" s="16">
        <v>0.05</v>
      </c>
      <c r="W1327" s="16">
        <v>0.05</v>
      </c>
      <c r="X1327" s="16">
        <v>0.05</v>
      </c>
      <c r="Y1327" s="16">
        <v>0.05</v>
      </c>
      <c r="Z1327" s="16">
        <v>0</v>
      </c>
      <c r="AA1327" s="16">
        <v>0</v>
      </c>
      <c r="AB1327" s="16">
        <v>0</v>
      </c>
      <c r="AC1327" s="16">
        <v>0</v>
      </c>
      <c r="AD1327" s="16">
        <v>0</v>
      </c>
      <c r="AE1327" s="16">
        <v>0</v>
      </c>
      <c r="AF1327" s="16" t="s">
        <v>413</v>
      </c>
    </row>
    <row r="1328" spans="1:32" ht="14.25" customHeight="1" x14ac:dyDescent="0.35">
      <c r="A1328" s="14" t="s">
        <v>1111</v>
      </c>
      <c r="B1328" s="14" t="s">
        <v>448</v>
      </c>
      <c r="C1328" s="14"/>
      <c r="D1328" s="14" t="s">
        <v>512</v>
      </c>
      <c r="E1328" s="15">
        <v>41640</v>
      </c>
      <c r="F1328" s="15">
        <v>42004</v>
      </c>
      <c r="G1328" s="14" t="s">
        <v>415</v>
      </c>
      <c r="H1328" s="14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0.1</v>
      </c>
      <c r="O1328" s="14">
        <v>0.1</v>
      </c>
      <c r="P1328" s="14">
        <v>0.3</v>
      </c>
      <c r="Q1328" s="14">
        <v>0.3</v>
      </c>
      <c r="R1328" s="14">
        <v>0.3</v>
      </c>
      <c r="S1328" s="14">
        <v>0.3</v>
      </c>
      <c r="T1328" s="14">
        <v>0.1</v>
      </c>
      <c r="U1328" s="14">
        <v>0.1</v>
      </c>
      <c r="V1328" s="14">
        <v>0.1</v>
      </c>
      <c r="W1328" s="14">
        <v>0.1</v>
      </c>
      <c r="X1328" s="14">
        <v>0.1</v>
      </c>
      <c r="Y1328" s="14">
        <v>0.05</v>
      </c>
      <c r="Z1328" s="14">
        <v>0.05</v>
      </c>
      <c r="AA1328" s="14">
        <v>0</v>
      </c>
      <c r="AB1328" s="14">
        <v>0</v>
      </c>
      <c r="AC1328" s="14">
        <v>0</v>
      </c>
      <c r="AD1328" s="14">
        <v>0</v>
      </c>
      <c r="AE1328" s="14">
        <v>0</v>
      </c>
      <c r="AF1328" s="14" t="s">
        <v>413</v>
      </c>
    </row>
    <row r="1329" spans="1:32" ht="14.25" customHeight="1" x14ac:dyDescent="0.35">
      <c r="A1329" s="16" t="s">
        <v>1111</v>
      </c>
      <c r="B1329" s="16" t="s">
        <v>448</v>
      </c>
      <c r="C1329" s="16"/>
      <c r="D1329" s="16" t="s">
        <v>419</v>
      </c>
      <c r="E1329" s="17">
        <v>41640</v>
      </c>
      <c r="F1329" s="17">
        <v>42004</v>
      </c>
      <c r="G1329" s="16" t="s">
        <v>415</v>
      </c>
      <c r="H1329" s="16">
        <v>0</v>
      </c>
      <c r="I1329" s="16">
        <v>0</v>
      </c>
      <c r="J1329" s="16">
        <v>0</v>
      </c>
      <c r="K1329" s="16">
        <v>0</v>
      </c>
      <c r="L1329" s="16">
        <v>0</v>
      </c>
      <c r="M1329" s="16">
        <v>0</v>
      </c>
      <c r="N1329" s="16">
        <v>1</v>
      </c>
      <c r="O1329" s="16">
        <v>1</v>
      </c>
      <c r="P1329" s="16">
        <v>1</v>
      </c>
      <c r="Q1329" s="16">
        <v>1</v>
      </c>
      <c r="R1329" s="16">
        <v>1</v>
      </c>
      <c r="S1329" s="16">
        <v>1</v>
      </c>
      <c r="T1329" s="16">
        <v>1</v>
      </c>
      <c r="U1329" s="16">
        <v>1</v>
      </c>
      <c r="V1329" s="16">
        <v>1</v>
      </c>
      <c r="W1329" s="16">
        <v>1</v>
      </c>
      <c r="X1329" s="16">
        <v>1</v>
      </c>
      <c r="Y1329" s="16">
        <v>1</v>
      </c>
      <c r="Z1329" s="16">
        <v>1</v>
      </c>
      <c r="AA1329" s="16">
        <v>1</v>
      </c>
      <c r="AB1329" s="16">
        <v>1</v>
      </c>
      <c r="AC1329" s="16">
        <v>1</v>
      </c>
      <c r="AD1329" s="16">
        <v>0.05</v>
      </c>
      <c r="AE1329" s="16">
        <v>0.05</v>
      </c>
      <c r="AF1329" s="16" t="s">
        <v>413</v>
      </c>
    </row>
    <row r="1330" spans="1:32" ht="14.25" customHeight="1" x14ac:dyDescent="0.35">
      <c r="A1330" s="16" t="s">
        <v>1111</v>
      </c>
      <c r="B1330" s="16" t="s">
        <v>448</v>
      </c>
      <c r="C1330" s="16"/>
      <c r="D1330" s="16" t="s">
        <v>429</v>
      </c>
      <c r="E1330" s="17">
        <v>41640</v>
      </c>
      <c r="F1330" s="17">
        <v>42004</v>
      </c>
      <c r="G1330" s="16" t="s">
        <v>415</v>
      </c>
      <c r="H1330" s="16">
        <v>0</v>
      </c>
      <c r="I1330" s="16">
        <v>0</v>
      </c>
      <c r="J1330" s="16">
        <v>0</v>
      </c>
      <c r="K1330" s="16">
        <v>0</v>
      </c>
      <c r="L1330" s="16">
        <v>0</v>
      </c>
      <c r="M1330" s="16">
        <v>0</v>
      </c>
      <c r="N1330" s="16">
        <v>0.1</v>
      </c>
      <c r="O1330" s="16">
        <v>0.2</v>
      </c>
      <c r="P1330" s="16">
        <v>0.95</v>
      </c>
      <c r="Q1330" s="16">
        <v>0.95</v>
      </c>
      <c r="R1330" s="16">
        <v>0.95</v>
      </c>
      <c r="S1330" s="16">
        <v>0.95</v>
      </c>
      <c r="T1330" s="16">
        <v>0.5</v>
      </c>
      <c r="U1330" s="16">
        <v>0.95</v>
      </c>
      <c r="V1330" s="16">
        <v>0.95</v>
      </c>
      <c r="W1330" s="16">
        <v>0.95</v>
      </c>
      <c r="X1330" s="16">
        <v>0.95</v>
      </c>
      <c r="Y1330" s="16">
        <v>0.3</v>
      </c>
      <c r="Z1330" s="16">
        <v>0.1</v>
      </c>
      <c r="AA1330" s="16">
        <v>0.1</v>
      </c>
      <c r="AB1330" s="16">
        <v>0.1</v>
      </c>
      <c r="AC1330" s="16">
        <v>0.1</v>
      </c>
      <c r="AD1330" s="16">
        <v>0.05</v>
      </c>
      <c r="AE1330" s="16">
        <v>0.05</v>
      </c>
      <c r="AF1330" s="16" t="s">
        <v>413</v>
      </c>
    </row>
    <row r="1331" spans="1:32" ht="14.25" customHeight="1" x14ac:dyDescent="0.35">
      <c r="A1331" s="14" t="s">
        <v>1111</v>
      </c>
      <c r="B1331" s="14" t="s">
        <v>448</v>
      </c>
      <c r="C1331" s="14"/>
      <c r="D1331" s="14" t="s">
        <v>418</v>
      </c>
      <c r="E1331" s="15">
        <v>41640</v>
      </c>
      <c r="F1331" s="15">
        <v>42004</v>
      </c>
      <c r="G1331" s="14" t="s">
        <v>410</v>
      </c>
      <c r="H1331" s="14">
        <v>0</v>
      </c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 t="s">
        <v>413</v>
      </c>
    </row>
    <row r="1332" spans="1:32" ht="14.25" customHeight="1" x14ac:dyDescent="0.35">
      <c r="A1332" s="14" t="s">
        <v>1112</v>
      </c>
      <c r="B1332" s="14" t="s">
        <v>460</v>
      </c>
      <c r="C1332" s="14"/>
      <c r="D1332" s="14" t="s">
        <v>417</v>
      </c>
      <c r="E1332" s="15">
        <v>41640</v>
      </c>
      <c r="F1332" s="15">
        <v>42004</v>
      </c>
      <c r="G1332" s="14" t="s">
        <v>415</v>
      </c>
      <c r="H1332" s="14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7.0000000000000007E-2</v>
      </c>
      <c r="O1332" s="14">
        <v>0.04</v>
      </c>
      <c r="P1332" s="14">
        <v>0.04</v>
      </c>
      <c r="Q1332" s="14">
        <v>0.04</v>
      </c>
      <c r="R1332" s="14">
        <v>0.04</v>
      </c>
      <c r="S1332" s="14">
        <v>0.06</v>
      </c>
      <c r="T1332" s="14">
        <v>0.06</v>
      </c>
      <c r="U1332" s="14">
        <v>0.09</v>
      </c>
      <c r="V1332" s="14">
        <v>0.06</v>
      </c>
      <c r="W1332" s="14">
        <v>0.04</v>
      </c>
      <c r="X1332" s="14">
        <v>0.04</v>
      </c>
      <c r="Y1332" s="14">
        <v>0.04</v>
      </c>
      <c r="Z1332" s="14">
        <v>0.04</v>
      </c>
      <c r="AA1332" s="14">
        <v>0.04</v>
      </c>
      <c r="AB1332" s="14">
        <v>0.04</v>
      </c>
      <c r="AC1332" s="14">
        <v>7.0000000000000007E-2</v>
      </c>
      <c r="AD1332" s="14">
        <v>0.04</v>
      </c>
      <c r="AE1332" s="14">
        <v>0.04</v>
      </c>
      <c r="AF1332" s="14" t="s">
        <v>413</v>
      </c>
    </row>
    <row r="1333" spans="1:32" ht="14.25" customHeight="1" x14ac:dyDescent="0.35">
      <c r="A1333" s="14" t="s">
        <v>1112</v>
      </c>
      <c r="B1333" s="14" t="s">
        <v>460</v>
      </c>
      <c r="C1333" s="14"/>
      <c r="D1333" s="14" t="s">
        <v>556</v>
      </c>
      <c r="E1333" s="15">
        <v>41640</v>
      </c>
      <c r="F1333" s="15">
        <v>42004</v>
      </c>
      <c r="G1333" s="14" t="s">
        <v>415</v>
      </c>
      <c r="H1333" s="14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7.0000000000000007E-2</v>
      </c>
      <c r="O1333" s="14">
        <v>0.19</v>
      </c>
      <c r="P1333" s="14">
        <v>0.35</v>
      </c>
      <c r="Q1333" s="14">
        <v>0.38</v>
      </c>
      <c r="R1333" s="14">
        <v>0.39</v>
      </c>
      <c r="S1333" s="14">
        <v>0.47</v>
      </c>
      <c r="T1333" s="14">
        <v>0.56999999999999995</v>
      </c>
      <c r="U1333" s="14">
        <v>0.54</v>
      </c>
      <c r="V1333" s="14">
        <v>0.34</v>
      </c>
      <c r="W1333" s="14">
        <v>0.33</v>
      </c>
      <c r="X1333" s="14">
        <v>0.44</v>
      </c>
      <c r="Y1333" s="14">
        <v>0.26</v>
      </c>
      <c r="Z1333" s="14">
        <v>0.21</v>
      </c>
      <c r="AA1333" s="14">
        <v>0.15</v>
      </c>
      <c r="AB1333" s="14">
        <v>0.17</v>
      </c>
      <c r="AC1333" s="14">
        <v>0.08</v>
      </c>
      <c r="AD1333" s="14">
        <v>0.05</v>
      </c>
      <c r="AE1333" s="14">
        <v>0.05</v>
      </c>
      <c r="AF1333" s="14" t="s">
        <v>413</v>
      </c>
    </row>
    <row r="1334" spans="1:32" ht="14.25" customHeight="1" x14ac:dyDescent="0.35">
      <c r="A1334" s="16" t="s">
        <v>1112</v>
      </c>
      <c r="B1334" s="16" t="s">
        <v>460</v>
      </c>
      <c r="C1334" s="16"/>
      <c r="D1334" s="16" t="s">
        <v>514</v>
      </c>
      <c r="E1334" s="17">
        <v>41640</v>
      </c>
      <c r="F1334" s="17">
        <v>42004</v>
      </c>
      <c r="G1334" s="16" t="s">
        <v>415</v>
      </c>
      <c r="H1334" s="16">
        <v>0</v>
      </c>
      <c r="I1334" s="16">
        <v>0</v>
      </c>
      <c r="J1334" s="16">
        <v>0</v>
      </c>
      <c r="K1334" s="16">
        <v>0</v>
      </c>
      <c r="L1334" s="16">
        <v>0</v>
      </c>
      <c r="M1334" s="16">
        <v>0</v>
      </c>
      <c r="N1334" s="16">
        <v>7.0000000000000007E-2</v>
      </c>
      <c r="O1334" s="16">
        <v>0.11</v>
      </c>
      <c r="P1334" s="16">
        <v>0.15</v>
      </c>
      <c r="Q1334" s="16">
        <v>0.21</v>
      </c>
      <c r="R1334" s="16">
        <v>0.19</v>
      </c>
      <c r="S1334" s="16">
        <v>0.23</v>
      </c>
      <c r="T1334" s="16">
        <v>0.2</v>
      </c>
      <c r="U1334" s="16">
        <v>0.19</v>
      </c>
      <c r="V1334" s="16">
        <v>0.15</v>
      </c>
      <c r="W1334" s="16">
        <v>0.13</v>
      </c>
      <c r="X1334" s="16">
        <v>0.14000000000000001</v>
      </c>
      <c r="Y1334" s="16">
        <v>7.0000000000000007E-2</v>
      </c>
      <c r="Z1334" s="16">
        <v>7.0000000000000007E-2</v>
      </c>
      <c r="AA1334" s="16">
        <v>7.0000000000000007E-2</v>
      </c>
      <c r="AB1334" s="16">
        <v>7.0000000000000007E-2</v>
      </c>
      <c r="AC1334" s="16">
        <v>0.09</v>
      </c>
      <c r="AD1334" s="16">
        <v>0.05</v>
      </c>
      <c r="AE1334" s="16">
        <v>0.05</v>
      </c>
      <c r="AF1334" s="16" t="s">
        <v>413</v>
      </c>
    </row>
    <row r="1335" spans="1:32" ht="14.25" customHeight="1" x14ac:dyDescent="0.35">
      <c r="A1335" s="16" t="s">
        <v>1113</v>
      </c>
      <c r="B1335" s="16" t="s">
        <v>420</v>
      </c>
      <c r="C1335" s="16" t="s">
        <v>414</v>
      </c>
      <c r="D1335" s="16" t="s">
        <v>417</v>
      </c>
      <c r="E1335" s="17">
        <v>41640</v>
      </c>
      <c r="F1335" s="17">
        <v>42004</v>
      </c>
      <c r="G1335" s="16" t="s">
        <v>410</v>
      </c>
      <c r="H1335" s="16">
        <v>0</v>
      </c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 t="s">
        <v>413</v>
      </c>
    </row>
    <row r="1336" spans="1:32" ht="14.25" customHeight="1" x14ac:dyDescent="0.35">
      <c r="A1336" s="14" t="s">
        <v>1113</v>
      </c>
      <c r="B1336" s="14" t="s">
        <v>420</v>
      </c>
      <c r="C1336" s="14" t="s">
        <v>414</v>
      </c>
      <c r="D1336" s="14" t="s">
        <v>421</v>
      </c>
      <c r="E1336" s="15">
        <v>41640</v>
      </c>
      <c r="F1336" s="15">
        <v>42004</v>
      </c>
      <c r="G1336" s="14" t="s">
        <v>410</v>
      </c>
      <c r="H1336" s="14">
        <v>27</v>
      </c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 t="s">
        <v>413</v>
      </c>
    </row>
    <row r="1337" spans="1:32" ht="14.25" customHeight="1" x14ac:dyDescent="0.35">
      <c r="A1337" s="16" t="s">
        <v>1114</v>
      </c>
      <c r="B1337" s="16" t="s">
        <v>420</v>
      </c>
      <c r="C1337" s="16" t="s">
        <v>414</v>
      </c>
      <c r="D1337" s="16" t="s">
        <v>476</v>
      </c>
      <c r="E1337" s="17">
        <v>41640</v>
      </c>
      <c r="F1337" s="17">
        <v>42004</v>
      </c>
      <c r="G1337" s="16" t="s">
        <v>410</v>
      </c>
      <c r="H1337" s="16">
        <v>26.7</v>
      </c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 t="s">
        <v>413</v>
      </c>
    </row>
    <row r="1338" spans="1:32" ht="14.25" customHeight="1" x14ac:dyDescent="0.35">
      <c r="A1338" s="16" t="s">
        <v>1114</v>
      </c>
      <c r="B1338" s="16" t="s">
        <v>420</v>
      </c>
      <c r="C1338" s="16" t="s">
        <v>414</v>
      </c>
      <c r="D1338" s="16" t="s">
        <v>512</v>
      </c>
      <c r="E1338" s="17">
        <v>41640</v>
      </c>
      <c r="F1338" s="17">
        <v>42004</v>
      </c>
      <c r="G1338" s="16" t="s">
        <v>415</v>
      </c>
      <c r="H1338" s="16">
        <v>26.7</v>
      </c>
      <c r="I1338" s="16">
        <v>26.7</v>
      </c>
      <c r="J1338" s="16">
        <v>26.7</v>
      </c>
      <c r="K1338" s="16">
        <v>26.7</v>
      </c>
      <c r="L1338" s="16">
        <v>24</v>
      </c>
      <c r="M1338" s="16">
        <v>24</v>
      </c>
      <c r="N1338" s="16">
        <v>24</v>
      </c>
      <c r="O1338" s="16">
        <v>24</v>
      </c>
      <c r="P1338" s="16">
        <v>24</v>
      </c>
      <c r="Q1338" s="16">
        <v>24</v>
      </c>
      <c r="R1338" s="16">
        <v>24</v>
      </c>
      <c r="S1338" s="16">
        <v>24</v>
      </c>
      <c r="T1338" s="16">
        <v>24</v>
      </c>
      <c r="U1338" s="16">
        <v>24</v>
      </c>
      <c r="V1338" s="16">
        <v>24</v>
      </c>
      <c r="W1338" s="16">
        <v>24</v>
      </c>
      <c r="X1338" s="16">
        <v>24</v>
      </c>
      <c r="Y1338" s="16">
        <v>26.7</v>
      </c>
      <c r="Z1338" s="16">
        <v>26.7</v>
      </c>
      <c r="AA1338" s="16">
        <v>26.7</v>
      </c>
      <c r="AB1338" s="16">
        <v>26.7</v>
      </c>
      <c r="AC1338" s="16">
        <v>26.7</v>
      </c>
      <c r="AD1338" s="16">
        <v>26.7</v>
      </c>
      <c r="AE1338" s="16">
        <v>26.7</v>
      </c>
      <c r="AF1338" s="16" t="s">
        <v>413</v>
      </c>
    </row>
    <row r="1339" spans="1:32" ht="14.25" customHeight="1" x14ac:dyDescent="0.35">
      <c r="A1339" s="14" t="s">
        <v>1114</v>
      </c>
      <c r="B1339" s="14" t="s">
        <v>420</v>
      </c>
      <c r="C1339" s="14" t="s">
        <v>414</v>
      </c>
      <c r="D1339" s="14" t="s">
        <v>419</v>
      </c>
      <c r="E1339" s="15">
        <v>41640</v>
      </c>
      <c r="F1339" s="15">
        <v>42004</v>
      </c>
      <c r="G1339" s="14" t="s">
        <v>415</v>
      </c>
      <c r="H1339" s="14">
        <v>26.7</v>
      </c>
      <c r="I1339" s="14">
        <v>26.7</v>
      </c>
      <c r="J1339" s="14">
        <v>26.7</v>
      </c>
      <c r="K1339" s="14">
        <v>26.7</v>
      </c>
      <c r="L1339" s="14">
        <v>26.7</v>
      </c>
      <c r="M1339" s="14">
        <v>25.7</v>
      </c>
      <c r="N1339" s="14">
        <v>25</v>
      </c>
      <c r="O1339" s="14">
        <v>24</v>
      </c>
      <c r="P1339" s="14">
        <v>24</v>
      </c>
      <c r="Q1339" s="14">
        <v>24</v>
      </c>
      <c r="R1339" s="14">
        <v>24</v>
      </c>
      <c r="S1339" s="14">
        <v>24</v>
      </c>
      <c r="T1339" s="14">
        <v>24</v>
      </c>
      <c r="U1339" s="14">
        <v>24</v>
      </c>
      <c r="V1339" s="14">
        <v>24</v>
      </c>
      <c r="W1339" s="14">
        <v>24</v>
      </c>
      <c r="X1339" s="14">
        <v>24</v>
      </c>
      <c r="Y1339" s="14">
        <v>24</v>
      </c>
      <c r="Z1339" s="14">
        <v>24</v>
      </c>
      <c r="AA1339" s="14">
        <v>24</v>
      </c>
      <c r="AB1339" s="14">
        <v>24</v>
      </c>
      <c r="AC1339" s="14">
        <v>24</v>
      </c>
      <c r="AD1339" s="14">
        <v>26.7</v>
      </c>
      <c r="AE1339" s="14">
        <v>26.7</v>
      </c>
      <c r="AF1339" s="14" t="s">
        <v>413</v>
      </c>
    </row>
    <row r="1340" spans="1:32" ht="14.25" customHeight="1" x14ac:dyDescent="0.35">
      <c r="A1340" s="14" t="s">
        <v>1114</v>
      </c>
      <c r="B1340" s="14" t="s">
        <v>420</v>
      </c>
      <c r="C1340" s="14" t="s">
        <v>414</v>
      </c>
      <c r="D1340" s="14" t="s">
        <v>429</v>
      </c>
      <c r="E1340" s="15">
        <v>41640</v>
      </c>
      <c r="F1340" s="15">
        <v>42004</v>
      </c>
      <c r="G1340" s="14" t="s">
        <v>415</v>
      </c>
      <c r="H1340" s="14">
        <v>26.7</v>
      </c>
      <c r="I1340" s="14">
        <v>26.7</v>
      </c>
      <c r="J1340" s="14">
        <v>26.7</v>
      </c>
      <c r="K1340" s="14">
        <v>26.7</v>
      </c>
      <c r="L1340" s="14">
        <v>24</v>
      </c>
      <c r="M1340" s="14">
        <v>24</v>
      </c>
      <c r="N1340" s="14">
        <v>24</v>
      </c>
      <c r="O1340" s="14">
        <v>24</v>
      </c>
      <c r="P1340" s="14">
        <v>24</v>
      </c>
      <c r="Q1340" s="14">
        <v>24</v>
      </c>
      <c r="R1340" s="14">
        <v>24</v>
      </c>
      <c r="S1340" s="14">
        <v>24</v>
      </c>
      <c r="T1340" s="14">
        <v>24</v>
      </c>
      <c r="U1340" s="14">
        <v>24</v>
      </c>
      <c r="V1340" s="14">
        <v>24</v>
      </c>
      <c r="W1340" s="14">
        <v>24</v>
      </c>
      <c r="X1340" s="14">
        <v>24</v>
      </c>
      <c r="Y1340" s="14">
        <v>24</v>
      </c>
      <c r="Z1340" s="14">
        <v>24</v>
      </c>
      <c r="AA1340" s="14">
        <v>24</v>
      </c>
      <c r="AB1340" s="14">
        <v>24</v>
      </c>
      <c r="AC1340" s="14">
        <v>24</v>
      </c>
      <c r="AD1340" s="14">
        <v>26.7</v>
      </c>
      <c r="AE1340" s="14">
        <v>26.7</v>
      </c>
      <c r="AF1340" s="14" t="s">
        <v>413</v>
      </c>
    </row>
    <row r="1341" spans="1:32" ht="14.25" customHeight="1" x14ac:dyDescent="0.35">
      <c r="A1341" s="16" t="s">
        <v>1115</v>
      </c>
      <c r="B1341" s="16" t="s">
        <v>420</v>
      </c>
      <c r="C1341" s="16" t="s">
        <v>414</v>
      </c>
      <c r="D1341" s="16" t="s">
        <v>476</v>
      </c>
      <c r="E1341" s="17">
        <v>41640</v>
      </c>
      <c r="F1341" s="17">
        <v>42004</v>
      </c>
      <c r="G1341" s="16" t="s">
        <v>410</v>
      </c>
      <c r="H1341" s="16">
        <v>26.7</v>
      </c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 t="s">
        <v>413</v>
      </c>
    </row>
    <row r="1342" spans="1:32" ht="14.25" customHeight="1" x14ac:dyDescent="0.35">
      <c r="A1342" s="16" t="s">
        <v>1115</v>
      </c>
      <c r="B1342" s="16" t="s">
        <v>420</v>
      </c>
      <c r="C1342" s="16" t="s">
        <v>414</v>
      </c>
      <c r="D1342" s="16" t="s">
        <v>512</v>
      </c>
      <c r="E1342" s="17">
        <v>41640</v>
      </c>
      <c r="F1342" s="17">
        <v>42004</v>
      </c>
      <c r="G1342" s="16" t="s">
        <v>415</v>
      </c>
      <c r="H1342" s="16">
        <v>26.7</v>
      </c>
      <c r="I1342" s="16">
        <v>26.7</v>
      </c>
      <c r="J1342" s="16">
        <v>26.7</v>
      </c>
      <c r="K1342" s="16">
        <v>26.7</v>
      </c>
      <c r="L1342" s="16">
        <v>24</v>
      </c>
      <c r="M1342" s="16">
        <v>24</v>
      </c>
      <c r="N1342" s="16">
        <v>24</v>
      </c>
      <c r="O1342" s="16">
        <v>24</v>
      </c>
      <c r="P1342" s="16">
        <v>24</v>
      </c>
      <c r="Q1342" s="16">
        <v>24</v>
      </c>
      <c r="R1342" s="16">
        <v>24</v>
      </c>
      <c r="S1342" s="16">
        <v>24</v>
      </c>
      <c r="T1342" s="16">
        <v>24</v>
      </c>
      <c r="U1342" s="16">
        <v>24</v>
      </c>
      <c r="V1342" s="16">
        <v>24</v>
      </c>
      <c r="W1342" s="16">
        <v>24</v>
      </c>
      <c r="X1342" s="16">
        <v>24</v>
      </c>
      <c r="Y1342" s="16">
        <v>26.7</v>
      </c>
      <c r="Z1342" s="16">
        <v>26.7</v>
      </c>
      <c r="AA1342" s="16">
        <v>26.7</v>
      </c>
      <c r="AB1342" s="16">
        <v>26.7</v>
      </c>
      <c r="AC1342" s="16">
        <v>26.7</v>
      </c>
      <c r="AD1342" s="16">
        <v>26.7</v>
      </c>
      <c r="AE1342" s="16">
        <v>26.7</v>
      </c>
      <c r="AF1342" s="16" t="s">
        <v>413</v>
      </c>
    </row>
    <row r="1343" spans="1:32" ht="14.25" customHeight="1" x14ac:dyDescent="0.35">
      <c r="A1343" s="14" t="s">
        <v>1115</v>
      </c>
      <c r="B1343" s="14" t="s">
        <v>420</v>
      </c>
      <c r="C1343" s="14" t="s">
        <v>414</v>
      </c>
      <c r="D1343" s="14" t="s">
        <v>419</v>
      </c>
      <c r="E1343" s="15">
        <v>41640</v>
      </c>
      <c r="F1343" s="15">
        <v>42004</v>
      </c>
      <c r="G1343" s="14" t="s">
        <v>415</v>
      </c>
      <c r="H1343" s="14">
        <v>26.7</v>
      </c>
      <c r="I1343" s="14">
        <v>26.7</v>
      </c>
      <c r="J1343" s="14">
        <v>26.7</v>
      </c>
      <c r="K1343" s="14">
        <v>26.7</v>
      </c>
      <c r="L1343" s="14">
        <v>26.7</v>
      </c>
      <c r="M1343" s="14">
        <v>25.7</v>
      </c>
      <c r="N1343" s="14">
        <v>25</v>
      </c>
      <c r="O1343" s="14">
        <v>24</v>
      </c>
      <c r="P1343" s="14">
        <v>24</v>
      </c>
      <c r="Q1343" s="14">
        <v>24</v>
      </c>
      <c r="R1343" s="14">
        <v>24</v>
      </c>
      <c r="S1343" s="14">
        <v>24</v>
      </c>
      <c r="T1343" s="14">
        <v>24</v>
      </c>
      <c r="U1343" s="14">
        <v>24</v>
      </c>
      <c r="V1343" s="14">
        <v>24</v>
      </c>
      <c r="W1343" s="14">
        <v>24</v>
      </c>
      <c r="X1343" s="14">
        <v>24</v>
      </c>
      <c r="Y1343" s="14">
        <v>24</v>
      </c>
      <c r="Z1343" s="14">
        <v>24</v>
      </c>
      <c r="AA1343" s="14">
        <v>24</v>
      </c>
      <c r="AB1343" s="14">
        <v>24</v>
      </c>
      <c r="AC1343" s="14">
        <v>24</v>
      </c>
      <c r="AD1343" s="14">
        <v>26.7</v>
      </c>
      <c r="AE1343" s="14">
        <v>26.7</v>
      </c>
      <c r="AF1343" s="14" t="s">
        <v>413</v>
      </c>
    </row>
    <row r="1344" spans="1:32" ht="14.25" customHeight="1" x14ac:dyDescent="0.35">
      <c r="A1344" s="14" t="s">
        <v>1115</v>
      </c>
      <c r="B1344" s="14" t="s">
        <v>420</v>
      </c>
      <c r="C1344" s="14" t="s">
        <v>414</v>
      </c>
      <c r="D1344" s="14" t="s">
        <v>429</v>
      </c>
      <c r="E1344" s="15">
        <v>41640</v>
      </c>
      <c r="F1344" s="15">
        <v>42004</v>
      </c>
      <c r="G1344" s="14" t="s">
        <v>415</v>
      </c>
      <c r="H1344" s="14">
        <v>26.7</v>
      </c>
      <c r="I1344" s="14">
        <v>26.7</v>
      </c>
      <c r="J1344" s="14">
        <v>26.7</v>
      </c>
      <c r="K1344" s="14">
        <v>26.7</v>
      </c>
      <c r="L1344" s="14">
        <v>24</v>
      </c>
      <c r="M1344" s="14">
        <v>24</v>
      </c>
      <c r="N1344" s="14">
        <v>24</v>
      </c>
      <c r="O1344" s="14">
        <v>24</v>
      </c>
      <c r="P1344" s="14">
        <v>24</v>
      </c>
      <c r="Q1344" s="14">
        <v>24</v>
      </c>
      <c r="R1344" s="14">
        <v>24</v>
      </c>
      <c r="S1344" s="14">
        <v>24</v>
      </c>
      <c r="T1344" s="14">
        <v>24</v>
      </c>
      <c r="U1344" s="14">
        <v>24</v>
      </c>
      <c r="V1344" s="14">
        <v>24</v>
      </c>
      <c r="W1344" s="14">
        <v>24</v>
      </c>
      <c r="X1344" s="14">
        <v>24</v>
      </c>
      <c r="Y1344" s="14">
        <v>24</v>
      </c>
      <c r="Z1344" s="14">
        <v>24</v>
      </c>
      <c r="AA1344" s="14">
        <v>24</v>
      </c>
      <c r="AB1344" s="14">
        <v>24</v>
      </c>
      <c r="AC1344" s="14">
        <v>24</v>
      </c>
      <c r="AD1344" s="14">
        <v>26.7</v>
      </c>
      <c r="AE1344" s="14">
        <v>26.7</v>
      </c>
      <c r="AF1344" s="14" t="s">
        <v>413</v>
      </c>
    </row>
    <row r="1345" spans="1:32" ht="14.25" customHeight="1" x14ac:dyDescent="0.35">
      <c r="A1345" s="16" t="s">
        <v>1116</v>
      </c>
      <c r="B1345" s="16" t="s">
        <v>420</v>
      </c>
      <c r="C1345" s="16" t="s">
        <v>414</v>
      </c>
      <c r="D1345" s="16" t="s">
        <v>1117</v>
      </c>
      <c r="E1345" s="17">
        <v>41640</v>
      </c>
      <c r="F1345" s="17">
        <v>42004</v>
      </c>
      <c r="G1345" s="16" t="s">
        <v>410</v>
      </c>
      <c r="H1345" s="16">
        <v>24</v>
      </c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 t="s">
        <v>413</v>
      </c>
    </row>
    <row r="1346" spans="1:32" ht="14.25" customHeight="1" x14ac:dyDescent="0.35">
      <c r="A1346" s="14" t="s">
        <v>1116</v>
      </c>
      <c r="B1346" s="14" t="s">
        <v>420</v>
      </c>
      <c r="C1346" s="14" t="s">
        <v>414</v>
      </c>
      <c r="D1346" s="14" t="s">
        <v>419</v>
      </c>
      <c r="E1346" s="15">
        <v>41640</v>
      </c>
      <c r="F1346" s="15">
        <v>42004</v>
      </c>
      <c r="G1346" s="14" t="s">
        <v>415</v>
      </c>
      <c r="H1346" s="14">
        <v>26.7</v>
      </c>
      <c r="I1346" s="14">
        <v>26.7</v>
      </c>
      <c r="J1346" s="14">
        <v>26.7</v>
      </c>
      <c r="K1346" s="14">
        <v>26.7</v>
      </c>
      <c r="L1346" s="14">
        <v>26.7</v>
      </c>
      <c r="M1346" s="14">
        <v>25.7</v>
      </c>
      <c r="N1346" s="14">
        <v>25</v>
      </c>
      <c r="O1346" s="14">
        <v>24</v>
      </c>
      <c r="P1346" s="14">
        <v>24</v>
      </c>
      <c r="Q1346" s="14">
        <v>24</v>
      </c>
      <c r="R1346" s="14">
        <v>24</v>
      </c>
      <c r="S1346" s="14">
        <v>24</v>
      </c>
      <c r="T1346" s="14">
        <v>24</v>
      </c>
      <c r="U1346" s="14">
        <v>24</v>
      </c>
      <c r="V1346" s="14">
        <v>24</v>
      </c>
      <c r="W1346" s="14">
        <v>24</v>
      </c>
      <c r="X1346" s="14">
        <v>24</v>
      </c>
      <c r="Y1346" s="14">
        <v>24</v>
      </c>
      <c r="Z1346" s="14">
        <v>24</v>
      </c>
      <c r="AA1346" s="14">
        <v>24</v>
      </c>
      <c r="AB1346" s="14">
        <v>24</v>
      </c>
      <c r="AC1346" s="14">
        <v>24</v>
      </c>
      <c r="AD1346" s="14">
        <v>26.7</v>
      </c>
      <c r="AE1346" s="14">
        <v>26.7</v>
      </c>
      <c r="AF1346" s="14" t="s">
        <v>413</v>
      </c>
    </row>
    <row r="1347" spans="1:32" ht="14.25" customHeight="1" x14ac:dyDescent="0.35">
      <c r="A1347" s="16" t="s">
        <v>1118</v>
      </c>
      <c r="B1347" s="16" t="s">
        <v>420</v>
      </c>
      <c r="C1347" s="16" t="s">
        <v>414</v>
      </c>
      <c r="D1347" s="16" t="s">
        <v>476</v>
      </c>
      <c r="E1347" s="17">
        <v>41640</v>
      </c>
      <c r="F1347" s="17">
        <v>42004</v>
      </c>
      <c r="G1347" s="16" t="s">
        <v>410</v>
      </c>
      <c r="H1347" s="16">
        <v>26.7</v>
      </c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 t="s">
        <v>413</v>
      </c>
    </row>
    <row r="1348" spans="1:32" ht="14.25" customHeight="1" x14ac:dyDescent="0.35">
      <c r="A1348" s="16" t="s">
        <v>1118</v>
      </c>
      <c r="B1348" s="16" t="s">
        <v>420</v>
      </c>
      <c r="C1348" s="16" t="s">
        <v>414</v>
      </c>
      <c r="D1348" s="16" t="s">
        <v>512</v>
      </c>
      <c r="E1348" s="17">
        <v>41640</v>
      </c>
      <c r="F1348" s="17">
        <v>42004</v>
      </c>
      <c r="G1348" s="16" t="s">
        <v>415</v>
      </c>
      <c r="H1348" s="16">
        <v>26.7</v>
      </c>
      <c r="I1348" s="16">
        <v>26.7</v>
      </c>
      <c r="J1348" s="16">
        <v>26.7</v>
      </c>
      <c r="K1348" s="16">
        <v>26.7</v>
      </c>
      <c r="L1348" s="16">
        <v>25.6</v>
      </c>
      <c r="M1348" s="16">
        <v>25</v>
      </c>
      <c r="N1348" s="16">
        <v>24</v>
      </c>
      <c r="O1348" s="16">
        <v>24</v>
      </c>
      <c r="P1348" s="16">
        <v>24</v>
      </c>
      <c r="Q1348" s="16">
        <v>24</v>
      </c>
      <c r="R1348" s="16">
        <v>24</v>
      </c>
      <c r="S1348" s="16">
        <v>24</v>
      </c>
      <c r="T1348" s="16">
        <v>24</v>
      </c>
      <c r="U1348" s="16">
        <v>24</v>
      </c>
      <c r="V1348" s="16">
        <v>24</v>
      </c>
      <c r="W1348" s="16">
        <v>24</v>
      </c>
      <c r="X1348" s="16">
        <v>24</v>
      </c>
      <c r="Y1348" s="16">
        <v>26.7</v>
      </c>
      <c r="Z1348" s="16">
        <v>26.7</v>
      </c>
      <c r="AA1348" s="16">
        <v>26.7</v>
      </c>
      <c r="AB1348" s="16">
        <v>26.7</v>
      </c>
      <c r="AC1348" s="16">
        <v>26.7</v>
      </c>
      <c r="AD1348" s="16">
        <v>26.7</v>
      </c>
      <c r="AE1348" s="16">
        <v>26.7</v>
      </c>
      <c r="AF1348" s="16" t="s">
        <v>413</v>
      </c>
    </row>
    <row r="1349" spans="1:32" ht="14.25" customHeight="1" x14ac:dyDescent="0.35">
      <c r="A1349" s="14" t="s">
        <v>1118</v>
      </c>
      <c r="B1349" s="14" t="s">
        <v>420</v>
      </c>
      <c r="C1349" s="14" t="s">
        <v>414</v>
      </c>
      <c r="D1349" s="14" t="s">
        <v>419</v>
      </c>
      <c r="E1349" s="15">
        <v>41640</v>
      </c>
      <c r="F1349" s="15">
        <v>42004</v>
      </c>
      <c r="G1349" s="14" t="s">
        <v>415</v>
      </c>
      <c r="H1349" s="14">
        <v>26.7</v>
      </c>
      <c r="I1349" s="14">
        <v>26.7</v>
      </c>
      <c r="J1349" s="14">
        <v>26.7</v>
      </c>
      <c r="K1349" s="14">
        <v>26.7</v>
      </c>
      <c r="L1349" s="14">
        <v>26.7</v>
      </c>
      <c r="M1349" s="14">
        <v>25.7</v>
      </c>
      <c r="N1349" s="14">
        <v>25</v>
      </c>
      <c r="O1349" s="14">
        <v>24</v>
      </c>
      <c r="P1349" s="14">
        <v>24</v>
      </c>
      <c r="Q1349" s="14">
        <v>24</v>
      </c>
      <c r="R1349" s="14">
        <v>24</v>
      </c>
      <c r="S1349" s="14">
        <v>24</v>
      </c>
      <c r="T1349" s="14">
        <v>24</v>
      </c>
      <c r="U1349" s="14">
        <v>24</v>
      </c>
      <c r="V1349" s="14">
        <v>24</v>
      </c>
      <c r="W1349" s="14">
        <v>24</v>
      </c>
      <c r="X1349" s="14">
        <v>24</v>
      </c>
      <c r="Y1349" s="14">
        <v>24</v>
      </c>
      <c r="Z1349" s="14">
        <v>24</v>
      </c>
      <c r="AA1349" s="14">
        <v>24</v>
      </c>
      <c r="AB1349" s="14">
        <v>24</v>
      </c>
      <c r="AC1349" s="14">
        <v>24</v>
      </c>
      <c r="AD1349" s="14">
        <v>26.7</v>
      </c>
      <c r="AE1349" s="14">
        <v>26.7</v>
      </c>
      <c r="AF1349" s="14" t="s">
        <v>413</v>
      </c>
    </row>
    <row r="1350" spans="1:32" ht="14.25" customHeight="1" x14ac:dyDescent="0.35">
      <c r="A1350" s="14" t="s">
        <v>1118</v>
      </c>
      <c r="B1350" s="14" t="s">
        <v>420</v>
      </c>
      <c r="C1350" s="14" t="s">
        <v>414</v>
      </c>
      <c r="D1350" s="14" t="s">
        <v>429</v>
      </c>
      <c r="E1350" s="15">
        <v>41640</v>
      </c>
      <c r="F1350" s="15">
        <v>42004</v>
      </c>
      <c r="G1350" s="14" t="s">
        <v>415</v>
      </c>
      <c r="H1350" s="14">
        <v>26.7</v>
      </c>
      <c r="I1350" s="14">
        <v>26.7</v>
      </c>
      <c r="J1350" s="14">
        <v>26.7</v>
      </c>
      <c r="K1350" s="14">
        <v>26.7</v>
      </c>
      <c r="L1350" s="14">
        <v>25.6</v>
      </c>
      <c r="M1350" s="14">
        <v>25</v>
      </c>
      <c r="N1350" s="14">
        <v>24</v>
      </c>
      <c r="O1350" s="14">
        <v>24</v>
      </c>
      <c r="P1350" s="14">
        <v>24</v>
      </c>
      <c r="Q1350" s="14">
        <v>24</v>
      </c>
      <c r="R1350" s="14">
        <v>24</v>
      </c>
      <c r="S1350" s="14">
        <v>24</v>
      </c>
      <c r="T1350" s="14">
        <v>24</v>
      </c>
      <c r="U1350" s="14">
        <v>24</v>
      </c>
      <c r="V1350" s="14">
        <v>24</v>
      </c>
      <c r="W1350" s="14">
        <v>24</v>
      </c>
      <c r="X1350" s="14">
        <v>24</v>
      </c>
      <c r="Y1350" s="14">
        <v>24</v>
      </c>
      <c r="Z1350" s="14">
        <v>24</v>
      </c>
      <c r="AA1350" s="14">
        <v>24</v>
      </c>
      <c r="AB1350" s="14">
        <v>24</v>
      </c>
      <c r="AC1350" s="14">
        <v>24</v>
      </c>
      <c r="AD1350" s="14">
        <v>26.7</v>
      </c>
      <c r="AE1350" s="14">
        <v>26.7</v>
      </c>
      <c r="AF1350" s="14" t="s">
        <v>413</v>
      </c>
    </row>
    <row r="1351" spans="1:32" ht="14.25" customHeight="1" x14ac:dyDescent="0.35">
      <c r="A1351" s="16" t="s">
        <v>1119</v>
      </c>
      <c r="B1351" s="16" t="s">
        <v>420</v>
      </c>
      <c r="C1351" s="16" t="s">
        <v>414</v>
      </c>
      <c r="D1351" s="16" t="s">
        <v>476</v>
      </c>
      <c r="E1351" s="17">
        <v>41640</v>
      </c>
      <c r="F1351" s="17">
        <v>42004</v>
      </c>
      <c r="G1351" s="16" t="s">
        <v>410</v>
      </c>
      <c r="H1351" s="16">
        <v>26.7</v>
      </c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 t="s">
        <v>413</v>
      </c>
    </row>
    <row r="1352" spans="1:32" ht="14.25" customHeight="1" x14ac:dyDescent="0.35">
      <c r="A1352" s="16" t="s">
        <v>1119</v>
      </c>
      <c r="B1352" s="16" t="s">
        <v>420</v>
      </c>
      <c r="C1352" s="16" t="s">
        <v>414</v>
      </c>
      <c r="D1352" s="16" t="s">
        <v>512</v>
      </c>
      <c r="E1352" s="17">
        <v>41640</v>
      </c>
      <c r="F1352" s="17">
        <v>42004</v>
      </c>
      <c r="G1352" s="16" t="s">
        <v>415</v>
      </c>
      <c r="H1352" s="16">
        <v>26.7</v>
      </c>
      <c r="I1352" s="16">
        <v>26.7</v>
      </c>
      <c r="J1352" s="16">
        <v>26.7</v>
      </c>
      <c r="K1352" s="16">
        <v>26.7</v>
      </c>
      <c r="L1352" s="16">
        <v>25.6</v>
      </c>
      <c r="M1352" s="16">
        <v>25</v>
      </c>
      <c r="N1352" s="16">
        <v>24</v>
      </c>
      <c r="O1352" s="16">
        <v>24</v>
      </c>
      <c r="P1352" s="16">
        <v>24</v>
      </c>
      <c r="Q1352" s="16">
        <v>24</v>
      </c>
      <c r="R1352" s="16">
        <v>24</v>
      </c>
      <c r="S1352" s="16">
        <v>24</v>
      </c>
      <c r="T1352" s="16">
        <v>24</v>
      </c>
      <c r="U1352" s="16">
        <v>24</v>
      </c>
      <c r="V1352" s="16">
        <v>24</v>
      </c>
      <c r="W1352" s="16">
        <v>24</v>
      </c>
      <c r="X1352" s="16">
        <v>24</v>
      </c>
      <c r="Y1352" s="16">
        <v>26.7</v>
      </c>
      <c r="Z1352" s="16">
        <v>26.7</v>
      </c>
      <c r="AA1352" s="16">
        <v>26.7</v>
      </c>
      <c r="AB1352" s="16">
        <v>26.7</v>
      </c>
      <c r="AC1352" s="16">
        <v>26.7</v>
      </c>
      <c r="AD1352" s="16">
        <v>26.7</v>
      </c>
      <c r="AE1352" s="16">
        <v>26.7</v>
      </c>
      <c r="AF1352" s="16" t="s">
        <v>413</v>
      </c>
    </row>
    <row r="1353" spans="1:32" ht="14.25" customHeight="1" x14ac:dyDescent="0.35">
      <c r="A1353" s="14" t="s">
        <v>1119</v>
      </c>
      <c r="B1353" s="14" t="s">
        <v>420</v>
      </c>
      <c r="C1353" s="14" t="s">
        <v>414</v>
      </c>
      <c r="D1353" s="14" t="s">
        <v>419</v>
      </c>
      <c r="E1353" s="15">
        <v>41640</v>
      </c>
      <c r="F1353" s="15">
        <v>42004</v>
      </c>
      <c r="G1353" s="14" t="s">
        <v>415</v>
      </c>
      <c r="H1353" s="14">
        <v>26.7</v>
      </c>
      <c r="I1353" s="14">
        <v>26.7</v>
      </c>
      <c r="J1353" s="14">
        <v>26.7</v>
      </c>
      <c r="K1353" s="14">
        <v>26.7</v>
      </c>
      <c r="L1353" s="14">
        <v>26.7</v>
      </c>
      <c r="M1353" s="14">
        <v>25.7</v>
      </c>
      <c r="N1353" s="14">
        <v>25</v>
      </c>
      <c r="O1353" s="14">
        <v>24</v>
      </c>
      <c r="P1353" s="14">
        <v>24</v>
      </c>
      <c r="Q1353" s="14">
        <v>24</v>
      </c>
      <c r="R1353" s="14">
        <v>24</v>
      </c>
      <c r="S1353" s="14">
        <v>24</v>
      </c>
      <c r="T1353" s="14">
        <v>24</v>
      </c>
      <c r="U1353" s="14">
        <v>24</v>
      </c>
      <c r="V1353" s="14">
        <v>24</v>
      </c>
      <c r="W1353" s="14">
        <v>24</v>
      </c>
      <c r="X1353" s="14">
        <v>24</v>
      </c>
      <c r="Y1353" s="14">
        <v>24</v>
      </c>
      <c r="Z1353" s="14">
        <v>24</v>
      </c>
      <c r="AA1353" s="14">
        <v>24</v>
      </c>
      <c r="AB1353" s="14">
        <v>24</v>
      </c>
      <c r="AC1353" s="14">
        <v>24</v>
      </c>
      <c r="AD1353" s="14">
        <v>26.7</v>
      </c>
      <c r="AE1353" s="14">
        <v>26.7</v>
      </c>
      <c r="AF1353" s="14" t="s">
        <v>413</v>
      </c>
    </row>
    <row r="1354" spans="1:32" ht="14.25" customHeight="1" x14ac:dyDescent="0.35">
      <c r="A1354" s="14" t="s">
        <v>1119</v>
      </c>
      <c r="B1354" s="14" t="s">
        <v>420</v>
      </c>
      <c r="C1354" s="14" t="s">
        <v>414</v>
      </c>
      <c r="D1354" s="14" t="s">
        <v>429</v>
      </c>
      <c r="E1354" s="15">
        <v>41640</v>
      </c>
      <c r="F1354" s="15">
        <v>42004</v>
      </c>
      <c r="G1354" s="14" t="s">
        <v>415</v>
      </c>
      <c r="H1354" s="14">
        <v>26.7</v>
      </c>
      <c r="I1354" s="14">
        <v>26.7</v>
      </c>
      <c r="J1354" s="14">
        <v>26.7</v>
      </c>
      <c r="K1354" s="14">
        <v>26.7</v>
      </c>
      <c r="L1354" s="14">
        <v>25.6</v>
      </c>
      <c r="M1354" s="14">
        <v>25</v>
      </c>
      <c r="N1354" s="14">
        <v>24</v>
      </c>
      <c r="O1354" s="14">
        <v>24</v>
      </c>
      <c r="P1354" s="14">
        <v>24</v>
      </c>
      <c r="Q1354" s="14">
        <v>24</v>
      </c>
      <c r="R1354" s="14">
        <v>24</v>
      </c>
      <c r="S1354" s="14">
        <v>24</v>
      </c>
      <c r="T1354" s="14">
        <v>24</v>
      </c>
      <c r="U1354" s="14">
        <v>24</v>
      </c>
      <c r="V1354" s="14">
        <v>24</v>
      </c>
      <c r="W1354" s="14">
        <v>24</v>
      </c>
      <c r="X1354" s="14">
        <v>24</v>
      </c>
      <c r="Y1354" s="14">
        <v>24</v>
      </c>
      <c r="Z1354" s="14">
        <v>24</v>
      </c>
      <c r="AA1354" s="14">
        <v>24</v>
      </c>
      <c r="AB1354" s="14">
        <v>24</v>
      </c>
      <c r="AC1354" s="14">
        <v>24</v>
      </c>
      <c r="AD1354" s="14">
        <v>26.7</v>
      </c>
      <c r="AE1354" s="14">
        <v>26.7</v>
      </c>
      <c r="AF1354" s="14" t="s">
        <v>413</v>
      </c>
    </row>
    <row r="1355" spans="1:32" ht="14.25" customHeight="1" x14ac:dyDescent="0.35">
      <c r="A1355" s="16" t="s">
        <v>1120</v>
      </c>
      <c r="B1355" s="16" t="s">
        <v>518</v>
      </c>
      <c r="C1355" s="16" t="s">
        <v>412</v>
      </c>
      <c r="D1355" s="16" t="s">
        <v>453</v>
      </c>
      <c r="E1355" s="17">
        <v>41640</v>
      </c>
      <c r="F1355" s="17">
        <v>42004</v>
      </c>
      <c r="G1355" s="16" t="s">
        <v>410</v>
      </c>
      <c r="H1355" s="16">
        <v>0.5</v>
      </c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 t="s">
        <v>413</v>
      </c>
    </row>
    <row r="1356" spans="1:32" ht="14.25" customHeight="1" x14ac:dyDescent="0.35">
      <c r="A1356" s="16" t="s">
        <v>1120</v>
      </c>
      <c r="B1356" s="16" t="s">
        <v>518</v>
      </c>
      <c r="C1356" s="16" t="s">
        <v>412</v>
      </c>
      <c r="D1356" s="16" t="s">
        <v>454</v>
      </c>
      <c r="E1356" s="17">
        <v>41913</v>
      </c>
      <c r="F1356" s="17">
        <v>42004</v>
      </c>
      <c r="G1356" s="16" t="s">
        <v>410</v>
      </c>
      <c r="H1356" s="16">
        <v>1</v>
      </c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 t="s">
        <v>413</v>
      </c>
    </row>
    <row r="1357" spans="1:32" ht="14.25" customHeight="1" x14ac:dyDescent="0.35">
      <c r="A1357" s="14" t="s">
        <v>1120</v>
      </c>
      <c r="B1357" s="14" t="s">
        <v>518</v>
      </c>
      <c r="C1357" s="14" t="s">
        <v>412</v>
      </c>
      <c r="D1357" s="14" t="s">
        <v>454</v>
      </c>
      <c r="E1357" s="15">
        <v>41640</v>
      </c>
      <c r="F1357" s="15">
        <v>41759</v>
      </c>
      <c r="G1357" s="14" t="s">
        <v>410</v>
      </c>
      <c r="H1357" s="14">
        <v>1</v>
      </c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 t="s">
        <v>413</v>
      </c>
    </row>
    <row r="1358" spans="1:32" ht="14.25" customHeight="1" x14ac:dyDescent="0.35">
      <c r="A1358" s="14" t="s">
        <v>1120</v>
      </c>
      <c r="B1358" s="14" t="s">
        <v>518</v>
      </c>
      <c r="C1358" s="14" t="s">
        <v>412</v>
      </c>
      <c r="D1358" s="14" t="s">
        <v>418</v>
      </c>
      <c r="E1358" s="15">
        <v>41640</v>
      </c>
      <c r="F1358" s="15">
        <v>42004</v>
      </c>
      <c r="G1358" s="14" t="s">
        <v>410</v>
      </c>
      <c r="H1358" s="14">
        <v>1</v>
      </c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 t="s">
        <v>413</v>
      </c>
    </row>
    <row r="1359" spans="1:32" ht="14.25" customHeight="1" x14ac:dyDescent="0.35">
      <c r="A1359" s="14" t="s">
        <v>1122</v>
      </c>
      <c r="B1359" s="14" t="s">
        <v>408</v>
      </c>
      <c r="C1359" s="14"/>
      <c r="D1359" s="14" t="s">
        <v>409</v>
      </c>
      <c r="E1359" s="15">
        <v>41640</v>
      </c>
      <c r="F1359" s="15">
        <v>42004</v>
      </c>
      <c r="G1359" s="14" t="s">
        <v>410</v>
      </c>
      <c r="H1359" s="14">
        <v>1</v>
      </c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 t="s">
        <v>413</v>
      </c>
    </row>
    <row r="1360" spans="1:32" ht="14.25" customHeight="1" x14ac:dyDescent="0.35">
      <c r="A1360" s="16" t="s">
        <v>1121</v>
      </c>
      <c r="B1360" s="16" t="s">
        <v>408</v>
      </c>
      <c r="C1360" s="16" t="s">
        <v>414</v>
      </c>
      <c r="D1360" s="16" t="s">
        <v>409</v>
      </c>
      <c r="E1360" s="17">
        <v>41640</v>
      </c>
      <c r="F1360" s="17">
        <v>42004</v>
      </c>
      <c r="G1360" s="16" t="s">
        <v>410</v>
      </c>
      <c r="H1360" s="16">
        <v>12.8</v>
      </c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 t="s">
        <v>413</v>
      </c>
    </row>
    <row r="1361" spans="1:32" ht="14.25" customHeight="1" x14ac:dyDescent="0.35">
      <c r="A1361" s="16" t="s">
        <v>1123</v>
      </c>
      <c r="B1361" s="16" t="s">
        <v>408</v>
      </c>
      <c r="C1361" s="16"/>
      <c r="D1361" s="16" t="s">
        <v>409</v>
      </c>
      <c r="E1361" s="17">
        <v>41640</v>
      </c>
      <c r="F1361" s="17">
        <v>42004</v>
      </c>
      <c r="G1361" s="16" t="s">
        <v>410</v>
      </c>
      <c r="H1361" s="16">
        <v>0.05</v>
      </c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 t="s">
        <v>413</v>
      </c>
    </row>
    <row r="1362" spans="1:32" ht="14.25" customHeight="1" x14ac:dyDescent="0.35">
      <c r="A1362" s="14" t="s">
        <v>1124</v>
      </c>
      <c r="B1362" s="14" t="s">
        <v>408</v>
      </c>
      <c r="C1362" s="14"/>
      <c r="D1362" s="14" t="s">
        <v>409</v>
      </c>
      <c r="E1362" s="15">
        <v>41640</v>
      </c>
      <c r="F1362" s="15">
        <v>42004</v>
      </c>
      <c r="G1362" s="14" t="s">
        <v>410</v>
      </c>
      <c r="H1362" s="14">
        <v>0.2</v>
      </c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 t="s">
        <v>413</v>
      </c>
    </row>
    <row r="1363" spans="1:32" ht="14.25" customHeight="1" x14ac:dyDescent="0.35">
      <c r="A1363" s="16" t="s">
        <v>1125</v>
      </c>
      <c r="B1363" s="16" t="s">
        <v>408</v>
      </c>
      <c r="C1363" s="16" t="s">
        <v>414</v>
      </c>
      <c r="D1363" s="16" t="s">
        <v>409</v>
      </c>
      <c r="E1363" s="17">
        <v>41640</v>
      </c>
      <c r="F1363" s="17">
        <v>42004</v>
      </c>
      <c r="G1363" s="16" t="s">
        <v>410</v>
      </c>
      <c r="H1363" s="16">
        <v>60</v>
      </c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 t="s">
        <v>413</v>
      </c>
    </row>
    <row r="1364" spans="1:32" ht="14.25" customHeight="1" x14ac:dyDescent="0.35">
      <c r="A1364" s="14" t="s">
        <v>1126</v>
      </c>
      <c r="B1364" s="14" t="s">
        <v>408</v>
      </c>
      <c r="C1364" s="14" t="s">
        <v>414</v>
      </c>
      <c r="D1364" s="14" t="s">
        <v>409</v>
      </c>
      <c r="E1364" s="15">
        <v>41640</v>
      </c>
      <c r="F1364" s="15">
        <v>42004</v>
      </c>
      <c r="G1364" s="14" t="s">
        <v>410</v>
      </c>
      <c r="H1364" s="14">
        <v>55</v>
      </c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 t="s">
        <v>413</v>
      </c>
    </row>
    <row r="1365" spans="1:32" ht="14.25" customHeight="1" x14ac:dyDescent="0.35">
      <c r="A1365" s="16" t="s">
        <v>1127</v>
      </c>
      <c r="B1365" s="16" t="s">
        <v>408</v>
      </c>
      <c r="C1365" s="16"/>
      <c r="D1365" s="16" t="s">
        <v>409</v>
      </c>
      <c r="E1365" s="17">
        <v>41640</v>
      </c>
      <c r="F1365" s="17">
        <v>42004</v>
      </c>
      <c r="G1365" s="16" t="s">
        <v>410</v>
      </c>
      <c r="H1365" s="16">
        <v>0.05</v>
      </c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 t="s">
        <v>413</v>
      </c>
    </row>
    <row r="1366" spans="1:32" ht="14.25" customHeight="1" x14ac:dyDescent="0.35">
      <c r="A1366" s="14" t="s">
        <v>1128</v>
      </c>
      <c r="B1366" s="14" t="s">
        <v>408</v>
      </c>
      <c r="C1366" s="14"/>
      <c r="D1366" s="14" t="s">
        <v>409</v>
      </c>
      <c r="E1366" s="15">
        <v>41640</v>
      </c>
      <c r="F1366" s="15">
        <v>42004</v>
      </c>
      <c r="G1366" s="14" t="s">
        <v>410</v>
      </c>
      <c r="H1366" s="14">
        <v>0.2</v>
      </c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 t="s">
        <v>413</v>
      </c>
    </row>
    <row r="1367" spans="1:32" ht="14.25" customHeight="1" x14ac:dyDescent="0.35">
      <c r="A1367" s="16" t="s">
        <v>1129</v>
      </c>
      <c r="B1367" s="16" t="s">
        <v>408</v>
      </c>
      <c r="C1367" s="16" t="s">
        <v>414</v>
      </c>
      <c r="D1367" s="16" t="s">
        <v>409</v>
      </c>
      <c r="E1367" s="17">
        <v>41640</v>
      </c>
      <c r="F1367" s="17">
        <v>42004</v>
      </c>
      <c r="G1367" s="16" t="s">
        <v>410</v>
      </c>
      <c r="H1367" s="16">
        <v>60</v>
      </c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 t="s">
        <v>413</v>
      </c>
    </row>
    <row r="1368" spans="1:32" ht="14.25" customHeight="1" x14ac:dyDescent="0.35">
      <c r="A1368" s="14" t="s">
        <v>1130</v>
      </c>
      <c r="B1368" s="14" t="s">
        <v>408</v>
      </c>
      <c r="C1368" s="14" t="s">
        <v>414</v>
      </c>
      <c r="D1368" s="14" t="s">
        <v>409</v>
      </c>
      <c r="E1368" s="15">
        <v>41640</v>
      </c>
      <c r="F1368" s="15">
        <v>42004</v>
      </c>
      <c r="G1368" s="14" t="s">
        <v>410</v>
      </c>
      <c r="H1368" s="14">
        <v>55</v>
      </c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 t="s">
        <v>413</v>
      </c>
    </row>
    <row r="1369" spans="1:32" ht="14.25" customHeight="1" x14ac:dyDescent="0.35">
      <c r="A1369" s="16" t="s">
        <v>1131</v>
      </c>
      <c r="B1369" s="16" t="s">
        <v>408</v>
      </c>
      <c r="C1369" s="16"/>
      <c r="D1369" s="16" t="s">
        <v>409</v>
      </c>
      <c r="E1369" s="17">
        <v>41640</v>
      </c>
      <c r="F1369" s="17">
        <v>42004</v>
      </c>
      <c r="G1369" s="16" t="s">
        <v>410</v>
      </c>
      <c r="H1369" s="16">
        <v>0.05</v>
      </c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 t="s">
        <v>413</v>
      </c>
    </row>
    <row r="1370" spans="1:32" ht="14.25" customHeight="1" x14ac:dyDescent="0.35">
      <c r="A1370" s="14" t="s">
        <v>1132</v>
      </c>
      <c r="B1370" s="14" t="s">
        <v>408</v>
      </c>
      <c r="C1370" s="14"/>
      <c r="D1370" s="14" t="s">
        <v>409</v>
      </c>
      <c r="E1370" s="15">
        <v>41640</v>
      </c>
      <c r="F1370" s="15">
        <v>42004</v>
      </c>
      <c r="G1370" s="14" t="s">
        <v>410</v>
      </c>
      <c r="H1370" s="14">
        <v>0.2</v>
      </c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 t="s">
        <v>413</v>
      </c>
    </row>
    <row r="1371" spans="1:32" ht="14.25" customHeight="1" x14ac:dyDescent="0.35">
      <c r="A1371" s="16" t="s">
        <v>1133</v>
      </c>
      <c r="B1371" s="16" t="s">
        <v>408</v>
      </c>
      <c r="C1371" s="16" t="s">
        <v>414</v>
      </c>
      <c r="D1371" s="16" t="s">
        <v>409</v>
      </c>
      <c r="E1371" s="17">
        <v>41640</v>
      </c>
      <c r="F1371" s="17">
        <v>42004</v>
      </c>
      <c r="G1371" s="16" t="s">
        <v>410</v>
      </c>
      <c r="H1371" s="16">
        <v>60</v>
      </c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 t="s">
        <v>413</v>
      </c>
    </row>
    <row r="1372" spans="1:32" ht="14.25" customHeight="1" x14ac:dyDescent="0.35">
      <c r="A1372" s="14" t="s">
        <v>1134</v>
      </c>
      <c r="B1372" s="14" t="s">
        <v>408</v>
      </c>
      <c r="C1372" s="14" t="s">
        <v>414</v>
      </c>
      <c r="D1372" s="14" t="s">
        <v>409</v>
      </c>
      <c r="E1372" s="15">
        <v>41640</v>
      </c>
      <c r="F1372" s="15">
        <v>42004</v>
      </c>
      <c r="G1372" s="14" t="s">
        <v>410</v>
      </c>
      <c r="H1372" s="14">
        <v>55</v>
      </c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 t="s">
        <v>413</v>
      </c>
    </row>
    <row r="1373" spans="1:32" ht="14.25" customHeight="1" x14ac:dyDescent="0.35">
      <c r="A1373" s="16" t="s">
        <v>1135</v>
      </c>
      <c r="B1373" s="16" t="s">
        <v>408</v>
      </c>
      <c r="C1373" s="16" t="s">
        <v>414</v>
      </c>
      <c r="D1373" s="16" t="s">
        <v>409</v>
      </c>
      <c r="E1373" s="17">
        <v>41640</v>
      </c>
      <c r="F1373" s="17">
        <v>42004</v>
      </c>
      <c r="G1373" s="16" t="s">
        <v>410</v>
      </c>
      <c r="H1373" s="16">
        <v>6.7</v>
      </c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 t="s">
        <v>413</v>
      </c>
    </row>
    <row r="1374" spans="1:32" ht="14.25" customHeight="1" x14ac:dyDescent="0.35">
      <c r="A1374" s="14" t="s">
        <v>1136</v>
      </c>
      <c r="B1374" s="14" t="s">
        <v>408</v>
      </c>
      <c r="C1374" s="14"/>
      <c r="D1374" s="14" t="s">
        <v>409</v>
      </c>
      <c r="E1374" s="15">
        <v>41640</v>
      </c>
      <c r="F1374" s="15">
        <v>42004</v>
      </c>
      <c r="G1374" s="14" t="s">
        <v>410</v>
      </c>
      <c r="H1374" s="14">
        <v>1</v>
      </c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 t="s">
        <v>413</v>
      </c>
    </row>
    <row r="1375" spans="1:32" ht="14.25" customHeight="1" x14ac:dyDescent="0.35">
      <c r="A1375" s="16" t="s">
        <v>1137</v>
      </c>
      <c r="B1375" s="16" t="s">
        <v>408</v>
      </c>
      <c r="C1375" s="16"/>
      <c r="D1375" s="16" t="s">
        <v>409</v>
      </c>
      <c r="E1375" s="17">
        <v>41640</v>
      </c>
      <c r="F1375" s="17">
        <v>42004</v>
      </c>
      <c r="G1375" s="16" t="s">
        <v>410</v>
      </c>
      <c r="H1375" s="16">
        <v>1</v>
      </c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 t="s">
        <v>413</v>
      </c>
    </row>
    <row r="1376" spans="1:32" ht="14.25" customHeight="1" x14ac:dyDescent="0.35">
      <c r="A1376" s="14" t="s">
        <v>1138</v>
      </c>
      <c r="B1376" s="14" t="s">
        <v>408</v>
      </c>
      <c r="C1376" s="14"/>
      <c r="D1376" s="14" t="s">
        <v>409</v>
      </c>
      <c r="E1376" s="15">
        <v>41640</v>
      </c>
      <c r="F1376" s="15">
        <v>42004</v>
      </c>
      <c r="G1376" s="14" t="s">
        <v>410</v>
      </c>
      <c r="H1376" s="14">
        <v>30</v>
      </c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 t="s">
        <v>413</v>
      </c>
    </row>
    <row r="1377" spans="1:32" ht="14.25" customHeight="1" x14ac:dyDescent="0.35">
      <c r="A1377" s="16" t="s">
        <v>1139</v>
      </c>
      <c r="B1377" s="16" t="s">
        <v>408</v>
      </c>
      <c r="C1377" s="16"/>
      <c r="D1377" s="16" t="s">
        <v>409</v>
      </c>
      <c r="E1377" s="17">
        <v>41640</v>
      </c>
      <c r="F1377" s="17">
        <v>42004</v>
      </c>
      <c r="G1377" s="16" t="s">
        <v>410</v>
      </c>
      <c r="H1377" s="16">
        <v>4</v>
      </c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 t="s">
        <v>413</v>
      </c>
    </row>
    <row r="1378" spans="1:32" ht="14.25" customHeight="1" x14ac:dyDescent="0.35">
      <c r="A1378" s="14" t="s">
        <v>1140</v>
      </c>
      <c r="B1378" s="14" t="s">
        <v>424</v>
      </c>
      <c r="C1378" s="14"/>
      <c r="D1378" s="14" t="s">
        <v>409</v>
      </c>
      <c r="E1378" s="15">
        <v>41640</v>
      </c>
      <c r="F1378" s="15">
        <v>42004</v>
      </c>
      <c r="G1378" s="14" t="s">
        <v>410</v>
      </c>
      <c r="H1378" s="14">
        <v>1</v>
      </c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 t="s">
        <v>413</v>
      </c>
    </row>
    <row r="1379" spans="1:32" ht="14.25" customHeight="1" x14ac:dyDescent="0.35">
      <c r="A1379" s="16" t="s">
        <v>1141</v>
      </c>
      <c r="B1379" s="16" t="s">
        <v>424</v>
      </c>
      <c r="C1379" s="16"/>
      <c r="D1379" s="16" t="s">
        <v>417</v>
      </c>
      <c r="E1379" s="17">
        <v>41640</v>
      </c>
      <c r="F1379" s="17">
        <v>42004</v>
      </c>
      <c r="G1379" s="16" t="s">
        <v>415</v>
      </c>
      <c r="H1379" s="16">
        <v>0.05</v>
      </c>
      <c r="I1379" s="16">
        <v>0.05</v>
      </c>
      <c r="J1379" s="16">
        <v>0.05</v>
      </c>
      <c r="K1379" s="16">
        <v>0.05</v>
      </c>
      <c r="L1379" s="16">
        <v>0.1</v>
      </c>
      <c r="M1379" s="16">
        <v>0.2</v>
      </c>
      <c r="N1379" s="16">
        <v>0.4</v>
      </c>
      <c r="O1379" s="16">
        <v>0.5</v>
      </c>
      <c r="P1379" s="16">
        <v>0.5</v>
      </c>
      <c r="Q1379" s="16">
        <v>0.35</v>
      </c>
      <c r="R1379" s="16">
        <v>0.15</v>
      </c>
      <c r="S1379" s="16">
        <v>0.15</v>
      </c>
      <c r="T1379" s="16">
        <v>0.15</v>
      </c>
      <c r="U1379" s="16">
        <v>0.15</v>
      </c>
      <c r="V1379" s="16">
        <v>0.15</v>
      </c>
      <c r="W1379" s="16">
        <v>0.15</v>
      </c>
      <c r="X1379" s="16">
        <v>0.35</v>
      </c>
      <c r="Y1379" s="16">
        <v>0.5</v>
      </c>
      <c r="Z1379" s="16">
        <v>0.5</v>
      </c>
      <c r="AA1379" s="16">
        <v>0.4</v>
      </c>
      <c r="AB1379" s="16">
        <v>0.4</v>
      </c>
      <c r="AC1379" s="16">
        <v>0.3</v>
      </c>
      <c r="AD1379" s="16">
        <v>0.2</v>
      </c>
      <c r="AE1379" s="16">
        <v>0.1</v>
      </c>
      <c r="AF1379" s="16" t="s">
        <v>413</v>
      </c>
    </row>
    <row r="1380" spans="1:32" ht="14.25" customHeight="1" x14ac:dyDescent="0.35">
      <c r="A1380" s="16" t="s">
        <v>1141</v>
      </c>
      <c r="B1380" s="16" t="s">
        <v>424</v>
      </c>
      <c r="C1380" s="16"/>
      <c r="D1380" s="16" t="s">
        <v>419</v>
      </c>
      <c r="E1380" s="17">
        <v>41640</v>
      </c>
      <c r="F1380" s="17">
        <v>42004</v>
      </c>
      <c r="G1380" s="16" t="s">
        <v>410</v>
      </c>
      <c r="H1380" s="16">
        <v>0.5</v>
      </c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 t="s">
        <v>413</v>
      </c>
    </row>
    <row r="1381" spans="1:32" ht="14.25" customHeight="1" x14ac:dyDescent="0.35">
      <c r="A1381" s="14" t="s">
        <v>1141</v>
      </c>
      <c r="B1381" s="14" t="s">
        <v>424</v>
      </c>
      <c r="C1381" s="14"/>
      <c r="D1381" s="14" t="s">
        <v>418</v>
      </c>
      <c r="E1381" s="15">
        <v>41640</v>
      </c>
      <c r="F1381" s="15">
        <v>42004</v>
      </c>
      <c r="G1381" s="14" t="s">
        <v>410</v>
      </c>
      <c r="H1381" s="14">
        <v>0.05</v>
      </c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 t="s">
        <v>413</v>
      </c>
    </row>
    <row r="1382" spans="1:32" ht="14.25" customHeight="1" x14ac:dyDescent="0.35">
      <c r="A1382" s="14" t="s">
        <v>1142</v>
      </c>
      <c r="B1382" s="14" t="s">
        <v>408</v>
      </c>
      <c r="C1382" s="14"/>
      <c r="D1382" s="14" t="s">
        <v>409</v>
      </c>
      <c r="E1382" s="15">
        <v>41640</v>
      </c>
      <c r="F1382" s="15">
        <v>42004</v>
      </c>
      <c r="G1382" s="14" t="s">
        <v>415</v>
      </c>
      <c r="H1382" s="14">
        <v>0.5</v>
      </c>
      <c r="I1382" s="14">
        <v>0.5</v>
      </c>
      <c r="J1382" s="14">
        <v>0.5</v>
      </c>
      <c r="K1382" s="14">
        <v>0.5</v>
      </c>
      <c r="L1382" s="14">
        <v>0.5</v>
      </c>
      <c r="M1382" s="14">
        <v>0.5</v>
      </c>
      <c r="N1382" s="14">
        <v>0.5</v>
      </c>
      <c r="O1382" s="14">
        <v>0.5</v>
      </c>
      <c r="P1382" s="14">
        <v>0.5</v>
      </c>
      <c r="Q1382" s="14">
        <v>1</v>
      </c>
      <c r="R1382" s="14">
        <v>1</v>
      </c>
      <c r="S1382" s="14">
        <v>1</v>
      </c>
      <c r="T1382" s="14">
        <v>1</v>
      </c>
      <c r="U1382" s="14">
        <v>1</v>
      </c>
      <c r="V1382" s="14">
        <v>1</v>
      </c>
      <c r="W1382" s="14">
        <v>1</v>
      </c>
      <c r="X1382" s="14">
        <v>1</v>
      </c>
      <c r="Y1382" s="14">
        <v>1</v>
      </c>
      <c r="Z1382" s="14">
        <v>0.5</v>
      </c>
      <c r="AA1382" s="14">
        <v>0.5</v>
      </c>
      <c r="AB1382" s="14">
        <v>0.5</v>
      </c>
      <c r="AC1382" s="14">
        <v>0.5</v>
      </c>
      <c r="AD1382" s="14">
        <v>0.5</v>
      </c>
      <c r="AE1382" s="14">
        <v>0.5</v>
      </c>
      <c r="AF1382" s="14" t="s">
        <v>413</v>
      </c>
    </row>
    <row r="1383" spans="1:32" ht="14.25" customHeight="1" x14ac:dyDescent="0.35">
      <c r="A1383" s="16" t="s">
        <v>1143</v>
      </c>
      <c r="B1383" s="16" t="s">
        <v>408</v>
      </c>
      <c r="C1383" s="16"/>
      <c r="D1383" s="16" t="s">
        <v>409</v>
      </c>
      <c r="E1383" s="17">
        <v>41640</v>
      </c>
      <c r="F1383" s="17">
        <v>42004</v>
      </c>
      <c r="G1383" s="16" t="s">
        <v>410</v>
      </c>
      <c r="H1383" s="16">
        <v>1</v>
      </c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 t="s">
        <v>413</v>
      </c>
    </row>
    <row r="1384" spans="1:32" ht="14.25" customHeight="1" x14ac:dyDescent="0.35">
      <c r="A1384" s="14" t="s">
        <v>1144</v>
      </c>
      <c r="B1384" s="14" t="s">
        <v>424</v>
      </c>
      <c r="C1384" s="14"/>
      <c r="D1384" s="14" t="s">
        <v>409</v>
      </c>
      <c r="E1384" s="15">
        <v>41640</v>
      </c>
      <c r="F1384" s="15">
        <v>42004</v>
      </c>
      <c r="G1384" s="14" t="s">
        <v>415</v>
      </c>
      <c r="H1384" s="14">
        <v>1</v>
      </c>
      <c r="I1384" s="14">
        <v>1</v>
      </c>
      <c r="J1384" s="14">
        <v>1</v>
      </c>
      <c r="K1384" s="14">
        <v>1</v>
      </c>
      <c r="L1384" s="14">
        <v>1</v>
      </c>
      <c r="M1384" s="14">
        <v>1</v>
      </c>
      <c r="N1384" s="14">
        <v>1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1</v>
      </c>
      <c r="AB1384" s="14">
        <v>1</v>
      </c>
      <c r="AC1384" s="14">
        <v>1</v>
      </c>
      <c r="AD1384" s="14">
        <v>1</v>
      </c>
      <c r="AE1384" s="14">
        <v>1</v>
      </c>
      <c r="AF1384" s="14" t="s">
        <v>413</v>
      </c>
    </row>
    <row r="1385" spans="1:32" ht="14.25" customHeight="1" x14ac:dyDescent="0.35">
      <c r="A1385" s="14" t="s">
        <v>1145</v>
      </c>
      <c r="B1385" s="14" t="s">
        <v>424</v>
      </c>
      <c r="C1385" s="14"/>
      <c r="D1385" s="14" t="s">
        <v>409</v>
      </c>
      <c r="E1385" s="15">
        <v>41640</v>
      </c>
      <c r="F1385" s="15">
        <v>42004</v>
      </c>
      <c r="G1385" s="14" t="s">
        <v>415</v>
      </c>
      <c r="H1385" s="14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1</v>
      </c>
      <c r="O1385" s="14">
        <v>1</v>
      </c>
      <c r="P1385" s="14">
        <v>1</v>
      </c>
      <c r="Q1385" s="14">
        <v>1</v>
      </c>
      <c r="R1385" s="14">
        <v>1</v>
      </c>
      <c r="S1385" s="14">
        <v>1</v>
      </c>
      <c r="T1385" s="14">
        <v>1</v>
      </c>
      <c r="U1385" s="14">
        <v>1</v>
      </c>
      <c r="V1385" s="14">
        <v>1</v>
      </c>
      <c r="W1385" s="14">
        <v>1</v>
      </c>
      <c r="X1385" s="14">
        <v>1</v>
      </c>
      <c r="Y1385" s="14">
        <v>1</v>
      </c>
      <c r="Z1385" s="14">
        <v>1</v>
      </c>
      <c r="AA1385" s="14">
        <v>1</v>
      </c>
      <c r="AB1385" s="14">
        <v>1</v>
      </c>
      <c r="AC1385" s="14">
        <v>1</v>
      </c>
      <c r="AD1385" s="14">
        <v>1</v>
      </c>
      <c r="AE1385" s="14">
        <v>1</v>
      </c>
      <c r="AF1385" s="14" t="s">
        <v>413</v>
      </c>
    </row>
    <row r="1386" spans="1:32" ht="14.25" customHeight="1" x14ac:dyDescent="0.35">
      <c r="A1386" s="14" t="s">
        <v>1146</v>
      </c>
      <c r="B1386" s="14" t="s">
        <v>424</v>
      </c>
      <c r="C1386" s="14"/>
      <c r="D1386" s="14" t="s">
        <v>409</v>
      </c>
      <c r="E1386" s="15">
        <v>41640</v>
      </c>
      <c r="F1386" s="15">
        <v>42004</v>
      </c>
      <c r="G1386" s="14" t="s">
        <v>415</v>
      </c>
      <c r="H1386" s="14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0.7</v>
      </c>
      <c r="O1386" s="14">
        <v>0.7</v>
      </c>
      <c r="P1386" s="14">
        <v>0.7</v>
      </c>
      <c r="Q1386" s="14">
        <v>0.7</v>
      </c>
      <c r="R1386" s="14">
        <v>0.7</v>
      </c>
      <c r="S1386" s="14">
        <v>0.7</v>
      </c>
      <c r="T1386" s="14">
        <v>0.7</v>
      </c>
      <c r="U1386" s="14">
        <v>0.7</v>
      </c>
      <c r="V1386" s="14">
        <v>0.7</v>
      </c>
      <c r="W1386" s="14">
        <v>0.7</v>
      </c>
      <c r="X1386" s="14">
        <v>0.7</v>
      </c>
      <c r="Y1386" s="14">
        <v>0.7</v>
      </c>
      <c r="Z1386" s="14">
        <v>0.7</v>
      </c>
      <c r="AA1386" s="14">
        <v>0.7</v>
      </c>
      <c r="AB1386" s="14">
        <v>0.7</v>
      </c>
      <c r="AC1386" s="14">
        <v>0.7</v>
      </c>
      <c r="AD1386" s="14">
        <v>0.7</v>
      </c>
      <c r="AE1386" s="14">
        <v>0.7</v>
      </c>
      <c r="AF1386" s="14" t="s">
        <v>413</v>
      </c>
    </row>
    <row r="1387" spans="1:32" ht="14.25" customHeight="1" x14ac:dyDescent="0.35">
      <c r="A1387" s="16" t="s">
        <v>1147</v>
      </c>
      <c r="B1387" s="16" t="s">
        <v>408</v>
      </c>
      <c r="C1387" s="16"/>
      <c r="D1387" s="16" t="s">
        <v>409</v>
      </c>
      <c r="E1387" s="17">
        <v>41640</v>
      </c>
      <c r="F1387" s="17">
        <v>42004</v>
      </c>
      <c r="G1387" s="16" t="s">
        <v>410</v>
      </c>
      <c r="H1387" s="16">
        <v>1</v>
      </c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 t="s">
        <v>413</v>
      </c>
    </row>
    <row r="1388" spans="1:32" ht="14.25" customHeight="1" x14ac:dyDescent="0.35">
      <c r="A1388" s="14" t="s">
        <v>1148</v>
      </c>
      <c r="B1388" s="14" t="s">
        <v>408</v>
      </c>
      <c r="C1388" s="14" t="s">
        <v>414</v>
      </c>
      <c r="D1388" s="14" t="s">
        <v>409</v>
      </c>
      <c r="E1388" s="15">
        <v>41640</v>
      </c>
      <c r="F1388" s="15">
        <v>42004</v>
      </c>
      <c r="G1388" s="14" t="s">
        <v>410</v>
      </c>
      <c r="H1388" s="14">
        <v>12.8</v>
      </c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 t="s">
        <v>413</v>
      </c>
    </row>
    <row r="1389" spans="1:32" ht="14.25" customHeight="1" x14ac:dyDescent="0.35">
      <c r="A1389" s="16" t="s">
        <v>1149</v>
      </c>
      <c r="B1389" s="16" t="s">
        <v>600</v>
      </c>
      <c r="C1389" s="16"/>
      <c r="D1389" s="16" t="s">
        <v>417</v>
      </c>
      <c r="E1389" s="17">
        <v>41640</v>
      </c>
      <c r="F1389" s="17">
        <v>42004</v>
      </c>
      <c r="G1389" s="16" t="s">
        <v>410</v>
      </c>
      <c r="H1389" s="16">
        <v>0</v>
      </c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 t="s">
        <v>413</v>
      </c>
    </row>
    <row r="1390" spans="1:32" ht="14.25" customHeight="1" x14ac:dyDescent="0.35">
      <c r="A1390" s="16" t="s">
        <v>1149</v>
      </c>
      <c r="B1390" s="16" t="s">
        <v>600</v>
      </c>
      <c r="C1390" s="16"/>
      <c r="D1390" s="16" t="s">
        <v>556</v>
      </c>
      <c r="E1390" s="17">
        <v>41640</v>
      </c>
      <c r="F1390" s="17">
        <v>42004</v>
      </c>
      <c r="G1390" s="16" t="s">
        <v>415</v>
      </c>
      <c r="H1390" s="16">
        <v>0</v>
      </c>
      <c r="I1390" s="16">
        <v>0</v>
      </c>
      <c r="J1390" s="16">
        <v>0</v>
      </c>
      <c r="K1390" s="16">
        <v>0</v>
      </c>
      <c r="L1390" s="16">
        <v>0</v>
      </c>
      <c r="M1390" s="16">
        <v>0</v>
      </c>
      <c r="N1390" s="16">
        <v>1</v>
      </c>
      <c r="O1390" s="16">
        <v>1</v>
      </c>
      <c r="P1390" s="16">
        <v>1</v>
      </c>
      <c r="Q1390" s="16">
        <v>1</v>
      </c>
      <c r="R1390" s="16">
        <v>1</v>
      </c>
      <c r="S1390" s="16">
        <v>1</v>
      </c>
      <c r="T1390" s="16">
        <v>1</v>
      </c>
      <c r="U1390" s="16">
        <v>1</v>
      </c>
      <c r="V1390" s="16">
        <v>1</v>
      </c>
      <c r="W1390" s="16">
        <v>1</v>
      </c>
      <c r="X1390" s="16">
        <v>1</v>
      </c>
      <c r="Y1390" s="16">
        <v>1</v>
      </c>
      <c r="Z1390" s="16">
        <v>1</v>
      </c>
      <c r="AA1390" s="16">
        <v>1</v>
      </c>
      <c r="AB1390" s="16">
        <v>1</v>
      </c>
      <c r="AC1390" s="16">
        <v>1</v>
      </c>
      <c r="AD1390" s="16">
        <v>0</v>
      </c>
      <c r="AE1390" s="16">
        <v>0</v>
      </c>
      <c r="AF1390" s="16" t="s">
        <v>413</v>
      </c>
    </row>
    <row r="1391" spans="1:32" ht="14.25" customHeight="1" x14ac:dyDescent="0.35">
      <c r="A1391" s="14" t="s">
        <v>1149</v>
      </c>
      <c r="B1391" s="14" t="s">
        <v>600</v>
      </c>
      <c r="C1391" s="14"/>
      <c r="D1391" s="14" t="s">
        <v>514</v>
      </c>
      <c r="E1391" s="15">
        <v>41640</v>
      </c>
      <c r="F1391" s="15">
        <v>42004</v>
      </c>
      <c r="G1391" s="14" t="s">
        <v>415</v>
      </c>
      <c r="H1391" s="14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1</v>
      </c>
      <c r="O1391" s="14">
        <v>1</v>
      </c>
      <c r="P1391" s="14">
        <v>1</v>
      </c>
      <c r="Q1391" s="14">
        <v>1</v>
      </c>
      <c r="R1391" s="14">
        <v>1</v>
      </c>
      <c r="S1391" s="14">
        <v>1</v>
      </c>
      <c r="T1391" s="14">
        <v>1</v>
      </c>
      <c r="U1391" s="14">
        <v>1</v>
      </c>
      <c r="V1391" s="14">
        <v>1</v>
      </c>
      <c r="W1391" s="14">
        <v>1</v>
      </c>
      <c r="X1391" s="14">
        <v>1</v>
      </c>
      <c r="Y1391" s="14">
        <v>1</v>
      </c>
      <c r="Z1391" s="14">
        <v>0</v>
      </c>
      <c r="AA1391" s="14">
        <v>0</v>
      </c>
      <c r="AB1391" s="14">
        <v>0</v>
      </c>
      <c r="AC1391" s="14">
        <v>0</v>
      </c>
      <c r="AD1391" s="14">
        <v>0</v>
      </c>
      <c r="AE1391" s="14">
        <v>0</v>
      </c>
      <c r="AF1391" s="14" t="s">
        <v>413</v>
      </c>
    </row>
    <row r="1392" spans="1:32" ht="14.25" customHeight="1" x14ac:dyDescent="0.35">
      <c r="A1392" s="14" t="s">
        <v>1150</v>
      </c>
      <c r="B1392" s="14" t="s">
        <v>420</v>
      </c>
      <c r="C1392" s="14" t="s">
        <v>414</v>
      </c>
      <c r="D1392" s="14" t="s">
        <v>409</v>
      </c>
      <c r="E1392" s="15">
        <v>41640</v>
      </c>
      <c r="F1392" s="15">
        <v>42004</v>
      </c>
      <c r="G1392" s="14" t="s">
        <v>410</v>
      </c>
      <c r="H1392" s="14">
        <v>0</v>
      </c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 t="s">
        <v>413</v>
      </c>
    </row>
    <row r="1393" spans="1:32" ht="14.25" customHeight="1" x14ac:dyDescent="0.35">
      <c r="A1393" s="16" t="s">
        <v>1151</v>
      </c>
      <c r="B1393" s="16" t="s">
        <v>420</v>
      </c>
      <c r="C1393" s="16" t="s">
        <v>414</v>
      </c>
      <c r="D1393" s="16" t="s">
        <v>453</v>
      </c>
      <c r="E1393" s="17">
        <v>41640</v>
      </c>
      <c r="F1393" s="17">
        <v>42004</v>
      </c>
      <c r="G1393" s="16" t="s">
        <v>410</v>
      </c>
      <c r="H1393" s="16">
        <v>15.6</v>
      </c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 t="s">
        <v>413</v>
      </c>
    </row>
    <row r="1394" spans="1:32" ht="14.25" customHeight="1" x14ac:dyDescent="0.35">
      <c r="A1394" s="16" t="s">
        <v>1151</v>
      </c>
      <c r="B1394" s="16" t="s">
        <v>420</v>
      </c>
      <c r="C1394" s="16" t="s">
        <v>414</v>
      </c>
      <c r="D1394" s="16" t="s">
        <v>512</v>
      </c>
      <c r="E1394" s="17">
        <v>41640</v>
      </c>
      <c r="F1394" s="17">
        <v>42004</v>
      </c>
      <c r="G1394" s="16" t="s">
        <v>415</v>
      </c>
      <c r="H1394" s="16">
        <v>15.6</v>
      </c>
      <c r="I1394" s="16">
        <v>15.6</v>
      </c>
      <c r="J1394" s="16">
        <v>15.6</v>
      </c>
      <c r="K1394" s="16">
        <v>15.6</v>
      </c>
      <c r="L1394" s="16">
        <v>21</v>
      </c>
      <c r="M1394" s="16">
        <v>21</v>
      </c>
      <c r="N1394" s="16">
        <v>21</v>
      </c>
      <c r="O1394" s="16">
        <v>21</v>
      </c>
      <c r="P1394" s="16">
        <v>21</v>
      </c>
      <c r="Q1394" s="16">
        <v>21</v>
      </c>
      <c r="R1394" s="16">
        <v>21</v>
      </c>
      <c r="S1394" s="16">
        <v>21</v>
      </c>
      <c r="T1394" s="16">
        <v>21</v>
      </c>
      <c r="U1394" s="16">
        <v>21</v>
      </c>
      <c r="V1394" s="16">
        <v>21</v>
      </c>
      <c r="W1394" s="16">
        <v>21</v>
      </c>
      <c r="X1394" s="16">
        <v>21</v>
      </c>
      <c r="Y1394" s="16">
        <v>15.6</v>
      </c>
      <c r="Z1394" s="16">
        <v>15.6</v>
      </c>
      <c r="AA1394" s="16">
        <v>15.6</v>
      </c>
      <c r="AB1394" s="16">
        <v>15.6</v>
      </c>
      <c r="AC1394" s="16">
        <v>15.6</v>
      </c>
      <c r="AD1394" s="16">
        <v>15.6</v>
      </c>
      <c r="AE1394" s="16">
        <v>15.6</v>
      </c>
      <c r="AF1394" s="16" t="s">
        <v>413</v>
      </c>
    </row>
    <row r="1395" spans="1:32" ht="14.25" customHeight="1" x14ac:dyDescent="0.35">
      <c r="A1395" s="14" t="s">
        <v>1151</v>
      </c>
      <c r="B1395" s="14" t="s">
        <v>420</v>
      </c>
      <c r="C1395" s="14" t="s">
        <v>414</v>
      </c>
      <c r="D1395" s="14" t="s">
        <v>429</v>
      </c>
      <c r="E1395" s="15">
        <v>41640</v>
      </c>
      <c r="F1395" s="15">
        <v>42004</v>
      </c>
      <c r="G1395" s="14" t="s">
        <v>415</v>
      </c>
      <c r="H1395" s="14">
        <v>15.6</v>
      </c>
      <c r="I1395" s="14">
        <v>15.6</v>
      </c>
      <c r="J1395" s="14">
        <v>15.6</v>
      </c>
      <c r="K1395" s="14">
        <v>15.6</v>
      </c>
      <c r="L1395" s="14">
        <v>21</v>
      </c>
      <c r="M1395" s="14">
        <v>21</v>
      </c>
      <c r="N1395" s="14">
        <v>21</v>
      </c>
      <c r="O1395" s="14">
        <v>21</v>
      </c>
      <c r="P1395" s="14">
        <v>21</v>
      </c>
      <c r="Q1395" s="14">
        <v>21</v>
      </c>
      <c r="R1395" s="14">
        <v>21</v>
      </c>
      <c r="S1395" s="14">
        <v>21</v>
      </c>
      <c r="T1395" s="14">
        <v>21</v>
      </c>
      <c r="U1395" s="14">
        <v>21</v>
      </c>
      <c r="V1395" s="14">
        <v>21</v>
      </c>
      <c r="W1395" s="14">
        <v>21</v>
      </c>
      <c r="X1395" s="14">
        <v>21</v>
      </c>
      <c r="Y1395" s="14">
        <v>21</v>
      </c>
      <c r="Z1395" s="14">
        <v>21</v>
      </c>
      <c r="AA1395" s="14">
        <v>21</v>
      </c>
      <c r="AB1395" s="14">
        <v>21</v>
      </c>
      <c r="AC1395" s="14">
        <v>21</v>
      </c>
      <c r="AD1395" s="14">
        <v>15.6</v>
      </c>
      <c r="AE1395" s="14">
        <v>15.6</v>
      </c>
      <c r="AF1395" s="14" t="s">
        <v>413</v>
      </c>
    </row>
    <row r="1396" spans="1:32" ht="14.25" customHeight="1" x14ac:dyDescent="0.35">
      <c r="A1396" s="14" t="s">
        <v>1151</v>
      </c>
      <c r="B1396" s="14" t="s">
        <v>420</v>
      </c>
      <c r="C1396" s="14" t="s">
        <v>414</v>
      </c>
      <c r="D1396" s="14" t="s">
        <v>418</v>
      </c>
      <c r="E1396" s="15">
        <v>41640</v>
      </c>
      <c r="F1396" s="15">
        <v>42004</v>
      </c>
      <c r="G1396" s="14" t="s">
        <v>415</v>
      </c>
      <c r="H1396" s="14">
        <v>15.6</v>
      </c>
      <c r="I1396" s="14">
        <v>15.6</v>
      </c>
      <c r="J1396" s="14">
        <v>15.6</v>
      </c>
      <c r="K1396" s="14">
        <v>15.6</v>
      </c>
      <c r="L1396" s="14">
        <v>15.6</v>
      </c>
      <c r="M1396" s="14">
        <v>17.600000000000001</v>
      </c>
      <c r="N1396" s="14">
        <v>19.600000000000001</v>
      </c>
      <c r="O1396" s="14">
        <v>21</v>
      </c>
      <c r="P1396" s="14">
        <v>21</v>
      </c>
      <c r="Q1396" s="14">
        <v>21</v>
      </c>
      <c r="R1396" s="14">
        <v>21</v>
      </c>
      <c r="S1396" s="14">
        <v>21</v>
      </c>
      <c r="T1396" s="14">
        <v>21</v>
      </c>
      <c r="U1396" s="14">
        <v>21</v>
      </c>
      <c r="V1396" s="14">
        <v>21</v>
      </c>
      <c r="W1396" s="14">
        <v>21</v>
      </c>
      <c r="X1396" s="14">
        <v>21</v>
      </c>
      <c r="Y1396" s="14">
        <v>21</v>
      </c>
      <c r="Z1396" s="14">
        <v>21</v>
      </c>
      <c r="AA1396" s="14">
        <v>21</v>
      </c>
      <c r="AB1396" s="14">
        <v>21</v>
      </c>
      <c r="AC1396" s="14">
        <v>21</v>
      </c>
      <c r="AD1396" s="14">
        <v>15.6</v>
      </c>
      <c r="AE1396" s="14">
        <v>15.6</v>
      </c>
      <c r="AF1396" s="14" t="s">
        <v>413</v>
      </c>
    </row>
    <row r="1397" spans="1:32" ht="14.25" customHeight="1" x14ac:dyDescent="0.35">
      <c r="A1397" s="16" t="s">
        <v>1152</v>
      </c>
      <c r="B1397" s="16" t="s">
        <v>420</v>
      </c>
      <c r="C1397" s="16" t="s">
        <v>414</v>
      </c>
      <c r="D1397" s="16" t="s">
        <v>453</v>
      </c>
      <c r="E1397" s="17">
        <v>41640</v>
      </c>
      <c r="F1397" s="17">
        <v>42004</v>
      </c>
      <c r="G1397" s="16" t="s">
        <v>410</v>
      </c>
      <c r="H1397" s="16">
        <v>15.6</v>
      </c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 t="s">
        <v>413</v>
      </c>
    </row>
    <row r="1398" spans="1:32" ht="14.25" customHeight="1" x14ac:dyDescent="0.35">
      <c r="A1398" s="16" t="s">
        <v>1152</v>
      </c>
      <c r="B1398" s="16" t="s">
        <v>420</v>
      </c>
      <c r="C1398" s="16" t="s">
        <v>414</v>
      </c>
      <c r="D1398" s="16" t="s">
        <v>512</v>
      </c>
      <c r="E1398" s="17">
        <v>41640</v>
      </c>
      <c r="F1398" s="17">
        <v>42004</v>
      </c>
      <c r="G1398" s="16" t="s">
        <v>415</v>
      </c>
      <c r="H1398" s="16">
        <v>15.6</v>
      </c>
      <c r="I1398" s="16">
        <v>15.6</v>
      </c>
      <c r="J1398" s="16">
        <v>15.6</v>
      </c>
      <c r="K1398" s="16">
        <v>15.6</v>
      </c>
      <c r="L1398" s="16">
        <v>21</v>
      </c>
      <c r="M1398" s="16">
        <v>21</v>
      </c>
      <c r="N1398" s="16">
        <v>21</v>
      </c>
      <c r="O1398" s="16">
        <v>21</v>
      </c>
      <c r="P1398" s="16">
        <v>21</v>
      </c>
      <c r="Q1398" s="16">
        <v>21</v>
      </c>
      <c r="R1398" s="16">
        <v>21</v>
      </c>
      <c r="S1398" s="16">
        <v>21</v>
      </c>
      <c r="T1398" s="16">
        <v>21</v>
      </c>
      <c r="U1398" s="16">
        <v>21</v>
      </c>
      <c r="V1398" s="16">
        <v>21</v>
      </c>
      <c r="W1398" s="16">
        <v>21</v>
      </c>
      <c r="X1398" s="16">
        <v>21</v>
      </c>
      <c r="Y1398" s="16">
        <v>15.6</v>
      </c>
      <c r="Z1398" s="16">
        <v>15.6</v>
      </c>
      <c r="AA1398" s="16">
        <v>15.6</v>
      </c>
      <c r="AB1398" s="16">
        <v>15.6</v>
      </c>
      <c r="AC1398" s="16">
        <v>15.6</v>
      </c>
      <c r="AD1398" s="16">
        <v>15.6</v>
      </c>
      <c r="AE1398" s="16">
        <v>15.6</v>
      </c>
      <c r="AF1398" s="16" t="s">
        <v>413</v>
      </c>
    </row>
    <row r="1399" spans="1:32" ht="14.25" customHeight="1" x14ac:dyDescent="0.35">
      <c r="A1399" s="14" t="s">
        <v>1152</v>
      </c>
      <c r="B1399" s="14" t="s">
        <v>420</v>
      </c>
      <c r="C1399" s="14" t="s">
        <v>414</v>
      </c>
      <c r="D1399" s="14" t="s">
        <v>429</v>
      </c>
      <c r="E1399" s="15">
        <v>41640</v>
      </c>
      <c r="F1399" s="15">
        <v>42004</v>
      </c>
      <c r="G1399" s="14" t="s">
        <v>415</v>
      </c>
      <c r="H1399" s="14">
        <v>15.6</v>
      </c>
      <c r="I1399" s="14">
        <v>15.6</v>
      </c>
      <c r="J1399" s="14">
        <v>15.6</v>
      </c>
      <c r="K1399" s="14">
        <v>15.6</v>
      </c>
      <c r="L1399" s="14">
        <v>21</v>
      </c>
      <c r="M1399" s="14">
        <v>21</v>
      </c>
      <c r="N1399" s="14">
        <v>21</v>
      </c>
      <c r="O1399" s="14">
        <v>21</v>
      </c>
      <c r="P1399" s="14">
        <v>21</v>
      </c>
      <c r="Q1399" s="14">
        <v>21</v>
      </c>
      <c r="R1399" s="14">
        <v>21</v>
      </c>
      <c r="S1399" s="14">
        <v>21</v>
      </c>
      <c r="T1399" s="14">
        <v>21</v>
      </c>
      <c r="U1399" s="14">
        <v>21</v>
      </c>
      <c r="V1399" s="14">
        <v>21</v>
      </c>
      <c r="W1399" s="14">
        <v>21</v>
      </c>
      <c r="X1399" s="14">
        <v>21</v>
      </c>
      <c r="Y1399" s="14">
        <v>21</v>
      </c>
      <c r="Z1399" s="14">
        <v>21</v>
      </c>
      <c r="AA1399" s="14">
        <v>21</v>
      </c>
      <c r="AB1399" s="14">
        <v>21</v>
      </c>
      <c r="AC1399" s="14">
        <v>21</v>
      </c>
      <c r="AD1399" s="14">
        <v>15.6</v>
      </c>
      <c r="AE1399" s="14">
        <v>15.6</v>
      </c>
      <c r="AF1399" s="14" t="s">
        <v>413</v>
      </c>
    </row>
    <row r="1400" spans="1:32" ht="14.25" customHeight="1" x14ac:dyDescent="0.35">
      <c r="A1400" s="14" t="s">
        <v>1152</v>
      </c>
      <c r="B1400" s="14" t="s">
        <v>420</v>
      </c>
      <c r="C1400" s="14" t="s">
        <v>414</v>
      </c>
      <c r="D1400" s="14" t="s">
        <v>418</v>
      </c>
      <c r="E1400" s="15">
        <v>41640</v>
      </c>
      <c r="F1400" s="15">
        <v>42004</v>
      </c>
      <c r="G1400" s="14" t="s">
        <v>415</v>
      </c>
      <c r="H1400" s="14">
        <v>15.6</v>
      </c>
      <c r="I1400" s="14">
        <v>15.6</v>
      </c>
      <c r="J1400" s="14">
        <v>15.6</v>
      </c>
      <c r="K1400" s="14">
        <v>15.6</v>
      </c>
      <c r="L1400" s="14">
        <v>15.6</v>
      </c>
      <c r="M1400" s="14">
        <v>17.600000000000001</v>
      </c>
      <c r="N1400" s="14">
        <v>19.600000000000001</v>
      </c>
      <c r="O1400" s="14">
        <v>21</v>
      </c>
      <c r="P1400" s="14">
        <v>21</v>
      </c>
      <c r="Q1400" s="14">
        <v>21</v>
      </c>
      <c r="R1400" s="14">
        <v>21</v>
      </c>
      <c r="S1400" s="14">
        <v>21</v>
      </c>
      <c r="T1400" s="14">
        <v>21</v>
      </c>
      <c r="U1400" s="14">
        <v>21</v>
      </c>
      <c r="V1400" s="14">
        <v>21</v>
      </c>
      <c r="W1400" s="14">
        <v>21</v>
      </c>
      <c r="X1400" s="14">
        <v>21</v>
      </c>
      <c r="Y1400" s="14">
        <v>21</v>
      </c>
      <c r="Z1400" s="14">
        <v>21</v>
      </c>
      <c r="AA1400" s="14">
        <v>21</v>
      </c>
      <c r="AB1400" s="14">
        <v>21</v>
      </c>
      <c r="AC1400" s="14">
        <v>21</v>
      </c>
      <c r="AD1400" s="14">
        <v>15.6</v>
      </c>
      <c r="AE1400" s="14">
        <v>15.6</v>
      </c>
      <c r="AF1400" s="14" t="s">
        <v>413</v>
      </c>
    </row>
    <row r="1401" spans="1:32" ht="14.25" customHeight="1" x14ac:dyDescent="0.35">
      <c r="A1401" s="16" t="s">
        <v>1153</v>
      </c>
      <c r="B1401" s="16" t="s">
        <v>420</v>
      </c>
      <c r="C1401" s="16" t="s">
        <v>414</v>
      </c>
      <c r="D1401" s="16" t="s">
        <v>453</v>
      </c>
      <c r="E1401" s="17">
        <v>41640</v>
      </c>
      <c r="F1401" s="17">
        <v>42004</v>
      </c>
      <c r="G1401" s="16" t="s">
        <v>410</v>
      </c>
      <c r="H1401" s="16">
        <v>15.6</v>
      </c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 t="s">
        <v>413</v>
      </c>
    </row>
    <row r="1402" spans="1:32" ht="14.25" customHeight="1" x14ac:dyDescent="0.35">
      <c r="A1402" s="16" t="s">
        <v>1153</v>
      </c>
      <c r="B1402" s="16" t="s">
        <v>420</v>
      </c>
      <c r="C1402" s="16" t="s">
        <v>414</v>
      </c>
      <c r="D1402" s="16" t="s">
        <v>512</v>
      </c>
      <c r="E1402" s="17">
        <v>41640</v>
      </c>
      <c r="F1402" s="17">
        <v>42004</v>
      </c>
      <c r="G1402" s="16" t="s">
        <v>415</v>
      </c>
      <c r="H1402" s="16">
        <v>15.6</v>
      </c>
      <c r="I1402" s="16">
        <v>15.6</v>
      </c>
      <c r="J1402" s="16">
        <v>15.6</v>
      </c>
      <c r="K1402" s="16">
        <v>15.6</v>
      </c>
      <c r="L1402" s="16">
        <v>17.8</v>
      </c>
      <c r="M1402" s="16">
        <v>20</v>
      </c>
      <c r="N1402" s="16">
        <v>21</v>
      </c>
      <c r="O1402" s="16">
        <v>21</v>
      </c>
      <c r="P1402" s="16">
        <v>21</v>
      </c>
      <c r="Q1402" s="16">
        <v>21</v>
      </c>
      <c r="R1402" s="16">
        <v>21</v>
      </c>
      <c r="S1402" s="16">
        <v>21</v>
      </c>
      <c r="T1402" s="16">
        <v>21</v>
      </c>
      <c r="U1402" s="16">
        <v>21</v>
      </c>
      <c r="V1402" s="16">
        <v>21</v>
      </c>
      <c r="W1402" s="16">
        <v>21</v>
      </c>
      <c r="X1402" s="16">
        <v>21</v>
      </c>
      <c r="Y1402" s="16">
        <v>15.6</v>
      </c>
      <c r="Z1402" s="16">
        <v>15.6</v>
      </c>
      <c r="AA1402" s="16">
        <v>15.6</v>
      </c>
      <c r="AB1402" s="16">
        <v>15.6</v>
      </c>
      <c r="AC1402" s="16">
        <v>15.6</v>
      </c>
      <c r="AD1402" s="16">
        <v>15.6</v>
      </c>
      <c r="AE1402" s="16">
        <v>15.6</v>
      </c>
      <c r="AF1402" s="16" t="s">
        <v>413</v>
      </c>
    </row>
    <row r="1403" spans="1:32" ht="14.25" customHeight="1" x14ac:dyDescent="0.35">
      <c r="A1403" s="14" t="s">
        <v>1153</v>
      </c>
      <c r="B1403" s="14" t="s">
        <v>420</v>
      </c>
      <c r="C1403" s="14" t="s">
        <v>414</v>
      </c>
      <c r="D1403" s="14" t="s">
        <v>429</v>
      </c>
      <c r="E1403" s="15">
        <v>41640</v>
      </c>
      <c r="F1403" s="15">
        <v>42004</v>
      </c>
      <c r="G1403" s="14" t="s">
        <v>415</v>
      </c>
      <c r="H1403" s="14">
        <v>15.6</v>
      </c>
      <c r="I1403" s="14">
        <v>15.6</v>
      </c>
      <c r="J1403" s="14">
        <v>15.6</v>
      </c>
      <c r="K1403" s="14">
        <v>15.6</v>
      </c>
      <c r="L1403" s="14">
        <v>17.8</v>
      </c>
      <c r="M1403" s="14">
        <v>20</v>
      </c>
      <c r="N1403" s="14">
        <v>21</v>
      </c>
      <c r="O1403" s="14">
        <v>21</v>
      </c>
      <c r="P1403" s="14">
        <v>21</v>
      </c>
      <c r="Q1403" s="14">
        <v>21</v>
      </c>
      <c r="R1403" s="14">
        <v>21</v>
      </c>
      <c r="S1403" s="14">
        <v>21</v>
      </c>
      <c r="T1403" s="14">
        <v>21</v>
      </c>
      <c r="U1403" s="14">
        <v>21</v>
      </c>
      <c r="V1403" s="14">
        <v>21</v>
      </c>
      <c r="W1403" s="14">
        <v>21</v>
      </c>
      <c r="X1403" s="14">
        <v>21</v>
      </c>
      <c r="Y1403" s="14">
        <v>21</v>
      </c>
      <c r="Z1403" s="14">
        <v>21</v>
      </c>
      <c r="AA1403" s="14">
        <v>21</v>
      </c>
      <c r="AB1403" s="14">
        <v>21</v>
      </c>
      <c r="AC1403" s="14">
        <v>21</v>
      </c>
      <c r="AD1403" s="14">
        <v>15.6</v>
      </c>
      <c r="AE1403" s="14">
        <v>15.6</v>
      </c>
      <c r="AF1403" s="14" t="s">
        <v>413</v>
      </c>
    </row>
    <row r="1404" spans="1:32" ht="14.25" customHeight="1" x14ac:dyDescent="0.35">
      <c r="A1404" s="14" t="s">
        <v>1153</v>
      </c>
      <c r="B1404" s="14" t="s">
        <v>420</v>
      </c>
      <c r="C1404" s="14" t="s">
        <v>414</v>
      </c>
      <c r="D1404" s="14" t="s">
        <v>418</v>
      </c>
      <c r="E1404" s="15">
        <v>41640</v>
      </c>
      <c r="F1404" s="15">
        <v>42004</v>
      </c>
      <c r="G1404" s="14" t="s">
        <v>415</v>
      </c>
      <c r="H1404" s="14">
        <v>15.6</v>
      </c>
      <c r="I1404" s="14">
        <v>15.6</v>
      </c>
      <c r="J1404" s="14">
        <v>15.6</v>
      </c>
      <c r="K1404" s="14">
        <v>15.6</v>
      </c>
      <c r="L1404" s="14">
        <v>15.6</v>
      </c>
      <c r="M1404" s="14">
        <v>17.600000000000001</v>
      </c>
      <c r="N1404" s="14">
        <v>19.600000000000001</v>
      </c>
      <c r="O1404" s="14">
        <v>21</v>
      </c>
      <c r="P1404" s="14">
        <v>21</v>
      </c>
      <c r="Q1404" s="14">
        <v>21</v>
      </c>
      <c r="R1404" s="14">
        <v>21</v>
      </c>
      <c r="S1404" s="14">
        <v>21</v>
      </c>
      <c r="T1404" s="14">
        <v>21</v>
      </c>
      <c r="U1404" s="14">
        <v>21</v>
      </c>
      <c r="V1404" s="14">
        <v>21</v>
      </c>
      <c r="W1404" s="14">
        <v>21</v>
      </c>
      <c r="X1404" s="14">
        <v>21</v>
      </c>
      <c r="Y1404" s="14">
        <v>21</v>
      </c>
      <c r="Z1404" s="14">
        <v>21</v>
      </c>
      <c r="AA1404" s="14">
        <v>21</v>
      </c>
      <c r="AB1404" s="14">
        <v>21</v>
      </c>
      <c r="AC1404" s="14">
        <v>21</v>
      </c>
      <c r="AD1404" s="14">
        <v>15.6</v>
      </c>
      <c r="AE1404" s="14">
        <v>15.6</v>
      </c>
      <c r="AF1404" s="14" t="s">
        <v>413</v>
      </c>
    </row>
    <row r="1405" spans="1:32" ht="14.25" customHeight="1" x14ac:dyDescent="0.35">
      <c r="A1405" s="16" t="s">
        <v>1154</v>
      </c>
      <c r="B1405" s="16" t="s">
        <v>420</v>
      </c>
      <c r="C1405" s="16" t="s">
        <v>414</v>
      </c>
      <c r="D1405" s="16" t="s">
        <v>453</v>
      </c>
      <c r="E1405" s="17">
        <v>41640</v>
      </c>
      <c r="F1405" s="17">
        <v>42004</v>
      </c>
      <c r="G1405" s="16" t="s">
        <v>410</v>
      </c>
      <c r="H1405" s="16">
        <v>15.6</v>
      </c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 t="s">
        <v>413</v>
      </c>
    </row>
    <row r="1406" spans="1:32" ht="14.25" customHeight="1" x14ac:dyDescent="0.35">
      <c r="A1406" s="16" t="s">
        <v>1154</v>
      </c>
      <c r="B1406" s="16" t="s">
        <v>420</v>
      </c>
      <c r="C1406" s="16" t="s">
        <v>414</v>
      </c>
      <c r="D1406" s="16" t="s">
        <v>512</v>
      </c>
      <c r="E1406" s="17">
        <v>41640</v>
      </c>
      <c r="F1406" s="17">
        <v>42004</v>
      </c>
      <c r="G1406" s="16" t="s">
        <v>415</v>
      </c>
      <c r="H1406" s="16">
        <v>15.6</v>
      </c>
      <c r="I1406" s="16">
        <v>15.6</v>
      </c>
      <c r="J1406" s="16">
        <v>15.6</v>
      </c>
      <c r="K1406" s="16">
        <v>15.6</v>
      </c>
      <c r="L1406" s="16">
        <v>17.8</v>
      </c>
      <c r="M1406" s="16">
        <v>20</v>
      </c>
      <c r="N1406" s="16">
        <v>21</v>
      </c>
      <c r="O1406" s="16">
        <v>21</v>
      </c>
      <c r="P1406" s="16">
        <v>21</v>
      </c>
      <c r="Q1406" s="16">
        <v>21</v>
      </c>
      <c r="R1406" s="16">
        <v>21</v>
      </c>
      <c r="S1406" s="16">
        <v>21</v>
      </c>
      <c r="T1406" s="16">
        <v>21</v>
      </c>
      <c r="U1406" s="16">
        <v>21</v>
      </c>
      <c r="V1406" s="16">
        <v>21</v>
      </c>
      <c r="W1406" s="16">
        <v>21</v>
      </c>
      <c r="X1406" s="16">
        <v>21</v>
      </c>
      <c r="Y1406" s="16">
        <v>15.6</v>
      </c>
      <c r="Z1406" s="16">
        <v>15.6</v>
      </c>
      <c r="AA1406" s="16">
        <v>15.6</v>
      </c>
      <c r="AB1406" s="16">
        <v>15.6</v>
      </c>
      <c r="AC1406" s="16">
        <v>15.6</v>
      </c>
      <c r="AD1406" s="16">
        <v>15.6</v>
      </c>
      <c r="AE1406" s="16">
        <v>15.6</v>
      </c>
      <c r="AF1406" s="16" t="s">
        <v>413</v>
      </c>
    </row>
    <row r="1407" spans="1:32" ht="14.25" customHeight="1" x14ac:dyDescent="0.35">
      <c r="A1407" s="14" t="s">
        <v>1154</v>
      </c>
      <c r="B1407" s="14" t="s">
        <v>420</v>
      </c>
      <c r="C1407" s="14" t="s">
        <v>414</v>
      </c>
      <c r="D1407" s="14" t="s">
        <v>429</v>
      </c>
      <c r="E1407" s="15">
        <v>41640</v>
      </c>
      <c r="F1407" s="15">
        <v>42004</v>
      </c>
      <c r="G1407" s="14" t="s">
        <v>415</v>
      </c>
      <c r="H1407" s="14">
        <v>15.6</v>
      </c>
      <c r="I1407" s="14">
        <v>15.6</v>
      </c>
      <c r="J1407" s="14">
        <v>15.6</v>
      </c>
      <c r="K1407" s="14">
        <v>15.6</v>
      </c>
      <c r="L1407" s="14">
        <v>17.8</v>
      </c>
      <c r="M1407" s="14">
        <v>20</v>
      </c>
      <c r="N1407" s="14">
        <v>21</v>
      </c>
      <c r="O1407" s="14">
        <v>21</v>
      </c>
      <c r="P1407" s="14">
        <v>21</v>
      </c>
      <c r="Q1407" s="14">
        <v>21</v>
      </c>
      <c r="R1407" s="14">
        <v>21</v>
      </c>
      <c r="S1407" s="14">
        <v>21</v>
      </c>
      <c r="T1407" s="14">
        <v>21</v>
      </c>
      <c r="U1407" s="14">
        <v>21</v>
      </c>
      <c r="V1407" s="14">
        <v>21</v>
      </c>
      <c r="W1407" s="14">
        <v>21</v>
      </c>
      <c r="X1407" s="14">
        <v>21</v>
      </c>
      <c r="Y1407" s="14">
        <v>21</v>
      </c>
      <c r="Z1407" s="14">
        <v>21</v>
      </c>
      <c r="AA1407" s="14">
        <v>21</v>
      </c>
      <c r="AB1407" s="14">
        <v>21</v>
      </c>
      <c r="AC1407" s="14">
        <v>21</v>
      </c>
      <c r="AD1407" s="14">
        <v>15.6</v>
      </c>
      <c r="AE1407" s="14">
        <v>15.6</v>
      </c>
      <c r="AF1407" s="14" t="s">
        <v>413</v>
      </c>
    </row>
    <row r="1408" spans="1:32" ht="14.25" customHeight="1" x14ac:dyDescent="0.35">
      <c r="A1408" s="14" t="s">
        <v>1154</v>
      </c>
      <c r="B1408" s="14" t="s">
        <v>420</v>
      </c>
      <c r="C1408" s="14" t="s">
        <v>414</v>
      </c>
      <c r="D1408" s="14" t="s">
        <v>418</v>
      </c>
      <c r="E1408" s="15">
        <v>41640</v>
      </c>
      <c r="F1408" s="15">
        <v>42004</v>
      </c>
      <c r="G1408" s="14" t="s">
        <v>415</v>
      </c>
      <c r="H1408" s="14">
        <v>15.6</v>
      </c>
      <c r="I1408" s="14">
        <v>15.6</v>
      </c>
      <c r="J1408" s="14">
        <v>15.6</v>
      </c>
      <c r="K1408" s="14">
        <v>15.6</v>
      </c>
      <c r="L1408" s="14">
        <v>15.6</v>
      </c>
      <c r="M1408" s="14">
        <v>17.600000000000001</v>
      </c>
      <c r="N1408" s="14">
        <v>19.600000000000001</v>
      </c>
      <c r="O1408" s="14">
        <v>21</v>
      </c>
      <c r="P1408" s="14">
        <v>21</v>
      </c>
      <c r="Q1408" s="14">
        <v>21</v>
      </c>
      <c r="R1408" s="14">
        <v>21</v>
      </c>
      <c r="S1408" s="14">
        <v>21</v>
      </c>
      <c r="T1408" s="14">
        <v>21</v>
      </c>
      <c r="U1408" s="14">
        <v>21</v>
      </c>
      <c r="V1408" s="14">
        <v>21</v>
      </c>
      <c r="W1408" s="14">
        <v>21</v>
      </c>
      <c r="X1408" s="14">
        <v>21</v>
      </c>
      <c r="Y1408" s="14">
        <v>21</v>
      </c>
      <c r="Z1408" s="14">
        <v>21</v>
      </c>
      <c r="AA1408" s="14">
        <v>21</v>
      </c>
      <c r="AB1408" s="14">
        <v>21</v>
      </c>
      <c r="AC1408" s="14">
        <v>21</v>
      </c>
      <c r="AD1408" s="14">
        <v>15.6</v>
      </c>
      <c r="AE1408" s="14">
        <v>15.6</v>
      </c>
      <c r="AF1408" s="14" t="s">
        <v>413</v>
      </c>
    </row>
    <row r="1409" spans="1:32" ht="14.25" customHeight="1" x14ac:dyDescent="0.35">
      <c r="A1409" s="16" t="s">
        <v>1155</v>
      </c>
      <c r="B1409" s="16" t="s">
        <v>600</v>
      </c>
      <c r="C1409" s="16"/>
      <c r="D1409" s="16" t="s">
        <v>417</v>
      </c>
      <c r="E1409" s="17">
        <v>41640</v>
      </c>
      <c r="F1409" s="17">
        <v>42004</v>
      </c>
      <c r="G1409" s="16" t="s">
        <v>410</v>
      </c>
      <c r="H1409" s="16">
        <v>0</v>
      </c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 t="s">
        <v>413</v>
      </c>
    </row>
    <row r="1410" spans="1:32" ht="14.25" customHeight="1" x14ac:dyDescent="0.35">
      <c r="A1410" s="16" t="s">
        <v>1155</v>
      </c>
      <c r="B1410" s="16" t="s">
        <v>600</v>
      </c>
      <c r="C1410" s="16"/>
      <c r="D1410" s="16" t="s">
        <v>556</v>
      </c>
      <c r="E1410" s="17">
        <v>41640</v>
      </c>
      <c r="F1410" s="17">
        <v>42004</v>
      </c>
      <c r="G1410" s="16" t="s">
        <v>415</v>
      </c>
      <c r="H1410" s="16">
        <v>0</v>
      </c>
      <c r="I1410" s="16">
        <v>0</v>
      </c>
      <c r="J1410" s="16">
        <v>0</v>
      </c>
      <c r="K1410" s="16">
        <v>0</v>
      </c>
      <c r="L1410" s="16">
        <v>0</v>
      </c>
      <c r="M1410" s="16">
        <v>0</v>
      </c>
      <c r="N1410" s="16">
        <v>1</v>
      </c>
      <c r="O1410" s="16">
        <v>1</v>
      </c>
      <c r="P1410" s="16">
        <v>1</v>
      </c>
      <c r="Q1410" s="16">
        <v>1</v>
      </c>
      <c r="R1410" s="16">
        <v>1</v>
      </c>
      <c r="S1410" s="16">
        <v>1</v>
      </c>
      <c r="T1410" s="16">
        <v>1</v>
      </c>
      <c r="U1410" s="16">
        <v>1</v>
      </c>
      <c r="V1410" s="16">
        <v>1</v>
      </c>
      <c r="W1410" s="16">
        <v>1</v>
      </c>
      <c r="X1410" s="16">
        <v>1</v>
      </c>
      <c r="Y1410" s="16">
        <v>1</v>
      </c>
      <c r="Z1410" s="16">
        <v>1</v>
      </c>
      <c r="AA1410" s="16">
        <v>1</v>
      </c>
      <c r="AB1410" s="16">
        <v>1</v>
      </c>
      <c r="AC1410" s="16">
        <v>1</v>
      </c>
      <c r="AD1410" s="16">
        <v>0</v>
      </c>
      <c r="AE1410" s="16">
        <v>0</v>
      </c>
      <c r="AF1410" s="16" t="s">
        <v>413</v>
      </c>
    </row>
    <row r="1411" spans="1:32" ht="14.25" customHeight="1" x14ac:dyDescent="0.35">
      <c r="A1411" s="14" t="s">
        <v>1155</v>
      </c>
      <c r="B1411" s="14" t="s">
        <v>600</v>
      </c>
      <c r="C1411" s="14"/>
      <c r="D1411" s="14" t="s">
        <v>514</v>
      </c>
      <c r="E1411" s="15">
        <v>41640</v>
      </c>
      <c r="F1411" s="15">
        <v>42004</v>
      </c>
      <c r="G1411" s="14" t="s">
        <v>415</v>
      </c>
      <c r="H1411" s="14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1</v>
      </c>
      <c r="O1411" s="14">
        <v>1</v>
      </c>
      <c r="P1411" s="14">
        <v>1</v>
      </c>
      <c r="Q1411" s="14">
        <v>1</v>
      </c>
      <c r="R1411" s="14">
        <v>1</v>
      </c>
      <c r="S1411" s="14">
        <v>1</v>
      </c>
      <c r="T1411" s="14">
        <v>1</v>
      </c>
      <c r="U1411" s="14">
        <v>1</v>
      </c>
      <c r="V1411" s="14">
        <v>1</v>
      </c>
      <c r="W1411" s="14">
        <v>1</v>
      </c>
      <c r="X1411" s="14">
        <v>1</v>
      </c>
      <c r="Y1411" s="14">
        <v>1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 t="s">
        <v>413</v>
      </c>
    </row>
    <row r="1412" spans="1:32" ht="14.25" customHeight="1" x14ac:dyDescent="0.35">
      <c r="A1412" s="14" t="s">
        <v>1156</v>
      </c>
      <c r="B1412" s="14" t="s">
        <v>408</v>
      </c>
      <c r="C1412" s="14" t="s">
        <v>414</v>
      </c>
      <c r="D1412" s="14" t="s">
        <v>409</v>
      </c>
      <c r="E1412" s="15">
        <v>41640</v>
      </c>
      <c r="F1412" s="15">
        <v>42004</v>
      </c>
      <c r="G1412" s="14" t="s">
        <v>410</v>
      </c>
      <c r="H1412" s="14">
        <v>82</v>
      </c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 t="s">
        <v>413</v>
      </c>
    </row>
    <row r="1413" spans="1:32" ht="14.25" customHeight="1" x14ac:dyDescent="0.35">
      <c r="A1413" s="16" t="s">
        <v>1157</v>
      </c>
      <c r="B1413" s="16" t="s">
        <v>441</v>
      </c>
      <c r="C1413" s="16"/>
      <c r="D1413" s="16" t="s">
        <v>417</v>
      </c>
      <c r="E1413" s="17">
        <v>41640</v>
      </c>
      <c r="F1413" s="17">
        <v>42004</v>
      </c>
      <c r="G1413" s="16" t="s">
        <v>410</v>
      </c>
      <c r="H1413" s="16">
        <v>1</v>
      </c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 t="s">
        <v>413</v>
      </c>
    </row>
    <row r="1414" spans="1:32" ht="14.25" customHeight="1" x14ac:dyDescent="0.35">
      <c r="A1414" s="16" t="s">
        <v>1157</v>
      </c>
      <c r="B1414" s="16" t="s">
        <v>441</v>
      </c>
      <c r="C1414" s="16"/>
      <c r="D1414" s="16" t="s">
        <v>556</v>
      </c>
      <c r="E1414" s="17">
        <v>41640</v>
      </c>
      <c r="F1414" s="17">
        <v>42004</v>
      </c>
      <c r="G1414" s="16" t="s">
        <v>415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0.5</v>
      </c>
      <c r="O1414" s="16">
        <v>0.5</v>
      </c>
      <c r="P1414" s="16">
        <v>0.5</v>
      </c>
      <c r="Q1414" s="16">
        <v>0.5</v>
      </c>
      <c r="R1414" s="16">
        <v>0.5</v>
      </c>
      <c r="S1414" s="16">
        <v>0.5</v>
      </c>
      <c r="T1414" s="16">
        <v>0.5</v>
      </c>
      <c r="U1414" s="16">
        <v>0.5</v>
      </c>
      <c r="V1414" s="16">
        <v>0.5</v>
      </c>
      <c r="W1414" s="16">
        <v>0.5</v>
      </c>
      <c r="X1414" s="16">
        <v>0.5</v>
      </c>
      <c r="Y1414" s="16">
        <v>0.5</v>
      </c>
      <c r="Z1414" s="16">
        <v>0.5</v>
      </c>
      <c r="AA1414" s="16">
        <v>0.5</v>
      </c>
      <c r="AB1414" s="16">
        <v>0.5</v>
      </c>
      <c r="AC1414" s="16">
        <v>0.5</v>
      </c>
      <c r="AD1414" s="16">
        <v>1</v>
      </c>
      <c r="AE1414" s="16">
        <v>1</v>
      </c>
      <c r="AF1414" s="16" t="s">
        <v>413</v>
      </c>
    </row>
    <row r="1415" spans="1:32" ht="14.25" customHeight="1" x14ac:dyDescent="0.35">
      <c r="A1415" s="14" t="s">
        <v>1157</v>
      </c>
      <c r="B1415" s="14" t="s">
        <v>441</v>
      </c>
      <c r="C1415" s="14"/>
      <c r="D1415" s="14" t="s">
        <v>514</v>
      </c>
      <c r="E1415" s="15">
        <v>41640</v>
      </c>
      <c r="F1415" s="15">
        <v>42004</v>
      </c>
      <c r="G1415" s="14" t="s">
        <v>415</v>
      </c>
      <c r="H1415" s="14">
        <v>1</v>
      </c>
      <c r="I1415" s="14">
        <v>1</v>
      </c>
      <c r="J1415" s="14">
        <v>1</v>
      </c>
      <c r="K1415" s="14">
        <v>1</v>
      </c>
      <c r="L1415" s="14">
        <v>1</v>
      </c>
      <c r="M1415" s="14">
        <v>1</v>
      </c>
      <c r="N1415" s="14">
        <v>0.5</v>
      </c>
      <c r="O1415" s="14">
        <v>0.5</v>
      </c>
      <c r="P1415" s="14">
        <v>0.5</v>
      </c>
      <c r="Q1415" s="14">
        <v>0.5</v>
      </c>
      <c r="R1415" s="14">
        <v>0.5</v>
      </c>
      <c r="S1415" s="14">
        <v>0.5</v>
      </c>
      <c r="T1415" s="14">
        <v>0.5</v>
      </c>
      <c r="U1415" s="14">
        <v>0.5</v>
      </c>
      <c r="V1415" s="14">
        <v>0.5</v>
      </c>
      <c r="W1415" s="14">
        <v>0.5</v>
      </c>
      <c r="X1415" s="14">
        <v>0.5</v>
      </c>
      <c r="Y1415" s="14">
        <v>0.5</v>
      </c>
      <c r="Z1415" s="14">
        <v>1</v>
      </c>
      <c r="AA1415" s="14">
        <v>1</v>
      </c>
      <c r="AB1415" s="14">
        <v>1</v>
      </c>
      <c r="AC1415" s="14">
        <v>1</v>
      </c>
      <c r="AD1415" s="14">
        <v>1</v>
      </c>
      <c r="AE1415" s="14">
        <v>1</v>
      </c>
      <c r="AF1415" s="14" t="s">
        <v>413</v>
      </c>
    </row>
    <row r="1416" spans="1:32" ht="14.25" customHeight="1" x14ac:dyDescent="0.35">
      <c r="A1416" s="14" t="s">
        <v>1158</v>
      </c>
      <c r="B1416" s="14" t="s">
        <v>441</v>
      </c>
      <c r="C1416" s="14"/>
      <c r="D1416" s="14" t="s">
        <v>417</v>
      </c>
      <c r="E1416" s="15">
        <v>41640</v>
      </c>
      <c r="F1416" s="15">
        <v>42004</v>
      </c>
      <c r="G1416" s="14" t="s">
        <v>410</v>
      </c>
      <c r="H1416" s="14">
        <v>1</v>
      </c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 t="s">
        <v>413</v>
      </c>
    </row>
    <row r="1417" spans="1:32" ht="14.25" customHeight="1" x14ac:dyDescent="0.35">
      <c r="A1417" s="14" t="s">
        <v>1158</v>
      </c>
      <c r="B1417" s="14" t="s">
        <v>441</v>
      </c>
      <c r="C1417" s="14"/>
      <c r="D1417" s="14" t="s">
        <v>556</v>
      </c>
      <c r="E1417" s="15">
        <v>41640</v>
      </c>
      <c r="F1417" s="15">
        <v>42004</v>
      </c>
      <c r="G1417" s="14" t="s">
        <v>415</v>
      </c>
      <c r="H1417" s="14">
        <v>1</v>
      </c>
      <c r="I1417" s="14">
        <v>1</v>
      </c>
      <c r="J1417" s="14">
        <v>1</v>
      </c>
      <c r="K1417" s="14">
        <v>1</v>
      </c>
      <c r="L1417" s="14">
        <v>1</v>
      </c>
      <c r="M1417" s="14">
        <v>1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  <c r="AC1417" s="14">
        <v>0</v>
      </c>
      <c r="AD1417" s="14">
        <v>1</v>
      </c>
      <c r="AE1417" s="14">
        <v>1</v>
      </c>
      <c r="AF1417" s="14" t="s">
        <v>413</v>
      </c>
    </row>
    <row r="1418" spans="1:32" ht="14.25" customHeight="1" x14ac:dyDescent="0.35">
      <c r="A1418" s="16" t="s">
        <v>1158</v>
      </c>
      <c r="B1418" s="16" t="s">
        <v>441</v>
      </c>
      <c r="C1418" s="16"/>
      <c r="D1418" s="16" t="s">
        <v>514</v>
      </c>
      <c r="E1418" s="17">
        <v>41640</v>
      </c>
      <c r="F1418" s="17">
        <v>42004</v>
      </c>
      <c r="G1418" s="16" t="s">
        <v>415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0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1</v>
      </c>
      <c r="AA1418" s="16">
        <v>1</v>
      </c>
      <c r="AB1418" s="16">
        <v>1</v>
      </c>
      <c r="AC1418" s="16">
        <v>1</v>
      </c>
      <c r="AD1418" s="16">
        <v>1</v>
      </c>
      <c r="AE1418" s="16">
        <v>1</v>
      </c>
      <c r="AF1418" s="16" t="s">
        <v>413</v>
      </c>
    </row>
    <row r="1419" spans="1:32" ht="14.25" customHeight="1" x14ac:dyDescent="0.35">
      <c r="A1419" s="16" t="s">
        <v>1159</v>
      </c>
      <c r="B1419" s="16" t="s">
        <v>441</v>
      </c>
      <c r="C1419" s="16"/>
      <c r="D1419" s="16" t="s">
        <v>417</v>
      </c>
      <c r="E1419" s="17">
        <v>41640</v>
      </c>
      <c r="F1419" s="17">
        <v>42004</v>
      </c>
      <c r="G1419" s="16" t="s">
        <v>410</v>
      </c>
      <c r="H1419" s="16">
        <v>1</v>
      </c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 t="s">
        <v>413</v>
      </c>
    </row>
    <row r="1420" spans="1:32" ht="14.25" customHeight="1" x14ac:dyDescent="0.35">
      <c r="A1420" s="16" t="s">
        <v>1159</v>
      </c>
      <c r="B1420" s="16" t="s">
        <v>441</v>
      </c>
      <c r="C1420" s="16"/>
      <c r="D1420" s="16" t="s">
        <v>556</v>
      </c>
      <c r="E1420" s="17">
        <v>41640</v>
      </c>
      <c r="F1420" s="17">
        <v>42004</v>
      </c>
      <c r="G1420" s="16" t="s">
        <v>415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0.25</v>
      </c>
      <c r="O1420" s="16">
        <v>0.25</v>
      </c>
      <c r="P1420" s="16">
        <v>0.25</v>
      </c>
      <c r="Q1420" s="16">
        <v>0.25</v>
      </c>
      <c r="R1420" s="16">
        <v>0.25</v>
      </c>
      <c r="S1420" s="16">
        <v>0.25</v>
      </c>
      <c r="T1420" s="16">
        <v>0.25</v>
      </c>
      <c r="U1420" s="16">
        <v>0.25</v>
      </c>
      <c r="V1420" s="16">
        <v>0.25</v>
      </c>
      <c r="W1420" s="16">
        <v>0.25</v>
      </c>
      <c r="X1420" s="16">
        <v>0.25</v>
      </c>
      <c r="Y1420" s="16">
        <v>0.25</v>
      </c>
      <c r="Z1420" s="16">
        <v>0.25</v>
      </c>
      <c r="AA1420" s="16">
        <v>0.25</v>
      </c>
      <c r="AB1420" s="16">
        <v>0.25</v>
      </c>
      <c r="AC1420" s="16">
        <v>0.25</v>
      </c>
      <c r="AD1420" s="16">
        <v>1</v>
      </c>
      <c r="AE1420" s="16">
        <v>1</v>
      </c>
      <c r="AF1420" s="16" t="s">
        <v>413</v>
      </c>
    </row>
    <row r="1421" spans="1:32" ht="14.25" customHeight="1" x14ac:dyDescent="0.35">
      <c r="A1421" s="14" t="s">
        <v>1159</v>
      </c>
      <c r="B1421" s="14" t="s">
        <v>441</v>
      </c>
      <c r="C1421" s="14"/>
      <c r="D1421" s="14" t="s">
        <v>514</v>
      </c>
      <c r="E1421" s="15">
        <v>41640</v>
      </c>
      <c r="F1421" s="15">
        <v>42004</v>
      </c>
      <c r="G1421" s="14" t="s">
        <v>415</v>
      </c>
      <c r="H1421" s="14">
        <v>1</v>
      </c>
      <c r="I1421" s="14">
        <v>1</v>
      </c>
      <c r="J1421" s="14">
        <v>1</v>
      </c>
      <c r="K1421" s="14">
        <v>1</v>
      </c>
      <c r="L1421" s="14">
        <v>1</v>
      </c>
      <c r="M1421" s="14">
        <v>1</v>
      </c>
      <c r="N1421" s="14">
        <v>0.25</v>
      </c>
      <c r="O1421" s="14">
        <v>0.25</v>
      </c>
      <c r="P1421" s="14">
        <v>0.25</v>
      </c>
      <c r="Q1421" s="14">
        <v>0.25</v>
      </c>
      <c r="R1421" s="14">
        <v>0.25</v>
      </c>
      <c r="S1421" s="14">
        <v>0.25</v>
      </c>
      <c r="T1421" s="14">
        <v>0.25</v>
      </c>
      <c r="U1421" s="14">
        <v>0.25</v>
      </c>
      <c r="V1421" s="14">
        <v>0.25</v>
      </c>
      <c r="W1421" s="14">
        <v>0.25</v>
      </c>
      <c r="X1421" s="14">
        <v>0.25</v>
      </c>
      <c r="Y1421" s="14">
        <v>0.25</v>
      </c>
      <c r="Z1421" s="14">
        <v>1</v>
      </c>
      <c r="AA1421" s="14">
        <v>1</v>
      </c>
      <c r="AB1421" s="14">
        <v>1</v>
      </c>
      <c r="AC1421" s="14">
        <v>1</v>
      </c>
      <c r="AD1421" s="14">
        <v>1</v>
      </c>
      <c r="AE1421" s="14">
        <v>1</v>
      </c>
      <c r="AF1421" s="14" t="s">
        <v>413</v>
      </c>
    </row>
    <row r="1422" spans="1:32" ht="14.25" customHeight="1" x14ac:dyDescent="0.35">
      <c r="A1422" s="14" t="s">
        <v>1160</v>
      </c>
      <c r="B1422" s="14" t="s">
        <v>550</v>
      </c>
      <c r="C1422" s="14"/>
      <c r="D1422" s="14" t="s">
        <v>417</v>
      </c>
      <c r="E1422" s="15">
        <v>41640</v>
      </c>
      <c r="F1422" s="15">
        <v>42004</v>
      </c>
      <c r="G1422" s="14" t="s">
        <v>410</v>
      </c>
      <c r="H1422" s="14">
        <v>0</v>
      </c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 t="s">
        <v>413</v>
      </c>
    </row>
    <row r="1423" spans="1:32" ht="14.25" customHeight="1" x14ac:dyDescent="0.35">
      <c r="A1423" s="14" t="s">
        <v>1160</v>
      </c>
      <c r="B1423" s="14" t="s">
        <v>550</v>
      </c>
      <c r="C1423" s="14"/>
      <c r="D1423" s="14" t="s">
        <v>556</v>
      </c>
      <c r="E1423" s="15">
        <v>41640</v>
      </c>
      <c r="F1423" s="15">
        <v>42004</v>
      </c>
      <c r="G1423" s="14" t="s">
        <v>415</v>
      </c>
      <c r="H1423" s="14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1</v>
      </c>
      <c r="P1423" s="14">
        <v>1</v>
      </c>
      <c r="Q1423" s="14">
        <v>1</v>
      </c>
      <c r="R1423" s="14">
        <v>1</v>
      </c>
      <c r="S1423" s="14">
        <v>1</v>
      </c>
      <c r="T1423" s="14">
        <v>1</v>
      </c>
      <c r="U1423" s="14">
        <v>1</v>
      </c>
      <c r="V1423" s="14">
        <v>1</v>
      </c>
      <c r="W1423" s="14">
        <v>1</v>
      </c>
      <c r="X1423" s="14">
        <v>1</v>
      </c>
      <c r="Y1423" s="14">
        <v>1</v>
      </c>
      <c r="Z1423" s="14">
        <v>1</v>
      </c>
      <c r="AA1423" s="14">
        <v>1</v>
      </c>
      <c r="AB1423" s="14">
        <v>1</v>
      </c>
      <c r="AC1423" s="14">
        <v>1</v>
      </c>
      <c r="AD1423" s="14">
        <v>0</v>
      </c>
      <c r="AE1423" s="14">
        <v>0</v>
      </c>
      <c r="AF1423" s="14" t="s">
        <v>413</v>
      </c>
    </row>
    <row r="1424" spans="1:32" ht="14.25" customHeight="1" x14ac:dyDescent="0.35">
      <c r="A1424" s="16" t="s">
        <v>1160</v>
      </c>
      <c r="B1424" s="16" t="s">
        <v>550</v>
      </c>
      <c r="C1424" s="16"/>
      <c r="D1424" s="16" t="s">
        <v>514</v>
      </c>
      <c r="E1424" s="17">
        <v>41640</v>
      </c>
      <c r="F1424" s="17">
        <v>42004</v>
      </c>
      <c r="G1424" s="16" t="s">
        <v>415</v>
      </c>
      <c r="H1424" s="16">
        <v>0</v>
      </c>
      <c r="I1424" s="16">
        <v>0</v>
      </c>
      <c r="J1424" s="16">
        <v>0</v>
      </c>
      <c r="K1424" s="16">
        <v>0</v>
      </c>
      <c r="L1424" s="16">
        <v>0</v>
      </c>
      <c r="M1424" s="16">
        <v>0</v>
      </c>
      <c r="N1424" s="16">
        <v>0</v>
      </c>
      <c r="O1424" s="16">
        <v>1</v>
      </c>
      <c r="P1424" s="16">
        <v>1</v>
      </c>
      <c r="Q1424" s="16">
        <v>1</v>
      </c>
      <c r="R1424" s="16">
        <v>1</v>
      </c>
      <c r="S1424" s="16">
        <v>1</v>
      </c>
      <c r="T1424" s="16">
        <v>1</v>
      </c>
      <c r="U1424" s="16">
        <v>1</v>
      </c>
      <c r="V1424" s="16">
        <v>1</v>
      </c>
      <c r="W1424" s="16">
        <v>1</v>
      </c>
      <c r="X1424" s="16">
        <v>1</v>
      </c>
      <c r="Y1424" s="16">
        <v>1</v>
      </c>
      <c r="Z1424" s="16">
        <v>0</v>
      </c>
      <c r="AA1424" s="16">
        <v>0</v>
      </c>
      <c r="AB1424" s="16">
        <v>0</v>
      </c>
      <c r="AC1424" s="16">
        <v>0</v>
      </c>
      <c r="AD1424" s="16">
        <v>0</v>
      </c>
      <c r="AE1424" s="16">
        <v>0</v>
      </c>
      <c r="AF1424" s="16" t="s">
        <v>413</v>
      </c>
    </row>
    <row r="1425" spans="1:32" ht="14.25" customHeight="1" x14ac:dyDescent="0.35">
      <c r="A1425" s="16" t="s">
        <v>1161</v>
      </c>
      <c r="B1425" s="16" t="s">
        <v>550</v>
      </c>
      <c r="C1425" s="16"/>
      <c r="D1425" s="16" t="s">
        <v>409</v>
      </c>
      <c r="E1425" s="17">
        <v>41640</v>
      </c>
      <c r="F1425" s="17">
        <v>42004</v>
      </c>
      <c r="G1425" s="16" t="s">
        <v>410</v>
      </c>
      <c r="H1425" s="16">
        <v>1</v>
      </c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 t="s">
        <v>413</v>
      </c>
    </row>
    <row r="1426" spans="1:32" ht="14.25" customHeight="1" x14ac:dyDescent="0.35">
      <c r="A1426" s="14" t="s">
        <v>1162</v>
      </c>
      <c r="B1426" s="14" t="s">
        <v>408</v>
      </c>
      <c r="C1426" s="14" t="s">
        <v>414</v>
      </c>
      <c r="D1426" s="14" t="s">
        <v>409</v>
      </c>
      <c r="E1426" s="15">
        <v>41640</v>
      </c>
      <c r="F1426" s="15">
        <v>42004</v>
      </c>
      <c r="G1426" s="14" t="s">
        <v>410</v>
      </c>
      <c r="H1426" s="14">
        <v>18.329999999999998</v>
      </c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 t="s">
        <v>413</v>
      </c>
    </row>
    <row r="1427" spans="1:32" ht="14.25" customHeight="1" x14ac:dyDescent="0.35">
      <c r="A1427" s="16" t="s">
        <v>1163</v>
      </c>
      <c r="B1427" s="16" t="s">
        <v>408</v>
      </c>
      <c r="C1427" s="16" t="s">
        <v>414</v>
      </c>
      <c r="D1427" s="16" t="s">
        <v>409</v>
      </c>
      <c r="E1427" s="17">
        <v>41640</v>
      </c>
      <c r="F1427" s="17">
        <v>42004</v>
      </c>
      <c r="G1427" s="16" t="s">
        <v>410</v>
      </c>
      <c r="H1427" s="16">
        <v>5</v>
      </c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 t="s">
        <v>413</v>
      </c>
    </row>
    <row r="1428" spans="1:32" ht="14.25" customHeight="1" x14ac:dyDescent="0.35">
      <c r="A1428" s="14" t="s">
        <v>1164</v>
      </c>
      <c r="B1428" s="14" t="s">
        <v>408</v>
      </c>
      <c r="C1428" s="14"/>
      <c r="D1428" s="14" t="s">
        <v>409</v>
      </c>
      <c r="E1428" s="15">
        <v>41640</v>
      </c>
      <c r="F1428" s="15">
        <v>42004</v>
      </c>
      <c r="G1428" s="14" t="s">
        <v>410</v>
      </c>
      <c r="H1428" s="14">
        <v>1</v>
      </c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 t="s">
        <v>413</v>
      </c>
    </row>
    <row r="1429" spans="1:32" ht="14.25" customHeight="1" x14ac:dyDescent="0.35">
      <c r="A1429" s="16" t="s">
        <v>1165</v>
      </c>
      <c r="B1429" s="16" t="s">
        <v>408</v>
      </c>
      <c r="C1429" s="16"/>
      <c r="D1429" s="16" t="s">
        <v>409</v>
      </c>
      <c r="E1429" s="17">
        <v>41640</v>
      </c>
      <c r="F1429" s="17">
        <v>42004</v>
      </c>
      <c r="G1429" s="16" t="s">
        <v>410</v>
      </c>
      <c r="H1429" s="16">
        <v>1</v>
      </c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 t="s">
        <v>413</v>
      </c>
    </row>
    <row r="1430" spans="1:32" ht="14.25" customHeight="1" x14ac:dyDescent="0.35">
      <c r="A1430" s="14" t="s">
        <v>1166</v>
      </c>
      <c r="B1430" s="14" t="s">
        <v>408</v>
      </c>
      <c r="C1430" s="14" t="s">
        <v>414</v>
      </c>
      <c r="D1430" s="14" t="s">
        <v>409</v>
      </c>
      <c r="E1430" s="15">
        <v>41640</v>
      </c>
      <c r="F1430" s="15">
        <v>42004</v>
      </c>
      <c r="G1430" s="14" t="s">
        <v>410</v>
      </c>
      <c r="H1430" s="14">
        <v>0</v>
      </c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 t="s">
        <v>413</v>
      </c>
    </row>
    <row r="1431" spans="1:32" ht="14.25" customHeight="1" x14ac:dyDescent="0.35">
      <c r="A1431" s="16" t="s">
        <v>1167</v>
      </c>
      <c r="B1431" s="16" t="s">
        <v>408</v>
      </c>
      <c r="C1431" s="16" t="s">
        <v>414</v>
      </c>
      <c r="D1431" s="16" t="s">
        <v>409</v>
      </c>
      <c r="E1431" s="17">
        <v>41640</v>
      </c>
      <c r="F1431" s="17">
        <v>42004</v>
      </c>
      <c r="G1431" s="16" t="s">
        <v>410</v>
      </c>
      <c r="H1431" s="16">
        <v>0</v>
      </c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 t="s">
        <v>413</v>
      </c>
    </row>
    <row r="1432" spans="1:32" ht="14.25" customHeight="1" x14ac:dyDescent="0.35">
      <c r="A1432" s="14" t="s">
        <v>1168</v>
      </c>
      <c r="B1432" s="14" t="s">
        <v>408</v>
      </c>
      <c r="C1432" s="14" t="s">
        <v>414</v>
      </c>
      <c r="D1432" s="14" t="s">
        <v>409</v>
      </c>
      <c r="E1432" s="15">
        <v>41640</v>
      </c>
      <c r="F1432" s="15">
        <v>42004</v>
      </c>
      <c r="G1432" s="14" t="s">
        <v>410</v>
      </c>
      <c r="H1432" s="14">
        <v>0</v>
      </c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 t="s">
        <v>413</v>
      </c>
    </row>
    <row r="1433" spans="1:32" ht="14.25" customHeight="1" x14ac:dyDescent="0.35">
      <c r="A1433" s="16" t="s">
        <v>1169</v>
      </c>
      <c r="B1433" s="16" t="s">
        <v>408</v>
      </c>
      <c r="C1433" s="16" t="s">
        <v>414</v>
      </c>
      <c r="D1433" s="16" t="s">
        <v>409</v>
      </c>
      <c r="E1433" s="17">
        <v>41640</v>
      </c>
      <c r="F1433" s="17">
        <v>42004</v>
      </c>
      <c r="G1433" s="16" t="s">
        <v>410</v>
      </c>
      <c r="H1433" s="16">
        <v>0</v>
      </c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 t="s">
        <v>413</v>
      </c>
    </row>
    <row r="1434" spans="1:32" ht="14.25" customHeight="1" x14ac:dyDescent="0.35">
      <c r="A1434" s="14" t="s">
        <v>1170</v>
      </c>
      <c r="B1434" s="14" t="s">
        <v>408</v>
      </c>
      <c r="C1434" s="14" t="s">
        <v>412</v>
      </c>
      <c r="D1434" s="14" t="s">
        <v>409</v>
      </c>
      <c r="E1434" s="15">
        <v>41640</v>
      </c>
      <c r="F1434" s="15">
        <v>42004</v>
      </c>
      <c r="G1434" s="14" t="s">
        <v>410</v>
      </c>
      <c r="H1434" s="14">
        <v>0</v>
      </c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 t="s">
        <v>413</v>
      </c>
    </row>
    <row r="1435" spans="1:32" ht="14.25" customHeight="1" x14ac:dyDescent="0.35">
      <c r="A1435" s="16" t="s">
        <v>1171</v>
      </c>
      <c r="B1435" s="16" t="s">
        <v>460</v>
      </c>
      <c r="C1435" s="16" t="s">
        <v>414</v>
      </c>
      <c r="D1435" s="16" t="s">
        <v>409</v>
      </c>
      <c r="E1435" s="17">
        <v>41640</v>
      </c>
      <c r="F1435" s="17">
        <v>42004</v>
      </c>
      <c r="G1435" s="16" t="s">
        <v>410</v>
      </c>
      <c r="H1435" s="16">
        <v>22</v>
      </c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 t="s">
        <v>413</v>
      </c>
    </row>
    <row r="1436" spans="1:32" ht="14.25" customHeight="1" x14ac:dyDescent="0.35">
      <c r="A1436" s="14" t="s">
        <v>1172</v>
      </c>
      <c r="B1436" s="14" t="s">
        <v>460</v>
      </c>
      <c r="C1436" s="14" t="s">
        <v>414</v>
      </c>
      <c r="D1436" s="14" t="s">
        <v>409</v>
      </c>
      <c r="E1436" s="15">
        <v>41640</v>
      </c>
      <c r="F1436" s="15">
        <v>42004</v>
      </c>
      <c r="G1436" s="14" t="s">
        <v>410</v>
      </c>
      <c r="H1436" s="14">
        <v>60</v>
      </c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 t="s">
        <v>413</v>
      </c>
    </row>
    <row r="1437" spans="1:32" ht="14.25" customHeight="1" x14ac:dyDescent="0.35">
      <c r="A1437" s="16" t="s">
        <v>1173</v>
      </c>
      <c r="B1437" s="16" t="s">
        <v>460</v>
      </c>
      <c r="C1437" s="16" t="s">
        <v>414</v>
      </c>
      <c r="D1437" s="16" t="s">
        <v>409</v>
      </c>
      <c r="E1437" s="17">
        <v>41640</v>
      </c>
      <c r="F1437" s="17">
        <v>42004</v>
      </c>
      <c r="G1437" s="16" t="s">
        <v>410</v>
      </c>
      <c r="H1437" s="16">
        <v>60</v>
      </c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 t="s">
        <v>413</v>
      </c>
    </row>
    <row r="1438" spans="1:32" ht="14.25" customHeight="1" x14ac:dyDescent="0.35">
      <c r="A1438" s="14" t="s">
        <v>1174</v>
      </c>
      <c r="B1438" s="14" t="s">
        <v>408</v>
      </c>
      <c r="C1438" s="14"/>
      <c r="D1438" s="14" t="s">
        <v>409</v>
      </c>
      <c r="E1438" s="15">
        <v>41640</v>
      </c>
      <c r="F1438" s="15">
        <v>42004</v>
      </c>
      <c r="G1438" s="14" t="s">
        <v>410</v>
      </c>
      <c r="H1438" s="14">
        <v>1</v>
      </c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 t="s">
        <v>413</v>
      </c>
    </row>
    <row r="1439" spans="1:32" ht="14.25" customHeight="1" x14ac:dyDescent="0.35">
      <c r="A1439" s="16" t="s">
        <v>1175</v>
      </c>
      <c r="B1439" s="16" t="s">
        <v>408</v>
      </c>
      <c r="C1439" s="16" t="s">
        <v>414</v>
      </c>
      <c r="D1439" s="16" t="s">
        <v>409</v>
      </c>
      <c r="E1439" s="17">
        <v>41640</v>
      </c>
      <c r="F1439" s="17">
        <v>42004</v>
      </c>
      <c r="G1439" s="16" t="s">
        <v>410</v>
      </c>
      <c r="H1439" s="16">
        <v>21.1</v>
      </c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 t="s">
        <v>413</v>
      </c>
    </row>
    <row r="1440" spans="1:32" ht="14.25" customHeight="1" x14ac:dyDescent="0.35">
      <c r="A1440" s="14" t="s">
        <v>1176</v>
      </c>
      <c r="B1440" s="14" t="s">
        <v>408</v>
      </c>
      <c r="C1440" s="14"/>
      <c r="D1440" s="14" t="s">
        <v>409</v>
      </c>
      <c r="E1440" s="15">
        <v>41640</v>
      </c>
      <c r="F1440" s="15">
        <v>42004</v>
      </c>
      <c r="G1440" s="14" t="s">
        <v>410</v>
      </c>
      <c r="H1440" s="14">
        <v>0</v>
      </c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 t="s">
        <v>413</v>
      </c>
    </row>
    <row r="1441" spans="1:32" ht="14.25" customHeight="1" x14ac:dyDescent="0.35">
      <c r="A1441" s="14" t="s">
        <v>1177</v>
      </c>
      <c r="B1441" s="14" t="s">
        <v>408</v>
      </c>
      <c r="C1441" s="14" t="s">
        <v>412</v>
      </c>
      <c r="D1441" s="14" t="s">
        <v>409</v>
      </c>
      <c r="E1441" s="15">
        <v>41640</v>
      </c>
      <c r="F1441" s="15">
        <v>42004</v>
      </c>
      <c r="G1441" s="14" t="s">
        <v>410</v>
      </c>
      <c r="H1441" s="14">
        <v>0.2</v>
      </c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 t="s">
        <v>413</v>
      </c>
    </row>
    <row r="1442" spans="1:32" ht="14.25" customHeight="1" x14ac:dyDescent="0.35">
      <c r="A1442" s="16" t="s">
        <v>1178</v>
      </c>
      <c r="B1442" s="16" t="s">
        <v>408</v>
      </c>
      <c r="C1442" s="16"/>
      <c r="D1442" s="16" t="s">
        <v>409</v>
      </c>
      <c r="E1442" s="17">
        <v>41640</v>
      </c>
      <c r="F1442" s="17">
        <v>42004</v>
      </c>
      <c r="G1442" s="16" t="s">
        <v>410</v>
      </c>
      <c r="H1442" s="16">
        <v>0</v>
      </c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 t="s">
        <v>413</v>
      </c>
    </row>
    <row r="1443" spans="1:32" ht="14.25" customHeight="1" x14ac:dyDescent="0.35">
      <c r="A1443" s="16" t="s">
        <v>1179</v>
      </c>
      <c r="B1443" s="16" t="s">
        <v>408</v>
      </c>
      <c r="C1443" s="16"/>
      <c r="D1443" s="16" t="s">
        <v>409</v>
      </c>
      <c r="E1443" s="17">
        <v>41640</v>
      </c>
      <c r="F1443" s="17">
        <v>42004</v>
      </c>
      <c r="G1443" s="16" t="s">
        <v>410</v>
      </c>
      <c r="H1443" s="16">
        <v>1</v>
      </c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 t="s">
        <v>413</v>
      </c>
    </row>
    <row r="1444" spans="1:32" ht="14.25" customHeight="1" x14ac:dyDescent="0.35">
      <c r="A1444" s="14" t="s">
        <v>1180</v>
      </c>
      <c r="B1444" s="14" t="s">
        <v>416</v>
      </c>
      <c r="C1444" s="14"/>
      <c r="D1444" s="14" t="s">
        <v>512</v>
      </c>
      <c r="E1444" s="15">
        <v>41640</v>
      </c>
      <c r="F1444" s="15">
        <v>42004</v>
      </c>
      <c r="G1444" s="14" t="s">
        <v>415</v>
      </c>
      <c r="H1444" s="14">
        <v>0</v>
      </c>
      <c r="I1444" s="14">
        <v>0</v>
      </c>
      <c r="J1444" s="14">
        <v>0</v>
      </c>
      <c r="K1444" s="14">
        <v>0</v>
      </c>
      <c r="L1444" s="14">
        <v>0</v>
      </c>
      <c r="M1444" s="14">
        <v>0</v>
      </c>
      <c r="N1444" s="14">
        <v>0</v>
      </c>
      <c r="O1444" s="14">
        <v>0.16</v>
      </c>
      <c r="P1444" s="14">
        <v>0.14000000000000001</v>
      </c>
      <c r="Q1444" s="14">
        <v>0.21</v>
      </c>
      <c r="R1444" s="14">
        <v>0.18</v>
      </c>
      <c r="S1444" s="14">
        <v>0.25</v>
      </c>
      <c r="T1444" s="14">
        <v>0.21</v>
      </c>
      <c r="U1444" s="14">
        <v>0.13</v>
      </c>
      <c r="V1444" s="14">
        <v>0.08</v>
      </c>
      <c r="W1444" s="14">
        <v>0.04</v>
      </c>
      <c r="X1444" s="14">
        <v>0.05</v>
      </c>
      <c r="Y1444" s="14">
        <v>0.06</v>
      </c>
      <c r="Z1444" s="14">
        <v>0</v>
      </c>
      <c r="AA1444" s="14">
        <v>0</v>
      </c>
      <c r="AB1444" s="14">
        <v>0</v>
      </c>
      <c r="AC1444" s="14">
        <v>0</v>
      </c>
      <c r="AD1444" s="14">
        <v>0</v>
      </c>
      <c r="AE1444" s="14">
        <v>0</v>
      </c>
      <c r="AF1444" s="14" t="s">
        <v>413</v>
      </c>
    </row>
    <row r="1445" spans="1:32" ht="14.25" customHeight="1" x14ac:dyDescent="0.35">
      <c r="A1445" s="14" t="s">
        <v>1180</v>
      </c>
      <c r="B1445" s="14" t="s">
        <v>416</v>
      </c>
      <c r="C1445" s="14"/>
      <c r="D1445" s="14" t="s">
        <v>419</v>
      </c>
      <c r="E1445" s="15">
        <v>41640</v>
      </c>
      <c r="F1445" s="15">
        <v>42004</v>
      </c>
      <c r="G1445" s="14" t="s">
        <v>410</v>
      </c>
      <c r="H1445" s="14">
        <v>0.69</v>
      </c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 t="s">
        <v>413</v>
      </c>
    </row>
    <row r="1446" spans="1:32" ht="14.25" customHeight="1" x14ac:dyDescent="0.35">
      <c r="A1446" s="14" t="s">
        <v>1180</v>
      </c>
      <c r="B1446" s="14" t="s">
        <v>416</v>
      </c>
      <c r="C1446" s="14"/>
      <c r="D1446" s="14" t="s">
        <v>1181</v>
      </c>
      <c r="E1446" s="15">
        <v>41640</v>
      </c>
      <c r="F1446" s="15">
        <v>42004</v>
      </c>
      <c r="G1446" s="14" t="s">
        <v>410</v>
      </c>
      <c r="H1446" s="14">
        <v>0</v>
      </c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 t="s">
        <v>413</v>
      </c>
    </row>
    <row r="1447" spans="1:32" ht="14.25" customHeight="1" x14ac:dyDescent="0.35">
      <c r="A1447" s="14" t="s">
        <v>1180</v>
      </c>
      <c r="B1447" s="14" t="s">
        <v>416</v>
      </c>
      <c r="C1447" s="14"/>
      <c r="D1447" s="14" t="s">
        <v>429</v>
      </c>
      <c r="E1447" s="15">
        <v>41640</v>
      </c>
      <c r="F1447" s="15">
        <v>42004</v>
      </c>
      <c r="G1447" s="14" t="s">
        <v>415</v>
      </c>
      <c r="H1447" s="14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0.35</v>
      </c>
      <c r="P1447" s="14">
        <v>0.69</v>
      </c>
      <c r="Q1447" s="14">
        <v>0.43</v>
      </c>
      <c r="R1447" s="14">
        <v>0.37</v>
      </c>
      <c r="S1447" s="14">
        <v>0.43</v>
      </c>
      <c r="T1447" s="14">
        <v>0.57999999999999996</v>
      </c>
      <c r="U1447" s="14">
        <v>0.48</v>
      </c>
      <c r="V1447" s="14">
        <v>0.37</v>
      </c>
      <c r="W1447" s="14">
        <v>0.37</v>
      </c>
      <c r="X1447" s="14">
        <v>0.46</v>
      </c>
      <c r="Y1447" s="14">
        <v>0.62</v>
      </c>
      <c r="Z1447" s="14">
        <v>0.12</v>
      </c>
      <c r="AA1447" s="14">
        <v>0.04</v>
      </c>
      <c r="AB1447" s="14">
        <v>0.04</v>
      </c>
      <c r="AC1447" s="14">
        <v>0</v>
      </c>
      <c r="AD1447" s="14">
        <v>0</v>
      </c>
      <c r="AE1447" s="14">
        <v>0</v>
      </c>
      <c r="AF1447" s="14" t="s">
        <v>413</v>
      </c>
    </row>
    <row r="1448" spans="1:32" ht="14.25" customHeight="1" x14ac:dyDescent="0.35">
      <c r="A1448" s="16" t="s">
        <v>344</v>
      </c>
      <c r="B1448" s="16" t="s">
        <v>427</v>
      </c>
      <c r="C1448" s="16"/>
      <c r="D1448" s="16" t="s">
        <v>417</v>
      </c>
      <c r="E1448" s="17">
        <v>41640</v>
      </c>
      <c r="F1448" s="17">
        <v>42004</v>
      </c>
      <c r="G1448" s="16" t="s">
        <v>415</v>
      </c>
      <c r="H1448" s="27">
        <v>0.23813624999999999</v>
      </c>
      <c r="I1448" s="27">
        <v>0.23813624999999999</v>
      </c>
      <c r="J1448" s="27">
        <v>0.23813624999999999</v>
      </c>
      <c r="K1448" s="27">
        <v>0.23813624999999999</v>
      </c>
      <c r="L1448" s="27">
        <v>0.23813624999999999</v>
      </c>
      <c r="M1448" s="27">
        <v>0.23813624999999999</v>
      </c>
      <c r="N1448" s="27">
        <v>0.28810717499999999</v>
      </c>
      <c r="O1448" s="27">
        <v>0.28810717499999999</v>
      </c>
      <c r="P1448" s="27">
        <v>0.28810717499999999</v>
      </c>
      <c r="Q1448" s="27">
        <v>0.28810717499999999</v>
      </c>
      <c r="R1448" s="27">
        <v>0.28810717499999999</v>
      </c>
      <c r="S1448" s="27">
        <v>0.28810717499999999</v>
      </c>
      <c r="T1448" s="27">
        <v>0.28810717499999999</v>
      </c>
      <c r="U1448" s="27">
        <v>0.28810717499999999</v>
      </c>
      <c r="V1448" s="27">
        <v>0.28810717499999999</v>
      </c>
      <c r="W1448" s="27">
        <v>0.28810717499999999</v>
      </c>
      <c r="X1448" s="27">
        <v>0.28810717499999999</v>
      </c>
      <c r="Y1448" s="27">
        <v>0.28810717499999999</v>
      </c>
      <c r="Z1448" s="27">
        <v>0.23813624999999999</v>
      </c>
      <c r="AA1448" s="27">
        <v>0.23813624999999999</v>
      </c>
      <c r="AB1448" s="27">
        <v>0.23813624999999999</v>
      </c>
      <c r="AC1448" s="27">
        <v>0.23813624999999999</v>
      </c>
      <c r="AD1448" s="27">
        <v>0.23813624999999999</v>
      </c>
      <c r="AE1448" s="27">
        <v>0.23813624999999999</v>
      </c>
      <c r="AF1448" s="16" t="s">
        <v>413</v>
      </c>
    </row>
    <row r="1449" spans="1:32" ht="14.25" customHeight="1" x14ac:dyDescent="0.35">
      <c r="A1449" s="14" t="s">
        <v>1182</v>
      </c>
      <c r="B1449" s="14" t="s">
        <v>427</v>
      </c>
      <c r="C1449" s="14"/>
      <c r="D1449" s="14" t="s">
        <v>512</v>
      </c>
      <c r="E1449" s="15">
        <v>41640</v>
      </c>
      <c r="F1449" s="15">
        <v>42004</v>
      </c>
      <c r="G1449" s="14" t="s">
        <v>415</v>
      </c>
      <c r="H1449" s="14">
        <v>0.3</v>
      </c>
      <c r="I1449" s="14">
        <v>0.3</v>
      </c>
      <c r="J1449" s="14">
        <v>0.3</v>
      </c>
      <c r="K1449" s="14">
        <v>0.3</v>
      </c>
      <c r="L1449" s="14">
        <v>0.3</v>
      </c>
      <c r="M1449" s="14">
        <v>0.3</v>
      </c>
      <c r="N1449" s="14">
        <v>0.4</v>
      </c>
      <c r="O1449" s="14">
        <v>0.4</v>
      </c>
      <c r="P1449" s="14">
        <v>0.5</v>
      </c>
      <c r="Q1449" s="14">
        <v>0.5</v>
      </c>
      <c r="R1449" s="14">
        <v>0.5</v>
      </c>
      <c r="S1449" s="14">
        <v>0.5</v>
      </c>
      <c r="T1449" s="14">
        <v>0.35</v>
      </c>
      <c r="U1449" s="14">
        <v>0.35</v>
      </c>
      <c r="V1449" s="14">
        <v>0.35</v>
      </c>
      <c r="W1449" s="14">
        <v>0.35</v>
      </c>
      <c r="X1449" s="14">
        <v>0.35</v>
      </c>
      <c r="Y1449" s="14">
        <v>0.3</v>
      </c>
      <c r="Z1449" s="14">
        <v>0.3</v>
      </c>
      <c r="AA1449" s="14">
        <v>0.3</v>
      </c>
      <c r="AB1449" s="14">
        <v>0.3</v>
      </c>
      <c r="AC1449" s="14">
        <v>0.3</v>
      </c>
      <c r="AD1449" s="14">
        <v>0.3</v>
      </c>
      <c r="AE1449" s="14">
        <v>0.3</v>
      </c>
      <c r="AF1449" s="14" t="s">
        <v>413</v>
      </c>
    </row>
    <row r="1450" spans="1:32" ht="14.25" customHeight="1" x14ac:dyDescent="0.35">
      <c r="A1450" s="14" t="s">
        <v>1182</v>
      </c>
      <c r="B1450" s="14" t="s">
        <v>427</v>
      </c>
      <c r="C1450" s="14"/>
      <c r="D1450" s="14" t="s">
        <v>419</v>
      </c>
      <c r="E1450" s="15">
        <v>41640</v>
      </c>
      <c r="F1450" s="15">
        <v>42004</v>
      </c>
      <c r="G1450" s="14" t="s">
        <v>410</v>
      </c>
      <c r="H1450" s="14">
        <v>1</v>
      </c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 t="s">
        <v>413</v>
      </c>
    </row>
    <row r="1451" spans="1:32" ht="14.25" customHeight="1" x14ac:dyDescent="0.35">
      <c r="A1451" s="14" t="s">
        <v>1182</v>
      </c>
      <c r="B1451" s="14" t="s">
        <v>427</v>
      </c>
      <c r="C1451" s="14"/>
      <c r="D1451" s="14" t="s">
        <v>511</v>
      </c>
      <c r="E1451" s="15">
        <v>41640</v>
      </c>
      <c r="F1451" s="15">
        <v>42004</v>
      </c>
      <c r="G1451" s="14" t="s">
        <v>410</v>
      </c>
      <c r="H1451" s="14">
        <v>0.3</v>
      </c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 t="s">
        <v>413</v>
      </c>
    </row>
    <row r="1452" spans="1:32" ht="14.25" customHeight="1" x14ac:dyDescent="0.35">
      <c r="A1452" s="14" t="s">
        <v>1182</v>
      </c>
      <c r="B1452" s="14" t="s">
        <v>427</v>
      </c>
      <c r="C1452" s="14"/>
      <c r="D1452" s="14" t="s">
        <v>429</v>
      </c>
      <c r="E1452" s="15">
        <v>41640</v>
      </c>
      <c r="F1452" s="15">
        <v>42004</v>
      </c>
      <c r="G1452" s="14" t="s">
        <v>415</v>
      </c>
      <c r="H1452" s="14">
        <v>0.4</v>
      </c>
      <c r="I1452" s="14">
        <v>0.4</v>
      </c>
      <c r="J1452" s="14">
        <v>0.4</v>
      </c>
      <c r="K1452" s="14">
        <v>0.4</v>
      </c>
      <c r="L1452" s="14">
        <v>0.4</v>
      </c>
      <c r="M1452" s="14">
        <v>0.4</v>
      </c>
      <c r="N1452" s="14">
        <v>0.4</v>
      </c>
      <c r="O1452" s="14">
        <v>0.4</v>
      </c>
      <c r="P1452" s="14">
        <v>0.9</v>
      </c>
      <c r="Q1452" s="14">
        <v>0.9</v>
      </c>
      <c r="R1452" s="14">
        <v>0.9</v>
      </c>
      <c r="S1452" s="14">
        <v>0.9</v>
      </c>
      <c r="T1452" s="14">
        <v>0.8</v>
      </c>
      <c r="U1452" s="14">
        <v>0.9</v>
      </c>
      <c r="V1452" s="14">
        <v>0.9</v>
      </c>
      <c r="W1452" s="14">
        <v>0.9</v>
      </c>
      <c r="X1452" s="14">
        <v>0.9</v>
      </c>
      <c r="Y1452" s="14">
        <v>0.5</v>
      </c>
      <c r="Z1452" s="14">
        <v>0.4</v>
      </c>
      <c r="AA1452" s="14">
        <v>0.4</v>
      </c>
      <c r="AB1452" s="14">
        <v>0.4</v>
      </c>
      <c r="AC1452" s="14">
        <v>0.4</v>
      </c>
      <c r="AD1452" s="14">
        <v>0.4</v>
      </c>
      <c r="AE1452" s="14">
        <v>0.4</v>
      </c>
      <c r="AF1452" s="14" t="s">
        <v>413</v>
      </c>
    </row>
    <row r="1453" spans="1:32" ht="14.25" customHeight="1" x14ac:dyDescent="0.35">
      <c r="A1453" s="14" t="s">
        <v>1182</v>
      </c>
      <c r="B1453" s="14" t="s">
        <v>427</v>
      </c>
      <c r="C1453" s="14"/>
      <c r="D1453" s="14" t="s">
        <v>418</v>
      </c>
      <c r="E1453" s="15">
        <v>41640</v>
      </c>
      <c r="F1453" s="15">
        <v>42004</v>
      </c>
      <c r="G1453" s="14" t="s">
        <v>410</v>
      </c>
      <c r="H1453" s="14">
        <v>0</v>
      </c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 t="s">
        <v>413</v>
      </c>
    </row>
    <row r="1454" spans="1:32" ht="14.25" customHeight="1" x14ac:dyDescent="0.35">
      <c r="A1454" s="16" t="s">
        <v>1183</v>
      </c>
      <c r="B1454" s="16" t="s">
        <v>427</v>
      </c>
      <c r="C1454" s="16"/>
      <c r="D1454" s="16" t="s">
        <v>512</v>
      </c>
      <c r="E1454" s="17">
        <v>41640</v>
      </c>
      <c r="F1454" s="17">
        <v>42004</v>
      </c>
      <c r="G1454" s="16" t="s">
        <v>415</v>
      </c>
      <c r="H1454" s="16">
        <v>0.23813624999999999</v>
      </c>
      <c r="I1454" s="16">
        <v>0.23813624999999999</v>
      </c>
      <c r="J1454" s="16">
        <v>0.23813624999999999</v>
      </c>
      <c r="K1454" s="16">
        <v>0.23813624999999999</v>
      </c>
      <c r="L1454" s="16">
        <v>0.23813624999999999</v>
      </c>
      <c r="M1454" s="16">
        <v>0.23813624999999999</v>
      </c>
      <c r="N1454" s="16">
        <v>0.38414290000000001</v>
      </c>
      <c r="O1454" s="16">
        <v>0.38414290000000001</v>
      </c>
      <c r="P1454" s="16">
        <v>0.48017862500000003</v>
      </c>
      <c r="Q1454" s="16">
        <v>0.48017862500000003</v>
      </c>
      <c r="R1454" s="16">
        <v>0.48017862500000003</v>
      </c>
      <c r="S1454" s="16">
        <v>0.48017862500000003</v>
      </c>
      <c r="T1454" s="16">
        <v>0.3361250375</v>
      </c>
      <c r="U1454" s="16">
        <v>0.3361250375</v>
      </c>
      <c r="V1454" s="16">
        <v>0.3361250375</v>
      </c>
      <c r="W1454" s="16">
        <v>0.3361250375</v>
      </c>
      <c r="X1454" s="16">
        <v>0.3361250375</v>
      </c>
      <c r="Y1454" s="16">
        <v>0.28810717499999999</v>
      </c>
      <c r="Z1454" s="16">
        <v>0.28810717499999999</v>
      </c>
      <c r="AA1454" s="16">
        <v>0.23813624999999999</v>
      </c>
      <c r="AB1454" s="16">
        <v>0.23813624999999999</v>
      </c>
      <c r="AC1454" s="16">
        <v>0.23813624999999999</v>
      </c>
      <c r="AD1454" s="16">
        <v>0.23813624999999999</v>
      </c>
      <c r="AE1454" s="16">
        <v>0.23813624999999999</v>
      </c>
      <c r="AF1454" s="16" t="s">
        <v>413</v>
      </c>
    </row>
    <row r="1455" spans="1:32" ht="14.25" customHeight="1" x14ac:dyDescent="0.35">
      <c r="A1455" s="16" t="s">
        <v>1183</v>
      </c>
      <c r="B1455" s="16" t="s">
        <v>427</v>
      </c>
      <c r="C1455" s="16"/>
      <c r="D1455" s="16" t="s">
        <v>419</v>
      </c>
      <c r="E1455" s="17">
        <v>41640</v>
      </c>
      <c r="F1455" s="17">
        <v>42004</v>
      </c>
      <c r="G1455" s="16" t="s">
        <v>410</v>
      </c>
      <c r="H1455" s="16">
        <v>1</v>
      </c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 t="s">
        <v>413</v>
      </c>
    </row>
    <row r="1456" spans="1:32" ht="14.25" customHeight="1" x14ac:dyDescent="0.35">
      <c r="A1456" s="16" t="s">
        <v>1183</v>
      </c>
      <c r="B1456" s="16" t="s">
        <v>427</v>
      </c>
      <c r="C1456" s="16"/>
      <c r="D1456" s="16" t="s">
        <v>511</v>
      </c>
      <c r="E1456" s="17">
        <v>41640</v>
      </c>
      <c r="F1456" s="17">
        <v>42004</v>
      </c>
      <c r="G1456" s="16" t="s">
        <v>415</v>
      </c>
      <c r="H1456" s="16">
        <v>0.23813624999999999</v>
      </c>
      <c r="I1456" s="16">
        <v>0.23813624999999999</v>
      </c>
      <c r="J1456" s="16">
        <v>0.23813624999999999</v>
      </c>
      <c r="K1456" s="16">
        <v>0.23813624999999999</v>
      </c>
      <c r="L1456" s="16">
        <v>0.23813624999999999</v>
      </c>
      <c r="M1456" s="16">
        <v>0.23813624999999999</v>
      </c>
      <c r="N1456" s="16">
        <v>0.28810717499999999</v>
      </c>
      <c r="O1456" s="16">
        <v>0.28810717499999999</v>
      </c>
      <c r="P1456" s="16">
        <v>0.28810717499999999</v>
      </c>
      <c r="Q1456" s="16">
        <v>0.28810717499999999</v>
      </c>
      <c r="R1456" s="16">
        <v>0.28810717499999999</v>
      </c>
      <c r="S1456" s="16">
        <v>0.28810717499999999</v>
      </c>
      <c r="T1456" s="16">
        <v>0.28810717499999999</v>
      </c>
      <c r="U1456" s="16">
        <v>0.28810717499999999</v>
      </c>
      <c r="V1456" s="16">
        <v>0.28810717499999999</v>
      </c>
      <c r="W1456" s="16">
        <v>0.28810717499999999</v>
      </c>
      <c r="X1456" s="16">
        <v>0.28810717499999999</v>
      </c>
      <c r="Y1456" s="16">
        <v>0.28810717499999999</v>
      </c>
      <c r="Z1456" s="16">
        <v>0.23813624999999999</v>
      </c>
      <c r="AA1456" s="16">
        <v>0.23813624999999999</v>
      </c>
      <c r="AB1456" s="16">
        <v>0.23813624999999999</v>
      </c>
      <c r="AC1456" s="16">
        <v>0.23813624999999999</v>
      </c>
      <c r="AD1456" s="16">
        <v>0.23813624999999999</v>
      </c>
      <c r="AE1456" s="16">
        <v>0.23813624999999999</v>
      </c>
      <c r="AF1456" s="16" t="s">
        <v>413</v>
      </c>
    </row>
    <row r="1457" spans="1:32" ht="14.25" customHeight="1" x14ac:dyDescent="0.35">
      <c r="A1457" s="16" t="s">
        <v>1183</v>
      </c>
      <c r="B1457" s="16" t="s">
        <v>427</v>
      </c>
      <c r="C1457" s="16"/>
      <c r="D1457" s="16" t="s">
        <v>429</v>
      </c>
      <c r="E1457" s="17">
        <v>41640</v>
      </c>
      <c r="F1457" s="17">
        <v>42004</v>
      </c>
      <c r="G1457" s="16" t="s">
        <v>415</v>
      </c>
      <c r="H1457" s="16">
        <v>0.31751499999999999</v>
      </c>
      <c r="I1457" s="16">
        <v>0.31751499999999999</v>
      </c>
      <c r="J1457" s="16">
        <v>0.31751499999999999</v>
      </c>
      <c r="K1457" s="16">
        <v>0.31751499999999999</v>
      </c>
      <c r="L1457" s="16">
        <v>0.31751499999999999</v>
      </c>
      <c r="M1457" s="16">
        <v>0.31751499999999999</v>
      </c>
      <c r="N1457" s="16">
        <v>0.38414290000000001</v>
      </c>
      <c r="O1457" s="16">
        <v>0.38414290000000001</v>
      </c>
      <c r="P1457" s="16">
        <v>0.86432152500000003</v>
      </c>
      <c r="Q1457" s="16">
        <v>0.86432152500000003</v>
      </c>
      <c r="R1457" s="16">
        <v>0.86432152500000003</v>
      </c>
      <c r="S1457" s="16">
        <v>0.86432152500000003</v>
      </c>
      <c r="T1457" s="16">
        <v>0.76828580000000002</v>
      </c>
      <c r="U1457" s="16">
        <v>0.86432152500000003</v>
      </c>
      <c r="V1457" s="16">
        <v>0.86432152500000003</v>
      </c>
      <c r="W1457" s="16">
        <v>0.86432152500000003</v>
      </c>
      <c r="X1457" s="16">
        <v>0.86432152500000003</v>
      </c>
      <c r="Y1457" s="16">
        <v>0.48017862500000003</v>
      </c>
      <c r="Z1457" s="16">
        <v>0.38414290000000001</v>
      </c>
      <c r="AA1457" s="16">
        <v>0.38414290000000001</v>
      </c>
      <c r="AB1457" s="16">
        <v>0.38414290000000001</v>
      </c>
      <c r="AC1457" s="16">
        <v>0.38414290000000001</v>
      </c>
      <c r="AD1457" s="16">
        <v>0.38414290000000001</v>
      </c>
      <c r="AE1457" s="16">
        <v>0.38414290000000001</v>
      </c>
      <c r="AF1457" s="16" t="s">
        <v>413</v>
      </c>
    </row>
    <row r="1458" spans="1:32" ht="14.25" customHeight="1" x14ac:dyDescent="0.35">
      <c r="A1458" s="16" t="s">
        <v>1183</v>
      </c>
      <c r="B1458" s="16" t="s">
        <v>427</v>
      </c>
      <c r="C1458" s="16"/>
      <c r="D1458" s="16" t="s">
        <v>418</v>
      </c>
      <c r="E1458" s="17">
        <v>41640</v>
      </c>
      <c r="F1458" s="17">
        <v>42004</v>
      </c>
      <c r="G1458" s="16" t="s">
        <v>410</v>
      </c>
      <c r="H1458" s="16">
        <v>0</v>
      </c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 t="s">
        <v>413</v>
      </c>
    </row>
    <row r="1459" spans="1:32" ht="14.25" customHeight="1" x14ac:dyDescent="0.35">
      <c r="A1459" s="14" t="s">
        <v>1184</v>
      </c>
      <c r="B1459" s="14" t="s">
        <v>427</v>
      </c>
      <c r="C1459" s="14"/>
      <c r="D1459" s="14" t="s">
        <v>512</v>
      </c>
      <c r="E1459" s="15">
        <v>41640</v>
      </c>
      <c r="F1459" s="15">
        <v>42004</v>
      </c>
      <c r="G1459" s="14" t="s">
        <v>415</v>
      </c>
      <c r="H1459" s="14">
        <v>0.2307553806</v>
      </c>
      <c r="I1459" s="14">
        <v>0.2307553806</v>
      </c>
      <c r="J1459" s="14">
        <v>0.2307553806</v>
      </c>
      <c r="K1459" s="14">
        <v>0.2307553806</v>
      </c>
      <c r="L1459" s="14">
        <v>0.2307553806</v>
      </c>
      <c r="M1459" s="14">
        <v>0.2307553806</v>
      </c>
      <c r="N1459" s="14">
        <v>0.38123479599999999</v>
      </c>
      <c r="O1459" s="14">
        <v>0.38123479599999999</v>
      </c>
      <c r="P1459" s="14">
        <v>0.47654349499999998</v>
      </c>
      <c r="Q1459" s="14">
        <v>0.47654349499999998</v>
      </c>
      <c r="R1459" s="14">
        <v>0.47654349499999998</v>
      </c>
      <c r="S1459" s="14">
        <v>0.47654349499999998</v>
      </c>
      <c r="T1459" s="14">
        <v>0.33358044650000002</v>
      </c>
      <c r="U1459" s="14">
        <v>0.33358044650000002</v>
      </c>
      <c r="V1459" s="14">
        <v>0.33358044650000002</v>
      </c>
      <c r="W1459" s="14">
        <v>0.33358044650000002</v>
      </c>
      <c r="X1459" s="14">
        <v>0.33358044650000002</v>
      </c>
      <c r="Y1459" s="14">
        <v>0.28592609699999999</v>
      </c>
      <c r="Z1459" s="14">
        <v>0.28592609699999999</v>
      </c>
      <c r="AA1459" s="14">
        <v>0.2307553806</v>
      </c>
      <c r="AB1459" s="14">
        <v>0.2307553806</v>
      </c>
      <c r="AC1459" s="14">
        <v>0.2307553806</v>
      </c>
      <c r="AD1459" s="14">
        <v>0.2307553806</v>
      </c>
      <c r="AE1459" s="14">
        <v>0.2307553806</v>
      </c>
      <c r="AF1459" s="14" t="s">
        <v>413</v>
      </c>
    </row>
    <row r="1460" spans="1:32" ht="14.25" customHeight="1" x14ac:dyDescent="0.35">
      <c r="A1460" s="14" t="s">
        <v>1184</v>
      </c>
      <c r="B1460" s="14" t="s">
        <v>427</v>
      </c>
      <c r="C1460" s="14"/>
      <c r="D1460" s="14" t="s">
        <v>419</v>
      </c>
      <c r="E1460" s="15">
        <v>41640</v>
      </c>
      <c r="F1460" s="15">
        <v>42004</v>
      </c>
      <c r="G1460" s="14" t="s">
        <v>410</v>
      </c>
      <c r="H1460" s="14">
        <v>1</v>
      </c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 t="s">
        <v>413</v>
      </c>
    </row>
    <row r="1461" spans="1:32" ht="14.25" customHeight="1" x14ac:dyDescent="0.35">
      <c r="A1461" s="14" t="s">
        <v>1184</v>
      </c>
      <c r="B1461" s="14" t="s">
        <v>427</v>
      </c>
      <c r="C1461" s="14"/>
      <c r="D1461" s="14" t="s">
        <v>511</v>
      </c>
      <c r="E1461" s="15">
        <v>41640</v>
      </c>
      <c r="F1461" s="15">
        <v>42004</v>
      </c>
      <c r="G1461" s="14" t="s">
        <v>415</v>
      </c>
      <c r="H1461" s="14">
        <v>0.2307553806</v>
      </c>
      <c r="I1461" s="14">
        <v>0.2307553806</v>
      </c>
      <c r="J1461" s="14">
        <v>0.2307553806</v>
      </c>
      <c r="K1461" s="14">
        <v>0.2307553806</v>
      </c>
      <c r="L1461" s="14">
        <v>0.2307553806</v>
      </c>
      <c r="M1461" s="14">
        <v>0.2307553806</v>
      </c>
      <c r="N1461" s="14">
        <v>0.28810717499999999</v>
      </c>
      <c r="O1461" s="14">
        <v>0.28810717499999999</v>
      </c>
      <c r="P1461" s="14">
        <v>0.28810717499999999</v>
      </c>
      <c r="Q1461" s="14">
        <v>0.28810717499999999</v>
      </c>
      <c r="R1461" s="14">
        <v>0.28810717499999999</v>
      </c>
      <c r="S1461" s="14">
        <v>0.28810717499999999</v>
      </c>
      <c r="T1461" s="14">
        <v>0.28810717499999999</v>
      </c>
      <c r="U1461" s="14">
        <v>0.28810717499999999</v>
      </c>
      <c r="V1461" s="14">
        <v>0.28810717499999999</v>
      </c>
      <c r="W1461" s="14">
        <v>0.28810717499999999</v>
      </c>
      <c r="X1461" s="14">
        <v>0.28810717499999999</v>
      </c>
      <c r="Y1461" s="14">
        <v>0.28810717499999999</v>
      </c>
      <c r="Z1461" s="14">
        <v>0.23813624999999999</v>
      </c>
      <c r="AA1461" s="14">
        <v>0.23813624999999999</v>
      </c>
      <c r="AB1461" s="14">
        <v>0.23813624999999999</v>
      </c>
      <c r="AC1461" s="14">
        <v>0.23813624999999999</v>
      </c>
      <c r="AD1461" s="14">
        <v>0.23813624999999999</v>
      </c>
      <c r="AE1461" s="14">
        <v>0.23813624999999999</v>
      </c>
      <c r="AF1461" s="14" t="s">
        <v>413</v>
      </c>
    </row>
    <row r="1462" spans="1:32" ht="14.25" customHeight="1" x14ac:dyDescent="0.35">
      <c r="A1462" s="14" t="s">
        <v>1184</v>
      </c>
      <c r="B1462" s="14" t="s">
        <v>427</v>
      </c>
      <c r="C1462" s="14"/>
      <c r="D1462" s="14" t="s">
        <v>429</v>
      </c>
      <c r="E1462" s="15">
        <v>41640</v>
      </c>
      <c r="F1462" s="15">
        <v>42004</v>
      </c>
      <c r="G1462" s="14" t="s">
        <v>415</v>
      </c>
      <c r="H1462" s="14">
        <v>0.30767384079999999</v>
      </c>
      <c r="I1462" s="14">
        <v>0.30767384079999999</v>
      </c>
      <c r="J1462" s="14">
        <v>0.30767384079999999</v>
      </c>
      <c r="K1462" s="14">
        <v>0.30767384079999999</v>
      </c>
      <c r="L1462" s="14">
        <v>0.30767384079999999</v>
      </c>
      <c r="M1462" s="14">
        <v>0.30767384079999999</v>
      </c>
      <c r="N1462" s="14">
        <v>0.38123479599999999</v>
      </c>
      <c r="O1462" s="14">
        <v>0.38123479599999999</v>
      </c>
      <c r="P1462" s="14">
        <v>0.85777829100000003</v>
      </c>
      <c r="Q1462" s="14">
        <v>0.85777829100000003</v>
      </c>
      <c r="R1462" s="14">
        <v>0.85777829100000003</v>
      </c>
      <c r="S1462" s="14">
        <v>0.85777829100000003</v>
      </c>
      <c r="T1462" s="14">
        <v>0.76246959199999997</v>
      </c>
      <c r="U1462" s="14">
        <v>0.85777829100000003</v>
      </c>
      <c r="V1462" s="14">
        <v>0.85777829100000003</v>
      </c>
      <c r="W1462" s="14">
        <v>0.85777829100000003</v>
      </c>
      <c r="X1462" s="14">
        <v>0.85777829100000003</v>
      </c>
      <c r="Y1462" s="14">
        <v>0.47654349499999998</v>
      </c>
      <c r="Z1462" s="14">
        <v>0.38123479599999999</v>
      </c>
      <c r="AA1462" s="14">
        <v>0.38123479599999999</v>
      </c>
      <c r="AB1462" s="14">
        <v>0.38123479599999999</v>
      </c>
      <c r="AC1462" s="14">
        <v>0.38123479599999999</v>
      </c>
      <c r="AD1462" s="14">
        <v>0.38123479599999999</v>
      </c>
      <c r="AE1462" s="14">
        <v>0.38123479599999999</v>
      </c>
      <c r="AF1462" s="14" t="s">
        <v>413</v>
      </c>
    </row>
    <row r="1463" spans="1:32" ht="14.25" customHeight="1" x14ac:dyDescent="0.35">
      <c r="A1463" s="14" t="s">
        <v>1184</v>
      </c>
      <c r="B1463" s="14" t="s">
        <v>427</v>
      </c>
      <c r="C1463" s="14"/>
      <c r="D1463" s="14" t="s">
        <v>418</v>
      </c>
      <c r="E1463" s="15">
        <v>41640</v>
      </c>
      <c r="F1463" s="15">
        <v>42004</v>
      </c>
      <c r="G1463" s="14" t="s">
        <v>410</v>
      </c>
      <c r="H1463" s="14">
        <v>0</v>
      </c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 t="s">
        <v>413</v>
      </c>
    </row>
    <row r="1464" spans="1:32" ht="14.25" customHeight="1" x14ac:dyDescent="0.35">
      <c r="A1464" s="16" t="s">
        <v>1185</v>
      </c>
      <c r="B1464" s="16" t="s">
        <v>424</v>
      </c>
      <c r="C1464" s="16"/>
      <c r="D1464" s="16" t="s">
        <v>512</v>
      </c>
      <c r="E1464" s="17">
        <v>41640</v>
      </c>
      <c r="F1464" s="17">
        <v>42004</v>
      </c>
      <c r="G1464" s="16" t="s">
        <v>415</v>
      </c>
      <c r="H1464" s="16">
        <v>0.05</v>
      </c>
      <c r="I1464" s="16">
        <v>0.05</v>
      </c>
      <c r="J1464" s="16">
        <v>0.05</v>
      </c>
      <c r="K1464" s="16">
        <v>0.05</v>
      </c>
      <c r="L1464" s="16">
        <v>0.05</v>
      </c>
      <c r="M1464" s="16">
        <v>0.05</v>
      </c>
      <c r="N1464" s="16">
        <v>0.1</v>
      </c>
      <c r="O1464" s="16">
        <v>0.1</v>
      </c>
      <c r="P1464" s="16">
        <v>0.3</v>
      </c>
      <c r="Q1464" s="16">
        <v>0.3</v>
      </c>
      <c r="R1464" s="16">
        <v>0.3</v>
      </c>
      <c r="S1464" s="16">
        <v>0.3</v>
      </c>
      <c r="T1464" s="16">
        <v>0.15</v>
      </c>
      <c r="U1464" s="16">
        <v>0.15</v>
      </c>
      <c r="V1464" s="16">
        <v>0.15</v>
      </c>
      <c r="W1464" s="16">
        <v>0.15</v>
      </c>
      <c r="X1464" s="16">
        <v>0.15</v>
      </c>
      <c r="Y1464" s="16">
        <v>0.05</v>
      </c>
      <c r="Z1464" s="16">
        <v>0.05</v>
      </c>
      <c r="AA1464" s="16">
        <v>0.05</v>
      </c>
      <c r="AB1464" s="16">
        <v>0.05</v>
      </c>
      <c r="AC1464" s="16">
        <v>0.05</v>
      </c>
      <c r="AD1464" s="16">
        <v>0.05</v>
      </c>
      <c r="AE1464" s="16">
        <v>0.05</v>
      </c>
      <c r="AF1464" s="16" t="s">
        <v>413</v>
      </c>
    </row>
    <row r="1465" spans="1:32" ht="14.25" customHeight="1" x14ac:dyDescent="0.35">
      <c r="A1465" s="16" t="s">
        <v>1185</v>
      </c>
      <c r="B1465" s="16" t="s">
        <v>424</v>
      </c>
      <c r="C1465" s="16"/>
      <c r="D1465" s="16" t="s">
        <v>419</v>
      </c>
      <c r="E1465" s="17">
        <v>41640</v>
      </c>
      <c r="F1465" s="17">
        <v>42004</v>
      </c>
      <c r="G1465" s="16" t="s">
        <v>410</v>
      </c>
      <c r="H1465" s="16">
        <v>1</v>
      </c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 t="s">
        <v>413</v>
      </c>
    </row>
    <row r="1466" spans="1:32" ht="14.25" customHeight="1" x14ac:dyDescent="0.35">
      <c r="A1466" s="16" t="s">
        <v>1185</v>
      </c>
      <c r="B1466" s="16" t="s">
        <v>424</v>
      </c>
      <c r="C1466" s="16"/>
      <c r="D1466" s="16" t="s">
        <v>511</v>
      </c>
      <c r="E1466" s="17">
        <v>41640</v>
      </c>
      <c r="F1466" s="17">
        <v>42004</v>
      </c>
      <c r="G1466" s="16" t="s">
        <v>410</v>
      </c>
      <c r="H1466" s="16">
        <v>0.05</v>
      </c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 t="s">
        <v>413</v>
      </c>
    </row>
    <row r="1467" spans="1:32" ht="14.25" customHeight="1" x14ac:dyDescent="0.35">
      <c r="A1467" s="16" t="s">
        <v>1185</v>
      </c>
      <c r="B1467" s="16" t="s">
        <v>424</v>
      </c>
      <c r="C1467" s="16"/>
      <c r="D1467" s="16" t="s">
        <v>429</v>
      </c>
      <c r="E1467" s="17">
        <v>41640</v>
      </c>
      <c r="F1467" s="17">
        <v>42004</v>
      </c>
      <c r="G1467" s="16" t="s">
        <v>415</v>
      </c>
      <c r="H1467" s="16">
        <v>0.05</v>
      </c>
      <c r="I1467" s="16">
        <v>0.05</v>
      </c>
      <c r="J1467" s="16">
        <v>0.05</v>
      </c>
      <c r="K1467" s="16">
        <v>0.05</v>
      </c>
      <c r="L1467" s="16">
        <v>0.05</v>
      </c>
      <c r="M1467" s="16">
        <v>0.1</v>
      </c>
      <c r="N1467" s="16">
        <v>0.3</v>
      </c>
      <c r="O1467" s="16">
        <v>0.9</v>
      </c>
      <c r="P1467" s="16">
        <v>0.9</v>
      </c>
      <c r="Q1467" s="16">
        <v>0.9</v>
      </c>
      <c r="R1467" s="16">
        <v>0.9</v>
      </c>
      <c r="S1467" s="16">
        <v>0.9</v>
      </c>
      <c r="T1467" s="16">
        <v>0.9</v>
      </c>
      <c r="U1467" s="16">
        <v>0.9</v>
      </c>
      <c r="V1467" s="16">
        <v>0.9</v>
      </c>
      <c r="W1467" s="16">
        <v>0.9</v>
      </c>
      <c r="X1467" s="16">
        <v>0.9</v>
      </c>
      <c r="Y1467" s="16">
        <v>0.5</v>
      </c>
      <c r="Z1467" s="16">
        <v>0.3</v>
      </c>
      <c r="AA1467" s="16">
        <v>0.3</v>
      </c>
      <c r="AB1467" s="16">
        <v>0.2</v>
      </c>
      <c r="AC1467" s="16">
        <v>0.2</v>
      </c>
      <c r="AD1467" s="16">
        <v>0.1</v>
      </c>
      <c r="AE1467" s="16">
        <v>0.05</v>
      </c>
      <c r="AF1467" s="16" t="s">
        <v>413</v>
      </c>
    </row>
    <row r="1468" spans="1:32" ht="14.25" customHeight="1" x14ac:dyDescent="0.35">
      <c r="A1468" s="16" t="s">
        <v>1185</v>
      </c>
      <c r="B1468" s="16" t="s">
        <v>424</v>
      </c>
      <c r="C1468" s="16"/>
      <c r="D1468" s="16" t="s">
        <v>418</v>
      </c>
      <c r="E1468" s="17">
        <v>41640</v>
      </c>
      <c r="F1468" s="17">
        <v>42004</v>
      </c>
      <c r="G1468" s="16" t="s">
        <v>410</v>
      </c>
      <c r="H1468" s="16">
        <v>0</v>
      </c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 t="s">
        <v>413</v>
      </c>
    </row>
    <row r="1469" spans="1:32" ht="14.25" customHeight="1" x14ac:dyDescent="0.35">
      <c r="A1469" s="14" t="s">
        <v>1186</v>
      </c>
      <c r="B1469" s="14" t="s">
        <v>424</v>
      </c>
      <c r="C1469" s="14"/>
      <c r="D1469" s="14" t="s">
        <v>512</v>
      </c>
      <c r="E1469" s="15">
        <v>41640</v>
      </c>
      <c r="F1469" s="15">
        <v>42004</v>
      </c>
      <c r="G1469" s="14" t="s">
        <v>415</v>
      </c>
      <c r="H1469" s="14">
        <v>0.05</v>
      </c>
      <c r="I1469" s="14">
        <v>0.05</v>
      </c>
      <c r="J1469" s="14">
        <v>0.05</v>
      </c>
      <c r="K1469" s="14">
        <v>0.05</v>
      </c>
      <c r="L1469" s="14">
        <v>0.05</v>
      </c>
      <c r="M1469" s="14">
        <v>0.05</v>
      </c>
      <c r="N1469" s="14">
        <v>9.0399999999999994E-2</v>
      </c>
      <c r="O1469" s="14">
        <v>9.0399999999999994E-2</v>
      </c>
      <c r="P1469" s="14">
        <v>0.2712</v>
      </c>
      <c r="Q1469" s="14">
        <v>0.2712</v>
      </c>
      <c r="R1469" s="14">
        <v>0.2712</v>
      </c>
      <c r="S1469" s="14">
        <v>0.2712</v>
      </c>
      <c r="T1469" s="14">
        <v>0.1356</v>
      </c>
      <c r="U1469" s="14">
        <v>0.1356</v>
      </c>
      <c r="V1469" s="14">
        <v>0.1356</v>
      </c>
      <c r="W1469" s="14">
        <v>0.1356</v>
      </c>
      <c r="X1469" s="14">
        <v>0.1356</v>
      </c>
      <c r="Y1469" s="14">
        <v>4.5199999999999997E-2</v>
      </c>
      <c r="Z1469" s="14">
        <v>4.5199999999999997E-2</v>
      </c>
      <c r="AA1469" s="14">
        <v>0.05</v>
      </c>
      <c r="AB1469" s="14">
        <v>0.05</v>
      </c>
      <c r="AC1469" s="14">
        <v>0.05</v>
      </c>
      <c r="AD1469" s="14">
        <v>0.05</v>
      </c>
      <c r="AE1469" s="14">
        <v>0.05</v>
      </c>
      <c r="AF1469" s="14" t="s">
        <v>413</v>
      </c>
    </row>
    <row r="1470" spans="1:32" ht="14.25" customHeight="1" x14ac:dyDescent="0.35">
      <c r="A1470" s="14" t="s">
        <v>1186</v>
      </c>
      <c r="B1470" s="14" t="s">
        <v>424</v>
      </c>
      <c r="C1470" s="14"/>
      <c r="D1470" s="14" t="s">
        <v>419</v>
      </c>
      <c r="E1470" s="15">
        <v>41640</v>
      </c>
      <c r="F1470" s="15">
        <v>42004</v>
      </c>
      <c r="G1470" s="14" t="s">
        <v>410</v>
      </c>
      <c r="H1470" s="14">
        <v>1</v>
      </c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 t="s">
        <v>413</v>
      </c>
    </row>
    <row r="1471" spans="1:32" ht="14.25" customHeight="1" x14ac:dyDescent="0.35">
      <c r="A1471" s="14" t="s">
        <v>1186</v>
      </c>
      <c r="B1471" s="14" t="s">
        <v>424</v>
      </c>
      <c r="C1471" s="14"/>
      <c r="D1471" s="14" t="s">
        <v>511</v>
      </c>
      <c r="E1471" s="15">
        <v>41640</v>
      </c>
      <c r="F1471" s="15">
        <v>42004</v>
      </c>
      <c r="G1471" s="14" t="s">
        <v>415</v>
      </c>
      <c r="H1471" s="14">
        <v>0.05</v>
      </c>
      <c r="I1471" s="14">
        <v>0.05</v>
      </c>
      <c r="J1471" s="14">
        <v>0.05</v>
      </c>
      <c r="K1471" s="14">
        <v>0.05</v>
      </c>
      <c r="L1471" s="14">
        <v>0.05</v>
      </c>
      <c r="M1471" s="14">
        <v>0.05</v>
      </c>
      <c r="N1471" s="14">
        <v>4.5199999999999997E-2</v>
      </c>
      <c r="O1471" s="14">
        <v>4.5199999999999997E-2</v>
      </c>
      <c r="P1471" s="14">
        <v>4.5199999999999997E-2</v>
      </c>
      <c r="Q1471" s="14">
        <v>4.5199999999999997E-2</v>
      </c>
      <c r="R1471" s="14">
        <v>4.5199999999999997E-2</v>
      </c>
      <c r="S1471" s="14">
        <v>4.5199999999999997E-2</v>
      </c>
      <c r="T1471" s="14">
        <v>4.5199999999999997E-2</v>
      </c>
      <c r="U1471" s="14">
        <v>4.5199999999999997E-2</v>
      </c>
      <c r="V1471" s="14">
        <v>4.5199999999999997E-2</v>
      </c>
      <c r="W1471" s="14">
        <v>4.5199999999999997E-2</v>
      </c>
      <c r="X1471" s="14">
        <v>4.5199999999999997E-2</v>
      </c>
      <c r="Y1471" s="14">
        <v>4.5199999999999997E-2</v>
      </c>
      <c r="Z1471" s="14">
        <v>0.05</v>
      </c>
      <c r="AA1471" s="14">
        <v>0.05</v>
      </c>
      <c r="AB1471" s="14">
        <v>0.05</v>
      </c>
      <c r="AC1471" s="14">
        <v>0.05</v>
      </c>
      <c r="AD1471" s="14">
        <v>0.05</v>
      </c>
      <c r="AE1471" s="14">
        <v>0.05</v>
      </c>
      <c r="AF1471" s="14" t="s">
        <v>413</v>
      </c>
    </row>
    <row r="1472" spans="1:32" ht="14.25" customHeight="1" x14ac:dyDescent="0.35">
      <c r="A1472" s="14" t="s">
        <v>1186</v>
      </c>
      <c r="B1472" s="14" t="s">
        <v>424</v>
      </c>
      <c r="C1472" s="14"/>
      <c r="D1472" s="14" t="s">
        <v>429</v>
      </c>
      <c r="E1472" s="15">
        <v>41640</v>
      </c>
      <c r="F1472" s="15">
        <v>42004</v>
      </c>
      <c r="G1472" s="14" t="s">
        <v>415</v>
      </c>
      <c r="H1472" s="14">
        <v>0.05</v>
      </c>
      <c r="I1472" s="14">
        <v>0.05</v>
      </c>
      <c r="J1472" s="14">
        <v>0.05</v>
      </c>
      <c r="K1472" s="14">
        <v>0.05</v>
      </c>
      <c r="L1472" s="14">
        <v>0.05</v>
      </c>
      <c r="M1472" s="14">
        <v>0.1</v>
      </c>
      <c r="N1472" s="14">
        <v>9.0399999999999994E-2</v>
      </c>
      <c r="O1472" s="14">
        <v>0.2712</v>
      </c>
      <c r="P1472" s="14">
        <v>0.81359999999999999</v>
      </c>
      <c r="Q1472" s="14">
        <v>0.81359999999999999</v>
      </c>
      <c r="R1472" s="14">
        <v>0.81359999999999999</v>
      </c>
      <c r="S1472" s="14">
        <v>0.81359999999999999</v>
      </c>
      <c r="T1472" s="14">
        <v>0.81359999999999999</v>
      </c>
      <c r="U1472" s="14">
        <v>0.81359999999999999</v>
      </c>
      <c r="V1472" s="14">
        <v>0.81359999999999999</v>
      </c>
      <c r="W1472" s="14">
        <v>0.81359999999999999</v>
      </c>
      <c r="X1472" s="14">
        <v>0.81359999999999999</v>
      </c>
      <c r="Y1472" s="14">
        <v>0.45200000000000001</v>
      </c>
      <c r="Z1472" s="14">
        <v>0.2712</v>
      </c>
      <c r="AA1472" s="14">
        <v>0.2712</v>
      </c>
      <c r="AB1472" s="14">
        <v>0.18079999999999999</v>
      </c>
      <c r="AC1472" s="14">
        <v>0.18079999999999999</v>
      </c>
      <c r="AD1472" s="14">
        <v>9.0399999999999994E-2</v>
      </c>
      <c r="AE1472" s="14">
        <v>4.5199999999999997E-2</v>
      </c>
      <c r="AF1472" s="14" t="s">
        <v>413</v>
      </c>
    </row>
    <row r="1473" spans="1:32" ht="14.25" customHeight="1" x14ac:dyDescent="0.35">
      <c r="A1473" s="14" t="s">
        <v>1186</v>
      </c>
      <c r="B1473" s="14" t="s">
        <v>424</v>
      </c>
      <c r="C1473" s="14"/>
      <c r="D1473" s="14" t="s">
        <v>418</v>
      </c>
      <c r="E1473" s="15">
        <v>41640</v>
      </c>
      <c r="F1473" s="15">
        <v>42004</v>
      </c>
      <c r="G1473" s="14" t="s">
        <v>410</v>
      </c>
      <c r="H1473" s="14">
        <v>0</v>
      </c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 t="s">
        <v>413</v>
      </c>
    </row>
    <row r="1474" spans="1:32" ht="14.25" customHeight="1" x14ac:dyDescent="0.35">
      <c r="A1474" s="16" t="s">
        <v>1187</v>
      </c>
      <c r="B1474" s="16" t="s">
        <v>424</v>
      </c>
      <c r="C1474" s="16"/>
      <c r="D1474" s="16" t="s">
        <v>512</v>
      </c>
      <c r="E1474" s="17">
        <v>41640</v>
      </c>
      <c r="F1474" s="17">
        <v>42004</v>
      </c>
      <c r="G1474" s="16" t="s">
        <v>415</v>
      </c>
      <c r="H1474" s="16">
        <v>0.05</v>
      </c>
      <c r="I1474" s="16">
        <v>0.05</v>
      </c>
      <c r="J1474" s="16">
        <v>0.05</v>
      </c>
      <c r="K1474" s="16">
        <v>0.05</v>
      </c>
      <c r="L1474" s="16">
        <v>0.05</v>
      </c>
      <c r="M1474" s="16">
        <v>0.05</v>
      </c>
      <c r="N1474" s="16">
        <v>8.623256E-2</v>
      </c>
      <c r="O1474" s="16">
        <v>8.623256E-2</v>
      </c>
      <c r="P1474" s="16">
        <v>0.25869767999999999</v>
      </c>
      <c r="Q1474" s="16">
        <v>0.25869767999999999</v>
      </c>
      <c r="R1474" s="16">
        <v>0.25869767999999999</v>
      </c>
      <c r="S1474" s="16">
        <v>0.25869767999999999</v>
      </c>
      <c r="T1474" s="16">
        <v>0.12934883999999999</v>
      </c>
      <c r="U1474" s="16">
        <v>0.12934883999999999</v>
      </c>
      <c r="V1474" s="16">
        <v>0.12934883999999999</v>
      </c>
      <c r="W1474" s="16">
        <v>0.12934883999999999</v>
      </c>
      <c r="X1474" s="16">
        <v>0.12934883999999999</v>
      </c>
      <c r="Y1474" s="16">
        <v>4.311628E-2</v>
      </c>
      <c r="Z1474" s="16">
        <v>4.311628E-2</v>
      </c>
      <c r="AA1474" s="16">
        <v>0.05</v>
      </c>
      <c r="AB1474" s="16">
        <v>0.05</v>
      </c>
      <c r="AC1474" s="16">
        <v>0.05</v>
      </c>
      <c r="AD1474" s="16">
        <v>0.05</v>
      </c>
      <c r="AE1474" s="16">
        <v>0.05</v>
      </c>
      <c r="AF1474" s="16" t="s">
        <v>413</v>
      </c>
    </row>
    <row r="1475" spans="1:32" ht="14.25" customHeight="1" x14ac:dyDescent="0.35">
      <c r="A1475" s="16" t="s">
        <v>1187</v>
      </c>
      <c r="B1475" s="16" t="s">
        <v>424</v>
      </c>
      <c r="C1475" s="16"/>
      <c r="D1475" s="16" t="s">
        <v>419</v>
      </c>
      <c r="E1475" s="17">
        <v>41640</v>
      </c>
      <c r="F1475" s="17">
        <v>42004</v>
      </c>
      <c r="G1475" s="16" t="s">
        <v>410</v>
      </c>
      <c r="H1475" s="16">
        <v>1</v>
      </c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 t="s">
        <v>413</v>
      </c>
    </row>
    <row r="1476" spans="1:32" ht="14.25" customHeight="1" x14ac:dyDescent="0.35">
      <c r="A1476" s="16" t="s">
        <v>1187</v>
      </c>
      <c r="B1476" s="16" t="s">
        <v>424</v>
      </c>
      <c r="C1476" s="16"/>
      <c r="D1476" s="16" t="s">
        <v>511</v>
      </c>
      <c r="E1476" s="17">
        <v>41640</v>
      </c>
      <c r="F1476" s="17">
        <v>42004</v>
      </c>
      <c r="G1476" s="16" t="s">
        <v>415</v>
      </c>
      <c r="H1476" s="16">
        <v>0.05</v>
      </c>
      <c r="I1476" s="16">
        <v>0.05</v>
      </c>
      <c r="J1476" s="16">
        <v>0.05</v>
      </c>
      <c r="K1476" s="16">
        <v>0.05</v>
      </c>
      <c r="L1476" s="16">
        <v>0.05</v>
      </c>
      <c r="M1476" s="16">
        <v>0.05</v>
      </c>
      <c r="N1476" s="16">
        <v>4.311628E-2</v>
      </c>
      <c r="O1476" s="16">
        <v>4.311628E-2</v>
      </c>
      <c r="P1476" s="16">
        <v>4.311628E-2</v>
      </c>
      <c r="Q1476" s="16">
        <v>4.311628E-2</v>
      </c>
      <c r="R1476" s="16">
        <v>4.311628E-2</v>
      </c>
      <c r="S1476" s="16">
        <v>4.311628E-2</v>
      </c>
      <c r="T1476" s="16">
        <v>4.311628E-2</v>
      </c>
      <c r="U1476" s="16">
        <v>4.311628E-2</v>
      </c>
      <c r="V1476" s="16">
        <v>4.311628E-2</v>
      </c>
      <c r="W1476" s="16">
        <v>4.311628E-2</v>
      </c>
      <c r="X1476" s="16">
        <v>4.311628E-2</v>
      </c>
      <c r="Y1476" s="16">
        <v>4.311628E-2</v>
      </c>
      <c r="Z1476" s="16">
        <v>0.05</v>
      </c>
      <c r="AA1476" s="16">
        <v>0.05</v>
      </c>
      <c r="AB1476" s="16">
        <v>0.05</v>
      </c>
      <c r="AC1476" s="16">
        <v>0.05</v>
      </c>
      <c r="AD1476" s="16">
        <v>0.05</v>
      </c>
      <c r="AE1476" s="16">
        <v>0.05</v>
      </c>
      <c r="AF1476" s="16" t="s">
        <v>413</v>
      </c>
    </row>
    <row r="1477" spans="1:32" ht="14.25" customHeight="1" x14ac:dyDescent="0.35">
      <c r="A1477" s="16" t="s">
        <v>1187</v>
      </c>
      <c r="B1477" s="16" t="s">
        <v>424</v>
      </c>
      <c r="C1477" s="16"/>
      <c r="D1477" s="16" t="s">
        <v>429</v>
      </c>
      <c r="E1477" s="17">
        <v>41640</v>
      </c>
      <c r="F1477" s="17">
        <v>42004</v>
      </c>
      <c r="G1477" s="16" t="s">
        <v>415</v>
      </c>
      <c r="H1477" s="16">
        <v>0.05</v>
      </c>
      <c r="I1477" s="16">
        <v>0.05</v>
      </c>
      <c r="J1477" s="16">
        <v>0.05</v>
      </c>
      <c r="K1477" s="16">
        <v>0.05</v>
      </c>
      <c r="L1477" s="16">
        <v>0.05</v>
      </c>
      <c r="M1477" s="16">
        <v>0.1</v>
      </c>
      <c r="N1477" s="16">
        <v>8.623256E-2</v>
      </c>
      <c r="O1477" s="16">
        <v>0.25869767999999999</v>
      </c>
      <c r="P1477" s="16">
        <v>0.77609304000000001</v>
      </c>
      <c r="Q1477" s="16">
        <v>0.77609304000000001</v>
      </c>
      <c r="R1477" s="16">
        <v>0.77609304000000001</v>
      </c>
      <c r="S1477" s="16">
        <v>0.77609304000000001</v>
      </c>
      <c r="T1477" s="16">
        <v>0.77609304000000001</v>
      </c>
      <c r="U1477" s="16">
        <v>0.77609304000000001</v>
      </c>
      <c r="V1477" s="16">
        <v>0.77609304000000001</v>
      </c>
      <c r="W1477" s="16">
        <v>0.77609304000000001</v>
      </c>
      <c r="X1477" s="16">
        <v>0.77609304000000001</v>
      </c>
      <c r="Y1477" s="16">
        <v>0.43116280000000001</v>
      </c>
      <c r="Z1477" s="16">
        <v>0.25869767999999999</v>
      </c>
      <c r="AA1477" s="16">
        <v>0.25869767999999999</v>
      </c>
      <c r="AB1477" s="16">
        <v>0.17246512</v>
      </c>
      <c r="AC1477" s="16">
        <v>0.17246512</v>
      </c>
      <c r="AD1477" s="16">
        <v>8.623256E-2</v>
      </c>
      <c r="AE1477" s="16">
        <v>4.311628E-2</v>
      </c>
      <c r="AF1477" s="16" t="s">
        <v>413</v>
      </c>
    </row>
    <row r="1478" spans="1:32" ht="14.25" customHeight="1" x14ac:dyDescent="0.35">
      <c r="A1478" s="16" t="s">
        <v>1187</v>
      </c>
      <c r="B1478" s="16" t="s">
        <v>424</v>
      </c>
      <c r="C1478" s="16"/>
      <c r="D1478" s="16" t="s">
        <v>418</v>
      </c>
      <c r="E1478" s="17">
        <v>41640</v>
      </c>
      <c r="F1478" s="17">
        <v>42004</v>
      </c>
      <c r="G1478" s="16" t="s">
        <v>410</v>
      </c>
      <c r="H1478" s="16">
        <v>0</v>
      </c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 t="s">
        <v>413</v>
      </c>
    </row>
    <row r="1479" spans="1:32" ht="14.25" customHeight="1" x14ac:dyDescent="0.35">
      <c r="A1479" s="14" t="s">
        <v>1188</v>
      </c>
      <c r="B1479" s="14" t="s">
        <v>448</v>
      </c>
      <c r="C1479" s="14"/>
      <c r="D1479" s="14" t="s">
        <v>417</v>
      </c>
      <c r="E1479" s="15">
        <v>41640</v>
      </c>
      <c r="F1479" s="15">
        <v>42004</v>
      </c>
      <c r="G1479" s="14" t="s">
        <v>415</v>
      </c>
      <c r="H1479" s="14">
        <v>0</v>
      </c>
      <c r="I1479" s="14">
        <v>0</v>
      </c>
      <c r="J1479" s="14">
        <v>0</v>
      </c>
      <c r="K1479" s="14">
        <v>0</v>
      </c>
      <c r="L1479" s="14">
        <v>0</v>
      </c>
      <c r="M1479" s="14">
        <v>0</v>
      </c>
      <c r="N1479" s="14">
        <v>0.05</v>
      </c>
      <c r="O1479" s="14">
        <v>0.05</v>
      </c>
      <c r="P1479" s="14">
        <v>0.05</v>
      </c>
      <c r="Q1479" s="14">
        <v>0.05</v>
      </c>
      <c r="R1479" s="14">
        <v>0.05</v>
      </c>
      <c r="S1479" s="14">
        <v>0.05</v>
      </c>
      <c r="T1479" s="14">
        <v>0.05</v>
      </c>
      <c r="U1479" s="14">
        <v>0.05</v>
      </c>
      <c r="V1479" s="14">
        <v>0.05</v>
      </c>
      <c r="W1479" s="14">
        <v>0.05</v>
      </c>
      <c r="X1479" s="14">
        <v>0.05</v>
      </c>
      <c r="Y1479" s="14">
        <v>0.05</v>
      </c>
      <c r="Z1479" s="14">
        <v>0</v>
      </c>
      <c r="AA1479" s="14">
        <v>0</v>
      </c>
      <c r="AB1479" s="14">
        <v>0</v>
      </c>
      <c r="AC1479" s="14">
        <v>0</v>
      </c>
      <c r="AD1479" s="14">
        <v>0</v>
      </c>
      <c r="AE1479" s="14">
        <v>0</v>
      </c>
      <c r="AF1479" s="14" t="s">
        <v>413</v>
      </c>
    </row>
    <row r="1480" spans="1:32" ht="14.25" customHeight="1" x14ac:dyDescent="0.35">
      <c r="A1480" s="14" t="s">
        <v>1188</v>
      </c>
      <c r="B1480" s="14" t="s">
        <v>448</v>
      </c>
      <c r="C1480" s="14"/>
      <c r="D1480" s="14" t="s">
        <v>512</v>
      </c>
      <c r="E1480" s="15">
        <v>41640</v>
      </c>
      <c r="F1480" s="15">
        <v>42004</v>
      </c>
      <c r="G1480" s="14" t="s">
        <v>415</v>
      </c>
      <c r="H1480" s="14">
        <v>0</v>
      </c>
      <c r="I1480" s="14">
        <v>0</v>
      </c>
      <c r="J1480" s="14">
        <v>0</v>
      </c>
      <c r="K1480" s="14">
        <v>0</v>
      </c>
      <c r="L1480" s="14">
        <v>0</v>
      </c>
      <c r="M1480" s="14">
        <v>0</v>
      </c>
      <c r="N1480" s="14">
        <v>0.1</v>
      </c>
      <c r="O1480" s="14">
        <v>0.1</v>
      </c>
      <c r="P1480" s="14">
        <v>0.3</v>
      </c>
      <c r="Q1480" s="14">
        <v>0.3</v>
      </c>
      <c r="R1480" s="14">
        <v>0.3</v>
      </c>
      <c r="S1480" s="14">
        <v>0.3</v>
      </c>
      <c r="T1480" s="14">
        <v>0.1</v>
      </c>
      <c r="U1480" s="14">
        <v>0.1</v>
      </c>
      <c r="V1480" s="14">
        <v>0.1</v>
      </c>
      <c r="W1480" s="14">
        <v>0.1</v>
      </c>
      <c r="X1480" s="14">
        <v>0.1</v>
      </c>
      <c r="Y1480" s="14">
        <v>0.05</v>
      </c>
      <c r="Z1480" s="14">
        <v>0.05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 t="s">
        <v>413</v>
      </c>
    </row>
    <row r="1481" spans="1:32" ht="14.25" customHeight="1" x14ac:dyDescent="0.35">
      <c r="A1481" s="14" t="s">
        <v>1188</v>
      </c>
      <c r="B1481" s="14" t="s">
        <v>448</v>
      </c>
      <c r="C1481" s="14"/>
      <c r="D1481" s="14" t="s">
        <v>419</v>
      </c>
      <c r="E1481" s="15">
        <v>41640</v>
      </c>
      <c r="F1481" s="15">
        <v>42004</v>
      </c>
      <c r="G1481" s="14" t="s">
        <v>415</v>
      </c>
      <c r="H1481" s="14">
        <v>0</v>
      </c>
      <c r="I1481" s="14">
        <v>0</v>
      </c>
      <c r="J1481" s="14">
        <v>0</v>
      </c>
      <c r="K1481" s="14">
        <v>0</v>
      </c>
      <c r="L1481" s="14">
        <v>0</v>
      </c>
      <c r="M1481" s="14">
        <v>0</v>
      </c>
      <c r="N1481" s="14">
        <v>1</v>
      </c>
      <c r="O1481" s="14">
        <v>1</v>
      </c>
      <c r="P1481" s="14">
        <v>1</v>
      </c>
      <c r="Q1481" s="14">
        <v>1</v>
      </c>
      <c r="R1481" s="14">
        <v>1</v>
      </c>
      <c r="S1481" s="14">
        <v>1</v>
      </c>
      <c r="T1481" s="14">
        <v>1</v>
      </c>
      <c r="U1481" s="14">
        <v>1</v>
      </c>
      <c r="V1481" s="14">
        <v>1</v>
      </c>
      <c r="W1481" s="14">
        <v>1</v>
      </c>
      <c r="X1481" s="14">
        <v>1</v>
      </c>
      <c r="Y1481" s="14">
        <v>1</v>
      </c>
      <c r="Z1481" s="14">
        <v>1</v>
      </c>
      <c r="AA1481" s="14">
        <v>1</v>
      </c>
      <c r="AB1481" s="14">
        <v>1</v>
      </c>
      <c r="AC1481" s="14">
        <v>1</v>
      </c>
      <c r="AD1481" s="14">
        <v>0.05</v>
      </c>
      <c r="AE1481" s="14">
        <v>0.05</v>
      </c>
      <c r="AF1481" s="14" t="s">
        <v>413</v>
      </c>
    </row>
    <row r="1482" spans="1:32" ht="14.25" customHeight="1" x14ac:dyDescent="0.35">
      <c r="A1482" s="14" t="s">
        <v>1188</v>
      </c>
      <c r="B1482" s="14" t="s">
        <v>448</v>
      </c>
      <c r="C1482" s="14"/>
      <c r="D1482" s="14" t="s">
        <v>429</v>
      </c>
      <c r="E1482" s="15">
        <v>41640</v>
      </c>
      <c r="F1482" s="15">
        <v>42004</v>
      </c>
      <c r="G1482" s="14" t="s">
        <v>415</v>
      </c>
      <c r="H1482" s="14">
        <v>0</v>
      </c>
      <c r="I1482" s="14">
        <v>0</v>
      </c>
      <c r="J1482" s="14">
        <v>0</v>
      </c>
      <c r="K1482" s="14">
        <v>0</v>
      </c>
      <c r="L1482" s="14">
        <v>0</v>
      </c>
      <c r="M1482" s="14">
        <v>0</v>
      </c>
      <c r="N1482" s="14">
        <v>0.1</v>
      </c>
      <c r="O1482" s="14">
        <v>0.2</v>
      </c>
      <c r="P1482" s="14">
        <v>0.95</v>
      </c>
      <c r="Q1482" s="14">
        <v>0.95</v>
      </c>
      <c r="R1482" s="14">
        <v>0.95</v>
      </c>
      <c r="S1482" s="14">
        <v>0.95</v>
      </c>
      <c r="T1482" s="14">
        <v>0.5</v>
      </c>
      <c r="U1482" s="14">
        <v>0.95</v>
      </c>
      <c r="V1482" s="14">
        <v>0.95</v>
      </c>
      <c r="W1482" s="14">
        <v>0.95</v>
      </c>
      <c r="X1482" s="14">
        <v>0.95</v>
      </c>
      <c r="Y1482" s="14">
        <v>0.3</v>
      </c>
      <c r="Z1482" s="14">
        <v>0.1</v>
      </c>
      <c r="AA1482" s="14">
        <v>0.1</v>
      </c>
      <c r="AB1482" s="14">
        <v>0.1</v>
      </c>
      <c r="AC1482" s="14">
        <v>0.1</v>
      </c>
      <c r="AD1482" s="14">
        <v>0.05</v>
      </c>
      <c r="AE1482" s="14">
        <v>0.05</v>
      </c>
      <c r="AF1482" s="14" t="s">
        <v>413</v>
      </c>
    </row>
    <row r="1483" spans="1:32" ht="14.25" customHeight="1" x14ac:dyDescent="0.35">
      <c r="A1483" s="14" t="s">
        <v>1188</v>
      </c>
      <c r="B1483" s="14" t="s">
        <v>448</v>
      </c>
      <c r="C1483" s="14"/>
      <c r="D1483" s="14" t="s">
        <v>418</v>
      </c>
      <c r="E1483" s="15">
        <v>41640</v>
      </c>
      <c r="F1483" s="15">
        <v>42004</v>
      </c>
      <c r="G1483" s="14" t="s">
        <v>410</v>
      </c>
      <c r="H1483" s="14">
        <v>0</v>
      </c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 t="s">
        <v>413</v>
      </c>
    </row>
    <row r="1484" spans="1:32" ht="14.25" customHeight="1" x14ac:dyDescent="0.35">
      <c r="A1484" s="16" t="s">
        <v>1189</v>
      </c>
      <c r="B1484" s="16" t="s">
        <v>460</v>
      </c>
      <c r="C1484" s="16"/>
      <c r="D1484" s="16" t="s">
        <v>417</v>
      </c>
      <c r="E1484" s="17">
        <v>41640</v>
      </c>
      <c r="F1484" s="17">
        <v>42004</v>
      </c>
      <c r="G1484" s="16" t="s">
        <v>415</v>
      </c>
      <c r="H1484" s="16">
        <v>0</v>
      </c>
      <c r="I1484" s="16">
        <v>0</v>
      </c>
      <c r="J1484" s="16">
        <v>0</v>
      </c>
      <c r="K1484" s="16">
        <v>0</v>
      </c>
      <c r="L1484" s="16">
        <v>0</v>
      </c>
      <c r="M1484" s="16">
        <v>0</v>
      </c>
      <c r="N1484" s="16">
        <v>0.04</v>
      </c>
      <c r="O1484" s="16">
        <v>0.04</v>
      </c>
      <c r="P1484" s="16">
        <v>0.04</v>
      </c>
      <c r="Q1484" s="16">
        <v>0.04</v>
      </c>
      <c r="R1484" s="16">
        <v>0.04</v>
      </c>
      <c r="S1484" s="16">
        <v>0.06</v>
      </c>
      <c r="T1484" s="16">
        <v>0.06</v>
      </c>
      <c r="U1484" s="16">
        <v>0.09</v>
      </c>
      <c r="V1484" s="16">
        <v>0.06</v>
      </c>
      <c r="W1484" s="16">
        <v>0.04</v>
      </c>
      <c r="X1484" s="16">
        <v>0.04</v>
      </c>
      <c r="Y1484" s="16">
        <v>0.04</v>
      </c>
      <c r="Z1484" s="16">
        <v>0</v>
      </c>
      <c r="AA1484" s="16">
        <v>0</v>
      </c>
      <c r="AB1484" s="16">
        <v>0</v>
      </c>
      <c r="AC1484" s="16">
        <v>0</v>
      </c>
      <c r="AD1484" s="16">
        <v>0</v>
      </c>
      <c r="AE1484" s="16">
        <v>0</v>
      </c>
      <c r="AF1484" s="16" t="s">
        <v>413</v>
      </c>
    </row>
    <row r="1485" spans="1:32" ht="14.25" customHeight="1" x14ac:dyDescent="0.35">
      <c r="A1485" s="16" t="s">
        <v>1189</v>
      </c>
      <c r="B1485" s="16" t="s">
        <v>460</v>
      </c>
      <c r="C1485" s="16"/>
      <c r="D1485" s="16" t="s">
        <v>556</v>
      </c>
      <c r="E1485" s="17">
        <v>41640</v>
      </c>
      <c r="F1485" s="17">
        <v>42004</v>
      </c>
      <c r="G1485" s="16" t="s">
        <v>415</v>
      </c>
      <c r="H1485" s="16">
        <v>0</v>
      </c>
      <c r="I1485" s="16">
        <v>0</v>
      </c>
      <c r="J1485" s="16">
        <v>0</v>
      </c>
      <c r="K1485" s="16">
        <v>0</v>
      </c>
      <c r="L1485" s="16">
        <v>0</v>
      </c>
      <c r="M1485" s="16">
        <v>0</v>
      </c>
      <c r="N1485" s="16">
        <v>7.0000000000000007E-2</v>
      </c>
      <c r="O1485" s="16">
        <v>0.19</v>
      </c>
      <c r="P1485" s="16">
        <v>0.35</v>
      </c>
      <c r="Q1485" s="16">
        <v>0.38</v>
      </c>
      <c r="R1485" s="16">
        <v>0.39</v>
      </c>
      <c r="S1485" s="16">
        <v>0.47</v>
      </c>
      <c r="T1485" s="16">
        <v>0.56999999999999995</v>
      </c>
      <c r="U1485" s="16">
        <v>0.54</v>
      </c>
      <c r="V1485" s="16">
        <v>0.34</v>
      </c>
      <c r="W1485" s="16">
        <v>0.33</v>
      </c>
      <c r="X1485" s="16">
        <v>0.44</v>
      </c>
      <c r="Y1485" s="16">
        <v>0.26</v>
      </c>
      <c r="Z1485" s="16">
        <v>0.21</v>
      </c>
      <c r="AA1485" s="16">
        <v>0.15</v>
      </c>
      <c r="AB1485" s="16">
        <v>0.17</v>
      </c>
      <c r="AC1485" s="16">
        <v>0.08</v>
      </c>
      <c r="AD1485" s="16">
        <v>0.05</v>
      </c>
      <c r="AE1485" s="16">
        <v>0.05</v>
      </c>
      <c r="AF1485" s="16" t="s">
        <v>413</v>
      </c>
    </row>
    <row r="1486" spans="1:32" ht="14.25" customHeight="1" x14ac:dyDescent="0.35">
      <c r="A1486" s="16" t="s">
        <v>1189</v>
      </c>
      <c r="B1486" s="16" t="s">
        <v>460</v>
      </c>
      <c r="C1486" s="16"/>
      <c r="D1486" s="16" t="s">
        <v>514</v>
      </c>
      <c r="E1486" s="17">
        <v>41640</v>
      </c>
      <c r="F1486" s="17">
        <v>42004</v>
      </c>
      <c r="G1486" s="16" t="s">
        <v>415</v>
      </c>
      <c r="H1486" s="16">
        <v>0</v>
      </c>
      <c r="I1486" s="16">
        <v>0</v>
      </c>
      <c r="J1486" s="16">
        <v>0</v>
      </c>
      <c r="K1486" s="16">
        <v>0</v>
      </c>
      <c r="L1486" s="16">
        <v>0</v>
      </c>
      <c r="M1486" s="16">
        <v>0</v>
      </c>
      <c r="N1486" s="16">
        <v>7.0000000000000007E-2</v>
      </c>
      <c r="O1486" s="16">
        <v>0.11</v>
      </c>
      <c r="P1486" s="16">
        <v>0.15</v>
      </c>
      <c r="Q1486" s="16">
        <v>0.21</v>
      </c>
      <c r="R1486" s="16">
        <v>0.19</v>
      </c>
      <c r="S1486" s="16">
        <v>0.23</v>
      </c>
      <c r="T1486" s="16">
        <v>0.2</v>
      </c>
      <c r="U1486" s="16">
        <v>0.19</v>
      </c>
      <c r="V1486" s="16">
        <v>0.15</v>
      </c>
      <c r="W1486" s="16">
        <v>0.13</v>
      </c>
      <c r="X1486" s="16">
        <v>0.14000000000000001</v>
      </c>
      <c r="Y1486" s="16">
        <v>7.0000000000000007E-2</v>
      </c>
      <c r="Z1486" s="16">
        <v>7.0000000000000007E-2</v>
      </c>
      <c r="AA1486" s="16">
        <v>0</v>
      </c>
      <c r="AB1486" s="16">
        <v>0</v>
      </c>
      <c r="AC1486" s="16">
        <v>0</v>
      </c>
      <c r="AD1486" s="16">
        <v>0</v>
      </c>
      <c r="AE1486" s="16">
        <v>0</v>
      </c>
      <c r="AF1486" s="16" t="s">
        <v>413</v>
      </c>
    </row>
    <row r="1487" spans="1:32" ht="14.25" customHeight="1" x14ac:dyDescent="0.35">
      <c r="A1487" s="14" t="s">
        <v>1190</v>
      </c>
      <c r="B1487" s="14" t="s">
        <v>420</v>
      </c>
      <c r="C1487" s="14" t="s">
        <v>414</v>
      </c>
      <c r="D1487" s="14" t="s">
        <v>476</v>
      </c>
      <c r="E1487" s="15">
        <v>41640</v>
      </c>
      <c r="F1487" s="15">
        <v>42004</v>
      </c>
      <c r="G1487" s="14" t="s">
        <v>410</v>
      </c>
      <c r="H1487" s="14">
        <v>26.7</v>
      </c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 t="s">
        <v>413</v>
      </c>
    </row>
    <row r="1488" spans="1:32" ht="14.25" customHeight="1" x14ac:dyDescent="0.35">
      <c r="A1488" s="14" t="s">
        <v>1190</v>
      </c>
      <c r="B1488" s="14" t="s">
        <v>420</v>
      </c>
      <c r="C1488" s="14" t="s">
        <v>414</v>
      </c>
      <c r="D1488" s="14" t="s">
        <v>512</v>
      </c>
      <c r="E1488" s="15">
        <v>41640</v>
      </c>
      <c r="F1488" s="15">
        <v>42004</v>
      </c>
      <c r="G1488" s="14" t="s">
        <v>415</v>
      </c>
      <c r="H1488" s="14">
        <v>26.7</v>
      </c>
      <c r="I1488" s="14">
        <v>26.7</v>
      </c>
      <c r="J1488" s="14">
        <v>26.7</v>
      </c>
      <c r="K1488" s="14">
        <v>26.7</v>
      </c>
      <c r="L1488" s="14">
        <v>26.7</v>
      </c>
      <c r="M1488" s="14">
        <v>24</v>
      </c>
      <c r="N1488" s="14">
        <v>24</v>
      </c>
      <c r="O1488" s="14">
        <v>24</v>
      </c>
      <c r="P1488" s="14">
        <v>24</v>
      </c>
      <c r="Q1488" s="14">
        <v>24</v>
      </c>
      <c r="R1488" s="14">
        <v>24</v>
      </c>
      <c r="S1488" s="14">
        <v>24</v>
      </c>
      <c r="T1488" s="14">
        <v>24</v>
      </c>
      <c r="U1488" s="14">
        <v>24</v>
      </c>
      <c r="V1488" s="14">
        <v>24</v>
      </c>
      <c r="W1488" s="14">
        <v>24</v>
      </c>
      <c r="X1488" s="14">
        <v>24</v>
      </c>
      <c r="Y1488" s="14">
        <v>26.7</v>
      </c>
      <c r="Z1488" s="14">
        <v>26.7</v>
      </c>
      <c r="AA1488" s="14">
        <v>26.7</v>
      </c>
      <c r="AB1488" s="14">
        <v>26.7</v>
      </c>
      <c r="AC1488" s="14">
        <v>26.7</v>
      </c>
      <c r="AD1488" s="14">
        <v>26.7</v>
      </c>
      <c r="AE1488" s="14">
        <v>26.7</v>
      </c>
      <c r="AF1488" s="14" t="s">
        <v>413</v>
      </c>
    </row>
    <row r="1489" spans="1:32" ht="14.25" customHeight="1" x14ac:dyDescent="0.35">
      <c r="A1489" s="14" t="s">
        <v>1190</v>
      </c>
      <c r="B1489" s="14" t="s">
        <v>420</v>
      </c>
      <c r="C1489" s="14" t="s">
        <v>414</v>
      </c>
      <c r="D1489" s="14" t="s">
        <v>419</v>
      </c>
      <c r="E1489" s="15">
        <v>41640</v>
      </c>
      <c r="F1489" s="15">
        <v>42004</v>
      </c>
      <c r="G1489" s="14" t="s">
        <v>415</v>
      </c>
      <c r="H1489" s="14">
        <v>26.7</v>
      </c>
      <c r="I1489" s="14">
        <v>26.7</v>
      </c>
      <c r="J1489" s="14">
        <v>26.7</v>
      </c>
      <c r="K1489" s="14">
        <v>26.7</v>
      </c>
      <c r="L1489" s="14">
        <v>26.7</v>
      </c>
      <c r="M1489" s="14">
        <v>25.7</v>
      </c>
      <c r="N1489" s="14">
        <v>25</v>
      </c>
      <c r="O1489" s="14">
        <v>24</v>
      </c>
      <c r="P1489" s="14">
        <v>24</v>
      </c>
      <c r="Q1489" s="14">
        <v>24</v>
      </c>
      <c r="R1489" s="14">
        <v>24</v>
      </c>
      <c r="S1489" s="14">
        <v>24</v>
      </c>
      <c r="T1489" s="14">
        <v>24</v>
      </c>
      <c r="U1489" s="14">
        <v>24</v>
      </c>
      <c r="V1489" s="14">
        <v>24</v>
      </c>
      <c r="W1489" s="14">
        <v>24</v>
      </c>
      <c r="X1489" s="14">
        <v>24</v>
      </c>
      <c r="Y1489" s="14">
        <v>24</v>
      </c>
      <c r="Z1489" s="14">
        <v>24</v>
      </c>
      <c r="AA1489" s="14">
        <v>24</v>
      </c>
      <c r="AB1489" s="14">
        <v>24</v>
      </c>
      <c r="AC1489" s="14">
        <v>24</v>
      </c>
      <c r="AD1489" s="14">
        <v>26.7</v>
      </c>
      <c r="AE1489" s="14">
        <v>26.7</v>
      </c>
      <c r="AF1489" s="14" t="s">
        <v>413</v>
      </c>
    </row>
    <row r="1490" spans="1:32" ht="14.25" customHeight="1" x14ac:dyDescent="0.35">
      <c r="A1490" s="14" t="s">
        <v>1190</v>
      </c>
      <c r="B1490" s="14" t="s">
        <v>420</v>
      </c>
      <c r="C1490" s="14" t="s">
        <v>414</v>
      </c>
      <c r="D1490" s="14" t="s">
        <v>429</v>
      </c>
      <c r="E1490" s="15">
        <v>41640</v>
      </c>
      <c r="F1490" s="15">
        <v>42004</v>
      </c>
      <c r="G1490" s="14" t="s">
        <v>415</v>
      </c>
      <c r="H1490" s="14">
        <v>26.7</v>
      </c>
      <c r="I1490" s="14">
        <v>26.7</v>
      </c>
      <c r="J1490" s="14">
        <v>26.7</v>
      </c>
      <c r="K1490" s="14">
        <v>26.7</v>
      </c>
      <c r="L1490" s="14">
        <v>26.7</v>
      </c>
      <c r="M1490" s="14">
        <v>24</v>
      </c>
      <c r="N1490" s="14">
        <v>24</v>
      </c>
      <c r="O1490" s="14">
        <v>24</v>
      </c>
      <c r="P1490" s="14">
        <v>24</v>
      </c>
      <c r="Q1490" s="14">
        <v>24</v>
      </c>
      <c r="R1490" s="14">
        <v>24</v>
      </c>
      <c r="S1490" s="14">
        <v>24</v>
      </c>
      <c r="T1490" s="14">
        <v>24</v>
      </c>
      <c r="U1490" s="14">
        <v>24</v>
      </c>
      <c r="V1490" s="14">
        <v>24</v>
      </c>
      <c r="W1490" s="14">
        <v>24</v>
      </c>
      <c r="X1490" s="14">
        <v>24</v>
      </c>
      <c r="Y1490" s="14">
        <v>24</v>
      </c>
      <c r="Z1490" s="14">
        <v>24</v>
      </c>
      <c r="AA1490" s="14">
        <v>24</v>
      </c>
      <c r="AB1490" s="14">
        <v>24</v>
      </c>
      <c r="AC1490" s="14">
        <v>24</v>
      </c>
      <c r="AD1490" s="14">
        <v>26.7</v>
      </c>
      <c r="AE1490" s="14">
        <v>26.7</v>
      </c>
      <c r="AF1490" s="14" t="s">
        <v>413</v>
      </c>
    </row>
    <row r="1491" spans="1:32" ht="14.25" customHeight="1" x14ac:dyDescent="0.35">
      <c r="A1491" s="14" t="s">
        <v>1191</v>
      </c>
      <c r="B1491" s="14" t="s">
        <v>420</v>
      </c>
      <c r="C1491" s="14" t="s">
        <v>414</v>
      </c>
      <c r="D1491" s="14" t="s">
        <v>1117</v>
      </c>
      <c r="E1491" s="15">
        <v>41640</v>
      </c>
      <c r="F1491" s="15">
        <v>42004</v>
      </c>
      <c r="G1491" s="14" t="s">
        <v>410</v>
      </c>
      <c r="H1491" s="14">
        <v>24</v>
      </c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 t="s">
        <v>413</v>
      </c>
    </row>
    <row r="1492" spans="1:32" ht="14.25" customHeight="1" x14ac:dyDescent="0.35">
      <c r="A1492" s="14" t="s">
        <v>1191</v>
      </c>
      <c r="B1492" s="14" t="s">
        <v>420</v>
      </c>
      <c r="C1492" s="14" t="s">
        <v>414</v>
      </c>
      <c r="D1492" s="14" t="s">
        <v>419</v>
      </c>
      <c r="E1492" s="15">
        <v>41640</v>
      </c>
      <c r="F1492" s="15">
        <v>42004</v>
      </c>
      <c r="G1492" s="14" t="s">
        <v>415</v>
      </c>
      <c r="H1492" s="14">
        <v>26.7</v>
      </c>
      <c r="I1492" s="14">
        <v>26.7</v>
      </c>
      <c r="J1492" s="14">
        <v>26.7</v>
      </c>
      <c r="K1492" s="14">
        <v>26.7</v>
      </c>
      <c r="L1492" s="14">
        <v>26.7</v>
      </c>
      <c r="M1492" s="14">
        <v>25.7</v>
      </c>
      <c r="N1492" s="14">
        <v>25</v>
      </c>
      <c r="O1492" s="14">
        <v>24</v>
      </c>
      <c r="P1492" s="14">
        <v>24</v>
      </c>
      <c r="Q1492" s="14">
        <v>24</v>
      </c>
      <c r="R1492" s="14">
        <v>24</v>
      </c>
      <c r="S1492" s="14">
        <v>24</v>
      </c>
      <c r="T1492" s="14">
        <v>24</v>
      </c>
      <c r="U1492" s="14">
        <v>24</v>
      </c>
      <c r="V1492" s="14">
        <v>24</v>
      </c>
      <c r="W1492" s="14">
        <v>24</v>
      </c>
      <c r="X1492" s="14">
        <v>24</v>
      </c>
      <c r="Y1492" s="14">
        <v>24</v>
      </c>
      <c r="Z1492" s="14">
        <v>24</v>
      </c>
      <c r="AA1492" s="14">
        <v>24</v>
      </c>
      <c r="AB1492" s="14">
        <v>24</v>
      </c>
      <c r="AC1492" s="14">
        <v>24</v>
      </c>
      <c r="AD1492" s="14">
        <v>26.7</v>
      </c>
      <c r="AE1492" s="14">
        <v>26.7</v>
      </c>
      <c r="AF1492" s="14" t="s">
        <v>413</v>
      </c>
    </row>
    <row r="1493" spans="1:32" ht="14.25" customHeight="1" x14ac:dyDescent="0.35">
      <c r="A1493" s="16" t="s">
        <v>1192</v>
      </c>
      <c r="B1493" s="16" t="s">
        <v>420</v>
      </c>
      <c r="C1493" s="16" t="s">
        <v>414</v>
      </c>
      <c r="D1493" s="16" t="s">
        <v>476</v>
      </c>
      <c r="E1493" s="17">
        <v>41640</v>
      </c>
      <c r="F1493" s="17">
        <v>42004</v>
      </c>
      <c r="G1493" s="16" t="s">
        <v>410</v>
      </c>
      <c r="H1493" s="16">
        <v>26.7</v>
      </c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 t="s">
        <v>413</v>
      </c>
    </row>
    <row r="1494" spans="1:32" ht="14.25" customHeight="1" x14ac:dyDescent="0.35">
      <c r="A1494" s="16" t="s">
        <v>1192</v>
      </c>
      <c r="B1494" s="16" t="s">
        <v>420</v>
      </c>
      <c r="C1494" s="16" t="s">
        <v>414</v>
      </c>
      <c r="D1494" s="16" t="s">
        <v>512</v>
      </c>
      <c r="E1494" s="17">
        <v>41640</v>
      </c>
      <c r="F1494" s="17">
        <v>42004</v>
      </c>
      <c r="G1494" s="16" t="s">
        <v>415</v>
      </c>
      <c r="H1494" s="16">
        <v>26.7</v>
      </c>
      <c r="I1494" s="16">
        <v>26.7</v>
      </c>
      <c r="J1494" s="16">
        <v>26.7</v>
      </c>
      <c r="K1494" s="16">
        <v>26.7</v>
      </c>
      <c r="L1494" s="16">
        <v>26.7</v>
      </c>
      <c r="M1494" s="16">
        <v>24</v>
      </c>
      <c r="N1494" s="16">
        <v>24</v>
      </c>
      <c r="O1494" s="16">
        <v>24</v>
      </c>
      <c r="P1494" s="16">
        <v>24</v>
      </c>
      <c r="Q1494" s="16">
        <v>24</v>
      </c>
      <c r="R1494" s="16">
        <v>24</v>
      </c>
      <c r="S1494" s="16">
        <v>24</v>
      </c>
      <c r="T1494" s="16">
        <v>24</v>
      </c>
      <c r="U1494" s="16">
        <v>24</v>
      </c>
      <c r="V1494" s="16">
        <v>24</v>
      </c>
      <c r="W1494" s="16">
        <v>24</v>
      </c>
      <c r="X1494" s="16">
        <v>24</v>
      </c>
      <c r="Y1494" s="16">
        <v>26.7</v>
      </c>
      <c r="Z1494" s="16">
        <v>26.7</v>
      </c>
      <c r="AA1494" s="16">
        <v>26.7</v>
      </c>
      <c r="AB1494" s="16">
        <v>26.7</v>
      </c>
      <c r="AC1494" s="16">
        <v>26.7</v>
      </c>
      <c r="AD1494" s="16">
        <v>26.7</v>
      </c>
      <c r="AE1494" s="16">
        <v>26.7</v>
      </c>
      <c r="AF1494" s="16" t="s">
        <v>413</v>
      </c>
    </row>
    <row r="1495" spans="1:32" ht="14.25" customHeight="1" x14ac:dyDescent="0.35">
      <c r="A1495" s="16" t="s">
        <v>1192</v>
      </c>
      <c r="B1495" s="16" t="s">
        <v>420</v>
      </c>
      <c r="C1495" s="16" t="s">
        <v>414</v>
      </c>
      <c r="D1495" s="16" t="s">
        <v>419</v>
      </c>
      <c r="E1495" s="17">
        <v>41640</v>
      </c>
      <c r="F1495" s="17">
        <v>42004</v>
      </c>
      <c r="G1495" s="16" t="s">
        <v>415</v>
      </c>
      <c r="H1495" s="16">
        <v>26.7</v>
      </c>
      <c r="I1495" s="16">
        <v>26.7</v>
      </c>
      <c r="J1495" s="16">
        <v>26.7</v>
      </c>
      <c r="K1495" s="16">
        <v>26.7</v>
      </c>
      <c r="L1495" s="16">
        <v>26.7</v>
      </c>
      <c r="M1495" s="16">
        <v>25.7</v>
      </c>
      <c r="N1495" s="16">
        <v>25</v>
      </c>
      <c r="O1495" s="16">
        <v>24</v>
      </c>
      <c r="P1495" s="16">
        <v>24</v>
      </c>
      <c r="Q1495" s="16">
        <v>24</v>
      </c>
      <c r="R1495" s="16">
        <v>24</v>
      </c>
      <c r="S1495" s="16">
        <v>24</v>
      </c>
      <c r="T1495" s="16">
        <v>24</v>
      </c>
      <c r="U1495" s="16">
        <v>24</v>
      </c>
      <c r="V1495" s="16">
        <v>24</v>
      </c>
      <c r="W1495" s="16">
        <v>24</v>
      </c>
      <c r="X1495" s="16">
        <v>24</v>
      </c>
      <c r="Y1495" s="16">
        <v>24</v>
      </c>
      <c r="Z1495" s="16">
        <v>24</v>
      </c>
      <c r="AA1495" s="16">
        <v>24</v>
      </c>
      <c r="AB1495" s="16">
        <v>24</v>
      </c>
      <c r="AC1495" s="16">
        <v>24</v>
      </c>
      <c r="AD1495" s="16">
        <v>26.7</v>
      </c>
      <c r="AE1495" s="16">
        <v>26.7</v>
      </c>
      <c r="AF1495" s="16" t="s">
        <v>413</v>
      </c>
    </row>
    <row r="1496" spans="1:32" ht="14.25" customHeight="1" x14ac:dyDescent="0.35">
      <c r="A1496" s="16" t="s">
        <v>1192</v>
      </c>
      <c r="B1496" s="16" t="s">
        <v>420</v>
      </c>
      <c r="C1496" s="16" t="s">
        <v>414</v>
      </c>
      <c r="D1496" s="16" t="s">
        <v>429</v>
      </c>
      <c r="E1496" s="17">
        <v>41640</v>
      </c>
      <c r="F1496" s="17">
        <v>42004</v>
      </c>
      <c r="G1496" s="16" t="s">
        <v>415</v>
      </c>
      <c r="H1496" s="16">
        <v>26.7</v>
      </c>
      <c r="I1496" s="16">
        <v>26.7</v>
      </c>
      <c r="J1496" s="16">
        <v>26.7</v>
      </c>
      <c r="K1496" s="16">
        <v>26.7</v>
      </c>
      <c r="L1496" s="16">
        <v>26.7</v>
      </c>
      <c r="M1496" s="16">
        <v>24</v>
      </c>
      <c r="N1496" s="16">
        <v>24</v>
      </c>
      <c r="O1496" s="16">
        <v>24</v>
      </c>
      <c r="P1496" s="16">
        <v>24</v>
      </c>
      <c r="Q1496" s="16">
        <v>24</v>
      </c>
      <c r="R1496" s="16">
        <v>24</v>
      </c>
      <c r="S1496" s="16">
        <v>24</v>
      </c>
      <c r="T1496" s="16">
        <v>24</v>
      </c>
      <c r="U1496" s="16">
        <v>24</v>
      </c>
      <c r="V1496" s="16">
        <v>24</v>
      </c>
      <c r="W1496" s="16">
        <v>24</v>
      </c>
      <c r="X1496" s="16">
        <v>24</v>
      </c>
      <c r="Y1496" s="16">
        <v>24</v>
      </c>
      <c r="Z1496" s="16">
        <v>24</v>
      </c>
      <c r="AA1496" s="16">
        <v>24</v>
      </c>
      <c r="AB1496" s="16">
        <v>24</v>
      </c>
      <c r="AC1496" s="16">
        <v>24</v>
      </c>
      <c r="AD1496" s="16">
        <v>26.7</v>
      </c>
      <c r="AE1496" s="16">
        <v>26.7</v>
      </c>
      <c r="AF1496" s="16" t="s">
        <v>413</v>
      </c>
    </row>
    <row r="1497" spans="1:32" ht="14.25" customHeight="1" x14ac:dyDescent="0.35">
      <c r="A1497" s="14" t="s">
        <v>1193</v>
      </c>
      <c r="B1497" s="14" t="s">
        <v>420</v>
      </c>
      <c r="C1497" s="14" t="s">
        <v>414</v>
      </c>
      <c r="D1497" s="14" t="s">
        <v>476</v>
      </c>
      <c r="E1497" s="15">
        <v>41640</v>
      </c>
      <c r="F1497" s="15">
        <v>42004</v>
      </c>
      <c r="G1497" s="14" t="s">
        <v>410</v>
      </c>
      <c r="H1497" s="14">
        <v>26.7</v>
      </c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 t="s">
        <v>413</v>
      </c>
    </row>
    <row r="1498" spans="1:32" ht="14.25" customHeight="1" x14ac:dyDescent="0.35">
      <c r="A1498" s="14" t="s">
        <v>1193</v>
      </c>
      <c r="B1498" s="14" t="s">
        <v>420</v>
      </c>
      <c r="C1498" s="14" t="s">
        <v>414</v>
      </c>
      <c r="D1498" s="14" t="s">
        <v>512</v>
      </c>
      <c r="E1498" s="15">
        <v>41640</v>
      </c>
      <c r="F1498" s="15">
        <v>42004</v>
      </c>
      <c r="G1498" s="14" t="s">
        <v>415</v>
      </c>
      <c r="H1498" s="14">
        <v>26.7</v>
      </c>
      <c r="I1498" s="14">
        <v>26.7</v>
      </c>
      <c r="J1498" s="14">
        <v>26.7</v>
      </c>
      <c r="K1498" s="14">
        <v>26.7</v>
      </c>
      <c r="L1498" s="14">
        <v>26.7</v>
      </c>
      <c r="M1498" s="14">
        <v>24</v>
      </c>
      <c r="N1498" s="14">
        <v>24</v>
      </c>
      <c r="O1498" s="14">
        <v>24</v>
      </c>
      <c r="P1498" s="14">
        <v>24</v>
      </c>
      <c r="Q1498" s="14">
        <v>24</v>
      </c>
      <c r="R1498" s="14">
        <v>24</v>
      </c>
      <c r="S1498" s="14">
        <v>24</v>
      </c>
      <c r="T1498" s="14">
        <v>24</v>
      </c>
      <c r="U1498" s="14">
        <v>24</v>
      </c>
      <c r="V1498" s="14">
        <v>24</v>
      </c>
      <c r="W1498" s="14">
        <v>24</v>
      </c>
      <c r="X1498" s="14">
        <v>24</v>
      </c>
      <c r="Y1498" s="14">
        <v>26.7</v>
      </c>
      <c r="Z1498" s="14">
        <v>26.7</v>
      </c>
      <c r="AA1498" s="14">
        <v>26.7</v>
      </c>
      <c r="AB1498" s="14">
        <v>26.7</v>
      </c>
      <c r="AC1498" s="14">
        <v>26.7</v>
      </c>
      <c r="AD1498" s="14">
        <v>26.7</v>
      </c>
      <c r="AE1498" s="14">
        <v>26.7</v>
      </c>
      <c r="AF1498" s="14" t="s">
        <v>413</v>
      </c>
    </row>
    <row r="1499" spans="1:32" ht="14.25" customHeight="1" x14ac:dyDescent="0.35">
      <c r="A1499" s="14" t="s">
        <v>1193</v>
      </c>
      <c r="B1499" s="14" t="s">
        <v>420</v>
      </c>
      <c r="C1499" s="14" t="s">
        <v>414</v>
      </c>
      <c r="D1499" s="14" t="s">
        <v>419</v>
      </c>
      <c r="E1499" s="15">
        <v>41640</v>
      </c>
      <c r="F1499" s="15">
        <v>42004</v>
      </c>
      <c r="G1499" s="14" t="s">
        <v>415</v>
      </c>
      <c r="H1499" s="14">
        <v>26.7</v>
      </c>
      <c r="I1499" s="14">
        <v>26.7</v>
      </c>
      <c r="J1499" s="14">
        <v>26.7</v>
      </c>
      <c r="K1499" s="14">
        <v>26.7</v>
      </c>
      <c r="L1499" s="14">
        <v>26.7</v>
      </c>
      <c r="M1499" s="14">
        <v>25.7</v>
      </c>
      <c r="N1499" s="14">
        <v>25</v>
      </c>
      <c r="O1499" s="14">
        <v>24</v>
      </c>
      <c r="P1499" s="14">
        <v>24</v>
      </c>
      <c r="Q1499" s="14">
        <v>24</v>
      </c>
      <c r="R1499" s="14">
        <v>24</v>
      </c>
      <c r="S1499" s="14">
        <v>24</v>
      </c>
      <c r="T1499" s="14">
        <v>24</v>
      </c>
      <c r="U1499" s="14">
        <v>24</v>
      </c>
      <c r="V1499" s="14">
        <v>24</v>
      </c>
      <c r="W1499" s="14">
        <v>24</v>
      </c>
      <c r="X1499" s="14">
        <v>24</v>
      </c>
      <c r="Y1499" s="14">
        <v>24</v>
      </c>
      <c r="Z1499" s="14">
        <v>24</v>
      </c>
      <c r="AA1499" s="14">
        <v>24</v>
      </c>
      <c r="AB1499" s="14">
        <v>24</v>
      </c>
      <c r="AC1499" s="14">
        <v>24</v>
      </c>
      <c r="AD1499" s="14">
        <v>26.7</v>
      </c>
      <c r="AE1499" s="14">
        <v>26.7</v>
      </c>
      <c r="AF1499" s="14" t="s">
        <v>413</v>
      </c>
    </row>
    <row r="1500" spans="1:32" ht="14.25" customHeight="1" x14ac:dyDescent="0.35">
      <c r="A1500" s="14" t="s">
        <v>1193</v>
      </c>
      <c r="B1500" s="14" t="s">
        <v>420</v>
      </c>
      <c r="C1500" s="14" t="s">
        <v>414</v>
      </c>
      <c r="D1500" s="14" t="s">
        <v>429</v>
      </c>
      <c r="E1500" s="15">
        <v>41640</v>
      </c>
      <c r="F1500" s="15">
        <v>42004</v>
      </c>
      <c r="G1500" s="14" t="s">
        <v>415</v>
      </c>
      <c r="H1500" s="14">
        <v>26.7</v>
      </c>
      <c r="I1500" s="14">
        <v>26.7</v>
      </c>
      <c r="J1500" s="14">
        <v>26.7</v>
      </c>
      <c r="K1500" s="14">
        <v>26.7</v>
      </c>
      <c r="L1500" s="14">
        <v>26.7</v>
      </c>
      <c r="M1500" s="14">
        <v>24</v>
      </c>
      <c r="N1500" s="14">
        <v>24</v>
      </c>
      <c r="O1500" s="14">
        <v>24</v>
      </c>
      <c r="P1500" s="14">
        <v>24</v>
      </c>
      <c r="Q1500" s="14">
        <v>24</v>
      </c>
      <c r="R1500" s="14">
        <v>24</v>
      </c>
      <c r="S1500" s="14">
        <v>24</v>
      </c>
      <c r="T1500" s="14">
        <v>24</v>
      </c>
      <c r="U1500" s="14">
        <v>24</v>
      </c>
      <c r="V1500" s="14">
        <v>24</v>
      </c>
      <c r="W1500" s="14">
        <v>24</v>
      </c>
      <c r="X1500" s="14">
        <v>24</v>
      </c>
      <c r="Y1500" s="14">
        <v>24</v>
      </c>
      <c r="Z1500" s="14">
        <v>24</v>
      </c>
      <c r="AA1500" s="14">
        <v>24</v>
      </c>
      <c r="AB1500" s="14">
        <v>24</v>
      </c>
      <c r="AC1500" s="14">
        <v>24</v>
      </c>
      <c r="AD1500" s="14">
        <v>26.7</v>
      </c>
      <c r="AE1500" s="14">
        <v>26.7</v>
      </c>
      <c r="AF1500" s="14" t="s">
        <v>413</v>
      </c>
    </row>
    <row r="1501" spans="1:32" ht="14.25" customHeight="1" x14ac:dyDescent="0.35">
      <c r="A1501" s="16" t="s">
        <v>1194</v>
      </c>
      <c r="B1501" s="16" t="s">
        <v>420</v>
      </c>
      <c r="C1501" s="16" t="s">
        <v>414</v>
      </c>
      <c r="D1501" s="16" t="s">
        <v>476</v>
      </c>
      <c r="E1501" s="17">
        <v>41640</v>
      </c>
      <c r="F1501" s="17">
        <v>42004</v>
      </c>
      <c r="G1501" s="16" t="s">
        <v>410</v>
      </c>
      <c r="H1501" s="16">
        <v>26.7</v>
      </c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 t="s">
        <v>413</v>
      </c>
    </row>
    <row r="1502" spans="1:32" ht="14.25" customHeight="1" x14ac:dyDescent="0.35">
      <c r="A1502" s="16" t="s">
        <v>1194</v>
      </c>
      <c r="B1502" s="16" t="s">
        <v>420</v>
      </c>
      <c r="C1502" s="16" t="s">
        <v>414</v>
      </c>
      <c r="D1502" s="16" t="s">
        <v>512</v>
      </c>
      <c r="E1502" s="17">
        <v>41640</v>
      </c>
      <c r="F1502" s="17">
        <v>42004</v>
      </c>
      <c r="G1502" s="16" t="s">
        <v>415</v>
      </c>
      <c r="H1502" s="16">
        <v>26.7</v>
      </c>
      <c r="I1502" s="16">
        <v>26.7</v>
      </c>
      <c r="J1502" s="16">
        <v>26.7</v>
      </c>
      <c r="K1502" s="16">
        <v>26.7</v>
      </c>
      <c r="L1502" s="16">
        <v>26.7</v>
      </c>
      <c r="M1502" s="16">
        <v>24</v>
      </c>
      <c r="N1502" s="16">
        <v>24</v>
      </c>
      <c r="O1502" s="16">
        <v>24</v>
      </c>
      <c r="P1502" s="16">
        <v>24</v>
      </c>
      <c r="Q1502" s="16">
        <v>24</v>
      </c>
      <c r="R1502" s="16">
        <v>24</v>
      </c>
      <c r="S1502" s="16">
        <v>24</v>
      </c>
      <c r="T1502" s="16">
        <v>24</v>
      </c>
      <c r="U1502" s="16">
        <v>24</v>
      </c>
      <c r="V1502" s="16">
        <v>24</v>
      </c>
      <c r="W1502" s="16">
        <v>24</v>
      </c>
      <c r="X1502" s="16">
        <v>24</v>
      </c>
      <c r="Y1502" s="16">
        <v>26.7</v>
      </c>
      <c r="Z1502" s="16">
        <v>26.7</v>
      </c>
      <c r="AA1502" s="16">
        <v>26.7</v>
      </c>
      <c r="AB1502" s="16">
        <v>26.7</v>
      </c>
      <c r="AC1502" s="16">
        <v>26.7</v>
      </c>
      <c r="AD1502" s="16">
        <v>26.7</v>
      </c>
      <c r="AE1502" s="16">
        <v>26.7</v>
      </c>
      <c r="AF1502" s="16" t="s">
        <v>413</v>
      </c>
    </row>
    <row r="1503" spans="1:32" ht="14.25" customHeight="1" x14ac:dyDescent="0.35">
      <c r="A1503" s="16" t="s">
        <v>1194</v>
      </c>
      <c r="B1503" s="16" t="s">
        <v>420</v>
      </c>
      <c r="C1503" s="16" t="s">
        <v>414</v>
      </c>
      <c r="D1503" s="16" t="s">
        <v>419</v>
      </c>
      <c r="E1503" s="17">
        <v>41640</v>
      </c>
      <c r="F1503" s="17">
        <v>42004</v>
      </c>
      <c r="G1503" s="16" t="s">
        <v>415</v>
      </c>
      <c r="H1503" s="16">
        <v>26.7</v>
      </c>
      <c r="I1503" s="16">
        <v>26.7</v>
      </c>
      <c r="J1503" s="16">
        <v>26.7</v>
      </c>
      <c r="K1503" s="16">
        <v>26.7</v>
      </c>
      <c r="L1503" s="16">
        <v>26.7</v>
      </c>
      <c r="M1503" s="16">
        <v>25.7</v>
      </c>
      <c r="N1503" s="16">
        <v>25</v>
      </c>
      <c r="O1503" s="16">
        <v>24</v>
      </c>
      <c r="P1503" s="16">
        <v>24</v>
      </c>
      <c r="Q1503" s="16">
        <v>24</v>
      </c>
      <c r="R1503" s="16">
        <v>24</v>
      </c>
      <c r="S1503" s="16">
        <v>24</v>
      </c>
      <c r="T1503" s="16">
        <v>24</v>
      </c>
      <c r="U1503" s="16">
        <v>24</v>
      </c>
      <c r="V1503" s="16">
        <v>24</v>
      </c>
      <c r="W1503" s="16">
        <v>24</v>
      </c>
      <c r="X1503" s="16">
        <v>24</v>
      </c>
      <c r="Y1503" s="16">
        <v>24</v>
      </c>
      <c r="Z1503" s="16">
        <v>24</v>
      </c>
      <c r="AA1503" s="16">
        <v>24</v>
      </c>
      <c r="AB1503" s="16">
        <v>24</v>
      </c>
      <c r="AC1503" s="16">
        <v>24</v>
      </c>
      <c r="AD1503" s="16">
        <v>26.7</v>
      </c>
      <c r="AE1503" s="16">
        <v>26.7</v>
      </c>
      <c r="AF1503" s="16" t="s">
        <v>413</v>
      </c>
    </row>
    <row r="1504" spans="1:32" ht="14.25" customHeight="1" x14ac:dyDescent="0.35">
      <c r="A1504" s="16" t="s">
        <v>1194</v>
      </c>
      <c r="B1504" s="16" t="s">
        <v>420</v>
      </c>
      <c r="C1504" s="16" t="s">
        <v>414</v>
      </c>
      <c r="D1504" s="16" t="s">
        <v>429</v>
      </c>
      <c r="E1504" s="17">
        <v>41640</v>
      </c>
      <c r="F1504" s="17">
        <v>42004</v>
      </c>
      <c r="G1504" s="16" t="s">
        <v>415</v>
      </c>
      <c r="H1504" s="16">
        <v>26.7</v>
      </c>
      <c r="I1504" s="16">
        <v>26.7</v>
      </c>
      <c r="J1504" s="16">
        <v>26.7</v>
      </c>
      <c r="K1504" s="16">
        <v>26.7</v>
      </c>
      <c r="L1504" s="16">
        <v>26.7</v>
      </c>
      <c r="M1504" s="16">
        <v>24</v>
      </c>
      <c r="N1504" s="16">
        <v>24</v>
      </c>
      <c r="O1504" s="16">
        <v>24</v>
      </c>
      <c r="P1504" s="16">
        <v>24</v>
      </c>
      <c r="Q1504" s="16">
        <v>24</v>
      </c>
      <c r="R1504" s="16">
        <v>24</v>
      </c>
      <c r="S1504" s="16">
        <v>24</v>
      </c>
      <c r="T1504" s="16">
        <v>24</v>
      </c>
      <c r="U1504" s="16">
        <v>24</v>
      </c>
      <c r="V1504" s="16">
        <v>24</v>
      </c>
      <c r="W1504" s="16">
        <v>24</v>
      </c>
      <c r="X1504" s="16">
        <v>24</v>
      </c>
      <c r="Y1504" s="16">
        <v>24</v>
      </c>
      <c r="Z1504" s="16">
        <v>24</v>
      </c>
      <c r="AA1504" s="16">
        <v>24</v>
      </c>
      <c r="AB1504" s="16">
        <v>24</v>
      </c>
      <c r="AC1504" s="16">
        <v>24</v>
      </c>
      <c r="AD1504" s="16">
        <v>26.7</v>
      </c>
      <c r="AE1504" s="16">
        <v>26.7</v>
      </c>
      <c r="AF1504" s="16" t="s">
        <v>413</v>
      </c>
    </row>
    <row r="1505" spans="1:32" ht="14.25" customHeight="1" x14ac:dyDescent="0.35">
      <c r="A1505" s="14" t="s">
        <v>1195</v>
      </c>
      <c r="B1505" s="14" t="s">
        <v>420</v>
      </c>
      <c r="C1505" s="14" t="s">
        <v>414</v>
      </c>
      <c r="D1505" s="14" t="s">
        <v>476</v>
      </c>
      <c r="E1505" s="15">
        <v>41640</v>
      </c>
      <c r="F1505" s="15">
        <v>42004</v>
      </c>
      <c r="G1505" s="14" t="s">
        <v>410</v>
      </c>
      <c r="H1505" s="14">
        <v>26.7</v>
      </c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 t="s">
        <v>413</v>
      </c>
    </row>
    <row r="1506" spans="1:32" ht="14.25" customHeight="1" x14ac:dyDescent="0.35">
      <c r="A1506" s="14" t="s">
        <v>1195</v>
      </c>
      <c r="B1506" s="14" t="s">
        <v>420</v>
      </c>
      <c r="C1506" s="14" t="s">
        <v>414</v>
      </c>
      <c r="D1506" s="14" t="s">
        <v>512</v>
      </c>
      <c r="E1506" s="15">
        <v>41640</v>
      </c>
      <c r="F1506" s="15">
        <v>42004</v>
      </c>
      <c r="G1506" s="14" t="s">
        <v>415</v>
      </c>
      <c r="H1506" s="14">
        <v>26.7</v>
      </c>
      <c r="I1506" s="14">
        <v>26.7</v>
      </c>
      <c r="J1506" s="14">
        <v>26.7</v>
      </c>
      <c r="K1506" s="14">
        <v>26.7</v>
      </c>
      <c r="L1506" s="14">
        <v>26.7</v>
      </c>
      <c r="M1506" s="14">
        <v>25.7</v>
      </c>
      <c r="N1506" s="14">
        <v>25</v>
      </c>
      <c r="O1506" s="14">
        <v>24</v>
      </c>
      <c r="P1506" s="14">
        <v>24</v>
      </c>
      <c r="Q1506" s="14">
        <v>24</v>
      </c>
      <c r="R1506" s="14">
        <v>24</v>
      </c>
      <c r="S1506" s="14">
        <v>24</v>
      </c>
      <c r="T1506" s="14">
        <v>24</v>
      </c>
      <c r="U1506" s="14">
        <v>24</v>
      </c>
      <c r="V1506" s="14">
        <v>24</v>
      </c>
      <c r="W1506" s="14">
        <v>24</v>
      </c>
      <c r="X1506" s="14">
        <v>24</v>
      </c>
      <c r="Y1506" s="14">
        <v>26.7</v>
      </c>
      <c r="Z1506" s="14">
        <v>26.7</v>
      </c>
      <c r="AA1506" s="14">
        <v>26.7</v>
      </c>
      <c r="AB1506" s="14">
        <v>26.7</v>
      </c>
      <c r="AC1506" s="14">
        <v>26.7</v>
      </c>
      <c r="AD1506" s="14">
        <v>26.7</v>
      </c>
      <c r="AE1506" s="14">
        <v>26.7</v>
      </c>
      <c r="AF1506" s="14" t="s">
        <v>413</v>
      </c>
    </row>
    <row r="1507" spans="1:32" ht="14.25" customHeight="1" x14ac:dyDescent="0.35">
      <c r="A1507" s="14" t="s">
        <v>1195</v>
      </c>
      <c r="B1507" s="14" t="s">
        <v>420</v>
      </c>
      <c r="C1507" s="14" t="s">
        <v>414</v>
      </c>
      <c r="D1507" s="14" t="s">
        <v>419</v>
      </c>
      <c r="E1507" s="15">
        <v>41640</v>
      </c>
      <c r="F1507" s="15">
        <v>42004</v>
      </c>
      <c r="G1507" s="14" t="s">
        <v>415</v>
      </c>
      <c r="H1507" s="14">
        <v>26.7</v>
      </c>
      <c r="I1507" s="14">
        <v>26.7</v>
      </c>
      <c r="J1507" s="14">
        <v>26.7</v>
      </c>
      <c r="K1507" s="14">
        <v>26.7</v>
      </c>
      <c r="L1507" s="14">
        <v>26.7</v>
      </c>
      <c r="M1507" s="14">
        <v>25.7</v>
      </c>
      <c r="N1507" s="14">
        <v>25</v>
      </c>
      <c r="O1507" s="14">
        <v>24</v>
      </c>
      <c r="P1507" s="14">
        <v>24</v>
      </c>
      <c r="Q1507" s="14">
        <v>24</v>
      </c>
      <c r="R1507" s="14">
        <v>24</v>
      </c>
      <c r="S1507" s="14">
        <v>24</v>
      </c>
      <c r="T1507" s="14">
        <v>24</v>
      </c>
      <c r="U1507" s="14">
        <v>24</v>
      </c>
      <c r="V1507" s="14">
        <v>24</v>
      </c>
      <c r="W1507" s="14">
        <v>24</v>
      </c>
      <c r="X1507" s="14">
        <v>24</v>
      </c>
      <c r="Y1507" s="14">
        <v>24</v>
      </c>
      <c r="Z1507" s="14">
        <v>24</v>
      </c>
      <c r="AA1507" s="14">
        <v>24</v>
      </c>
      <c r="AB1507" s="14">
        <v>24</v>
      </c>
      <c r="AC1507" s="14">
        <v>24</v>
      </c>
      <c r="AD1507" s="14">
        <v>26.7</v>
      </c>
      <c r="AE1507" s="14">
        <v>26.7</v>
      </c>
      <c r="AF1507" s="14" t="s">
        <v>413</v>
      </c>
    </row>
    <row r="1508" spans="1:32" ht="14.25" customHeight="1" x14ac:dyDescent="0.35">
      <c r="A1508" s="14" t="s">
        <v>1195</v>
      </c>
      <c r="B1508" s="14" t="s">
        <v>420</v>
      </c>
      <c r="C1508" s="14" t="s">
        <v>414</v>
      </c>
      <c r="D1508" s="14" t="s">
        <v>429</v>
      </c>
      <c r="E1508" s="15">
        <v>41640</v>
      </c>
      <c r="F1508" s="15">
        <v>42004</v>
      </c>
      <c r="G1508" s="14" t="s">
        <v>415</v>
      </c>
      <c r="H1508" s="14">
        <v>26.7</v>
      </c>
      <c r="I1508" s="14">
        <v>26.7</v>
      </c>
      <c r="J1508" s="14">
        <v>26.7</v>
      </c>
      <c r="K1508" s="14">
        <v>26.7</v>
      </c>
      <c r="L1508" s="14">
        <v>26.7</v>
      </c>
      <c r="M1508" s="14">
        <v>25.6</v>
      </c>
      <c r="N1508" s="14">
        <v>25</v>
      </c>
      <c r="O1508" s="14">
        <v>24</v>
      </c>
      <c r="P1508" s="14">
        <v>24</v>
      </c>
      <c r="Q1508" s="14">
        <v>24</v>
      </c>
      <c r="R1508" s="14">
        <v>24</v>
      </c>
      <c r="S1508" s="14">
        <v>24</v>
      </c>
      <c r="T1508" s="14">
        <v>24</v>
      </c>
      <c r="U1508" s="14">
        <v>24</v>
      </c>
      <c r="V1508" s="14">
        <v>24</v>
      </c>
      <c r="W1508" s="14">
        <v>24</v>
      </c>
      <c r="X1508" s="14">
        <v>24</v>
      </c>
      <c r="Y1508" s="14">
        <v>24</v>
      </c>
      <c r="Z1508" s="14">
        <v>24</v>
      </c>
      <c r="AA1508" s="14">
        <v>24</v>
      </c>
      <c r="AB1508" s="14">
        <v>24</v>
      </c>
      <c r="AC1508" s="14">
        <v>24</v>
      </c>
      <c r="AD1508" s="14">
        <v>26.7</v>
      </c>
      <c r="AE1508" s="14">
        <v>26.7</v>
      </c>
      <c r="AF1508" s="14" t="s">
        <v>413</v>
      </c>
    </row>
    <row r="1509" spans="1:32" ht="14.25" customHeight="1" x14ac:dyDescent="0.35">
      <c r="A1509" s="16" t="s">
        <v>1196</v>
      </c>
      <c r="B1509" s="16" t="s">
        <v>420</v>
      </c>
      <c r="C1509" s="16" t="s">
        <v>414</v>
      </c>
      <c r="D1509" s="16" t="s">
        <v>476</v>
      </c>
      <c r="E1509" s="17">
        <v>41640</v>
      </c>
      <c r="F1509" s="17">
        <v>42004</v>
      </c>
      <c r="G1509" s="16" t="s">
        <v>410</v>
      </c>
      <c r="H1509" s="16">
        <v>26.7</v>
      </c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 t="s">
        <v>413</v>
      </c>
    </row>
    <row r="1510" spans="1:32" ht="14.25" customHeight="1" x14ac:dyDescent="0.35">
      <c r="A1510" s="16" t="s">
        <v>1196</v>
      </c>
      <c r="B1510" s="16" t="s">
        <v>420</v>
      </c>
      <c r="C1510" s="16" t="s">
        <v>414</v>
      </c>
      <c r="D1510" s="16" t="s">
        <v>512</v>
      </c>
      <c r="E1510" s="17">
        <v>41640</v>
      </c>
      <c r="F1510" s="17">
        <v>42004</v>
      </c>
      <c r="G1510" s="16" t="s">
        <v>415</v>
      </c>
      <c r="H1510" s="16">
        <v>26.7</v>
      </c>
      <c r="I1510" s="16">
        <v>26.7</v>
      </c>
      <c r="J1510" s="16">
        <v>26.7</v>
      </c>
      <c r="K1510" s="16">
        <v>26.7</v>
      </c>
      <c r="L1510" s="16">
        <v>26.7</v>
      </c>
      <c r="M1510" s="16">
        <v>25.7</v>
      </c>
      <c r="N1510" s="16">
        <v>25</v>
      </c>
      <c r="O1510" s="16">
        <v>24</v>
      </c>
      <c r="P1510" s="16">
        <v>24</v>
      </c>
      <c r="Q1510" s="16">
        <v>24</v>
      </c>
      <c r="R1510" s="16">
        <v>24</v>
      </c>
      <c r="S1510" s="16">
        <v>24</v>
      </c>
      <c r="T1510" s="16">
        <v>24</v>
      </c>
      <c r="U1510" s="16">
        <v>24</v>
      </c>
      <c r="V1510" s="16">
        <v>24</v>
      </c>
      <c r="W1510" s="16">
        <v>24</v>
      </c>
      <c r="X1510" s="16">
        <v>24</v>
      </c>
      <c r="Y1510" s="16">
        <v>26.7</v>
      </c>
      <c r="Z1510" s="16">
        <v>26.7</v>
      </c>
      <c r="AA1510" s="16">
        <v>26.7</v>
      </c>
      <c r="AB1510" s="16">
        <v>26.7</v>
      </c>
      <c r="AC1510" s="16">
        <v>26.7</v>
      </c>
      <c r="AD1510" s="16">
        <v>26.7</v>
      </c>
      <c r="AE1510" s="16">
        <v>26.7</v>
      </c>
      <c r="AF1510" s="16" t="s">
        <v>413</v>
      </c>
    </row>
    <row r="1511" spans="1:32" ht="14.25" customHeight="1" x14ac:dyDescent="0.35">
      <c r="A1511" s="16" t="s">
        <v>1196</v>
      </c>
      <c r="B1511" s="16" t="s">
        <v>420</v>
      </c>
      <c r="C1511" s="16" t="s">
        <v>414</v>
      </c>
      <c r="D1511" s="16" t="s">
        <v>419</v>
      </c>
      <c r="E1511" s="17">
        <v>41640</v>
      </c>
      <c r="F1511" s="17">
        <v>42004</v>
      </c>
      <c r="G1511" s="16" t="s">
        <v>415</v>
      </c>
      <c r="H1511" s="16">
        <v>26.7</v>
      </c>
      <c r="I1511" s="16">
        <v>26.7</v>
      </c>
      <c r="J1511" s="16">
        <v>26.7</v>
      </c>
      <c r="K1511" s="16">
        <v>26.7</v>
      </c>
      <c r="L1511" s="16">
        <v>26.7</v>
      </c>
      <c r="M1511" s="16">
        <v>25.7</v>
      </c>
      <c r="N1511" s="16">
        <v>25</v>
      </c>
      <c r="O1511" s="16">
        <v>24</v>
      </c>
      <c r="P1511" s="16">
        <v>24</v>
      </c>
      <c r="Q1511" s="16">
        <v>24</v>
      </c>
      <c r="R1511" s="16">
        <v>24</v>
      </c>
      <c r="S1511" s="16">
        <v>24</v>
      </c>
      <c r="T1511" s="16">
        <v>24</v>
      </c>
      <c r="U1511" s="16">
        <v>24</v>
      </c>
      <c r="V1511" s="16">
        <v>24</v>
      </c>
      <c r="W1511" s="16">
        <v>24</v>
      </c>
      <c r="X1511" s="16">
        <v>24</v>
      </c>
      <c r="Y1511" s="16">
        <v>24</v>
      </c>
      <c r="Z1511" s="16">
        <v>24</v>
      </c>
      <c r="AA1511" s="16">
        <v>24</v>
      </c>
      <c r="AB1511" s="16">
        <v>24</v>
      </c>
      <c r="AC1511" s="16">
        <v>24</v>
      </c>
      <c r="AD1511" s="16">
        <v>26.7</v>
      </c>
      <c r="AE1511" s="16">
        <v>26.7</v>
      </c>
      <c r="AF1511" s="16" t="s">
        <v>413</v>
      </c>
    </row>
    <row r="1512" spans="1:32" ht="14.25" customHeight="1" x14ac:dyDescent="0.35">
      <c r="A1512" s="16" t="s">
        <v>1196</v>
      </c>
      <c r="B1512" s="16" t="s">
        <v>420</v>
      </c>
      <c r="C1512" s="16" t="s">
        <v>414</v>
      </c>
      <c r="D1512" s="16" t="s">
        <v>429</v>
      </c>
      <c r="E1512" s="17">
        <v>41640</v>
      </c>
      <c r="F1512" s="17">
        <v>42004</v>
      </c>
      <c r="G1512" s="16" t="s">
        <v>415</v>
      </c>
      <c r="H1512" s="16">
        <v>26.7</v>
      </c>
      <c r="I1512" s="16">
        <v>26.7</v>
      </c>
      <c r="J1512" s="16">
        <v>26.7</v>
      </c>
      <c r="K1512" s="16">
        <v>26.7</v>
      </c>
      <c r="L1512" s="16">
        <v>26.7</v>
      </c>
      <c r="M1512" s="16">
        <v>25.6</v>
      </c>
      <c r="N1512" s="16">
        <v>25</v>
      </c>
      <c r="O1512" s="16">
        <v>24</v>
      </c>
      <c r="P1512" s="16">
        <v>24</v>
      </c>
      <c r="Q1512" s="16">
        <v>24</v>
      </c>
      <c r="R1512" s="16">
        <v>24</v>
      </c>
      <c r="S1512" s="16">
        <v>24</v>
      </c>
      <c r="T1512" s="16">
        <v>24</v>
      </c>
      <c r="U1512" s="16">
        <v>24</v>
      </c>
      <c r="V1512" s="16">
        <v>24</v>
      </c>
      <c r="W1512" s="16">
        <v>24</v>
      </c>
      <c r="X1512" s="16">
        <v>24</v>
      </c>
      <c r="Y1512" s="16">
        <v>24</v>
      </c>
      <c r="Z1512" s="16">
        <v>24</v>
      </c>
      <c r="AA1512" s="16">
        <v>24</v>
      </c>
      <c r="AB1512" s="16">
        <v>24</v>
      </c>
      <c r="AC1512" s="16">
        <v>24</v>
      </c>
      <c r="AD1512" s="16">
        <v>26.7</v>
      </c>
      <c r="AE1512" s="16">
        <v>26.7</v>
      </c>
      <c r="AF1512" s="16" t="s">
        <v>413</v>
      </c>
    </row>
    <row r="1513" spans="1:32" ht="14.25" customHeight="1" x14ac:dyDescent="0.35">
      <c r="A1513" s="14" t="s">
        <v>1197</v>
      </c>
      <c r="B1513" s="14" t="s">
        <v>518</v>
      </c>
      <c r="C1513" s="14" t="s">
        <v>412</v>
      </c>
      <c r="D1513" s="14" t="s">
        <v>453</v>
      </c>
      <c r="E1513" s="15">
        <v>41640</v>
      </c>
      <c r="F1513" s="15">
        <v>42004</v>
      </c>
      <c r="G1513" s="14" t="s">
        <v>410</v>
      </c>
      <c r="H1513" s="14">
        <v>0.5</v>
      </c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 t="s">
        <v>413</v>
      </c>
    </row>
    <row r="1514" spans="1:32" ht="14.25" customHeight="1" x14ac:dyDescent="0.35">
      <c r="A1514" s="14" t="s">
        <v>1197</v>
      </c>
      <c r="B1514" s="14" t="s">
        <v>518</v>
      </c>
      <c r="C1514" s="14" t="s">
        <v>412</v>
      </c>
      <c r="D1514" s="14" t="s">
        <v>454</v>
      </c>
      <c r="E1514" s="15">
        <v>41913</v>
      </c>
      <c r="F1514" s="15">
        <v>42004</v>
      </c>
      <c r="G1514" s="14" t="s">
        <v>410</v>
      </c>
      <c r="H1514" s="14">
        <v>1</v>
      </c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 t="s">
        <v>413</v>
      </c>
    </row>
    <row r="1515" spans="1:32" ht="14.25" customHeight="1" x14ac:dyDescent="0.35">
      <c r="A1515" s="14" t="s">
        <v>1197</v>
      </c>
      <c r="B1515" s="14" t="s">
        <v>518</v>
      </c>
      <c r="C1515" s="14" t="s">
        <v>412</v>
      </c>
      <c r="D1515" s="14" t="s">
        <v>454</v>
      </c>
      <c r="E1515" s="15">
        <v>41640</v>
      </c>
      <c r="F1515" s="15">
        <v>41759</v>
      </c>
      <c r="G1515" s="14" t="s">
        <v>410</v>
      </c>
      <c r="H1515" s="14">
        <v>1</v>
      </c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 t="s">
        <v>413</v>
      </c>
    </row>
    <row r="1516" spans="1:32" ht="14.25" customHeight="1" x14ac:dyDescent="0.35">
      <c r="A1516" s="14" t="s">
        <v>1197</v>
      </c>
      <c r="B1516" s="14" t="s">
        <v>518</v>
      </c>
      <c r="C1516" s="14" t="s">
        <v>412</v>
      </c>
      <c r="D1516" s="14" t="s">
        <v>418</v>
      </c>
      <c r="E1516" s="15">
        <v>41640</v>
      </c>
      <c r="F1516" s="15">
        <v>42004</v>
      </c>
      <c r="G1516" s="14" t="s">
        <v>410</v>
      </c>
      <c r="H1516" s="14">
        <v>1</v>
      </c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 t="s">
        <v>413</v>
      </c>
    </row>
    <row r="1517" spans="1:32" ht="14.25" customHeight="1" x14ac:dyDescent="0.35">
      <c r="A1517" s="14" t="s">
        <v>1199</v>
      </c>
      <c r="B1517" s="14" t="s">
        <v>408</v>
      </c>
      <c r="C1517" s="14"/>
      <c r="D1517" s="14" t="s">
        <v>409</v>
      </c>
      <c r="E1517" s="15">
        <v>41640</v>
      </c>
      <c r="F1517" s="15">
        <v>42004</v>
      </c>
      <c r="G1517" s="14" t="s">
        <v>410</v>
      </c>
      <c r="H1517" s="14">
        <v>1</v>
      </c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 t="s">
        <v>413</v>
      </c>
    </row>
    <row r="1518" spans="1:32" ht="14.25" customHeight="1" x14ac:dyDescent="0.35">
      <c r="A1518" s="16" t="s">
        <v>1198</v>
      </c>
      <c r="B1518" s="16" t="s">
        <v>408</v>
      </c>
      <c r="C1518" s="16" t="s">
        <v>414</v>
      </c>
      <c r="D1518" s="16" t="s">
        <v>409</v>
      </c>
      <c r="E1518" s="17">
        <v>41640</v>
      </c>
      <c r="F1518" s="17">
        <v>42004</v>
      </c>
      <c r="G1518" s="16" t="s">
        <v>410</v>
      </c>
      <c r="H1518" s="16">
        <v>12.8</v>
      </c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 t="s">
        <v>413</v>
      </c>
    </row>
    <row r="1519" spans="1:32" ht="14.25" customHeight="1" x14ac:dyDescent="0.35">
      <c r="A1519" s="16" t="s">
        <v>1200</v>
      </c>
      <c r="B1519" s="16" t="s">
        <v>408</v>
      </c>
      <c r="C1519" s="16"/>
      <c r="D1519" s="16" t="s">
        <v>409</v>
      </c>
      <c r="E1519" s="17">
        <v>41640</v>
      </c>
      <c r="F1519" s="17">
        <v>42004</v>
      </c>
      <c r="G1519" s="16" t="s">
        <v>410</v>
      </c>
      <c r="H1519" s="16">
        <v>0.05</v>
      </c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 t="s">
        <v>413</v>
      </c>
    </row>
    <row r="1520" spans="1:32" ht="14.25" customHeight="1" x14ac:dyDescent="0.35">
      <c r="A1520" s="14" t="s">
        <v>1201</v>
      </c>
      <c r="B1520" s="14" t="s">
        <v>408</v>
      </c>
      <c r="C1520" s="14"/>
      <c r="D1520" s="14" t="s">
        <v>409</v>
      </c>
      <c r="E1520" s="15">
        <v>41640</v>
      </c>
      <c r="F1520" s="15">
        <v>42004</v>
      </c>
      <c r="G1520" s="14" t="s">
        <v>410</v>
      </c>
      <c r="H1520" s="14">
        <v>0.2</v>
      </c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 t="s">
        <v>413</v>
      </c>
    </row>
    <row r="1521" spans="1:32" ht="14.25" customHeight="1" x14ac:dyDescent="0.35">
      <c r="A1521" s="16" t="s">
        <v>1202</v>
      </c>
      <c r="B1521" s="16" t="s">
        <v>408</v>
      </c>
      <c r="C1521" s="16" t="s">
        <v>414</v>
      </c>
      <c r="D1521" s="16" t="s">
        <v>409</v>
      </c>
      <c r="E1521" s="17">
        <v>41640</v>
      </c>
      <c r="F1521" s="17">
        <v>42004</v>
      </c>
      <c r="G1521" s="16" t="s">
        <v>410</v>
      </c>
      <c r="H1521" s="16">
        <v>60</v>
      </c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 t="s">
        <v>413</v>
      </c>
    </row>
    <row r="1522" spans="1:32" ht="14.25" customHeight="1" x14ac:dyDescent="0.35">
      <c r="A1522" s="14" t="s">
        <v>1203</v>
      </c>
      <c r="B1522" s="14" t="s">
        <v>408</v>
      </c>
      <c r="C1522" s="14" t="s">
        <v>414</v>
      </c>
      <c r="D1522" s="14" t="s">
        <v>409</v>
      </c>
      <c r="E1522" s="15">
        <v>41640</v>
      </c>
      <c r="F1522" s="15">
        <v>42004</v>
      </c>
      <c r="G1522" s="14" t="s">
        <v>410</v>
      </c>
      <c r="H1522" s="14">
        <v>55</v>
      </c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 t="s">
        <v>413</v>
      </c>
    </row>
    <row r="1523" spans="1:32" ht="14.25" customHeight="1" x14ac:dyDescent="0.35">
      <c r="A1523" s="16" t="s">
        <v>1204</v>
      </c>
      <c r="B1523" s="16" t="s">
        <v>408</v>
      </c>
      <c r="C1523" s="16"/>
      <c r="D1523" s="16" t="s">
        <v>409</v>
      </c>
      <c r="E1523" s="17">
        <v>41640</v>
      </c>
      <c r="F1523" s="17">
        <v>42004</v>
      </c>
      <c r="G1523" s="16" t="s">
        <v>410</v>
      </c>
      <c r="H1523" s="16">
        <v>0.05</v>
      </c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 t="s">
        <v>413</v>
      </c>
    </row>
    <row r="1524" spans="1:32" ht="14.25" customHeight="1" x14ac:dyDescent="0.35">
      <c r="A1524" s="14" t="s">
        <v>1205</v>
      </c>
      <c r="B1524" s="14" t="s">
        <v>408</v>
      </c>
      <c r="C1524" s="14"/>
      <c r="D1524" s="14" t="s">
        <v>409</v>
      </c>
      <c r="E1524" s="15">
        <v>41640</v>
      </c>
      <c r="F1524" s="15">
        <v>42004</v>
      </c>
      <c r="G1524" s="14" t="s">
        <v>410</v>
      </c>
      <c r="H1524" s="14">
        <v>0.2</v>
      </c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 t="s">
        <v>413</v>
      </c>
    </row>
    <row r="1525" spans="1:32" ht="14.25" customHeight="1" x14ac:dyDescent="0.35">
      <c r="A1525" s="16" t="s">
        <v>1206</v>
      </c>
      <c r="B1525" s="16" t="s">
        <v>408</v>
      </c>
      <c r="C1525" s="16" t="s">
        <v>414</v>
      </c>
      <c r="D1525" s="16" t="s">
        <v>409</v>
      </c>
      <c r="E1525" s="17">
        <v>41640</v>
      </c>
      <c r="F1525" s="17">
        <v>42004</v>
      </c>
      <c r="G1525" s="16" t="s">
        <v>410</v>
      </c>
      <c r="H1525" s="16">
        <v>60</v>
      </c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 t="s">
        <v>413</v>
      </c>
    </row>
    <row r="1526" spans="1:32" ht="14.25" customHeight="1" x14ac:dyDescent="0.35">
      <c r="A1526" s="14" t="s">
        <v>1207</v>
      </c>
      <c r="B1526" s="14" t="s">
        <v>408</v>
      </c>
      <c r="C1526" s="14" t="s">
        <v>414</v>
      </c>
      <c r="D1526" s="14" t="s">
        <v>409</v>
      </c>
      <c r="E1526" s="15">
        <v>41640</v>
      </c>
      <c r="F1526" s="15">
        <v>42004</v>
      </c>
      <c r="G1526" s="14" t="s">
        <v>410</v>
      </c>
      <c r="H1526" s="14">
        <v>55</v>
      </c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 t="s">
        <v>413</v>
      </c>
    </row>
    <row r="1527" spans="1:32" ht="14.25" customHeight="1" x14ac:dyDescent="0.35">
      <c r="A1527" s="16" t="s">
        <v>1208</v>
      </c>
      <c r="B1527" s="16" t="s">
        <v>408</v>
      </c>
      <c r="C1527" s="16"/>
      <c r="D1527" s="16" t="s">
        <v>409</v>
      </c>
      <c r="E1527" s="17">
        <v>41640</v>
      </c>
      <c r="F1527" s="17">
        <v>42004</v>
      </c>
      <c r="G1527" s="16" t="s">
        <v>410</v>
      </c>
      <c r="H1527" s="16">
        <v>0.05</v>
      </c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 t="s">
        <v>413</v>
      </c>
    </row>
    <row r="1528" spans="1:32" ht="14.25" customHeight="1" x14ac:dyDescent="0.35">
      <c r="A1528" s="14" t="s">
        <v>1209</v>
      </c>
      <c r="B1528" s="14" t="s">
        <v>408</v>
      </c>
      <c r="C1528" s="14"/>
      <c r="D1528" s="14" t="s">
        <v>409</v>
      </c>
      <c r="E1528" s="15">
        <v>41640</v>
      </c>
      <c r="F1528" s="15">
        <v>42004</v>
      </c>
      <c r="G1528" s="14" t="s">
        <v>410</v>
      </c>
      <c r="H1528" s="14">
        <v>0.2</v>
      </c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 t="s">
        <v>413</v>
      </c>
    </row>
    <row r="1529" spans="1:32" ht="14.25" customHeight="1" x14ac:dyDescent="0.35">
      <c r="A1529" s="16" t="s">
        <v>1210</v>
      </c>
      <c r="B1529" s="16" t="s">
        <v>408</v>
      </c>
      <c r="C1529" s="16" t="s">
        <v>414</v>
      </c>
      <c r="D1529" s="16" t="s">
        <v>409</v>
      </c>
      <c r="E1529" s="17">
        <v>41640</v>
      </c>
      <c r="F1529" s="17">
        <v>42004</v>
      </c>
      <c r="G1529" s="16" t="s">
        <v>410</v>
      </c>
      <c r="H1529" s="16">
        <v>60</v>
      </c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 t="s">
        <v>413</v>
      </c>
    </row>
    <row r="1530" spans="1:32" ht="14.25" customHeight="1" x14ac:dyDescent="0.35">
      <c r="A1530" s="14" t="s">
        <v>1211</v>
      </c>
      <c r="B1530" s="14" t="s">
        <v>408</v>
      </c>
      <c r="C1530" s="14" t="s">
        <v>414</v>
      </c>
      <c r="D1530" s="14" t="s">
        <v>409</v>
      </c>
      <c r="E1530" s="15">
        <v>41640</v>
      </c>
      <c r="F1530" s="15">
        <v>42004</v>
      </c>
      <c r="G1530" s="14" t="s">
        <v>410</v>
      </c>
      <c r="H1530" s="14">
        <v>55</v>
      </c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 t="s">
        <v>413</v>
      </c>
    </row>
    <row r="1531" spans="1:32" ht="14.25" customHeight="1" x14ac:dyDescent="0.35">
      <c r="A1531" s="16" t="s">
        <v>1212</v>
      </c>
      <c r="B1531" s="16" t="s">
        <v>408</v>
      </c>
      <c r="C1531" s="16" t="s">
        <v>414</v>
      </c>
      <c r="D1531" s="16" t="s">
        <v>409</v>
      </c>
      <c r="E1531" s="17">
        <v>41640</v>
      </c>
      <c r="F1531" s="17">
        <v>42004</v>
      </c>
      <c r="G1531" s="16" t="s">
        <v>410</v>
      </c>
      <c r="H1531" s="16">
        <v>6.7</v>
      </c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 t="s">
        <v>413</v>
      </c>
    </row>
    <row r="1532" spans="1:32" ht="14.25" customHeight="1" x14ac:dyDescent="0.35">
      <c r="A1532" s="14" t="s">
        <v>1213</v>
      </c>
      <c r="B1532" s="14" t="s">
        <v>408</v>
      </c>
      <c r="C1532" s="14"/>
      <c r="D1532" s="14" t="s">
        <v>409</v>
      </c>
      <c r="E1532" s="15">
        <v>41640</v>
      </c>
      <c r="F1532" s="15">
        <v>42004</v>
      </c>
      <c r="G1532" s="14" t="s">
        <v>410</v>
      </c>
      <c r="H1532" s="14">
        <v>4</v>
      </c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 t="s">
        <v>413</v>
      </c>
    </row>
    <row r="1533" spans="1:32" ht="14.25" customHeight="1" x14ac:dyDescent="0.35">
      <c r="A1533" s="16" t="s">
        <v>1214</v>
      </c>
      <c r="B1533" s="16" t="s">
        <v>424</v>
      </c>
      <c r="C1533" s="16"/>
      <c r="D1533" s="16" t="s">
        <v>409</v>
      </c>
      <c r="E1533" s="17">
        <v>41640</v>
      </c>
      <c r="F1533" s="17">
        <v>42004</v>
      </c>
      <c r="G1533" s="16" t="s">
        <v>410</v>
      </c>
      <c r="H1533" s="16">
        <v>1</v>
      </c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 t="s">
        <v>413</v>
      </c>
    </row>
    <row r="1534" spans="1:32" ht="14.25" customHeight="1" x14ac:dyDescent="0.35">
      <c r="A1534" s="14" t="s">
        <v>1215</v>
      </c>
      <c r="B1534" s="14" t="s">
        <v>424</v>
      </c>
      <c r="C1534" s="14"/>
      <c r="D1534" s="14" t="s">
        <v>476</v>
      </c>
      <c r="E1534" s="15">
        <v>41640</v>
      </c>
      <c r="F1534" s="15">
        <v>42004</v>
      </c>
      <c r="G1534" s="14" t="s">
        <v>410</v>
      </c>
      <c r="H1534" s="14">
        <v>0</v>
      </c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 t="s">
        <v>413</v>
      </c>
    </row>
    <row r="1535" spans="1:32" ht="14.25" customHeight="1" x14ac:dyDescent="0.35">
      <c r="A1535" s="14" t="s">
        <v>1215</v>
      </c>
      <c r="B1535" s="14" t="s">
        <v>424</v>
      </c>
      <c r="C1535" s="14"/>
      <c r="D1535" s="14" t="s">
        <v>512</v>
      </c>
      <c r="E1535" s="15">
        <v>41640</v>
      </c>
      <c r="F1535" s="15">
        <v>42004</v>
      </c>
      <c r="G1535" s="14" t="s">
        <v>415</v>
      </c>
      <c r="H1535" s="14">
        <v>0</v>
      </c>
      <c r="I1535" s="14">
        <v>0</v>
      </c>
      <c r="J1535" s="14">
        <v>0</v>
      </c>
      <c r="K1535" s="14">
        <v>0</v>
      </c>
      <c r="L1535" s="14">
        <v>0</v>
      </c>
      <c r="M1535" s="14">
        <v>0</v>
      </c>
      <c r="N1535" s="14">
        <v>0</v>
      </c>
      <c r="O1535" s="14">
        <v>0.16</v>
      </c>
      <c r="P1535" s="14">
        <v>0.14000000000000001</v>
      </c>
      <c r="Q1535" s="14">
        <v>0.21</v>
      </c>
      <c r="R1535" s="14">
        <v>0.18</v>
      </c>
      <c r="S1535" s="14">
        <v>0.25</v>
      </c>
      <c r="T1535" s="14">
        <v>0.21</v>
      </c>
      <c r="U1535" s="14">
        <v>0.13</v>
      </c>
      <c r="V1535" s="14">
        <v>0.08</v>
      </c>
      <c r="W1535" s="14">
        <v>0.04</v>
      </c>
      <c r="X1535" s="14">
        <v>0.05</v>
      </c>
      <c r="Y1535" s="14">
        <v>0.06</v>
      </c>
      <c r="Z1535" s="14">
        <v>0</v>
      </c>
      <c r="AA1535" s="14">
        <v>0</v>
      </c>
      <c r="AB1535" s="14">
        <v>0</v>
      </c>
      <c r="AC1535" s="14">
        <v>0</v>
      </c>
      <c r="AD1535" s="14">
        <v>0</v>
      </c>
      <c r="AE1535" s="14">
        <v>0</v>
      </c>
      <c r="AF1535" s="14" t="s">
        <v>413</v>
      </c>
    </row>
    <row r="1536" spans="1:32" ht="14.25" customHeight="1" x14ac:dyDescent="0.35">
      <c r="A1536" s="14" t="s">
        <v>1215</v>
      </c>
      <c r="B1536" s="14" t="s">
        <v>424</v>
      </c>
      <c r="C1536" s="14"/>
      <c r="D1536" s="14" t="s">
        <v>419</v>
      </c>
      <c r="E1536" s="15">
        <v>41640</v>
      </c>
      <c r="F1536" s="15">
        <v>42004</v>
      </c>
      <c r="G1536" s="14" t="s">
        <v>410</v>
      </c>
      <c r="H1536" s="14">
        <v>0.69</v>
      </c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 t="s">
        <v>413</v>
      </c>
    </row>
    <row r="1537" spans="1:32" ht="14.25" customHeight="1" x14ac:dyDescent="0.35">
      <c r="A1537" s="14" t="s">
        <v>1215</v>
      </c>
      <c r="B1537" s="14" t="s">
        <v>424</v>
      </c>
      <c r="C1537" s="14"/>
      <c r="D1537" s="14" t="s">
        <v>429</v>
      </c>
      <c r="E1537" s="15">
        <v>41640</v>
      </c>
      <c r="F1537" s="15">
        <v>42004</v>
      </c>
      <c r="G1537" s="14" t="s">
        <v>415</v>
      </c>
      <c r="H1537" s="14">
        <v>0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  <c r="O1537" s="14">
        <v>0.35</v>
      </c>
      <c r="P1537" s="14">
        <v>0.69</v>
      </c>
      <c r="Q1537" s="14">
        <v>0.43</v>
      </c>
      <c r="R1537" s="14">
        <v>0.37</v>
      </c>
      <c r="S1537" s="14">
        <v>0.43</v>
      </c>
      <c r="T1537" s="14">
        <v>0.57999999999999996</v>
      </c>
      <c r="U1537" s="14">
        <v>0.48</v>
      </c>
      <c r="V1537" s="14">
        <v>0.37</v>
      </c>
      <c r="W1537" s="14">
        <v>0.37</v>
      </c>
      <c r="X1537" s="14">
        <v>0.46</v>
      </c>
      <c r="Y1537" s="14">
        <v>0.62</v>
      </c>
      <c r="Z1537" s="14">
        <v>0.12</v>
      </c>
      <c r="AA1537" s="14">
        <v>0.04</v>
      </c>
      <c r="AB1537" s="14">
        <v>0.04</v>
      </c>
      <c r="AC1537" s="14">
        <v>0</v>
      </c>
      <c r="AD1537" s="14">
        <v>0</v>
      </c>
      <c r="AE1537" s="14">
        <v>0</v>
      </c>
      <c r="AF1537" s="14" t="s">
        <v>413</v>
      </c>
    </row>
    <row r="1538" spans="1:32" ht="14.25" customHeight="1" x14ac:dyDescent="0.35">
      <c r="A1538" s="16" t="s">
        <v>1216</v>
      </c>
      <c r="B1538" s="16" t="s">
        <v>424</v>
      </c>
      <c r="C1538" s="16"/>
      <c r="D1538" s="16" t="s">
        <v>409</v>
      </c>
      <c r="E1538" s="17">
        <v>41640</v>
      </c>
      <c r="F1538" s="17">
        <v>42004</v>
      </c>
      <c r="G1538" s="16" t="s">
        <v>415</v>
      </c>
      <c r="H1538" s="16">
        <v>0.5</v>
      </c>
      <c r="I1538" s="16">
        <v>0.5</v>
      </c>
      <c r="J1538" s="16">
        <v>0.5</v>
      </c>
      <c r="K1538" s="16">
        <v>0.5</v>
      </c>
      <c r="L1538" s="16">
        <v>0.5</v>
      </c>
      <c r="M1538" s="16">
        <v>0.5</v>
      </c>
      <c r="N1538" s="16">
        <v>0.5</v>
      </c>
      <c r="O1538" s="16">
        <v>0.5</v>
      </c>
      <c r="P1538" s="16">
        <v>0.5</v>
      </c>
      <c r="Q1538" s="16">
        <v>1</v>
      </c>
      <c r="R1538" s="16">
        <v>1</v>
      </c>
      <c r="S1538" s="16">
        <v>1</v>
      </c>
      <c r="T1538" s="16">
        <v>1</v>
      </c>
      <c r="U1538" s="16">
        <v>1</v>
      </c>
      <c r="V1538" s="16">
        <v>1</v>
      </c>
      <c r="W1538" s="16">
        <v>1</v>
      </c>
      <c r="X1538" s="16">
        <v>1</v>
      </c>
      <c r="Y1538" s="16">
        <v>1</v>
      </c>
      <c r="Z1538" s="16">
        <v>0.5</v>
      </c>
      <c r="AA1538" s="16">
        <v>0.5</v>
      </c>
      <c r="AB1538" s="16">
        <v>0.5</v>
      </c>
      <c r="AC1538" s="16">
        <v>0.5</v>
      </c>
      <c r="AD1538" s="16">
        <v>0.5</v>
      </c>
      <c r="AE1538" s="16">
        <v>0.5</v>
      </c>
      <c r="AF1538" s="16" t="s">
        <v>413</v>
      </c>
    </row>
    <row r="1539" spans="1:32" ht="14.25" customHeight="1" x14ac:dyDescent="0.35">
      <c r="A1539" s="16" t="s">
        <v>1217</v>
      </c>
      <c r="B1539" s="16" t="s">
        <v>424</v>
      </c>
      <c r="C1539" s="16"/>
      <c r="D1539" s="16" t="s">
        <v>409</v>
      </c>
      <c r="E1539" s="17">
        <v>41640</v>
      </c>
      <c r="F1539" s="17">
        <v>42004</v>
      </c>
      <c r="G1539" s="16" t="s">
        <v>410</v>
      </c>
      <c r="H1539" s="16">
        <v>1</v>
      </c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 t="s">
        <v>413</v>
      </c>
    </row>
    <row r="1540" spans="1:32" ht="14.25" customHeight="1" x14ac:dyDescent="0.35">
      <c r="A1540" s="16" t="s">
        <v>1218</v>
      </c>
      <c r="B1540" s="16" t="s">
        <v>424</v>
      </c>
      <c r="C1540" s="16"/>
      <c r="D1540" s="16" t="s">
        <v>409</v>
      </c>
      <c r="E1540" s="17">
        <v>41640</v>
      </c>
      <c r="F1540" s="17">
        <v>42004</v>
      </c>
      <c r="G1540" s="16" t="s">
        <v>415</v>
      </c>
      <c r="H1540" s="16">
        <v>0</v>
      </c>
      <c r="I1540" s="16">
        <v>0</v>
      </c>
      <c r="J1540" s="16">
        <v>0</v>
      </c>
      <c r="K1540" s="16">
        <v>0</v>
      </c>
      <c r="L1540" s="16">
        <v>0</v>
      </c>
      <c r="M1540" s="16">
        <v>0</v>
      </c>
      <c r="N1540" s="16">
        <v>1</v>
      </c>
      <c r="O1540" s="16">
        <v>1</v>
      </c>
      <c r="P1540" s="16">
        <v>1</v>
      </c>
      <c r="Q1540" s="16">
        <v>1</v>
      </c>
      <c r="R1540" s="16">
        <v>1</v>
      </c>
      <c r="S1540" s="16">
        <v>1</v>
      </c>
      <c r="T1540" s="16">
        <v>1</v>
      </c>
      <c r="U1540" s="16">
        <v>1</v>
      </c>
      <c r="V1540" s="16">
        <v>1</v>
      </c>
      <c r="W1540" s="16">
        <v>1</v>
      </c>
      <c r="X1540" s="16">
        <v>1</v>
      </c>
      <c r="Y1540" s="16">
        <v>1</v>
      </c>
      <c r="Z1540" s="16">
        <v>1</v>
      </c>
      <c r="AA1540" s="16">
        <v>1</v>
      </c>
      <c r="AB1540" s="16">
        <v>1</v>
      </c>
      <c r="AC1540" s="16">
        <v>1</v>
      </c>
      <c r="AD1540" s="16">
        <v>1</v>
      </c>
      <c r="AE1540" s="16">
        <v>1</v>
      </c>
      <c r="AF1540" s="16" t="s">
        <v>413</v>
      </c>
    </row>
    <row r="1541" spans="1:32" ht="14.25" customHeight="1" x14ac:dyDescent="0.35">
      <c r="A1541" s="16" t="s">
        <v>1219</v>
      </c>
      <c r="B1541" s="16" t="s">
        <v>424</v>
      </c>
      <c r="C1541" s="16"/>
      <c r="D1541" s="16" t="s">
        <v>409</v>
      </c>
      <c r="E1541" s="17">
        <v>41640</v>
      </c>
      <c r="F1541" s="17">
        <v>42004</v>
      </c>
      <c r="G1541" s="16" t="s">
        <v>415</v>
      </c>
      <c r="H1541" s="16">
        <v>0.7</v>
      </c>
      <c r="I1541" s="16">
        <v>0.7</v>
      </c>
      <c r="J1541" s="16">
        <v>0.7</v>
      </c>
      <c r="K1541" s="16">
        <v>0.7</v>
      </c>
      <c r="L1541" s="16">
        <v>0.7</v>
      </c>
      <c r="M1541" s="16">
        <v>0.7</v>
      </c>
      <c r="N1541" s="16">
        <v>1</v>
      </c>
      <c r="O1541" s="16">
        <v>1</v>
      </c>
      <c r="P1541" s="16">
        <v>1</v>
      </c>
      <c r="Q1541" s="16">
        <v>1</v>
      </c>
      <c r="R1541" s="16">
        <v>1</v>
      </c>
      <c r="S1541" s="16">
        <v>1</v>
      </c>
      <c r="T1541" s="16">
        <v>1</v>
      </c>
      <c r="U1541" s="16">
        <v>1</v>
      </c>
      <c r="V1541" s="16">
        <v>1</v>
      </c>
      <c r="W1541" s="16">
        <v>1</v>
      </c>
      <c r="X1541" s="16">
        <v>1</v>
      </c>
      <c r="Y1541" s="16">
        <v>1</v>
      </c>
      <c r="Z1541" s="16">
        <v>1</v>
      </c>
      <c r="AA1541" s="16">
        <v>1</v>
      </c>
      <c r="AB1541" s="16">
        <v>1</v>
      </c>
      <c r="AC1541" s="16">
        <v>1</v>
      </c>
      <c r="AD1541" s="16">
        <v>1</v>
      </c>
      <c r="AE1541" s="16">
        <v>1</v>
      </c>
      <c r="AF1541" s="16" t="s">
        <v>413</v>
      </c>
    </row>
    <row r="1542" spans="1:32" ht="14.25" customHeight="1" x14ac:dyDescent="0.35">
      <c r="A1542" s="14" t="s">
        <v>1220</v>
      </c>
      <c r="B1542" s="14" t="s">
        <v>408</v>
      </c>
      <c r="C1542" s="14"/>
      <c r="D1542" s="14" t="s">
        <v>409</v>
      </c>
      <c r="E1542" s="15">
        <v>41640</v>
      </c>
      <c r="F1542" s="15">
        <v>42004</v>
      </c>
      <c r="G1542" s="14" t="s">
        <v>410</v>
      </c>
      <c r="H1542" s="14">
        <v>1</v>
      </c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 t="s">
        <v>413</v>
      </c>
    </row>
    <row r="1543" spans="1:32" ht="14.25" customHeight="1" x14ac:dyDescent="0.35">
      <c r="A1543" s="16" t="s">
        <v>1221</v>
      </c>
      <c r="B1543" s="16" t="s">
        <v>408</v>
      </c>
      <c r="C1543" s="16" t="s">
        <v>414</v>
      </c>
      <c r="D1543" s="16" t="s">
        <v>409</v>
      </c>
      <c r="E1543" s="17">
        <v>41640</v>
      </c>
      <c r="F1543" s="17">
        <v>42004</v>
      </c>
      <c r="G1543" s="16" t="s">
        <v>410</v>
      </c>
      <c r="H1543" s="16">
        <v>12.8</v>
      </c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 t="s">
        <v>413</v>
      </c>
    </row>
    <row r="1544" spans="1:32" ht="14.25" customHeight="1" x14ac:dyDescent="0.35">
      <c r="A1544" s="14" t="s">
        <v>1222</v>
      </c>
      <c r="B1544" s="14" t="s">
        <v>600</v>
      </c>
      <c r="C1544" s="14"/>
      <c r="D1544" s="14" t="s">
        <v>417</v>
      </c>
      <c r="E1544" s="15">
        <v>41640</v>
      </c>
      <c r="F1544" s="15">
        <v>42004</v>
      </c>
      <c r="G1544" s="14" t="s">
        <v>410</v>
      </c>
      <c r="H1544" s="14">
        <v>0</v>
      </c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 t="s">
        <v>413</v>
      </c>
    </row>
    <row r="1545" spans="1:32" ht="14.25" customHeight="1" x14ac:dyDescent="0.35">
      <c r="A1545" s="14" t="s">
        <v>1222</v>
      </c>
      <c r="B1545" s="14" t="s">
        <v>600</v>
      </c>
      <c r="C1545" s="14"/>
      <c r="D1545" s="14" t="s">
        <v>556</v>
      </c>
      <c r="E1545" s="15">
        <v>41640</v>
      </c>
      <c r="F1545" s="15">
        <v>42004</v>
      </c>
      <c r="G1545" s="14" t="s">
        <v>415</v>
      </c>
      <c r="H1545" s="14">
        <v>0</v>
      </c>
      <c r="I1545" s="14">
        <v>0</v>
      </c>
      <c r="J1545" s="14">
        <v>0</v>
      </c>
      <c r="K1545" s="14">
        <v>0</v>
      </c>
      <c r="L1545" s="14">
        <v>0</v>
      </c>
      <c r="M1545" s="14">
        <v>0</v>
      </c>
      <c r="N1545" s="14">
        <v>1</v>
      </c>
      <c r="O1545" s="14">
        <v>1</v>
      </c>
      <c r="P1545" s="14">
        <v>1</v>
      </c>
      <c r="Q1545" s="14">
        <v>1</v>
      </c>
      <c r="R1545" s="14">
        <v>1</v>
      </c>
      <c r="S1545" s="14">
        <v>1</v>
      </c>
      <c r="T1545" s="14">
        <v>1</v>
      </c>
      <c r="U1545" s="14">
        <v>1</v>
      </c>
      <c r="V1545" s="14">
        <v>1</v>
      </c>
      <c r="W1545" s="14">
        <v>1</v>
      </c>
      <c r="X1545" s="14">
        <v>1</v>
      </c>
      <c r="Y1545" s="14">
        <v>1</v>
      </c>
      <c r="Z1545" s="14">
        <v>1</v>
      </c>
      <c r="AA1545" s="14">
        <v>1</v>
      </c>
      <c r="AB1545" s="14">
        <v>1</v>
      </c>
      <c r="AC1545" s="14">
        <v>1</v>
      </c>
      <c r="AD1545" s="14">
        <v>0</v>
      </c>
      <c r="AE1545" s="14">
        <v>0</v>
      </c>
      <c r="AF1545" s="14" t="s">
        <v>413</v>
      </c>
    </row>
    <row r="1546" spans="1:32" ht="14.25" customHeight="1" x14ac:dyDescent="0.35">
      <c r="A1546" s="14" t="s">
        <v>1222</v>
      </c>
      <c r="B1546" s="14" t="s">
        <v>600</v>
      </c>
      <c r="C1546" s="14"/>
      <c r="D1546" s="14" t="s">
        <v>514</v>
      </c>
      <c r="E1546" s="15">
        <v>41640</v>
      </c>
      <c r="F1546" s="15">
        <v>42004</v>
      </c>
      <c r="G1546" s="14" t="s">
        <v>415</v>
      </c>
      <c r="H1546" s="14">
        <v>0</v>
      </c>
      <c r="I1546" s="14">
        <v>0</v>
      </c>
      <c r="J1546" s="14">
        <v>0</v>
      </c>
      <c r="K1546" s="14">
        <v>0</v>
      </c>
      <c r="L1546" s="14">
        <v>0</v>
      </c>
      <c r="M1546" s="14">
        <v>0</v>
      </c>
      <c r="N1546" s="14">
        <v>1</v>
      </c>
      <c r="O1546" s="14">
        <v>1</v>
      </c>
      <c r="P1546" s="14">
        <v>1</v>
      </c>
      <c r="Q1546" s="14">
        <v>1</v>
      </c>
      <c r="R1546" s="14">
        <v>1</v>
      </c>
      <c r="S1546" s="14">
        <v>1</v>
      </c>
      <c r="T1546" s="14">
        <v>1</v>
      </c>
      <c r="U1546" s="14">
        <v>1</v>
      </c>
      <c r="V1546" s="14">
        <v>1</v>
      </c>
      <c r="W1546" s="14">
        <v>1</v>
      </c>
      <c r="X1546" s="14">
        <v>1</v>
      </c>
      <c r="Y1546" s="14">
        <v>1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 t="s">
        <v>413</v>
      </c>
    </row>
    <row r="1547" spans="1:32" ht="14.25" customHeight="1" x14ac:dyDescent="0.35">
      <c r="A1547" s="16" t="s">
        <v>1223</v>
      </c>
      <c r="B1547" s="16" t="s">
        <v>420</v>
      </c>
      <c r="C1547" s="16" t="s">
        <v>414</v>
      </c>
      <c r="D1547" s="16" t="s">
        <v>453</v>
      </c>
      <c r="E1547" s="17">
        <v>41640</v>
      </c>
      <c r="F1547" s="17">
        <v>42004</v>
      </c>
      <c r="G1547" s="16" t="s">
        <v>410</v>
      </c>
      <c r="H1547" s="16">
        <v>15.6</v>
      </c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 t="s">
        <v>413</v>
      </c>
    </row>
    <row r="1548" spans="1:32" ht="14.25" customHeight="1" x14ac:dyDescent="0.35">
      <c r="A1548" s="16" t="s">
        <v>1223</v>
      </c>
      <c r="B1548" s="16" t="s">
        <v>420</v>
      </c>
      <c r="C1548" s="16" t="s">
        <v>414</v>
      </c>
      <c r="D1548" s="16" t="s">
        <v>512</v>
      </c>
      <c r="E1548" s="17">
        <v>41640</v>
      </c>
      <c r="F1548" s="17">
        <v>42004</v>
      </c>
      <c r="G1548" s="16" t="s">
        <v>415</v>
      </c>
      <c r="H1548" s="16">
        <v>15.6</v>
      </c>
      <c r="I1548" s="16">
        <v>15.6</v>
      </c>
      <c r="J1548" s="16">
        <v>15.6</v>
      </c>
      <c r="K1548" s="16">
        <v>15.6</v>
      </c>
      <c r="L1548" s="16">
        <v>15.6</v>
      </c>
      <c r="M1548" s="16">
        <v>21</v>
      </c>
      <c r="N1548" s="16">
        <v>21</v>
      </c>
      <c r="O1548" s="16">
        <v>21</v>
      </c>
      <c r="P1548" s="16">
        <v>21</v>
      </c>
      <c r="Q1548" s="16">
        <v>21</v>
      </c>
      <c r="R1548" s="16">
        <v>21</v>
      </c>
      <c r="S1548" s="16">
        <v>21</v>
      </c>
      <c r="T1548" s="16">
        <v>21</v>
      </c>
      <c r="U1548" s="16">
        <v>21</v>
      </c>
      <c r="V1548" s="16">
        <v>21</v>
      </c>
      <c r="W1548" s="16">
        <v>21</v>
      </c>
      <c r="X1548" s="16">
        <v>21</v>
      </c>
      <c r="Y1548" s="16">
        <v>15.6</v>
      </c>
      <c r="Z1548" s="16">
        <v>15.6</v>
      </c>
      <c r="AA1548" s="16">
        <v>15.6</v>
      </c>
      <c r="AB1548" s="16">
        <v>15.6</v>
      </c>
      <c r="AC1548" s="16">
        <v>15.6</v>
      </c>
      <c r="AD1548" s="16">
        <v>15.6</v>
      </c>
      <c r="AE1548" s="16">
        <v>15.6</v>
      </c>
      <c r="AF1548" s="16" t="s">
        <v>413</v>
      </c>
    </row>
    <row r="1549" spans="1:32" ht="14.25" customHeight="1" x14ac:dyDescent="0.35">
      <c r="A1549" s="16" t="s">
        <v>1223</v>
      </c>
      <c r="B1549" s="16" t="s">
        <v>420</v>
      </c>
      <c r="C1549" s="16" t="s">
        <v>414</v>
      </c>
      <c r="D1549" s="16" t="s">
        <v>429</v>
      </c>
      <c r="E1549" s="17">
        <v>41640</v>
      </c>
      <c r="F1549" s="17">
        <v>42004</v>
      </c>
      <c r="G1549" s="16" t="s">
        <v>415</v>
      </c>
      <c r="H1549" s="16">
        <v>15.6</v>
      </c>
      <c r="I1549" s="16">
        <v>15.6</v>
      </c>
      <c r="J1549" s="16">
        <v>15.6</v>
      </c>
      <c r="K1549" s="16">
        <v>15.6</v>
      </c>
      <c r="L1549" s="16">
        <v>15.6</v>
      </c>
      <c r="M1549" s="16">
        <v>21</v>
      </c>
      <c r="N1549" s="16">
        <v>21</v>
      </c>
      <c r="O1549" s="16">
        <v>21</v>
      </c>
      <c r="P1549" s="16">
        <v>21</v>
      </c>
      <c r="Q1549" s="16">
        <v>21</v>
      </c>
      <c r="R1549" s="16">
        <v>21</v>
      </c>
      <c r="S1549" s="16">
        <v>21</v>
      </c>
      <c r="T1549" s="16">
        <v>21</v>
      </c>
      <c r="U1549" s="16">
        <v>21</v>
      </c>
      <c r="V1549" s="16">
        <v>21</v>
      </c>
      <c r="W1549" s="16">
        <v>21</v>
      </c>
      <c r="X1549" s="16">
        <v>21</v>
      </c>
      <c r="Y1549" s="16">
        <v>21</v>
      </c>
      <c r="Z1549" s="16">
        <v>21</v>
      </c>
      <c r="AA1549" s="16">
        <v>21</v>
      </c>
      <c r="AB1549" s="16">
        <v>21</v>
      </c>
      <c r="AC1549" s="16">
        <v>21</v>
      </c>
      <c r="AD1549" s="16">
        <v>15.6</v>
      </c>
      <c r="AE1549" s="16">
        <v>15.6</v>
      </c>
      <c r="AF1549" s="16" t="s">
        <v>413</v>
      </c>
    </row>
    <row r="1550" spans="1:32" ht="14.25" customHeight="1" x14ac:dyDescent="0.35">
      <c r="A1550" s="16" t="s">
        <v>1223</v>
      </c>
      <c r="B1550" s="16" t="s">
        <v>420</v>
      </c>
      <c r="C1550" s="16" t="s">
        <v>414</v>
      </c>
      <c r="D1550" s="16" t="s">
        <v>418</v>
      </c>
      <c r="E1550" s="17">
        <v>41640</v>
      </c>
      <c r="F1550" s="17">
        <v>42004</v>
      </c>
      <c r="G1550" s="16" t="s">
        <v>415</v>
      </c>
      <c r="H1550" s="16">
        <v>15.6</v>
      </c>
      <c r="I1550" s="16">
        <v>15.6</v>
      </c>
      <c r="J1550" s="16">
        <v>15.6</v>
      </c>
      <c r="K1550" s="16">
        <v>15.6</v>
      </c>
      <c r="L1550" s="16">
        <v>15.6</v>
      </c>
      <c r="M1550" s="16">
        <v>17.600000000000001</v>
      </c>
      <c r="N1550" s="16">
        <v>19.600000000000001</v>
      </c>
      <c r="O1550" s="16">
        <v>21</v>
      </c>
      <c r="P1550" s="16">
        <v>21</v>
      </c>
      <c r="Q1550" s="16">
        <v>21</v>
      </c>
      <c r="R1550" s="16">
        <v>21</v>
      </c>
      <c r="S1550" s="16">
        <v>21</v>
      </c>
      <c r="T1550" s="16">
        <v>21</v>
      </c>
      <c r="U1550" s="16">
        <v>21</v>
      </c>
      <c r="V1550" s="16">
        <v>21</v>
      </c>
      <c r="W1550" s="16">
        <v>21</v>
      </c>
      <c r="X1550" s="16">
        <v>21</v>
      </c>
      <c r="Y1550" s="16">
        <v>21</v>
      </c>
      <c r="Z1550" s="16">
        <v>21</v>
      </c>
      <c r="AA1550" s="16">
        <v>21</v>
      </c>
      <c r="AB1550" s="16">
        <v>21</v>
      </c>
      <c r="AC1550" s="16">
        <v>21</v>
      </c>
      <c r="AD1550" s="16">
        <v>15.6</v>
      </c>
      <c r="AE1550" s="16">
        <v>15.6</v>
      </c>
      <c r="AF1550" s="16" t="s">
        <v>413</v>
      </c>
    </row>
    <row r="1551" spans="1:32" ht="14.25" customHeight="1" x14ac:dyDescent="0.35">
      <c r="A1551" s="14" t="s">
        <v>1224</v>
      </c>
      <c r="B1551" s="14" t="s">
        <v>420</v>
      </c>
      <c r="C1551" s="14" t="s">
        <v>414</v>
      </c>
      <c r="D1551" s="14" t="s">
        <v>453</v>
      </c>
      <c r="E1551" s="15">
        <v>41640</v>
      </c>
      <c r="F1551" s="15">
        <v>42004</v>
      </c>
      <c r="G1551" s="14" t="s">
        <v>410</v>
      </c>
      <c r="H1551" s="14">
        <v>15.6</v>
      </c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 t="s">
        <v>413</v>
      </c>
    </row>
    <row r="1552" spans="1:32" ht="14.25" customHeight="1" x14ac:dyDescent="0.35">
      <c r="A1552" s="14" t="s">
        <v>1224</v>
      </c>
      <c r="B1552" s="14" t="s">
        <v>420</v>
      </c>
      <c r="C1552" s="14" t="s">
        <v>414</v>
      </c>
      <c r="D1552" s="14" t="s">
        <v>512</v>
      </c>
      <c r="E1552" s="15">
        <v>41640</v>
      </c>
      <c r="F1552" s="15">
        <v>42004</v>
      </c>
      <c r="G1552" s="14" t="s">
        <v>415</v>
      </c>
      <c r="H1552" s="14">
        <v>15.6</v>
      </c>
      <c r="I1552" s="14">
        <v>15.6</v>
      </c>
      <c r="J1552" s="14">
        <v>15.6</v>
      </c>
      <c r="K1552" s="14">
        <v>15.6</v>
      </c>
      <c r="L1552" s="14">
        <v>15.6</v>
      </c>
      <c r="M1552" s="14">
        <v>21</v>
      </c>
      <c r="N1552" s="14">
        <v>21</v>
      </c>
      <c r="O1552" s="14">
        <v>21</v>
      </c>
      <c r="P1552" s="14">
        <v>21</v>
      </c>
      <c r="Q1552" s="14">
        <v>21</v>
      </c>
      <c r="R1552" s="14">
        <v>21</v>
      </c>
      <c r="S1552" s="14">
        <v>21</v>
      </c>
      <c r="T1552" s="14">
        <v>21</v>
      </c>
      <c r="U1552" s="14">
        <v>21</v>
      </c>
      <c r="V1552" s="14">
        <v>21</v>
      </c>
      <c r="W1552" s="14">
        <v>21</v>
      </c>
      <c r="X1552" s="14">
        <v>21</v>
      </c>
      <c r="Y1552" s="14">
        <v>15.6</v>
      </c>
      <c r="Z1552" s="14">
        <v>15.6</v>
      </c>
      <c r="AA1552" s="14">
        <v>15.6</v>
      </c>
      <c r="AB1552" s="14">
        <v>15.6</v>
      </c>
      <c r="AC1552" s="14">
        <v>15.6</v>
      </c>
      <c r="AD1552" s="14">
        <v>15.6</v>
      </c>
      <c r="AE1552" s="14">
        <v>15.6</v>
      </c>
      <c r="AF1552" s="14" t="s">
        <v>413</v>
      </c>
    </row>
    <row r="1553" spans="1:32" ht="14.25" customHeight="1" x14ac:dyDescent="0.35">
      <c r="A1553" s="14" t="s">
        <v>1224</v>
      </c>
      <c r="B1553" s="14" t="s">
        <v>420</v>
      </c>
      <c r="C1553" s="14" t="s">
        <v>414</v>
      </c>
      <c r="D1553" s="14" t="s">
        <v>429</v>
      </c>
      <c r="E1553" s="15">
        <v>41640</v>
      </c>
      <c r="F1553" s="15">
        <v>42004</v>
      </c>
      <c r="G1553" s="14" t="s">
        <v>415</v>
      </c>
      <c r="H1553" s="14">
        <v>15.6</v>
      </c>
      <c r="I1553" s="14">
        <v>15.6</v>
      </c>
      <c r="J1553" s="14">
        <v>15.6</v>
      </c>
      <c r="K1553" s="14">
        <v>15.6</v>
      </c>
      <c r="L1553" s="14">
        <v>15.6</v>
      </c>
      <c r="M1553" s="14">
        <v>21</v>
      </c>
      <c r="N1553" s="14">
        <v>21</v>
      </c>
      <c r="O1553" s="14">
        <v>21</v>
      </c>
      <c r="P1553" s="14">
        <v>21</v>
      </c>
      <c r="Q1553" s="14">
        <v>21</v>
      </c>
      <c r="R1553" s="14">
        <v>21</v>
      </c>
      <c r="S1553" s="14">
        <v>21</v>
      </c>
      <c r="T1553" s="14">
        <v>21</v>
      </c>
      <c r="U1553" s="14">
        <v>21</v>
      </c>
      <c r="V1553" s="14">
        <v>21</v>
      </c>
      <c r="W1553" s="14">
        <v>21</v>
      </c>
      <c r="X1553" s="14">
        <v>21</v>
      </c>
      <c r="Y1553" s="14">
        <v>21</v>
      </c>
      <c r="Z1553" s="14">
        <v>21</v>
      </c>
      <c r="AA1553" s="14">
        <v>21</v>
      </c>
      <c r="AB1553" s="14">
        <v>21</v>
      </c>
      <c r="AC1553" s="14">
        <v>21</v>
      </c>
      <c r="AD1553" s="14">
        <v>15.6</v>
      </c>
      <c r="AE1553" s="14">
        <v>15.6</v>
      </c>
      <c r="AF1553" s="14" t="s">
        <v>413</v>
      </c>
    </row>
    <row r="1554" spans="1:32" ht="14.25" customHeight="1" x14ac:dyDescent="0.35">
      <c r="A1554" s="14" t="s">
        <v>1224</v>
      </c>
      <c r="B1554" s="14" t="s">
        <v>420</v>
      </c>
      <c r="C1554" s="14" t="s">
        <v>414</v>
      </c>
      <c r="D1554" s="14" t="s">
        <v>418</v>
      </c>
      <c r="E1554" s="15">
        <v>41640</v>
      </c>
      <c r="F1554" s="15">
        <v>42004</v>
      </c>
      <c r="G1554" s="14" t="s">
        <v>415</v>
      </c>
      <c r="H1554" s="14">
        <v>15.6</v>
      </c>
      <c r="I1554" s="14">
        <v>15.6</v>
      </c>
      <c r="J1554" s="14">
        <v>15.6</v>
      </c>
      <c r="K1554" s="14">
        <v>15.6</v>
      </c>
      <c r="L1554" s="14">
        <v>15.6</v>
      </c>
      <c r="M1554" s="14">
        <v>17.600000000000001</v>
      </c>
      <c r="N1554" s="14">
        <v>19.600000000000001</v>
      </c>
      <c r="O1554" s="14">
        <v>21</v>
      </c>
      <c r="P1554" s="14">
        <v>21</v>
      </c>
      <c r="Q1554" s="14">
        <v>21</v>
      </c>
      <c r="R1554" s="14">
        <v>21</v>
      </c>
      <c r="S1554" s="14">
        <v>21</v>
      </c>
      <c r="T1554" s="14">
        <v>21</v>
      </c>
      <c r="U1554" s="14">
        <v>21</v>
      </c>
      <c r="V1554" s="14">
        <v>21</v>
      </c>
      <c r="W1554" s="14">
        <v>21</v>
      </c>
      <c r="X1554" s="14">
        <v>21</v>
      </c>
      <c r="Y1554" s="14">
        <v>21</v>
      </c>
      <c r="Z1554" s="14">
        <v>21</v>
      </c>
      <c r="AA1554" s="14">
        <v>21</v>
      </c>
      <c r="AB1554" s="14">
        <v>21</v>
      </c>
      <c r="AC1554" s="14">
        <v>21</v>
      </c>
      <c r="AD1554" s="14">
        <v>15.6</v>
      </c>
      <c r="AE1554" s="14">
        <v>15.6</v>
      </c>
      <c r="AF1554" s="14" t="s">
        <v>413</v>
      </c>
    </row>
    <row r="1555" spans="1:32" ht="14.25" customHeight="1" x14ac:dyDescent="0.35">
      <c r="A1555" s="16" t="s">
        <v>1225</v>
      </c>
      <c r="B1555" s="16" t="s">
        <v>420</v>
      </c>
      <c r="C1555" s="16" t="s">
        <v>414</v>
      </c>
      <c r="D1555" s="16" t="s">
        <v>453</v>
      </c>
      <c r="E1555" s="17">
        <v>41640</v>
      </c>
      <c r="F1555" s="17">
        <v>42004</v>
      </c>
      <c r="G1555" s="16" t="s">
        <v>410</v>
      </c>
      <c r="H1555" s="16">
        <v>15.6</v>
      </c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 t="s">
        <v>413</v>
      </c>
    </row>
    <row r="1556" spans="1:32" ht="14.25" customHeight="1" x14ac:dyDescent="0.35">
      <c r="A1556" s="16" t="s">
        <v>1225</v>
      </c>
      <c r="B1556" s="16" t="s">
        <v>420</v>
      </c>
      <c r="C1556" s="16" t="s">
        <v>414</v>
      </c>
      <c r="D1556" s="16" t="s">
        <v>512</v>
      </c>
      <c r="E1556" s="17">
        <v>41640</v>
      </c>
      <c r="F1556" s="17">
        <v>42004</v>
      </c>
      <c r="G1556" s="16" t="s">
        <v>415</v>
      </c>
      <c r="H1556" s="16">
        <v>15.6</v>
      </c>
      <c r="I1556" s="16">
        <v>15.6</v>
      </c>
      <c r="J1556" s="16">
        <v>15.6</v>
      </c>
      <c r="K1556" s="16">
        <v>15.6</v>
      </c>
      <c r="L1556" s="16">
        <v>15.6</v>
      </c>
      <c r="M1556" s="16">
        <v>21</v>
      </c>
      <c r="N1556" s="16">
        <v>21</v>
      </c>
      <c r="O1556" s="16">
        <v>21</v>
      </c>
      <c r="P1556" s="16">
        <v>21</v>
      </c>
      <c r="Q1556" s="16">
        <v>21</v>
      </c>
      <c r="R1556" s="16">
        <v>21</v>
      </c>
      <c r="S1556" s="16">
        <v>21</v>
      </c>
      <c r="T1556" s="16">
        <v>21</v>
      </c>
      <c r="U1556" s="16">
        <v>21</v>
      </c>
      <c r="V1556" s="16">
        <v>21</v>
      </c>
      <c r="W1556" s="16">
        <v>21</v>
      </c>
      <c r="X1556" s="16">
        <v>21</v>
      </c>
      <c r="Y1556" s="16">
        <v>15.6</v>
      </c>
      <c r="Z1556" s="16">
        <v>15.6</v>
      </c>
      <c r="AA1556" s="16">
        <v>15.6</v>
      </c>
      <c r="AB1556" s="16">
        <v>15.6</v>
      </c>
      <c r="AC1556" s="16">
        <v>15.6</v>
      </c>
      <c r="AD1556" s="16">
        <v>15.6</v>
      </c>
      <c r="AE1556" s="16">
        <v>15.6</v>
      </c>
      <c r="AF1556" s="16" t="s">
        <v>413</v>
      </c>
    </row>
    <row r="1557" spans="1:32" ht="14.25" customHeight="1" x14ac:dyDescent="0.35">
      <c r="A1557" s="16" t="s">
        <v>1225</v>
      </c>
      <c r="B1557" s="16" t="s">
        <v>420</v>
      </c>
      <c r="C1557" s="16" t="s">
        <v>414</v>
      </c>
      <c r="D1557" s="16" t="s">
        <v>429</v>
      </c>
      <c r="E1557" s="17">
        <v>41640</v>
      </c>
      <c r="F1557" s="17">
        <v>42004</v>
      </c>
      <c r="G1557" s="16" t="s">
        <v>415</v>
      </c>
      <c r="H1557" s="16">
        <v>15.6</v>
      </c>
      <c r="I1557" s="16">
        <v>15.6</v>
      </c>
      <c r="J1557" s="16">
        <v>15.6</v>
      </c>
      <c r="K1557" s="16">
        <v>15.6</v>
      </c>
      <c r="L1557" s="16">
        <v>15.6</v>
      </c>
      <c r="M1557" s="16">
        <v>21</v>
      </c>
      <c r="N1557" s="16">
        <v>21</v>
      </c>
      <c r="O1557" s="16">
        <v>21</v>
      </c>
      <c r="P1557" s="16">
        <v>21</v>
      </c>
      <c r="Q1557" s="16">
        <v>21</v>
      </c>
      <c r="R1557" s="16">
        <v>21</v>
      </c>
      <c r="S1557" s="16">
        <v>21</v>
      </c>
      <c r="T1557" s="16">
        <v>21</v>
      </c>
      <c r="U1557" s="16">
        <v>21</v>
      </c>
      <c r="V1557" s="16">
        <v>21</v>
      </c>
      <c r="W1557" s="16">
        <v>21</v>
      </c>
      <c r="X1557" s="16">
        <v>21</v>
      </c>
      <c r="Y1557" s="16">
        <v>21</v>
      </c>
      <c r="Z1557" s="16">
        <v>21</v>
      </c>
      <c r="AA1557" s="16">
        <v>21</v>
      </c>
      <c r="AB1557" s="16">
        <v>21</v>
      </c>
      <c r="AC1557" s="16">
        <v>21</v>
      </c>
      <c r="AD1557" s="16">
        <v>15.6</v>
      </c>
      <c r="AE1557" s="16">
        <v>15.6</v>
      </c>
      <c r="AF1557" s="16" t="s">
        <v>413</v>
      </c>
    </row>
    <row r="1558" spans="1:32" ht="14.25" customHeight="1" x14ac:dyDescent="0.35">
      <c r="A1558" s="16" t="s">
        <v>1225</v>
      </c>
      <c r="B1558" s="16" t="s">
        <v>420</v>
      </c>
      <c r="C1558" s="16" t="s">
        <v>414</v>
      </c>
      <c r="D1558" s="16" t="s">
        <v>418</v>
      </c>
      <c r="E1558" s="17">
        <v>41640</v>
      </c>
      <c r="F1558" s="17">
        <v>42004</v>
      </c>
      <c r="G1558" s="16" t="s">
        <v>415</v>
      </c>
      <c r="H1558" s="16">
        <v>15.6</v>
      </c>
      <c r="I1558" s="16">
        <v>15.6</v>
      </c>
      <c r="J1558" s="16">
        <v>15.6</v>
      </c>
      <c r="K1558" s="16">
        <v>15.6</v>
      </c>
      <c r="L1558" s="16">
        <v>15.6</v>
      </c>
      <c r="M1558" s="16">
        <v>17.600000000000001</v>
      </c>
      <c r="N1558" s="16">
        <v>19.600000000000001</v>
      </c>
      <c r="O1558" s="16">
        <v>21</v>
      </c>
      <c r="P1558" s="16">
        <v>21</v>
      </c>
      <c r="Q1558" s="16">
        <v>21</v>
      </c>
      <c r="R1558" s="16">
        <v>21</v>
      </c>
      <c r="S1558" s="16">
        <v>21</v>
      </c>
      <c r="T1558" s="16">
        <v>21</v>
      </c>
      <c r="U1558" s="16">
        <v>21</v>
      </c>
      <c r="V1558" s="16">
        <v>21</v>
      </c>
      <c r="W1558" s="16">
        <v>21</v>
      </c>
      <c r="X1558" s="16">
        <v>21</v>
      </c>
      <c r="Y1558" s="16">
        <v>21</v>
      </c>
      <c r="Z1558" s="16">
        <v>21</v>
      </c>
      <c r="AA1558" s="16">
        <v>21</v>
      </c>
      <c r="AB1558" s="16">
        <v>21</v>
      </c>
      <c r="AC1558" s="16">
        <v>21</v>
      </c>
      <c r="AD1558" s="16">
        <v>15.6</v>
      </c>
      <c r="AE1558" s="16">
        <v>15.6</v>
      </c>
      <c r="AF1558" s="16" t="s">
        <v>413</v>
      </c>
    </row>
    <row r="1559" spans="1:32" ht="14.25" customHeight="1" x14ac:dyDescent="0.35">
      <c r="A1559" s="14" t="s">
        <v>1226</v>
      </c>
      <c r="B1559" s="14" t="s">
        <v>420</v>
      </c>
      <c r="C1559" s="14" t="s">
        <v>414</v>
      </c>
      <c r="D1559" s="14" t="s">
        <v>453</v>
      </c>
      <c r="E1559" s="15">
        <v>41640</v>
      </c>
      <c r="F1559" s="15">
        <v>42004</v>
      </c>
      <c r="G1559" s="14" t="s">
        <v>410</v>
      </c>
      <c r="H1559" s="14">
        <v>15.6</v>
      </c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 t="s">
        <v>413</v>
      </c>
    </row>
    <row r="1560" spans="1:32" ht="14.25" customHeight="1" x14ac:dyDescent="0.35">
      <c r="A1560" s="14" t="s">
        <v>1226</v>
      </c>
      <c r="B1560" s="14" t="s">
        <v>420</v>
      </c>
      <c r="C1560" s="14" t="s">
        <v>414</v>
      </c>
      <c r="D1560" s="14" t="s">
        <v>512</v>
      </c>
      <c r="E1560" s="15">
        <v>41640</v>
      </c>
      <c r="F1560" s="15">
        <v>42004</v>
      </c>
      <c r="G1560" s="14" t="s">
        <v>415</v>
      </c>
      <c r="H1560" s="14">
        <v>15.6</v>
      </c>
      <c r="I1560" s="14">
        <v>15.6</v>
      </c>
      <c r="J1560" s="14">
        <v>15.6</v>
      </c>
      <c r="K1560" s="14">
        <v>15.6</v>
      </c>
      <c r="L1560" s="14">
        <v>15.6</v>
      </c>
      <c r="M1560" s="14">
        <v>21</v>
      </c>
      <c r="N1560" s="14">
        <v>21</v>
      </c>
      <c r="O1560" s="14">
        <v>21</v>
      </c>
      <c r="P1560" s="14">
        <v>21</v>
      </c>
      <c r="Q1560" s="14">
        <v>21</v>
      </c>
      <c r="R1560" s="14">
        <v>21</v>
      </c>
      <c r="S1560" s="14">
        <v>21</v>
      </c>
      <c r="T1560" s="14">
        <v>21</v>
      </c>
      <c r="U1560" s="14">
        <v>21</v>
      </c>
      <c r="V1560" s="14">
        <v>21</v>
      </c>
      <c r="W1560" s="14">
        <v>21</v>
      </c>
      <c r="X1560" s="14">
        <v>21</v>
      </c>
      <c r="Y1560" s="14">
        <v>15.6</v>
      </c>
      <c r="Z1560" s="14">
        <v>15.6</v>
      </c>
      <c r="AA1560" s="14">
        <v>15.6</v>
      </c>
      <c r="AB1560" s="14">
        <v>15.6</v>
      </c>
      <c r="AC1560" s="14">
        <v>15.6</v>
      </c>
      <c r="AD1560" s="14">
        <v>15.6</v>
      </c>
      <c r="AE1560" s="14">
        <v>15.6</v>
      </c>
      <c r="AF1560" s="14" t="s">
        <v>413</v>
      </c>
    </row>
    <row r="1561" spans="1:32" ht="14.25" customHeight="1" x14ac:dyDescent="0.35">
      <c r="A1561" s="14" t="s">
        <v>1226</v>
      </c>
      <c r="B1561" s="14" t="s">
        <v>420</v>
      </c>
      <c r="C1561" s="14" t="s">
        <v>414</v>
      </c>
      <c r="D1561" s="14" t="s">
        <v>429</v>
      </c>
      <c r="E1561" s="15">
        <v>41640</v>
      </c>
      <c r="F1561" s="15">
        <v>42004</v>
      </c>
      <c r="G1561" s="14" t="s">
        <v>415</v>
      </c>
      <c r="H1561" s="14">
        <v>15.6</v>
      </c>
      <c r="I1561" s="14">
        <v>15.6</v>
      </c>
      <c r="J1561" s="14">
        <v>15.6</v>
      </c>
      <c r="K1561" s="14">
        <v>15.6</v>
      </c>
      <c r="L1561" s="14">
        <v>15.6</v>
      </c>
      <c r="M1561" s="14">
        <v>21</v>
      </c>
      <c r="N1561" s="14">
        <v>21</v>
      </c>
      <c r="O1561" s="14">
        <v>21</v>
      </c>
      <c r="P1561" s="14">
        <v>21</v>
      </c>
      <c r="Q1561" s="14">
        <v>21</v>
      </c>
      <c r="R1561" s="14">
        <v>21</v>
      </c>
      <c r="S1561" s="14">
        <v>21</v>
      </c>
      <c r="T1561" s="14">
        <v>21</v>
      </c>
      <c r="U1561" s="14">
        <v>21</v>
      </c>
      <c r="V1561" s="14">
        <v>21</v>
      </c>
      <c r="W1561" s="14">
        <v>21</v>
      </c>
      <c r="X1561" s="14">
        <v>21</v>
      </c>
      <c r="Y1561" s="14">
        <v>21</v>
      </c>
      <c r="Z1561" s="14">
        <v>21</v>
      </c>
      <c r="AA1561" s="14">
        <v>21</v>
      </c>
      <c r="AB1561" s="14">
        <v>21</v>
      </c>
      <c r="AC1561" s="14">
        <v>21</v>
      </c>
      <c r="AD1561" s="14">
        <v>15.6</v>
      </c>
      <c r="AE1561" s="14">
        <v>15.6</v>
      </c>
      <c r="AF1561" s="14" t="s">
        <v>413</v>
      </c>
    </row>
    <row r="1562" spans="1:32" ht="14.25" customHeight="1" x14ac:dyDescent="0.35">
      <c r="A1562" s="14" t="s">
        <v>1226</v>
      </c>
      <c r="B1562" s="14" t="s">
        <v>420</v>
      </c>
      <c r="C1562" s="14" t="s">
        <v>414</v>
      </c>
      <c r="D1562" s="14" t="s">
        <v>418</v>
      </c>
      <c r="E1562" s="15">
        <v>41640</v>
      </c>
      <c r="F1562" s="15">
        <v>42004</v>
      </c>
      <c r="G1562" s="14" t="s">
        <v>415</v>
      </c>
      <c r="H1562" s="14">
        <v>15.6</v>
      </c>
      <c r="I1562" s="14">
        <v>15.6</v>
      </c>
      <c r="J1562" s="14">
        <v>15.6</v>
      </c>
      <c r="K1562" s="14">
        <v>15.6</v>
      </c>
      <c r="L1562" s="14">
        <v>15.6</v>
      </c>
      <c r="M1562" s="14">
        <v>17.600000000000001</v>
      </c>
      <c r="N1562" s="14">
        <v>19.600000000000001</v>
      </c>
      <c r="O1562" s="14">
        <v>21</v>
      </c>
      <c r="P1562" s="14">
        <v>21</v>
      </c>
      <c r="Q1562" s="14">
        <v>21</v>
      </c>
      <c r="R1562" s="14">
        <v>21</v>
      </c>
      <c r="S1562" s="14">
        <v>21</v>
      </c>
      <c r="T1562" s="14">
        <v>21</v>
      </c>
      <c r="U1562" s="14">
        <v>21</v>
      </c>
      <c r="V1562" s="14">
        <v>21</v>
      </c>
      <c r="W1562" s="14">
        <v>21</v>
      </c>
      <c r="X1562" s="14">
        <v>21</v>
      </c>
      <c r="Y1562" s="14">
        <v>21</v>
      </c>
      <c r="Z1562" s="14">
        <v>21</v>
      </c>
      <c r="AA1562" s="14">
        <v>21</v>
      </c>
      <c r="AB1562" s="14">
        <v>21</v>
      </c>
      <c r="AC1562" s="14">
        <v>21</v>
      </c>
      <c r="AD1562" s="14">
        <v>15.6</v>
      </c>
      <c r="AE1562" s="14">
        <v>15.6</v>
      </c>
      <c r="AF1562" s="14" t="s">
        <v>413</v>
      </c>
    </row>
    <row r="1563" spans="1:32" ht="14.25" customHeight="1" x14ac:dyDescent="0.35">
      <c r="A1563" s="16" t="s">
        <v>1227</v>
      </c>
      <c r="B1563" s="16" t="s">
        <v>420</v>
      </c>
      <c r="C1563" s="16" t="s">
        <v>414</v>
      </c>
      <c r="D1563" s="16" t="s">
        <v>453</v>
      </c>
      <c r="E1563" s="17">
        <v>41640</v>
      </c>
      <c r="F1563" s="17">
        <v>42004</v>
      </c>
      <c r="G1563" s="16" t="s">
        <v>410</v>
      </c>
      <c r="H1563" s="16">
        <v>15.6</v>
      </c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 t="s">
        <v>413</v>
      </c>
    </row>
    <row r="1564" spans="1:32" ht="14.25" customHeight="1" x14ac:dyDescent="0.35">
      <c r="A1564" s="16" t="s">
        <v>1227</v>
      </c>
      <c r="B1564" s="16" t="s">
        <v>420</v>
      </c>
      <c r="C1564" s="16" t="s">
        <v>414</v>
      </c>
      <c r="D1564" s="16" t="s">
        <v>512</v>
      </c>
      <c r="E1564" s="17">
        <v>41640</v>
      </c>
      <c r="F1564" s="17">
        <v>42004</v>
      </c>
      <c r="G1564" s="16" t="s">
        <v>415</v>
      </c>
      <c r="H1564" s="16">
        <v>15.6</v>
      </c>
      <c r="I1564" s="16">
        <v>15.6</v>
      </c>
      <c r="J1564" s="16">
        <v>15.6</v>
      </c>
      <c r="K1564" s="16">
        <v>15.6</v>
      </c>
      <c r="L1564" s="16">
        <v>15.6</v>
      </c>
      <c r="M1564" s="16">
        <v>17.8</v>
      </c>
      <c r="N1564" s="16">
        <v>20</v>
      </c>
      <c r="O1564" s="16">
        <v>21</v>
      </c>
      <c r="P1564" s="16">
        <v>21</v>
      </c>
      <c r="Q1564" s="16">
        <v>21</v>
      </c>
      <c r="R1564" s="16">
        <v>21</v>
      </c>
      <c r="S1564" s="16">
        <v>21</v>
      </c>
      <c r="T1564" s="16">
        <v>21</v>
      </c>
      <c r="U1564" s="16">
        <v>21</v>
      </c>
      <c r="V1564" s="16">
        <v>21</v>
      </c>
      <c r="W1564" s="16">
        <v>21</v>
      </c>
      <c r="X1564" s="16">
        <v>21</v>
      </c>
      <c r="Y1564" s="16">
        <v>15.6</v>
      </c>
      <c r="Z1564" s="16">
        <v>15.6</v>
      </c>
      <c r="AA1564" s="16">
        <v>15.6</v>
      </c>
      <c r="AB1564" s="16">
        <v>15.6</v>
      </c>
      <c r="AC1564" s="16">
        <v>15.6</v>
      </c>
      <c r="AD1564" s="16">
        <v>15.6</v>
      </c>
      <c r="AE1564" s="16">
        <v>15.6</v>
      </c>
      <c r="AF1564" s="16" t="s">
        <v>413</v>
      </c>
    </row>
    <row r="1565" spans="1:32" ht="14.25" customHeight="1" x14ac:dyDescent="0.35">
      <c r="A1565" s="16" t="s">
        <v>1227</v>
      </c>
      <c r="B1565" s="16" t="s">
        <v>420</v>
      </c>
      <c r="C1565" s="16" t="s">
        <v>414</v>
      </c>
      <c r="D1565" s="16" t="s">
        <v>429</v>
      </c>
      <c r="E1565" s="17">
        <v>41640</v>
      </c>
      <c r="F1565" s="17">
        <v>42004</v>
      </c>
      <c r="G1565" s="16" t="s">
        <v>415</v>
      </c>
      <c r="H1565" s="16">
        <v>15.6</v>
      </c>
      <c r="I1565" s="16">
        <v>15.6</v>
      </c>
      <c r="J1565" s="16">
        <v>15.6</v>
      </c>
      <c r="K1565" s="16">
        <v>15.6</v>
      </c>
      <c r="L1565" s="16">
        <v>15.6</v>
      </c>
      <c r="M1565" s="16">
        <v>17.8</v>
      </c>
      <c r="N1565" s="16">
        <v>20</v>
      </c>
      <c r="O1565" s="16">
        <v>21</v>
      </c>
      <c r="P1565" s="16">
        <v>21</v>
      </c>
      <c r="Q1565" s="16">
        <v>21</v>
      </c>
      <c r="R1565" s="16">
        <v>21</v>
      </c>
      <c r="S1565" s="16">
        <v>21</v>
      </c>
      <c r="T1565" s="16">
        <v>21</v>
      </c>
      <c r="U1565" s="16">
        <v>21</v>
      </c>
      <c r="V1565" s="16">
        <v>21</v>
      </c>
      <c r="W1565" s="16">
        <v>21</v>
      </c>
      <c r="X1565" s="16">
        <v>21</v>
      </c>
      <c r="Y1565" s="16">
        <v>21</v>
      </c>
      <c r="Z1565" s="16">
        <v>21</v>
      </c>
      <c r="AA1565" s="16">
        <v>21</v>
      </c>
      <c r="AB1565" s="16">
        <v>21</v>
      </c>
      <c r="AC1565" s="16">
        <v>21</v>
      </c>
      <c r="AD1565" s="16">
        <v>15.6</v>
      </c>
      <c r="AE1565" s="16">
        <v>15.6</v>
      </c>
      <c r="AF1565" s="16" t="s">
        <v>413</v>
      </c>
    </row>
    <row r="1566" spans="1:32" ht="14.25" customHeight="1" x14ac:dyDescent="0.35">
      <c r="A1566" s="16" t="s">
        <v>1227</v>
      </c>
      <c r="B1566" s="16" t="s">
        <v>420</v>
      </c>
      <c r="C1566" s="16" t="s">
        <v>414</v>
      </c>
      <c r="D1566" s="16" t="s">
        <v>418</v>
      </c>
      <c r="E1566" s="17">
        <v>41640</v>
      </c>
      <c r="F1566" s="17">
        <v>42004</v>
      </c>
      <c r="G1566" s="16" t="s">
        <v>415</v>
      </c>
      <c r="H1566" s="16">
        <v>15.6</v>
      </c>
      <c r="I1566" s="16">
        <v>15.6</v>
      </c>
      <c r="J1566" s="16">
        <v>15.6</v>
      </c>
      <c r="K1566" s="16">
        <v>15.6</v>
      </c>
      <c r="L1566" s="16">
        <v>15.6</v>
      </c>
      <c r="M1566" s="16">
        <v>17.600000000000001</v>
      </c>
      <c r="N1566" s="16">
        <v>19.600000000000001</v>
      </c>
      <c r="O1566" s="16">
        <v>21</v>
      </c>
      <c r="P1566" s="16">
        <v>21</v>
      </c>
      <c r="Q1566" s="16">
        <v>21</v>
      </c>
      <c r="R1566" s="16">
        <v>21</v>
      </c>
      <c r="S1566" s="16">
        <v>21</v>
      </c>
      <c r="T1566" s="16">
        <v>21</v>
      </c>
      <c r="U1566" s="16">
        <v>21</v>
      </c>
      <c r="V1566" s="16">
        <v>21</v>
      </c>
      <c r="W1566" s="16">
        <v>21</v>
      </c>
      <c r="X1566" s="16">
        <v>21</v>
      </c>
      <c r="Y1566" s="16">
        <v>21</v>
      </c>
      <c r="Z1566" s="16">
        <v>21</v>
      </c>
      <c r="AA1566" s="16">
        <v>21</v>
      </c>
      <c r="AB1566" s="16">
        <v>21</v>
      </c>
      <c r="AC1566" s="16">
        <v>21</v>
      </c>
      <c r="AD1566" s="16">
        <v>15.6</v>
      </c>
      <c r="AE1566" s="16">
        <v>15.6</v>
      </c>
      <c r="AF1566" s="16" t="s">
        <v>413</v>
      </c>
    </row>
    <row r="1567" spans="1:32" ht="14.25" customHeight="1" x14ac:dyDescent="0.35">
      <c r="A1567" s="14" t="s">
        <v>1228</v>
      </c>
      <c r="B1567" s="14" t="s">
        <v>420</v>
      </c>
      <c r="C1567" s="14" t="s">
        <v>414</v>
      </c>
      <c r="D1567" s="14" t="s">
        <v>453</v>
      </c>
      <c r="E1567" s="15">
        <v>41640</v>
      </c>
      <c r="F1567" s="15">
        <v>42004</v>
      </c>
      <c r="G1567" s="14" t="s">
        <v>410</v>
      </c>
      <c r="H1567" s="14">
        <v>15.6</v>
      </c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 t="s">
        <v>413</v>
      </c>
    </row>
    <row r="1568" spans="1:32" ht="14.25" customHeight="1" x14ac:dyDescent="0.35">
      <c r="A1568" s="14" t="s">
        <v>1228</v>
      </c>
      <c r="B1568" s="14" t="s">
        <v>420</v>
      </c>
      <c r="C1568" s="14" t="s">
        <v>414</v>
      </c>
      <c r="D1568" s="14" t="s">
        <v>512</v>
      </c>
      <c r="E1568" s="15">
        <v>41640</v>
      </c>
      <c r="F1568" s="15">
        <v>42004</v>
      </c>
      <c r="G1568" s="14" t="s">
        <v>415</v>
      </c>
      <c r="H1568" s="14">
        <v>15.6</v>
      </c>
      <c r="I1568" s="14">
        <v>15.6</v>
      </c>
      <c r="J1568" s="14">
        <v>15.6</v>
      </c>
      <c r="K1568" s="14">
        <v>15.6</v>
      </c>
      <c r="L1568" s="14">
        <v>15.6</v>
      </c>
      <c r="M1568" s="14">
        <v>17.8</v>
      </c>
      <c r="N1568" s="14">
        <v>20</v>
      </c>
      <c r="O1568" s="14">
        <v>21</v>
      </c>
      <c r="P1568" s="14">
        <v>21</v>
      </c>
      <c r="Q1568" s="14">
        <v>21</v>
      </c>
      <c r="R1568" s="14">
        <v>21</v>
      </c>
      <c r="S1568" s="14">
        <v>21</v>
      </c>
      <c r="T1568" s="14">
        <v>21</v>
      </c>
      <c r="U1568" s="14">
        <v>21</v>
      </c>
      <c r="V1568" s="14">
        <v>21</v>
      </c>
      <c r="W1568" s="14">
        <v>21</v>
      </c>
      <c r="X1568" s="14">
        <v>21</v>
      </c>
      <c r="Y1568" s="14">
        <v>15.6</v>
      </c>
      <c r="Z1568" s="14">
        <v>15.6</v>
      </c>
      <c r="AA1568" s="14">
        <v>15.6</v>
      </c>
      <c r="AB1568" s="14">
        <v>15.6</v>
      </c>
      <c r="AC1568" s="14">
        <v>15.6</v>
      </c>
      <c r="AD1568" s="14">
        <v>15.6</v>
      </c>
      <c r="AE1568" s="14">
        <v>15.6</v>
      </c>
      <c r="AF1568" s="14" t="s">
        <v>413</v>
      </c>
    </row>
    <row r="1569" spans="1:32" ht="14.25" customHeight="1" x14ac:dyDescent="0.35">
      <c r="A1569" s="14" t="s">
        <v>1228</v>
      </c>
      <c r="B1569" s="14" t="s">
        <v>420</v>
      </c>
      <c r="C1569" s="14" t="s">
        <v>414</v>
      </c>
      <c r="D1569" s="14" t="s">
        <v>429</v>
      </c>
      <c r="E1569" s="15">
        <v>41640</v>
      </c>
      <c r="F1569" s="15">
        <v>42004</v>
      </c>
      <c r="G1569" s="14" t="s">
        <v>415</v>
      </c>
      <c r="H1569" s="14">
        <v>15.6</v>
      </c>
      <c r="I1569" s="14">
        <v>15.6</v>
      </c>
      <c r="J1569" s="14">
        <v>15.6</v>
      </c>
      <c r="K1569" s="14">
        <v>15.6</v>
      </c>
      <c r="L1569" s="14">
        <v>15.6</v>
      </c>
      <c r="M1569" s="14">
        <v>17.8</v>
      </c>
      <c r="N1569" s="14">
        <v>20</v>
      </c>
      <c r="O1569" s="14">
        <v>21</v>
      </c>
      <c r="P1569" s="14">
        <v>21</v>
      </c>
      <c r="Q1569" s="14">
        <v>21</v>
      </c>
      <c r="R1569" s="14">
        <v>21</v>
      </c>
      <c r="S1569" s="14">
        <v>21</v>
      </c>
      <c r="T1569" s="14">
        <v>21</v>
      </c>
      <c r="U1569" s="14">
        <v>21</v>
      </c>
      <c r="V1569" s="14">
        <v>21</v>
      </c>
      <c r="W1569" s="14">
        <v>21</v>
      </c>
      <c r="X1569" s="14">
        <v>21</v>
      </c>
      <c r="Y1569" s="14">
        <v>21</v>
      </c>
      <c r="Z1569" s="14">
        <v>21</v>
      </c>
      <c r="AA1569" s="14">
        <v>21</v>
      </c>
      <c r="AB1569" s="14">
        <v>21</v>
      </c>
      <c r="AC1569" s="14">
        <v>21</v>
      </c>
      <c r="AD1569" s="14">
        <v>15.6</v>
      </c>
      <c r="AE1569" s="14">
        <v>15.6</v>
      </c>
      <c r="AF1569" s="14" t="s">
        <v>413</v>
      </c>
    </row>
    <row r="1570" spans="1:32" ht="14.25" customHeight="1" x14ac:dyDescent="0.35">
      <c r="A1570" s="14" t="s">
        <v>1228</v>
      </c>
      <c r="B1570" s="14" t="s">
        <v>420</v>
      </c>
      <c r="C1570" s="14" t="s">
        <v>414</v>
      </c>
      <c r="D1570" s="14" t="s">
        <v>418</v>
      </c>
      <c r="E1570" s="15">
        <v>41640</v>
      </c>
      <c r="F1570" s="15">
        <v>42004</v>
      </c>
      <c r="G1570" s="14" t="s">
        <v>415</v>
      </c>
      <c r="H1570" s="14">
        <v>15.6</v>
      </c>
      <c r="I1570" s="14">
        <v>15.6</v>
      </c>
      <c r="J1570" s="14">
        <v>15.6</v>
      </c>
      <c r="K1570" s="14">
        <v>15.6</v>
      </c>
      <c r="L1570" s="14">
        <v>15.6</v>
      </c>
      <c r="M1570" s="14">
        <v>17.600000000000001</v>
      </c>
      <c r="N1570" s="14">
        <v>19.600000000000001</v>
      </c>
      <c r="O1570" s="14">
        <v>21</v>
      </c>
      <c r="P1570" s="14">
        <v>21</v>
      </c>
      <c r="Q1570" s="14">
        <v>21</v>
      </c>
      <c r="R1570" s="14">
        <v>21</v>
      </c>
      <c r="S1570" s="14">
        <v>21</v>
      </c>
      <c r="T1570" s="14">
        <v>21</v>
      </c>
      <c r="U1570" s="14">
        <v>21</v>
      </c>
      <c r="V1570" s="14">
        <v>21</v>
      </c>
      <c r="W1570" s="14">
        <v>21</v>
      </c>
      <c r="X1570" s="14">
        <v>21</v>
      </c>
      <c r="Y1570" s="14">
        <v>21</v>
      </c>
      <c r="Z1570" s="14">
        <v>21</v>
      </c>
      <c r="AA1570" s="14">
        <v>21</v>
      </c>
      <c r="AB1570" s="14">
        <v>21</v>
      </c>
      <c r="AC1570" s="14">
        <v>21</v>
      </c>
      <c r="AD1570" s="14">
        <v>15.6</v>
      </c>
      <c r="AE1570" s="14">
        <v>15.6</v>
      </c>
      <c r="AF1570" s="14" t="s">
        <v>413</v>
      </c>
    </row>
    <row r="1571" spans="1:32" ht="14.25" customHeight="1" x14ac:dyDescent="0.35">
      <c r="A1571" s="16" t="s">
        <v>1229</v>
      </c>
      <c r="B1571" s="16" t="s">
        <v>408</v>
      </c>
      <c r="C1571" s="16"/>
      <c r="D1571" s="16" t="s">
        <v>603</v>
      </c>
      <c r="E1571" s="17">
        <v>41640</v>
      </c>
      <c r="F1571" s="17">
        <v>42004</v>
      </c>
      <c r="G1571" s="16" t="s">
        <v>410</v>
      </c>
      <c r="H1571" s="16">
        <v>50</v>
      </c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 t="s">
        <v>413</v>
      </c>
    </row>
    <row r="1572" spans="1:32" ht="14.25" customHeight="1" x14ac:dyDescent="0.35">
      <c r="A1572" s="14" t="s">
        <v>1230</v>
      </c>
      <c r="B1572" s="14" t="s">
        <v>600</v>
      </c>
      <c r="C1572" s="14"/>
      <c r="D1572" s="14" t="s">
        <v>417</v>
      </c>
      <c r="E1572" s="15">
        <v>41640</v>
      </c>
      <c r="F1572" s="15">
        <v>42004</v>
      </c>
      <c r="G1572" s="14" t="s">
        <v>410</v>
      </c>
      <c r="H1572" s="14">
        <v>0</v>
      </c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 t="s">
        <v>413</v>
      </c>
    </row>
    <row r="1573" spans="1:32" ht="14.25" customHeight="1" x14ac:dyDescent="0.35">
      <c r="A1573" s="14" t="s">
        <v>1230</v>
      </c>
      <c r="B1573" s="14" t="s">
        <v>600</v>
      </c>
      <c r="C1573" s="14"/>
      <c r="D1573" s="14" t="s">
        <v>556</v>
      </c>
      <c r="E1573" s="15">
        <v>41640</v>
      </c>
      <c r="F1573" s="15">
        <v>42004</v>
      </c>
      <c r="G1573" s="14" t="s">
        <v>415</v>
      </c>
      <c r="H1573" s="14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1</v>
      </c>
      <c r="O1573" s="14">
        <v>1</v>
      </c>
      <c r="P1573" s="14">
        <v>1</v>
      </c>
      <c r="Q1573" s="14">
        <v>1</v>
      </c>
      <c r="R1573" s="14">
        <v>1</v>
      </c>
      <c r="S1573" s="14">
        <v>1</v>
      </c>
      <c r="T1573" s="14">
        <v>1</v>
      </c>
      <c r="U1573" s="14">
        <v>1</v>
      </c>
      <c r="V1573" s="14">
        <v>1</v>
      </c>
      <c r="W1573" s="14">
        <v>1</v>
      </c>
      <c r="X1573" s="14">
        <v>1</v>
      </c>
      <c r="Y1573" s="14">
        <v>1</v>
      </c>
      <c r="Z1573" s="14">
        <v>1</v>
      </c>
      <c r="AA1573" s="14">
        <v>1</v>
      </c>
      <c r="AB1573" s="14">
        <v>1</v>
      </c>
      <c r="AC1573" s="14">
        <v>1</v>
      </c>
      <c r="AD1573" s="14">
        <v>0</v>
      </c>
      <c r="AE1573" s="14">
        <v>0</v>
      </c>
      <c r="AF1573" s="14" t="s">
        <v>413</v>
      </c>
    </row>
    <row r="1574" spans="1:32" ht="14.25" customHeight="1" x14ac:dyDescent="0.35">
      <c r="A1574" s="16" t="s">
        <v>1230</v>
      </c>
      <c r="B1574" s="16" t="s">
        <v>600</v>
      </c>
      <c r="C1574" s="16"/>
      <c r="D1574" s="16" t="s">
        <v>514</v>
      </c>
      <c r="E1574" s="17">
        <v>41640</v>
      </c>
      <c r="F1574" s="17">
        <v>42004</v>
      </c>
      <c r="G1574" s="16" t="s">
        <v>415</v>
      </c>
      <c r="H1574" s="16">
        <v>0</v>
      </c>
      <c r="I1574" s="16">
        <v>0</v>
      </c>
      <c r="J1574" s="16">
        <v>0</v>
      </c>
      <c r="K1574" s="16">
        <v>0</v>
      </c>
      <c r="L1574" s="16">
        <v>0</v>
      </c>
      <c r="M1574" s="16">
        <v>0</v>
      </c>
      <c r="N1574" s="16">
        <v>1</v>
      </c>
      <c r="O1574" s="16">
        <v>1</v>
      </c>
      <c r="P1574" s="16">
        <v>1</v>
      </c>
      <c r="Q1574" s="16">
        <v>1</v>
      </c>
      <c r="R1574" s="16">
        <v>1</v>
      </c>
      <c r="S1574" s="16">
        <v>1</v>
      </c>
      <c r="T1574" s="16">
        <v>1</v>
      </c>
      <c r="U1574" s="16">
        <v>1</v>
      </c>
      <c r="V1574" s="16">
        <v>1</v>
      </c>
      <c r="W1574" s="16">
        <v>1</v>
      </c>
      <c r="X1574" s="16">
        <v>1</v>
      </c>
      <c r="Y1574" s="16">
        <v>1</v>
      </c>
      <c r="Z1574" s="16">
        <v>0</v>
      </c>
      <c r="AA1574" s="16">
        <v>0</v>
      </c>
      <c r="AB1574" s="16">
        <v>0</v>
      </c>
      <c r="AC1574" s="16">
        <v>0</v>
      </c>
      <c r="AD1574" s="16">
        <v>0</v>
      </c>
      <c r="AE1574" s="16">
        <v>0</v>
      </c>
      <c r="AF1574" s="16" t="s">
        <v>413</v>
      </c>
    </row>
    <row r="1575" spans="1:32" ht="14.25" customHeight="1" x14ac:dyDescent="0.35">
      <c r="A1575" s="16" t="s">
        <v>1231</v>
      </c>
      <c r="B1575" s="16" t="s">
        <v>408</v>
      </c>
      <c r="C1575" s="16" t="s">
        <v>414</v>
      </c>
      <c r="D1575" s="16" t="s">
        <v>409</v>
      </c>
      <c r="E1575" s="17">
        <v>41640</v>
      </c>
      <c r="F1575" s="17">
        <v>42004</v>
      </c>
      <c r="G1575" s="16" t="s">
        <v>410</v>
      </c>
      <c r="H1575" s="16">
        <v>60</v>
      </c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 t="s">
        <v>413</v>
      </c>
    </row>
    <row r="1576" spans="1:32" ht="14.25" customHeight="1" x14ac:dyDescent="0.35">
      <c r="A1576" s="14" t="s">
        <v>1232</v>
      </c>
      <c r="B1576" s="14" t="s">
        <v>441</v>
      </c>
      <c r="C1576" s="14"/>
      <c r="D1576" s="14" t="s">
        <v>409</v>
      </c>
      <c r="E1576" s="15">
        <v>41640</v>
      </c>
      <c r="F1576" s="15">
        <v>42004</v>
      </c>
      <c r="G1576" s="14" t="s">
        <v>410</v>
      </c>
      <c r="H1576" s="14">
        <v>0</v>
      </c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 t="s">
        <v>413</v>
      </c>
    </row>
    <row r="1577" spans="1:32" ht="14.25" customHeight="1" x14ac:dyDescent="0.35">
      <c r="A1577" s="16" t="s">
        <v>1232</v>
      </c>
      <c r="B1577" s="16" t="s">
        <v>441</v>
      </c>
      <c r="C1577" s="16"/>
      <c r="D1577" s="16" t="s">
        <v>429</v>
      </c>
      <c r="E1577" s="17">
        <v>41640</v>
      </c>
      <c r="F1577" s="17">
        <v>42004</v>
      </c>
      <c r="G1577" s="16" t="s">
        <v>415</v>
      </c>
      <c r="H1577" s="16">
        <v>0</v>
      </c>
      <c r="I1577" s="16">
        <v>0</v>
      </c>
      <c r="J1577" s="16">
        <v>0</v>
      </c>
      <c r="K1577" s="16">
        <v>0</v>
      </c>
      <c r="L1577" s="16">
        <v>0</v>
      </c>
      <c r="M1577" s="16">
        <v>0</v>
      </c>
      <c r="N1577" s="16">
        <v>0.14399999999999999</v>
      </c>
      <c r="O1577" s="16">
        <v>1</v>
      </c>
      <c r="P1577" s="16">
        <v>0.14399999999999999</v>
      </c>
      <c r="Q1577" s="16">
        <v>0.14399999999999999</v>
      </c>
      <c r="R1577" s="16">
        <v>0.14399999999999999</v>
      </c>
      <c r="S1577" s="16">
        <v>0.14399999999999999</v>
      </c>
      <c r="T1577" s="16">
        <v>1</v>
      </c>
      <c r="U1577" s="16">
        <v>0.14399999999999999</v>
      </c>
      <c r="V1577" s="16">
        <v>0.14399999999999999</v>
      </c>
      <c r="W1577" s="16">
        <v>0.14399999999999999</v>
      </c>
      <c r="X1577" s="16">
        <v>0.14399999999999999</v>
      </c>
      <c r="Y1577" s="16">
        <v>1</v>
      </c>
      <c r="Z1577" s="16">
        <v>0.14399999999999999</v>
      </c>
      <c r="AA1577" s="16">
        <v>0</v>
      </c>
      <c r="AB1577" s="16">
        <v>0</v>
      </c>
      <c r="AC1577" s="16">
        <v>0</v>
      </c>
      <c r="AD1577" s="16">
        <v>0</v>
      </c>
      <c r="AE1577" s="16">
        <v>0</v>
      </c>
      <c r="AF1577" s="16" t="s">
        <v>413</v>
      </c>
    </row>
    <row r="1578" spans="1:32" ht="14.25" customHeight="1" x14ac:dyDescent="0.35">
      <c r="A1578" s="14" t="s">
        <v>320</v>
      </c>
      <c r="B1578" s="14" t="s">
        <v>441</v>
      </c>
      <c r="C1578" s="14"/>
      <c r="D1578" s="14" t="s">
        <v>417</v>
      </c>
      <c r="E1578" s="15">
        <v>41640</v>
      </c>
      <c r="F1578" s="15">
        <v>42004</v>
      </c>
      <c r="G1578" s="14" t="s">
        <v>410</v>
      </c>
      <c r="H1578" s="14">
        <v>1</v>
      </c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 t="s">
        <v>413</v>
      </c>
    </row>
    <row r="1579" spans="1:32" ht="14.25" customHeight="1" x14ac:dyDescent="0.35">
      <c r="A1579" s="14" t="s">
        <v>320</v>
      </c>
      <c r="B1579" s="14" t="s">
        <v>441</v>
      </c>
      <c r="C1579" s="14"/>
      <c r="D1579" s="14" t="s">
        <v>556</v>
      </c>
      <c r="E1579" s="15">
        <v>41640</v>
      </c>
      <c r="F1579" s="15">
        <v>42004</v>
      </c>
      <c r="G1579" s="14" t="s">
        <v>415</v>
      </c>
      <c r="H1579" s="14">
        <v>1</v>
      </c>
      <c r="I1579" s="14">
        <v>1</v>
      </c>
      <c r="J1579" s="14">
        <v>1</v>
      </c>
      <c r="K1579" s="14">
        <v>1</v>
      </c>
      <c r="L1579" s="14">
        <v>1</v>
      </c>
      <c r="M1579" s="14">
        <v>1</v>
      </c>
      <c r="N1579" s="14">
        <v>0.25</v>
      </c>
      <c r="O1579" s="14">
        <v>0.25</v>
      </c>
      <c r="P1579" s="14">
        <v>0.25</v>
      </c>
      <c r="Q1579" s="14">
        <v>0.25</v>
      </c>
      <c r="R1579" s="14">
        <v>0.25</v>
      </c>
      <c r="S1579" s="14">
        <v>0.25</v>
      </c>
      <c r="T1579" s="14">
        <v>0.25</v>
      </c>
      <c r="U1579" s="14">
        <v>0.25</v>
      </c>
      <c r="V1579" s="14">
        <v>0.25</v>
      </c>
      <c r="W1579" s="14">
        <v>0.25</v>
      </c>
      <c r="X1579" s="14">
        <v>0.25</v>
      </c>
      <c r="Y1579" s="14">
        <v>0.25</v>
      </c>
      <c r="Z1579" s="14">
        <v>0.25</v>
      </c>
      <c r="AA1579" s="14">
        <v>0.25</v>
      </c>
      <c r="AB1579" s="14">
        <v>0.25</v>
      </c>
      <c r="AC1579" s="14">
        <v>0.25</v>
      </c>
      <c r="AD1579" s="14">
        <v>1</v>
      </c>
      <c r="AE1579" s="14">
        <v>1</v>
      </c>
      <c r="AF1579" s="14" t="s">
        <v>413</v>
      </c>
    </row>
    <row r="1580" spans="1:32" ht="14.25" customHeight="1" x14ac:dyDescent="0.35">
      <c r="A1580" s="16" t="s">
        <v>320</v>
      </c>
      <c r="B1580" s="16" t="s">
        <v>441</v>
      </c>
      <c r="C1580" s="16"/>
      <c r="D1580" s="16" t="s">
        <v>514</v>
      </c>
      <c r="E1580" s="17">
        <v>41640</v>
      </c>
      <c r="F1580" s="17">
        <v>42004</v>
      </c>
      <c r="G1580" s="16" t="s">
        <v>415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0.25</v>
      </c>
      <c r="O1580" s="16">
        <v>0.25</v>
      </c>
      <c r="P1580" s="16">
        <v>0.25</v>
      </c>
      <c r="Q1580" s="16">
        <v>0.25</v>
      </c>
      <c r="R1580" s="16">
        <v>0.25</v>
      </c>
      <c r="S1580" s="16">
        <v>0.25</v>
      </c>
      <c r="T1580" s="16">
        <v>0.25</v>
      </c>
      <c r="U1580" s="16">
        <v>0.25</v>
      </c>
      <c r="V1580" s="16">
        <v>0.25</v>
      </c>
      <c r="W1580" s="16">
        <v>0.25</v>
      </c>
      <c r="X1580" s="16">
        <v>0.25</v>
      </c>
      <c r="Y1580" s="16">
        <v>0.25</v>
      </c>
      <c r="Z1580" s="16">
        <v>1</v>
      </c>
      <c r="AA1580" s="16">
        <v>1</v>
      </c>
      <c r="AB1580" s="16">
        <v>1</v>
      </c>
      <c r="AC1580" s="16">
        <v>1</v>
      </c>
      <c r="AD1580" s="16">
        <v>1</v>
      </c>
      <c r="AE1580" s="16">
        <v>1</v>
      </c>
      <c r="AF1580" s="16" t="s">
        <v>413</v>
      </c>
    </row>
    <row r="1581" spans="1:32" ht="14.25" customHeight="1" x14ac:dyDescent="0.35">
      <c r="A1581" s="16" t="s">
        <v>1233</v>
      </c>
      <c r="B1581" s="16" t="s">
        <v>550</v>
      </c>
      <c r="C1581" s="16"/>
      <c r="D1581" s="16" t="s">
        <v>417</v>
      </c>
      <c r="E1581" s="17">
        <v>41640</v>
      </c>
      <c r="F1581" s="17">
        <v>42004</v>
      </c>
      <c r="G1581" s="16" t="s">
        <v>410</v>
      </c>
      <c r="H1581" s="16">
        <v>0</v>
      </c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 t="s">
        <v>413</v>
      </c>
    </row>
    <row r="1582" spans="1:32" ht="14.25" customHeight="1" x14ac:dyDescent="0.35">
      <c r="A1582" s="16" t="s">
        <v>1233</v>
      </c>
      <c r="B1582" s="16" t="s">
        <v>550</v>
      </c>
      <c r="C1582" s="16"/>
      <c r="D1582" s="16" t="s">
        <v>556</v>
      </c>
      <c r="E1582" s="17">
        <v>41640</v>
      </c>
      <c r="F1582" s="17">
        <v>42004</v>
      </c>
      <c r="G1582" s="16" t="s">
        <v>415</v>
      </c>
      <c r="H1582" s="16">
        <v>0</v>
      </c>
      <c r="I1582" s="16">
        <v>0</v>
      </c>
      <c r="J1582" s="16">
        <v>0</v>
      </c>
      <c r="K1582" s="16">
        <v>0</v>
      </c>
      <c r="L1582" s="16">
        <v>0</v>
      </c>
      <c r="M1582" s="16">
        <v>0</v>
      </c>
      <c r="N1582" s="16">
        <v>0</v>
      </c>
      <c r="O1582" s="16">
        <v>1</v>
      </c>
      <c r="P1582" s="16">
        <v>1</v>
      </c>
      <c r="Q1582" s="16">
        <v>1</v>
      </c>
      <c r="R1582" s="16">
        <v>1</v>
      </c>
      <c r="S1582" s="16">
        <v>1</v>
      </c>
      <c r="T1582" s="16">
        <v>1</v>
      </c>
      <c r="U1582" s="16">
        <v>1</v>
      </c>
      <c r="V1582" s="16">
        <v>1</v>
      </c>
      <c r="W1582" s="16">
        <v>1</v>
      </c>
      <c r="X1582" s="16">
        <v>1</v>
      </c>
      <c r="Y1582" s="16">
        <v>1</v>
      </c>
      <c r="Z1582" s="16">
        <v>1</v>
      </c>
      <c r="AA1582" s="16">
        <v>1</v>
      </c>
      <c r="AB1582" s="16">
        <v>1</v>
      </c>
      <c r="AC1582" s="16">
        <v>1</v>
      </c>
      <c r="AD1582" s="16">
        <v>0</v>
      </c>
      <c r="AE1582" s="16">
        <v>0</v>
      </c>
      <c r="AF1582" s="16" t="s">
        <v>413</v>
      </c>
    </row>
    <row r="1583" spans="1:32" ht="14.25" customHeight="1" x14ac:dyDescent="0.35">
      <c r="A1583" s="14" t="s">
        <v>1233</v>
      </c>
      <c r="B1583" s="14" t="s">
        <v>550</v>
      </c>
      <c r="C1583" s="14"/>
      <c r="D1583" s="14" t="s">
        <v>514</v>
      </c>
      <c r="E1583" s="15">
        <v>41640</v>
      </c>
      <c r="F1583" s="15">
        <v>42004</v>
      </c>
      <c r="G1583" s="14" t="s">
        <v>415</v>
      </c>
      <c r="H1583" s="14">
        <v>0</v>
      </c>
      <c r="I1583" s="14">
        <v>0</v>
      </c>
      <c r="J1583" s="14">
        <v>0</v>
      </c>
      <c r="K1583" s="14">
        <v>0</v>
      </c>
      <c r="L1583" s="14">
        <v>0</v>
      </c>
      <c r="M1583" s="14">
        <v>0</v>
      </c>
      <c r="N1583" s="14">
        <v>0</v>
      </c>
      <c r="O1583" s="14">
        <v>1</v>
      </c>
      <c r="P1583" s="14">
        <v>1</v>
      </c>
      <c r="Q1583" s="14">
        <v>1</v>
      </c>
      <c r="R1583" s="14">
        <v>1</v>
      </c>
      <c r="S1583" s="14">
        <v>1</v>
      </c>
      <c r="T1583" s="14">
        <v>1</v>
      </c>
      <c r="U1583" s="14">
        <v>1</v>
      </c>
      <c r="V1583" s="14">
        <v>1</v>
      </c>
      <c r="W1583" s="14">
        <v>1</v>
      </c>
      <c r="X1583" s="14">
        <v>1</v>
      </c>
      <c r="Y1583" s="14">
        <v>1</v>
      </c>
      <c r="Z1583" s="14">
        <v>0</v>
      </c>
      <c r="AA1583" s="14">
        <v>0</v>
      </c>
      <c r="AB1583" s="14">
        <v>0</v>
      </c>
      <c r="AC1583" s="14">
        <v>0</v>
      </c>
      <c r="AD1583" s="14">
        <v>0</v>
      </c>
      <c r="AE1583" s="14">
        <v>0</v>
      </c>
      <c r="AF1583" s="14" t="s">
        <v>413</v>
      </c>
    </row>
    <row r="1584" spans="1:32" ht="14.25" customHeight="1" x14ac:dyDescent="0.35">
      <c r="A1584" s="14" t="s">
        <v>1234</v>
      </c>
      <c r="B1584" s="14" t="s">
        <v>550</v>
      </c>
      <c r="C1584" s="14"/>
      <c r="D1584" s="14" t="s">
        <v>409</v>
      </c>
      <c r="E1584" s="15">
        <v>41640</v>
      </c>
      <c r="F1584" s="15">
        <v>42004</v>
      </c>
      <c r="G1584" s="14" t="s">
        <v>410</v>
      </c>
      <c r="H1584" s="14">
        <v>1</v>
      </c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 t="s">
        <v>413</v>
      </c>
    </row>
    <row r="1585" spans="1:32" ht="14.25" customHeight="1" x14ac:dyDescent="0.35">
      <c r="A1585" s="16" t="s">
        <v>1235</v>
      </c>
      <c r="B1585" s="16" t="s">
        <v>408</v>
      </c>
      <c r="C1585" s="16"/>
      <c r="D1585" s="16" t="s">
        <v>409</v>
      </c>
      <c r="E1585" s="17">
        <v>41640</v>
      </c>
      <c r="F1585" s="17">
        <v>42004</v>
      </c>
      <c r="G1585" s="16" t="s">
        <v>410</v>
      </c>
      <c r="H1585" s="16">
        <v>0.05</v>
      </c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 t="s">
        <v>413</v>
      </c>
    </row>
    <row r="1586" spans="1:32" ht="14.25" customHeight="1" x14ac:dyDescent="0.35">
      <c r="A1586" s="14" t="s">
        <v>1236</v>
      </c>
      <c r="B1586" s="14" t="s">
        <v>408</v>
      </c>
      <c r="C1586" s="14"/>
      <c r="D1586" s="14" t="s">
        <v>409</v>
      </c>
      <c r="E1586" s="15">
        <v>41640</v>
      </c>
      <c r="F1586" s="15">
        <v>42004</v>
      </c>
      <c r="G1586" s="14" t="s">
        <v>410</v>
      </c>
      <c r="H1586" s="14">
        <v>0.2</v>
      </c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 t="s">
        <v>413</v>
      </c>
    </row>
    <row r="1587" spans="1:32" ht="14.25" customHeight="1" x14ac:dyDescent="0.35">
      <c r="A1587" s="16" t="s">
        <v>1237</v>
      </c>
      <c r="B1587" s="16" t="s">
        <v>408</v>
      </c>
      <c r="C1587" s="16" t="s">
        <v>414</v>
      </c>
      <c r="D1587" s="16" t="s">
        <v>409</v>
      </c>
      <c r="E1587" s="17">
        <v>41640</v>
      </c>
      <c r="F1587" s="17">
        <v>42004</v>
      </c>
      <c r="G1587" s="16" t="s">
        <v>410</v>
      </c>
      <c r="H1587" s="16">
        <v>60</v>
      </c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 t="s">
        <v>413</v>
      </c>
    </row>
    <row r="1588" spans="1:32" ht="14.25" customHeight="1" x14ac:dyDescent="0.35">
      <c r="A1588" s="14" t="s">
        <v>1238</v>
      </c>
      <c r="B1588" s="14" t="s">
        <v>408</v>
      </c>
      <c r="C1588" s="14" t="s">
        <v>414</v>
      </c>
      <c r="D1588" s="14" t="s">
        <v>409</v>
      </c>
      <c r="E1588" s="15">
        <v>41640</v>
      </c>
      <c r="F1588" s="15">
        <v>42004</v>
      </c>
      <c r="G1588" s="14" t="s">
        <v>410</v>
      </c>
      <c r="H1588" s="14">
        <v>55</v>
      </c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 t="s">
        <v>413</v>
      </c>
    </row>
    <row r="1589" spans="1:32" ht="14.25" customHeight="1" x14ac:dyDescent="0.35">
      <c r="A1589" s="16" t="s">
        <v>1239</v>
      </c>
      <c r="B1589" s="16" t="s">
        <v>408</v>
      </c>
      <c r="C1589" s="16"/>
      <c r="D1589" s="16" t="s">
        <v>409</v>
      </c>
      <c r="E1589" s="17">
        <v>41640</v>
      </c>
      <c r="F1589" s="17">
        <v>42004</v>
      </c>
      <c r="G1589" s="16" t="s">
        <v>410</v>
      </c>
      <c r="H1589" s="16">
        <v>0.05</v>
      </c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 t="s">
        <v>413</v>
      </c>
    </row>
    <row r="1590" spans="1:32" ht="14.25" customHeight="1" x14ac:dyDescent="0.35">
      <c r="A1590" s="14" t="s">
        <v>1240</v>
      </c>
      <c r="B1590" s="14" t="s">
        <v>408</v>
      </c>
      <c r="C1590" s="14"/>
      <c r="D1590" s="14" t="s">
        <v>409</v>
      </c>
      <c r="E1590" s="15">
        <v>41640</v>
      </c>
      <c r="F1590" s="15">
        <v>42004</v>
      </c>
      <c r="G1590" s="14" t="s">
        <v>410</v>
      </c>
      <c r="H1590" s="14">
        <v>0.2</v>
      </c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 t="s">
        <v>413</v>
      </c>
    </row>
    <row r="1591" spans="1:32" ht="14.25" customHeight="1" x14ac:dyDescent="0.35">
      <c r="A1591" s="16" t="s">
        <v>1241</v>
      </c>
      <c r="B1591" s="16" t="s">
        <v>408</v>
      </c>
      <c r="C1591" s="16" t="s">
        <v>414</v>
      </c>
      <c r="D1591" s="16" t="s">
        <v>409</v>
      </c>
      <c r="E1591" s="17">
        <v>41640</v>
      </c>
      <c r="F1591" s="17">
        <v>42004</v>
      </c>
      <c r="G1591" s="16" t="s">
        <v>410</v>
      </c>
      <c r="H1591" s="16">
        <v>60</v>
      </c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 t="s">
        <v>413</v>
      </c>
    </row>
    <row r="1592" spans="1:32" ht="14.25" customHeight="1" x14ac:dyDescent="0.35">
      <c r="A1592" s="14" t="s">
        <v>1242</v>
      </c>
      <c r="B1592" s="14" t="s">
        <v>408</v>
      </c>
      <c r="C1592" s="14" t="s">
        <v>414</v>
      </c>
      <c r="D1592" s="14" t="s">
        <v>409</v>
      </c>
      <c r="E1592" s="15">
        <v>41640</v>
      </c>
      <c r="F1592" s="15">
        <v>42004</v>
      </c>
      <c r="G1592" s="14" t="s">
        <v>410</v>
      </c>
      <c r="H1592" s="14">
        <v>55</v>
      </c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 t="s">
        <v>413</v>
      </c>
    </row>
    <row r="1593" spans="1:32" ht="14.25" customHeight="1" x14ac:dyDescent="0.35">
      <c r="A1593" s="16" t="s">
        <v>1243</v>
      </c>
      <c r="B1593" s="16" t="s">
        <v>408</v>
      </c>
      <c r="C1593" s="16"/>
      <c r="D1593" s="16" t="s">
        <v>409</v>
      </c>
      <c r="E1593" s="17">
        <v>41640</v>
      </c>
      <c r="F1593" s="17">
        <v>42004</v>
      </c>
      <c r="G1593" s="16" t="s">
        <v>410</v>
      </c>
      <c r="H1593" s="16">
        <v>0.05</v>
      </c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 t="s">
        <v>413</v>
      </c>
    </row>
    <row r="1594" spans="1:32" ht="14.25" customHeight="1" x14ac:dyDescent="0.35">
      <c r="A1594" s="14" t="s">
        <v>1244</v>
      </c>
      <c r="B1594" s="14" t="s">
        <v>408</v>
      </c>
      <c r="C1594" s="14"/>
      <c r="D1594" s="14" t="s">
        <v>409</v>
      </c>
      <c r="E1594" s="15">
        <v>41640</v>
      </c>
      <c r="F1594" s="15">
        <v>42004</v>
      </c>
      <c r="G1594" s="14" t="s">
        <v>410</v>
      </c>
      <c r="H1594" s="14">
        <v>0.2</v>
      </c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 t="s">
        <v>413</v>
      </c>
    </row>
    <row r="1595" spans="1:32" ht="14.25" customHeight="1" x14ac:dyDescent="0.35">
      <c r="A1595" s="16" t="s">
        <v>1245</v>
      </c>
      <c r="B1595" s="16" t="s">
        <v>408</v>
      </c>
      <c r="C1595" s="16" t="s">
        <v>414</v>
      </c>
      <c r="D1595" s="16" t="s">
        <v>409</v>
      </c>
      <c r="E1595" s="17">
        <v>41640</v>
      </c>
      <c r="F1595" s="17">
        <v>42004</v>
      </c>
      <c r="G1595" s="16" t="s">
        <v>410</v>
      </c>
      <c r="H1595" s="16">
        <v>60</v>
      </c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 t="s">
        <v>413</v>
      </c>
    </row>
    <row r="1596" spans="1:32" ht="14.25" customHeight="1" x14ac:dyDescent="0.35">
      <c r="A1596" s="14" t="s">
        <v>1246</v>
      </c>
      <c r="B1596" s="14" t="s">
        <v>408</v>
      </c>
      <c r="C1596" s="14" t="s">
        <v>414</v>
      </c>
      <c r="D1596" s="14" t="s">
        <v>409</v>
      </c>
      <c r="E1596" s="15">
        <v>41640</v>
      </c>
      <c r="F1596" s="15">
        <v>42004</v>
      </c>
      <c r="G1596" s="14" t="s">
        <v>410</v>
      </c>
      <c r="H1596" s="14">
        <v>55</v>
      </c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 t="s">
        <v>413</v>
      </c>
    </row>
    <row r="1597" spans="1:32" ht="14.25" customHeight="1" x14ac:dyDescent="0.35">
      <c r="A1597" s="16" t="s">
        <v>1247</v>
      </c>
      <c r="B1597" s="16" t="s">
        <v>408</v>
      </c>
      <c r="C1597" s="16"/>
      <c r="D1597" s="16" t="s">
        <v>409</v>
      </c>
      <c r="E1597" s="17">
        <v>41640</v>
      </c>
      <c r="F1597" s="17">
        <v>42004</v>
      </c>
      <c r="G1597" s="16" t="s">
        <v>410</v>
      </c>
      <c r="H1597" s="16">
        <v>0.05</v>
      </c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 t="s">
        <v>413</v>
      </c>
    </row>
    <row r="1598" spans="1:32" ht="14.25" customHeight="1" x14ac:dyDescent="0.35">
      <c r="A1598" s="14" t="s">
        <v>1248</v>
      </c>
      <c r="B1598" s="14" t="s">
        <v>408</v>
      </c>
      <c r="C1598" s="14"/>
      <c r="D1598" s="14" t="s">
        <v>409</v>
      </c>
      <c r="E1598" s="15">
        <v>41640</v>
      </c>
      <c r="F1598" s="15">
        <v>42004</v>
      </c>
      <c r="G1598" s="14" t="s">
        <v>410</v>
      </c>
      <c r="H1598" s="14">
        <v>0.2</v>
      </c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 t="s">
        <v>413</v>
      </c>
    </row>
    <row r="1599" spans="1:32" ht="14.25" customHeight="1" x14ac:dyDescent="0.35">
      <c r="A1599" s="16" t="s">
        <v>1249</v>
      </c>
      <c r="B1599" s="16" t="s">
        <v>408</v>
      </c>
      <c r="C1599" s="16" t="s">
        <v>414</v>
      </c>
      <c r="D1599" s="16" t="s">
        <v>409</v>
      </c>
      <c r="E1599" s="17">
        <v>41640</v>
      </c>
      <c r="F1599" s="17">
        <v>42004</v>
      </c>
      <c r="G1599" s="16" t="s">
        <v>410</v>
      </c>
      <c r="H1599" s="16">
        <v>60</v>
      </c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 t="s">
        <v>413</v>
      </c>
    </row>
    <row r="1600" spans="1:32" ht="14.25" customHeight="1" x14ac:dyDescent="0.35">
      <c r="A1600" s="14" t="s">
        <v>1250</v>
      </c>
      <c r="B1600" s="14" t="s">
        <v>408</v>
      </c>
      <c r="C1600" s="14" t="s">
        <v>414</v>
      </c>
      <c r="D1600" s="14" t="s">
        <v>409</v>
      </c>
      <c r="E1600" s="15">
        <v>41640</v>
      </c>
      <c r="F1600" s="15">
        <v>42004</v>
      </c>
      <c r="G1600" s="14" t="s">
        <v>410</v>
      </c>
      <c r="H1600" s="14">
        <v>55</v>
      </c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 t="s">
        <v>413</v>
      </c>
    </row>
    <row r="1601" spans="1:32" ht="14.25" customHeight="1" x14ac:dyDescent="0.35">
      <c r="A1601" s="16" t="s">
        <v>1251</v>
      </c>
      <c r="B1601" s="16" t="s">
        <v>408</v>
      </c>
      <c r="C1601" s="16"/>
      <c r="D1601" s="16" t="s">
        <v>409</v>
      </c>
      <c r="E1601" s="17">
        <v>41640</v>
      </c>
      <c r="F1601" s="17">
        <v>42004</v>
      </c>
      <c r="G1601" s="16" t="s">
        <v>410</v>
      </c>
      <c r="H1601" s="16">
        <v>0.05</v>
      </c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 t="s">
        <v>413</v>
      </c>
    </row>
    <row r="1602" spans="1:32" ht="14.25" customHeight="1" x14ac:dyDescent="0.35">
      <c r="A1602" s="14" t="s">
        <v>1252</v>
      </c>
      <c r="B1602" s="14" t="s">
        <v>408</v>
      </c>
      <c r="C1602" s="14"/>
      <c r="D1602" s="14" t="s">
        <v>409</v>
      </c>
      <c r="E1602" s="15">
        <v>41640</v>
      </c>
      <c r="F1602" s="15">
        <v>42004</v>
      </c>
      <c r="G1602" s="14" t="s">
        <v>410</v>
      </c>
      <c r="H1602" s="14">
        <v>0.2</v>
      </c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 t="s">
        <v>413</v>
      </c>
    </row>
    <row r="1603" spans="1:32" ht="14.25" customHeight="1" x14ac:dyDescent="0.35">
      <c r="A1603" s="16" t="s">
        <v>1253</v>
      </c>
      <c r="B1603" s="16" t="s">
        <v>408</v>
      </c>
      <c r="C1603" s="16" t="s">
        <v>414</v>
      </c>
      <c r="D1603" s="16" t="s">
        <v>409</v>
      </c>
      <c r="E1603" s="17">
        <v>41640</v>
      </c>
      <c r="F1603" s="17">
        <v>42004</v>
      </c>
      <c r="G1603" s="16" t="s">
        <v>410</v>
      </c>
      <c r="H1603" s="16">
        <v>60</v>
      </c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 t="s">
        <v>413</v>
      </c>
    </row>
    <row r="1604" spans="1:32" ht="14.25" customHeight="1" x14ac:dyDescent="0.35">
      <c r="A1604" s="14" t="s">
        <v>1254</v>
      </c>
      <c r="B1604" s="14" t="s">
        <v>408</v>
      </c>
      <c r="C1604" s="14" t="s">
        <v>414</v>
      </c>
      <c r="D1604" s="14" t="s">
        <v>409</v>
      </c>
      <c r="E1604" s="15">
        <v>41640</v>
      </c>
      <c r="F1604" s="15">
        <v>42004</v>
      </c>
      <c r="G1604" s="14" t="s">
        <v>410</v>
      </c>
      <c r="H1604" s="14">
        <v>55</v>
      </c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 t="s">
        <v>413</v>
      </c>
    </row>
    <row r="1605" spans="1:32" ht="14.25" customHeight="1" x14ac:dyDescent="0.35">
      <c r="A1605" s="16" t="s">
        <v>1255</v>
      </c>
      <c r="B1605" s="16" t="s">
        <v>408</v>
      </c>
      <c r="C1605" s="16"/>
      <c r="D1605" s="16" t="s">
        <v>409</v>
      </c>
      <c r="E1605" s="17">
        <v>41640</v>
      </c>
      <c r="F1605" s="17">
        <v>42004</v>
      </c>
      <c r="G1605" s="16" t="s">
        <v>410</v>
      </c>
      <c r="H1605" s="16">
        <v>0.05</v>
      </c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 t="s">
        <v>413</v>
      </c>
    </row>
    <row r="1606" spans="1:32" ht="14.25" customHeight="1" x14ac:dyDescent="0.35">
      <c r="A1606" s="14" t="s">
        <v>1256</v>
      </c>
      <c r="B1606" s="14" t="s">
        <v>408</v>
      </c>
      <c r="C1606" s="14"/>
      <c r="D1606" s="14" t="s">
        <v>409</v>
      </c>
      <c r="E1606" s="15">
        <v>41640</v>
      </c>
      <c r="F1606" s="15">
        <v>42004</v>
      </c>
      <c r="G1606" s="14" t="s">
        <v>410</v>
      </c>
      <c r="H1606" s="14">
        <v>0.2</v>
      </c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 t="s">
        <v>413</v>
      </c>
    </row>
    <row r="1607" spans="1:32" ht="14.25" customHeight="1" x14ac:dyDescent="0.35">
      <c r="A1607" s="16" t="s">
        <v>1257</v>
      </c>
      <c r="B1607" s="16" t="s">
        <v>408</v>
      </c>
      <c r="C1607" s="16" t="s">
        <v>414</v>
      </c>
      <c r="D1607" s="16" t="s">
        <v>409</v>
      </c>
      <c r="E1607" s="17">
        <v>41640</v>
      </c>
      <c r="F1607" s="17">
        <v>42004</v>
      </c>
      <c r="G1607" s="16" t="s">
        <v>410</v>
      </c>
      <c r="H1607" s="16">
        <v>60</v>
      </c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 t="s">
        <v>413</v>
      </c>
    </row>
    <row r="1608" spans="1:32" ht="14.25" customHeight="1" x14ac:dyDescent="0.35">
      <c r="A1608" s="14" t="s">
        <v>1258</v>
      </c>
      <c r="B1608" s="14" t="s">
        <v>408</v>
      </c>
      <c r="C1608" s="14" t="s">
        <v>414</v>
      </c>
      <c r="D1608" s="14" t="s">
        <v>409</v>
      </c>
      <c r="E1608" s="15">
        <v>41640</v>
      </c>
      <c r="F1608" s="15">
        <v>42004</v>
      </c>
      <c r="G1608" s="14" t="s">
        <v>410</v>
      </c>
      <c r="H1608" s="14">
        <v>55</v>
      </c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 t="s">
        <v>413</v>
      </c>
    </row>
    <row r="1609" spans="1:32" ht="14.25" customHeight="1" x14ac:dyDescent="0.35">
      <c r="A1609" s="16" t="s">
        <v>1259</v>
      </c>
      <c r="B1609" s="16" t="s">
        <v>408</v>
      </c>
      <c r="C1609" s="16"/>
      <c r="D1609" s="16" t="s">
        <v>409</v>
      </c>
      <c r="E1609" s="17">
        <v>41640</v>
      </c>
      <c r="F1609" s="17">
        <v>42004</v>
      </c>
      <c r="G1609" s="16" t="s">
        <v>410</v>
      </c>
      <c r="H1609" s="16">
        <v>0.05</v>
      </c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 t="s">
        <v>413</v>
      </c>
    </row>
    <row r="1610" spans="1:32" ht="14.25" customHeight="1" x14ac:dyDescent="0.35">
      <c r="A1610" s="14" t="s">
        <v>1260</v>
      </c>
      <c r="B1610" s="14" t="s">
        <v>408</v>
      </c>
      <c r="C1610" s="14"/>
      <c r="D1610" s="14" t="s">
        <v>409</v>
      </c>
      <c r="E1610" s="15">
        <v>41640</v>
      </c>
      <c r="F1610" s="15">
        <v>42004</v>
      </c>
      <c r="G1610" s="14" t="s">
        <v>410</v>
      </c>
      <c r="H1610" s="14">
        <v>0.2</v>
      </c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 t="s">
        <v>413</v>
      </c>
    </row>
    <row r="1611" spans="1:32" ht="14.25" customHeight="1" x14ac:dyDescent="0.35">
      <c r="A1611" s="16" t="s">
        <v>1261</v>
      </c>
      <c r="B1611" s="16" t="s">
        <v>408</v>
      </c>
      <c r="C1611" s="16" t="s">
        <v>414</v>
      </c>
      <c r="D1611" s="16" t="s">
        <v>409</v>
      </c>
      <c r="E1611" s="17">
        <v>41640</v>
      </c>
      <c r="F1611" s="17">
        <v>42004</v>
      </c>
      <c r="G1611" s="16" t="s">
        <v>410</v>
      </c>
      <c r="H1611" s="16">
        <v>60</v>
      </c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 t="s">
        <v>413</v>
      </c>
    </row>
    <row r="1612" spans="1:32" ht="14.25" customHeight="1" x14ac:dyDescent="0.35">
      <c r="A1612" s="14" t="s">
        <v>1262</v>
      </c>
      <c r="B1612" s="14" t="s">
        <v>408</v>
      </c>
      <c r="C1612" s="14" t="s">
        <v>414</v>
      </c>
      <c r="D1612" s="14" t="s">
        <v>409</v>
      </c>
      <c r="E1612" s="15">
        <v>41640</v>
      </c>
      <c r="F1612" s="15">
        <v>42004</v>
      </c>
      <c r="G1612" s="14" t="s">
        <v>410</v>
      </c>
      <c r="H1612" s="14">
        <v>55</v>
      </c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 t="s">
        <v>413</v>
      </c>
    </row>
    <row r="1613" spans="1:32" ht="14.25" customHeight="1" x14ac:dyDescent="0.35">
      <c r="A1613" s="16" t="s">
        <v>1263</v>
      </c>
      <c r="B1613" s="16" t="s">
        <v>408</v>
      </c>
      <c r="C1613" s="16"/>
      <c r="D1613" s="16" t="s">
        <v>409</v>
      </c>
      <c r="E1613" s="17">
        <v>41640</v>
      </c>
      <c r="F1613" s="17">
        <v>42004</v>
      </c>
      <c r="G1613" s="16" t="s">
        <v>410</v>
      </c>
      <c r="H1613" s="16">
        <v>0.05</v>
      </c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 t="s">
        <v>413</v>
      </c>
    </row>
    <row r="1614" spans="1:32" ht="14.25" customHeight="1" x14ac:dyDescent="0.35">
      <c r="A1614" s="14" t="s">
        <v>1264</v>
      </c>
      <c r="B1614" s="14" t="s">
        <v>408</v>
      </c>
      <c r="C1614" s="14"/>
      <c r="D1614" s="14" t="s">
        <v>409</v>
      </c>
      <c r="E1614" s="15">
        <v>41640</v>
      </c>
      <c r="F1614" s="15">
        <v>42004</v>
      </c>
      <c r="G1614" s="14" t="s">
        <v>410</v>
      </c>
      <c r="H1614" s="14">
        <v>0.2</v>
      </c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 t="s">
        <v>413</v>
      </c>
    </row>
    <row r="1615" spans="1:32" ht="14.25" customHeight="1" x14ac:dyDescent="0.35">
      <c r="A1615" s="16" t="s">
        <v>1265</v>
      </c>
      <c r="B1615" s="16" t="s">
        <v>408</v>
      </c>
      <c r="C1615" s="16" t="s">
        <v>414</v>
      </c>
      <c r="D1615" s="16" t="s">
        <v>409</v>
      </c>
      <c r="E1615" s="17">
        <v>41640</v>
      </c>
      <c r="F1615" s="17">
        <v>42004</v>
      </c>
      <c r="G1615" s="16" t="s">
        <v>410</v>
      </c>
      <c r="H1615" s="16">
        <v>60</v>
      </c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 t="s">
        <v>413</v>
      </c>
    </row>
    <row r="1616" spans="1:32" ht="14.25" customHeight="1" x14ac:dyDescent="0.35">
      <c r="A1616" s="14" t="s">
        <v>1266</v>
      </c>
      <c r="B1616" s="14" t="s">
        <v>408</v>
      </c>
      <c r="C1616" s="14" t="s">
        <v>414</v>
      </c>
      <c r="D1616" s="14" t="s">
        <v>409</v>
      </c>
      <c r="E1616" s="15">
        <v>41640</v>
      </c>
      <c r="F1616" s="15">
        <v>42004</v>
      </c>
      <c r="G1616" s="14" t="s">
        <v>410</v>
      </c>
      <c r="H1616" s="14">
        <v>55</v>
      </c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 t="s">
        <v>413</v>
      </c>
    </row>
    <row r="1617" spans="1:32" ht="14.25" customHeight="1" x14ac:dyDescent="0.35">
      <c r="A1617" s="16" t="s">
        <v>1267</v>
      </c>
      <c r="B1617" s="16" t="s">
        <v>408</v>
      </c>
      <c r="C1617" s="16"/>
      <c r="D1617" s="16" t="s">
        <v>409</v>
      </c>
      <c r="E1617" s="17">
        <v>41640</v>
      </c>
      <c r="F1617" s="17">
        <v>42004</v>
      </c>
      <c r="G1617" s="16" t="s">
        <v>410</v>
      </c>
      <c r="H1617" s="16">
        <v>0.05</v>
      </c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 t="s">
        <v>413</v>
      </c>
    </row>
    <row r="1618" spans="1:32" ht="14.25" customHeight="1" x14ac:dyDescent="0.35">
      <c r="A1618" s="14" t="s">
        <v>1268</v>
      </c>
      <c r="B1618" s="14" t="s">
        <v>408</v>
      </c>
      <c r="C1618" s="14"/>
      <c r="D1618" s="14" t="s">
        <v>409</v>
      </c>
      <c r="E1618" s="15">
        <v>41640</v>
      </c>
      <c r="F1618" s="15">
        <v>42004</v>
      </c>
      <c r="G1618" s="14" t="s">
        <v>410</v>
      </c>
      <c r="H1618" s="14">
        <v>0.2</v>
      </c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 t="s">
        <v>413</v>
      </c>
    </row>
    <row r="1619" spans="1:32" ht="14.25" customHeight="1" x14ac:dyDescent="0.35">
      <c r="A1619" s="16" t="s">
        <v>1269</v>
      </c>
      <c r="B1619" s="16" t="s">
        <v>408</v>
      </c>
      <c r="C1619" s="16" t="s">
        <v>414</v>
      </c>
      <c r="D1619" s="16" t="s">
        <v>409</v>
      </c>
      <c r="E1619" s="17">
        <v>41640</v>
      </c>
      <c r="F1619" s="17">
        <v>42004</v>
      </c>
      <c r="G1619" s="16" t="s">
        <v>410</v>
      </c>
      <c r="H1619" s="16">
        <v>60</v>
      </c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 t="s">
        <v>413</v>
      </c>
    </row>
    <row r="1620" spans="1:32" ht="14.25" customHeight="1" x14ac:dyDescent="0.35">
      <c r="A1620" s="14" t="s">
        <v>1270</v>
      </c>
      <c r="B1620" s="14" t="s">
        <v>408</v>
      </c>
      <c r="C1620" s="14" t="s">
        <v>414</v>
      </c>
      <c r="D1620" s="14" t="s">
        <v>409</v>
      </c>
      <c r="E1620" s="15">
        <v>41640</v>
      </c>
      <c r="F1620" s="15">
        <v>42004</v>
      </c>
      <c r="G1620" s="14" t="s">
        <v>410</v>
      </c>
      <c r="H1620" s="14">
        <v>55</v>
      </c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 t="s">
        <v>413</v>
      </c>
    </row>
    <row r="1621" spans="1:32" ht="14.25" customHeight="1" x14ac:dyDescent="0.35">
      <c r="A1621" s="16" t="s">
        <v>1271</v>
      </c>
      <c r="B1621" s="16" t="s">
        <v>408</v>
      </c>
      <c r="C1621" s="16"/>
      <c r="D1621" s="16" t="s">
        <v>409</v>
      </c>
      <c r="E1621" s="17">
        <v>41640</v>
      </c>
      <c r="F1621" s="17">
        <v>42004</v>
      </c>
      <c r="G1621" s="16" t="s">
        <v>410</v>
      </c>
      <c r="H1621" s="16">
        <v>0.05</v>
      </c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 t="s">
        <v>413</v>
      </c>
    </row>
    <row r="1622" spans="1:32" ht="14.25" customHeight="1" x14ac:dyDescent="0.35">
      <c r="A1622" s="14" t="s">
        <v>1272</v>
      </c>
      <c r="B1622" s="14" t="s">
        <v>408</v>
      </c>
      <c r="C1622" s="14"/>
      <c r="D1622" s="14" t="s">
        <v>409</v>
      </c>
      <c r="E1622" s="15">
        <v>41640</v>
      </c>
      <c r="F1622" s="15">
        <v>42004</v>
      </c>
      <c r="G1622" s="14" t="s">
        <v>410</v>
      </c>
      <c r="H1622" s="14">
        <v>0.2</v>
      </c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 t="s">
        <v>413</v>
      </c>
    </row>
    <row r="1623" spans="1:32" ht="14.25" customHeight="1" x14ac:dyDescent="0.35">
      <c r="A1623" s="16" t="s">
        <v>1273</v>
      </c>
      <c r="B1623" s="16" t="s">
        <v>408</v>
      </c>
      <c r="C1623" s="16" t="s">
        <v>414</v>
      </c>
      <c r="D1623" s="16" t="s">
        <v>409</v>
      </c>
      <c r="E1623" s="17">
        <v>41640</v>
      </c>
      <c r="F1623" s="17">
        <v>42004</v>
      </c>
      <c r="G1623" s="16" t="s">
        <v>410</v>
      </c>
      <c r="H1623" s="16">
        <v>60</v>
      </c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 t="s">
        <v>413</v>
      </c>
    </row>
    <row r="1624" spans="1:32" ht="14.25" customHeight="1" x14ac:dyDescent="0.35">
      <c r="A1624" s="14" t="s">
        <v>1274</v>
      </c>
      <c r="B1624" s="14" t="s">
        <v>408</v>
      </c>
      <c r="C1624" s="14" t="s">
        <v>414</v>
      </c>
      <c r="D1624" s="14" t="s">
        <v>409</v>
      </c>
      <c r="E1624" s="15">
        <v>41640</v>
      </c>
      <c r="F1624" s="15">
        <v>42004</v>
      </c>
      <c r="G1624" s="14" t="s">
        <v>410</v>
      </c>
      <c r="H1624" s="14">
        <v>55</v>
      </c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 t="s">
        <v>413</v>
      </c>
    </row>
    <row r="1625" spans="1:32" ht="14.25" customHeight="1" x14ac:dyDescent="0.35">
      <c r="A1625" s="16" t="s">
        <v>1275</v>
      </c>
      <c r="B1625" s="16" t="s">
        <v>408</v>
      </c>
      <c r="C1625" s="16"/>
      <c r="D1625" s="16" t="s">
        <v>409</v>
      </c>
      <c r="E1625" s="17">
        <v>41640</v>
      </c>
      <c r="F1625" s="17">
        <v>42004</v>
      </c>
      <c r="G1625" s="16" t="s">
        <v>410</v>
      </c>
      <c r="H1625" s="16">
        <v>0.05</v>
      </c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 t="s">
        <v>413</v>
      </c>
    </row>
    <row r="1626" spans="1:32" ht="14.25" customHeight="1" x14ac:dyDescent="0.35">
      <c r="A1626" s="14" t="s">
        <v>1276</v>
      </c>
      <c r="B1626" s="14" t="s">
        <v>408</v>
      </c>
      <c r="C1626" s="14"/>
      <c r="D1626" s="14" t="s">
        <v>409</v>
      </c>
      <c r="E1626" s="15">
        <v>41640</v>
      </c>
      <c r="F1626" s="15">
        <v>42004</v>
      </c>
      <c r="G1626" s="14" t="s">
        <v>410</v>
      </c>
      <c r="H1626" s="14">
        <v>0.2</v>
      </c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 t="s">
        <v>413</v>
      </c>
    </row>
    <row r="1627" spans="1:32" ht="14.25" customHeight="1" x14ac:dyDescent="0.35">
      <c r="A1627" s="16" t="s">
        <v>1277</v>
      </c>
      <c r="B1627" s="16" t="s">
        <v>408</v>
      </c>
      <c r="C1627" s="16" t="s">
        <v>414</v>
      </c>
      <c r="D1627" s="16" t="s">
        <v>409</v>
      </c>
      <c r="E1627" s="17">
        <v>41640</v>
      </c>
      <c r="F1627" s="17">
        <v>42004</v>
      </c>
      <c r="G1627" s="16" t="s">
        <v>410</v>
      </c>
      <c r="H1627" s="16">
        <v>60</v>
      </c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 t="s">
        <v>413</v>
      </c>
    </row>
    <row r="1628" spans="1:32" ht="14.25" customHeight="1" x14ac:dyDescent="0.35">
      <c r="A1628" s="14" t="s">
        <v>1278</v>
      </c>
      <c r="B1628" s="14" t="s">
        <v>408</v>
      </c>
      <c r="C1628" s="14" t="s">
        <v>414</v>
      </c>
      <c r="D1628" s="14" t="s">
        <v>409</v>
      </c>
      <c r="E1628" s="15">
        <v>41640</v>
      </c>
      <c r="F1628" s="15">
        <v>42004</v>
      </c>
      <c r="G1628" s="14" t="s">
        <v>410</v>
      </c>
      <c r="H1628" s="14">
        <v>55</v>
      </c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 t="s">
        <v>413</v>
      </c>
    </row>
    <row r="1629" spans="1:32" ht="14.25" customHeight="1" x14ac:dyDescent="0.35">
      <c r="A1629" s="16" t="s">
        <v>1279</v>
      </c>
      <c r="B1629" s="16" t="s">
        <v>408</v>
      </c>
      <c r="C1629" s="16"/>
      <c r="D1629" s="16" t="s">
        <v>409</v>
      </c>
      <c r="E1629" s="17">
        <v>41640</v>
      </c>
      <c r="F1629" s="17">
        <v>42004</v>
      </c>
      <c r="G1629" s="16" t="s">
        <v>410</v>
      </c>
      <c r="H1629" s="16">
        <v>0.05</v>
      </c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 t="s">
        <v>413</v>
      </c>
    </row>
    <row r="1630" spans="1:32" ht="14.25" customHeight="1" x14ac:dyDescent="0.35">
      <c r="A1630" s="14" t="s">
        <v>1280</v>
      </c>
      <c r="B1630" s="14" t="s">
        <v>408</v>
      </c>
      <c r="C1630" s="14"/>
      <c r="D1630" s="14" t="s">
        <v>409</v>
      </c>
      <c r="E1630" s="15">
        <v>41640</v>
      </c>
      <c r="F1630" s="15">
        <v>42004</v>
      </c>
      <c r="G1630" s="14" t="s">
        <v>410</v>
      </c>
      <c r="H1630" s="14">
        <v>0.2</v>
      </c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 t="s">
        <v>413</v>
      </c>
    </row>
    <row r="1631" spans="1:32" ht="14.25" customHeight="1" x14ac:dyDescent="0.35">
      <c r="A1631" s="16" t="s">
        <v>1281</v>
      </c>
      <c r="B1631" s="16" t="s">
        <v>408</v>
      </c>
      <c r="C1631" s="16" t="s">
        <v>414</v>
      </c>
      <c r="D1631" s="16" t="s">
        <v>409</v>
      </c>
      <c r="E1631" s="17">
        <v>41640</v>
      </c>
      <c r="F1631" s="17">
        <v>42004</v>
      </c>
      <c r="G1631" s="16" t="s">
        <v>410</v>
      </c>
      <c r="H1631" s="16">
        <v>60</v>
      </c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 t="s">
        <v>413</v>
      </c>
    </row>
    <row r="1632" spans="1:32" ht="14.25" customHeight="1" x14ac:dyDescent="0.35">
      <c r="A1632" s="14" t="s">
        <v>1282</v>
      </c>
      <c r="B1632" s="14" t="s">
        <v>408</v>
      </c>
      <c r="C1632" s="14" t="s">
        <v>414</v>
      </c>
      <c r="D1632" s="14" t="s">
        <v>409</v>
      </c>
      <c r="E1632" s="15">
        <v>41640</v>
      </c>
      <c r="F1632" s="15">
        <v>42004</v>
      </c>
      <c r="G1632" s="14" t="s">
        <v>410</v>
      </c>
      <c r="H1632" s="14">
        <v>55</v>
      </c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 t="s">
        <v>413</v>
      </c>
    </row>
    <row r="1633" spans="1:32" ht="14.25" customHeight="1" x14ac:dyDescent="0.35">
      <c r="A1633" s="16" t="s">
        <v>1283</v>
      </c>
      <c r="B1633" s="16" t="s">
        <v>408</v>
      </c>
      <c r="C1633" s="16"/>
      <c r="D1633" s="16" t="s">
        <v>409</v>
      </c>
      <c r="E1633" s="17">
        <v>41640</v>
      </c>
      <c r="F1633" s="17">
        <v>42004</v>
      </c>
      <c r="G1633" s="16" t="s">
        <v>410</v>
      </c>
      <c r="H1633" s="16">
        <v>1</v>
      </c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 t="s">
        <v>413</v>
      </c>
    </row>
    <row r="1634" spans="1:32" ht="14.25" customHeight="1" x14ac:dyDescent="0.35">
      <c r="A1634" s="14" t="s">
        <v>1284</v>
      </c>
      <c r="B1634" s="14" t="s">
        <v>408</v>
      </c>
      <c r="C1634" s="14"/>
      <c r="D1634" s="14" t="s">
        <v>409</v>
      </c>
      <c r="E1634" s="15">
        <v>41640</v>
      </c>
      <c r="F1634" s="15">
        <v>42004</v>
      </c>
      <c r="G1634" s="14" t="s">
        <v>410</v>
      </c>
      <c r="H1634" s="14">
        <v>1</v>
      </c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 t="s">
        <v>413</v>
      </c>
    </row>
    <row r="1635" spans="1:32" ht="14.25" customHeight="1" x14ac:dyDescent="0.35">
      <c r="A1635" s="16" t="s">
        <v>1285</v>
      </c>
      <c r="B1635" s="16" t="s">
        <v>408</v>
      </c>
      <c r="C1635" s="16" t="s">
        <v>412</v>
      </c>
      <c r="D1635" s="16" t="s">
        <v>409</v>
      </c>
      <c r="E1635" s="17">
        <v>41640</v>
      </c>
      <c r="F1635" s="17">
        <v>42004</v>
      </c>
      <c r="G1635" s="16" t="s">
        <v>410</v>
      </c>
      <c r="H1635" s="16">
        <v>0</v>
      </c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 t="s">
        <v>413</v>
      </c>
    </row>
    <row r="1636" spans="1:32" ht="14.25" customHeight="1" x14ac:dyDescent="0.35">
      <c r="A1636" s="14" t="s">
        <v>1286</v>
      </c>
      <c r="B1636" s="14" t="s">
        <v>460</v>
      </c>
      <c r="C1636" s="14" t="s">
        <v>414</v>
      </c>
      <c r="D1636" s="14" t="s">
        <v>409</v>
      </c>
      <c r="E1636" s="15">
        <v>41640</v>
      </c>
      <c r="F1636" s="15">
        <v>42004</v>
      </c>
      <c r="G1636" s="14" t="s">
        <v>410</v>
      </c>
      <c r="H1636" s="14">
        <v>22</v>
      </c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 t="s">
        <v>413</v>
      </c>
    </row>
    <row r="1637" spans="1:32" ht="14.25" customHeight="1" x14ac:dyDescent="0.35">
      <c r="A1637" s="16" t="s">
        <v>1287</v>
      </c>
      <c r="B1637" s="16" t="s">
        <v>460</v>
      </c>
      <c r="C1637" s="16" t="s">
        <v>414</v>
      </c>
      <c r="D1637" s="16" t="s">
        <v>409</v>
      </c>
      <c r="E1637" s="17">
        <v>41640</v>
      </c>
      <c r="F1637" s="17">
        <v>42004</v>
      </c>
      <c r="G1637" s="16" t="s">
        <v>410</v>
      </c>
      <c r="H1637" s="16">
        <v>60</v>
      </c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 t="s">
        <v>413</v>
      </c>
    </row>
    <row r="1638" spans="1:32" ht="14.25" customHeight="1" x14ac:dyDescent="0.35">
      <c r="A1638" s="14" t="s">
        <v>1288</v>
      </c>
      <c r="B1638" s="14" t="s">
        <v>460</v>
      </c>
      <c r="C1638" s="14" t="s">
        <v>414</v>
      </c>
      <c r="D1638" s="14" t="s">
        <v>409</v>
      </c>
      <c r="E1638" s="15">
        <v>41640</v>
      </c>
      <c r="F1638" s="15">
        <v>42004</v>
      </c>
      <c r="G1638" s="14" t="s">
        <v>410</v>
      </c>
      <c r="H1638" s="14">
        <v>60</v>
      </c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 t="s">
        <v>413</v>
      </c>
    </row>
    <row r="1639" spans="1:32" ht="14.25" customHeight="1" x14ac:dyDescent="0.35">
      <c r="A1639" s="16" t="s">
        <v>1289</v>
      </c>
      <c r="B1639" s="16" t="s">
        <v>600</v>
      </c>
      <c r="C1639" s="16" t="s">
        <v>1290</v>
      </c>
      <c r="D1639" s="16" t="s">
        <v>453</v>
      </c>
      <c r="E1639" s="17">
        <v>41640</v>
      </c>
      <c r="F1639" s="17">
        <v>42004</v>
      </c>
      <c r="G1639" s="17" t="s">
        <v>415</v>
      </c>
      <c r="H1639" s="28">
        <v>0</v>
      </c>
      <c r="I1639" s="28">
        <v>0</v>
      </c>
      <c r="J1639" s="28">
        <v>0</v>
      </c>
      <c r="K1639" s="28">
        <v>0</v>
      </c>
      <c r="L1639" s="28">
        <v>0</v>
      </c>
      <c r="M1639" s="28">
        <v>0</v>
      </c>
      <c r="N1639" s="28">
        <v>1</v>
      </c>
      <c r="O1639" s="28">
        <v>1</v>
      </c>
      <c r="P1639" s="28">
        <v>1</v>
      </c>
      <c r="Q1639" s="28">
        <v>1</v>
      </c>
      <c r="R1639" s="28">
        <v>1</v>
      </c>
      <c r="S1639" s="28">
        <v>1</v>
      </c>
      <c r="T1639" s="28">
        <v>1</v>
      </c>
      <c r="U1639" s="28">
        <v>1</v>
      </c>
      <c r="V1639" s="28">
        <v>1</v>
      </c>
      <c r="W1639" s="28">
        <v>1</v>
      </c>
      <c r="X1639" s="28">
        <v>1</v>
      </c>
      <c r="Y1639" s="28">
        <v>1</v>
      </c>
      <c r="Z1639" s="28">
        <v>1</v>
      </c>
      <c r="AA1639" s="28">
        <v>1</v>
      </c>
      <c r="AB1639" s="28">
        <v>0</v>
      </c>
      <c r="AC1639" s="28">
        <v>0</v>
      </c>
      <c r="AD1639" s="28">
        <v>0</v>
      </c>
      <c r="AE1639" s="28">
        <v>0</v>
      </c>
      <c r="AF1639" s="16"/>
    </row>
    <row r="1640" spans="1:32" ht="14.25" customHeight="1" x14ac:dyDescent="0.35">
      <c r="A1640" s="14" t="s">
        <v>1289</v>
      </c>
      <c r="B1640" s="29" t="s">
        <v>600</v>
      </c>
      <c r="C1640" s="29" t="s">
        <v>1290</v>
      </c>
      <c r="D1640" s="29" t="s">
        <v>1291</v>
      </c>
      <c r="E1640" s="30">
        <v>41640</v>
      </c>
      <c r="F1640" s="30">
        <v>42004</v>
      </c>
      <c r="G1640" s="30" t="s">
        <v>410</v>
      </c>
      <c r="H1640" s="31">
        <v>0</v>
      </c>
      <c r="I1640" s="31"/>
      <c r="J1640" s="31"/>
      <c r="K1640" s="31"/>
      <c r="L1640" s="31"/>
      <c r="M1640" s="31"/>
      <c r="N1640" s="31"/>
      <c r="O1640" s="31"/>
      <c r="P1640" s="31"/>
      <c r="Q1640" s="31"/>
      <c r="R1640" s="31"/>
      <c r="S1640" s="31"/>
      <c r="T1640" s="31"/>
      <c r="U1640" s="31"/>
      <c r="V1640" s="31"/>
      <c r="W1640" s="31"/>
      <c r="X1640" s="31"/>
      <c r="Y1640" s="31"/>
      <c r="Z1640" s="31"/>
      <c r="AA1640" s="31"/>
      <c r="AB1640" s="31"/>
      <c r="AC1640" s="31"/>
      <c r="AD1640" s="31"/>
      <c r="AE1640" s="31"/>
      <c r="AF1640" s="29"/>
    </row>
    <row r="1641" spans="1:32" ht="14.25" customHeight="1" x14ac:dyDescent="0.35">
      <c r="A1641" s="16" t="s">
        <v>1292</v>
      </c>
      <c r="B1641" s="16" t="s">
        <v>600</v>
      </c>
      <c r="C1641" s="16" t="s">
        <v>1290</v>
      </c>
      <c r="D1641" s="16" t="s">
        <v>453</v>
      </c>
      <c r="E1641" s="17">
        <v>41640</v>
      </c>
      <c r="F1641" s="17">
        <v>42004</v>
      </c>
      <c r="G1641" s="17" t="s">
        <v>415</v>
      </c>
      <c r="H1641" s="28">
        <v>0</v>
      </c>
      <c r="I1641" s="28">
        <v>0</v>
      </c>
      <c r="J1641" s="28">
        <v>0</v>
      </c>
      <c r="K1641" s="28">
        <v>0</v>
      </c>
      <c r="L1641" s="28">
        <v>0</v>
      </c>
      <c r="M1641" s="28">
        <v>0</v>
      </c>
      <c r="N1641" s="28">
        <v>1</v>
      </c>
      <c r="O1641" s="28">
        <v>1</v>
      </c>
      <c r="P1641" s="28">
        <v>1</v>
      </c>
      <c r="Q1641" s="28">
        <v>1</v>
      </c>
      <c r="R1641" s="28">
        <v>1</v>
      </c>
      <c r="S1641" s="28">
        <v>1</v>
      </c>
      <c r="T1641" s="28">
        <v>1</v>
      </c>
      <c r="U1641" s="28">
        <v>1</v>
      </c>
      <c r="V1641" s="28">
        <v>1</v>
      </c>
      <c r="W1641" s="28">
        <v>1</v>
      </c>
      <c r="X1641" s="28">
        <v>1</v>
      </c>
      <c r="Y1641" s="28">
        <v>1</v>
      </c>
      <c r="Z1641" s="28">
        <v>1</v>
      </c>
      <c r="AA1641" s="28">
        <v>1</v>
      </c>
      <c r="AB1641" s="28">
        <v>0</v>
      </c>
      <c r="AC1641" s="28">
        <v>0</v>
      </c>
      <c r="AD1641" s="28">
        <v>0</v>
      </c>
      <c r="AE1641" s="28">
        <v>0</v>
      </c>
      <c r="AF1641" s="16"/>
    </row>
    <row r="1642" spans="1:32" ht="14.25" customHeight="1" x14ac:dyDescent="0.35">
      <c r="A1642" s="14" t="s">
        <v>1292</v>
      </c>
      <c r="B1642" s="29" t="s">
        <v>600</v>
      </c>
      <c r="C1642" s="29" t="s">
        <v>1290</v>
      </c>
      <c r="D1642" s="29" t="s">
        <v>1291</v>
      </c>
      <c r="E1642" s="30">
        <v>41640</v>
      </c>
      <c r="F1642" s="30">
        <v>42004</v>
      </c>
      <c r="G1642" s="30" t="s">
        <v>410</v>
      </c>
      <c r="H1642" s="31">
        <v>0</v>
      </c>
      <c r="I1642" s="31"/>
      <c r="J1642" s="31"/>
      <c r="K1642" s="31"/>
      <c r="L1642" s="31"/>
      <c r="M1642" s="31"/>
      <c r="N1642" s="31"/>
      <c r="O1642" s="31"/>
      <c r="P1642" s="31"/>
      <c r="Q1642" s="31"/>
      <c r="R1642" s="31"/>
      <c r="S1642" s="31"/>
      <c r="T1642" s="31"/>
      <c r="U1642" s="31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29"/>
    </row>
    <row r="1643" spans="1:32" ht="14.25" customHeight="1" x14ac:dyDescent="0.35">
      <c r="A1643" s="16" t="s">
        <v>1293</v>
      </c>
      <c r="B1643" s="16" t="s">
        <v>408</v>
      </c>
      <c r="C1643" s="16"/>
      <c r="D1643" s="16" t="s">
        <v>409</v>
      </c>
      <c r="E1643" s="17">
        <v>41640</v>
      </c>
      <c r="F1643" s="17">
        <v>42004</v>
      </c>
      <c r="G1643" s="16" t="s">
        <v>410</v>
      </c>
      <c r="H1643" s="16">
        <v>0</v>
      </c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 t="s">
        <v>413</v>
      </c>
    </row>
    <row r="1644" spans="1:32" ht="14.25" customHeight="1" x14ac:dyDescent="0.35">
      <c r="A1644" s="16" t="s">
        <v>1294</v>
      </c>
      <c r="B1644" s="16" t="s">
        <v>408</v>
      </c>
      <c r="C1644" s="16" t="s">
        <v>412</v>
      </c>
      <c r="D1644" s="16" t="s">
        <v>409</v>
      </c>
      <c r="E1644" s="17">
        <v>41640</v>
      </c>
      <c r="F1644" s="17">
        <v>42004</v>
      </c>
      <c r="G1644" s="16" t="s">
        <v>410</v>
      </c>
      <c r="H1644" s="16">
        <v>0.2</v>
      </c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 t="s">
        <v>413</v>
      </c>
    </row>
    <row r="1645" spans="1:32" ht="14.25" customHeight="1" x14ac:dyDescent="0.35">
      <c r="A1645" s="14" t="s">
        <v>1295</v>
      </c>
      <c r="B1645" s="14" t="s">
        <v>408</v>
      </c>
      <c r="C1645" s="14"/>
      <c r="D1645" s="14" t="s">
        <v>409</v>
      </c>
      <c r="E1645" s="15">
        <v>41640</v>
      </c>
      <c r="F1645" s="15">
        <v>42004</v>
      </c>
      <c r="G1645" s="14" t="s">
        <v>410</v>
      </c>
      <c r="H1645" s="14">
        <v>0</v>
      </c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 t="s">
        <v>413</v>
      </c>
    </row>
    <row r="1646" spans="1:32" ht="14.25" customHeight="1" x14ac:dyDescent="0.35">
      <c r="A1646" s="16" t="s">
        <v>1296</v>
      </c>
      <c r="B1646" s="16" t="s">
        <v>408</v>
      </c>
      <c r="C1646" s="16"/>
      <c r="D1646" s="16" t="s">
        <v>409</v>
      </c>
      <c r="E1646" s="17">
        <v>41640</v>
      </c>
      <c r="F1646" s="17">
        <v>42004</v>
      </c>
      <c r="G1646" s="16" t="s">
        <v>410</v>
      </c>
      <c r="H1646" s="16">
        <v>1</v>
      </c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 t="s">
        <v>413</v>
      </c>
    </row>
    <row r="1647" spans="1:32" ht="14.25" customHeight="1" x14ac:dyDescent="0.35">
      <c r="A1647" s="16" t="s">
        <v>1297</v>
      </c>
      <c r="B1647" s="16" t="s">
        <v>427</v>
      </c>
      <c r="C1647" s="16"/>
      <c r="D1647" s="16" t="s">
        <v>476</v>
      </c>
      <c r="E1647" s="17">
        <v>41640</v>
      </c>
      <c r="F1647" s="17">
        <v>42004</v>
      </c>
      <c r="G1647" s="16" t="s">
        <v>410</v>
      </c>
      <c r="H1647" s="16">
        <v>0</v>
      </c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 t="s">
        <v>413</v>
      </c>
    </row>
    <row r="1648" spans="1:32" ht="14.25" customHeight="1" x14ac:dyDescent="0.35">
      <c r="A1648" s="16" t="s">
        <v>1297</v>
      </c>
      <c r="B1648" s="16" t="s">
        <v>427</v>
      </c>
      <c r="C1648" s="16"/>
      <c r="D1648" s="16" t="s">
        <v>419</v>
      </c>
      <c r="E1648" s="17">
        <v>41640</v>
      </c>
      <c r="F1648" s="17">
        <v>42004</v>
      </c>
      <c r="G1648" s="16" t="s">
        <v>410</v>
      </c>
      <c r="H1648" s="16">
        <v>1</v>
      </c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 t="s">
        <v>413</v>
      </c>
    </row>
    <row r="1649" spans="1:32" ht="14.25" customHeight="1" x14ac:dyDescent="0.35">
      <c r="A1649" s="16" t="s">
        <v>1297</v>
      </c>
      <c r="B1649" s="16" t="s">
        <v>427</v>
      </c>
      <c r="C1649" s="16"/>
      <c r="D1649" s="16" t="s">
        <v>429</v>
      </c>
      <c r="E1649" s="17">
        <v>41640</v>
      </c>
      <c r="F1649" s="17">
        <v>42004</v>
      </c>
      <c r="G1649" s="16" t="s">
        <v>415</v>
      </c>
      <c r="H1649" s="16">
        <v>0.5</v>
      </c>
      <c r="I1649" s="16">
        <v>0.5</v>
      </c>
      <c r="J1649" s="16">
        <v>0.5</v>
      </c>
      <c r="K1649" s="16">
        <v>0.5</v>
      </c>
      <c r="L1649" s="16">
        <v>0.5</v>
      </c>
      <c r="M1649" s="16">
        <v>0.5</v>
      </c>
      <c r="N1649" s="16">
        <v>0.5</v>
      </c>
      <c r="O1649" s="16">
        <v>0.5</v>
      </c>
      <c r="P1649" s="16">
        <v>1</v>
      </c>
      <c r="Q1649" s="16">
        <v>1</v>
      </c>
      <c r="R1649" s="16">
        <v>1</v>
      </c>
      <c r="S1649" s="16">
        <v>1</v>
      </c>
      <c r="T1649" s="16">
        <v>0.94</v>
      </c>
      <c r="U1649" s="16">
        <v>1</v>
      </c>
      <c r="V1649" s="16">
        <v>1</v>
      </c>
      <c r="W1649" s="16">
        <v>1</v>
      </c>
      <c r="X1649" s="16">
        <v>1</v>
      </c>
      <c r="Y1649" s="16">
        <v>0.5</v>
      </c>
      <c r="Z1649" s="16">
        <v>0.2</v>
      </c>
      <c r="AA1649" s="16">
        <v>0.2</v>
      </c>
      <c r="AB1649" s="16">
        <v>0.2</v>
      </c>
      <c r="AC1649" s="16">
        <v>0.2</v>
      </c>
      <c r="AD1649" s="16">
        <v>0.2</v>
      </c>
      <c r="AE1649" s="16">
        <v>0.2</v>
      </c>
      <c r="AF1649" s="16" t="s">
        <v>413</v>
      </c>
    </row>
    <row r="1650" spans="1:32" ht="14.25" customHeight="1" x14ac:dyDescent="0.35">
      <c r="A1650" s="16" t="s">
        <v>1298</v>
      </c>
      <c r="B1650" s="16" t="s">
        <v>424</v>
      </c>
      <c r="C1650" s="16"/>
      <c r="D1650" s="16" t="s">
        <v>476</v>
      </c>
      <c r="E1650" s="17">
        <v>41640</v>
      </c>
      <c r="F1650" s="17">
        <v>42004</v>
      </c>
      <c r="G1650" s="16" t="s">
        <v>410</v>
      </c>
      <c r="H1650" s="16">
        <v>0</v>
      </c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 t="s">
        <v>413</v>
      </c>
    </row>
    <row r="1651" spans="1:32" ht="14.25" customHeight="1" x14ac:dyDescent="0.35">
      <c r="A1651" s="16" t="s">
        <v>1298</v>
      </c>
      <c r="B1651" s="16" t="s">
        <v>424</v>
      </c>
      <c r="C1651" s="16"/>
      <c r="D1651" s="16" t="s">
        <v>419</v>
      </c>
      <c r="E1651" s="17">
        <v>41640</v>
      </c>
      <c r="F1651" s="17">
        <v>42004</v>
      </c>
      <c r="G1651" s="16" t="s">
        <v>410</v>
      </c>
      <c r="H1651" s="16">
        <v>1</v>
      </c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 t="s">
        <v>413</v>
      </c>
    </row>
    <row r="1652" spans="1:32" ht="14.25" customHeight="1" x14ac:dyDescent="0.35">
      <c r="A1652" s="16" t="s">
        <v>1298</v>
      </c>
      <c r="B1652" s="16" t="s">
        <v>424</v>
      </c>
      <c r="C1652" s="16"/>
      <c r="D1652" s="16" t="s">
        <v>429</v>
      </c>
      <c r="E1652" s="17">
        <v>41640</v>
      </c>
      <c r="F1652" s="17">
        <v>42004</v>
      </c>
      <c r="G1652" s="16" t="s">
        <v>415</v>
      </c>
      <c r="H1652" s="16">
        <v>0.18</v>
      </c>
      <c r="I1652" s="16">
        <v>0.18</v>
      </c>
      <c r="J1652" s="16">
        <v>0.18</v>
      </c>
      <c r="K1652" s="16">
        <v>0.18</v>
      </c>
      <c r="L1652" s="16">
        <v>0.18</v>
      </c>
      <c r="M1652" s="16">
        <v>0.23</v>
      </c>
      <c r="N1652" s="16">
        <v>0.23</v>
      </c>
      <c r="O1652" s="16">
        <v>0.42</v>
      </c>
      <c r="P1652" s="16">
        <v>0.9</v>
      </c>
      <c r="Q1652" s="16">
        <v>0.9</v>
      </c>
      <c r="R1652" s="16">
        <v>0.9</v>
      </c>
      <c r="S1652" s="16">
        <v>0.9</v>
      </c>
      <c r="T1652" s="16">
        <v>0.8</v>
      </c>
      <c r="U1652" s="16">
        <v>0.9</v>
      </c>
      <c r="V1652" s="16">
        <v>0.9</v>
      </c>
      <c r="W1652" s="16">
        <v>0.9</v>
      </c>
      <c r="X1652" s="16">
        <v>0.9</v>
      </c>
      <c r="Y1652" s="16">
        <v>0.61</v>
      </c>
      <c r="Z1652" s="16">
        <v>0.42</v>
      </c>
      <c r="AA1652" s="16">
        <v>0.42</v>
      </c>
      <c r="AB1652" s="16">
        <v>0.32</v>
      </c>
      <c r="AC1652" s="16">
        <v>0.32</v>
      </c>
      <c r="AD1652" s="16">
        <v>0.23</v>
      </c>
      <c r="AE1652" s="16">
        <v>0.18</v>
      </c>
      <c r="AF1652" s="16" t="s">
        <v>413</v>
      </c>
    </row>
    <row r="1653" spans="1:32" ht="14.25" customHeight="1" x14ac:dyDescent="0.35">
      <c r="A1653" s="14" t="s">
        <v>1299</v>
      </c>
      <c r="B1653" s="14" t="s">
        <v>448</v>
      </c>
      <c r="C1653" s="14"/>
      <c r="D1653" s="14" t="s">
        <v>476</v>
      </c>
      <c r="E1653" s="15">
        <v>41640</v>
      </c>
      <c r="F1653" s="15">
        <v>42004</v>
      </c>
      <c r="G1653" s="14" t="s">
        <v>410</v>
      </c>
      <c r="H1653" s="14">
        <v>0</v>
      </c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 t="s">
        <v>413</v>
      </c>
    </row>
    <row r="1654" spans="1:32" ht="14.25" customHeight="1" x14ac:dyDescent="0.35">
      <c r="A1654" s="16" t="s">
        <v>1299</v>
      </c>
      <c r="B1654" s="16" t="s">
        <v>448</v>
      </c>
      <c r="C1654" s="16"/>
      <c r="D1654" s="16" t="s">
        <v>419</v>
      </c>
      <c r="E1654" s="17">
        <v>41640</v>
      </c>
      <c r="F1654" s="17">
        <v>42004</v>
      </c>
      <c r="G1654" s="16" t="s">
        <v>410</v>
      </c>
      <c r="H1654" s="16">
        <v>1</v>
      </c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 t="s">
        <v>413</v>
      </c>
    </row>
    <row r="1655" spans="1:32" ht="14.25" customHeight="1" x14ac:dyDescent="0.35">
      <c r="A1655" s="14" t="s">
        <v>1299</v>
      </c>
      <c r="B1655" s="14" t="s">
        <v>448</v>
      </c>
      <c r="C1655" s="14"/>
      <c r="D1655" s="14" t="s">
        <v>429</v>
      </c>
      <c r="E1655" s="15">
        <v>41640</v>
      </c>
      <c r="F1655" s="15">
        <v>42004</v>
      </c>
      <c r="G1655" s="14" t="s">
        <v>415</v>
      </c>
      <c r="H1655" s="14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0.11</v>
      </c>
      <c r="O1655" s="14">
        <v>0.21</v>
      </c>
      <c r="P1655" s="14">
        <v>1</v>
      </c>
      <c r="Q1655" s="14">
        <v>1</v>
      </c>
      <c r="R1655" s="14">
        <v>1</v>
      </c>
      <c r="S1655" s="14">
        <v>1</v>
      </c>
      <c r="T1655" s="14">
        <v>0.53</v>
      </c>
      <c r="U1655" s="14">
        <v>1</v>
      </c>
      <c r="V1655" s="14">
        <v>1</v>
      </c>
      <c r="W1655" s="14">
        <v>1</v>
      </c>
      <c r="X1655" s="14">
        <v>1</v>
      </c>
      <c r="Y1655" s="14">
        <v>0.32</v>
      </c>
      <c r="Z1655" s="14">
        <v>0.11</v>
      </c>
      <c r="AA1655" s="14">
        <v>0.11</v>
      </c>
      <c r="AB1655" s="14">
        <v>0.11</v>
      </c>
      <c r="AC1655" s="14">
        <v>0.11</v>
      </c>
      <c r="AD1655" s="14">
        <v>0.05</v>
      </c>
      <c r="AE1655" s="14">
        <v>0</v>
      </c>
      <c r="AF1655" s="14" t="s">
        <v>413</v>
      </c>
    </row>
    <row r="1656" spans="1:32" ht="14.25" customHeight="1" x14ac:dyDescent="0.35">
      <c r="A1656" s="16" t="s">
        <v>1300</v>
      </c>
      <c r="B1656" s="16" t="s">
        <v>460</v>
      </c>
      <c r="C1656" s="16"/>
      <c r="D1656" s="16" t="s">
        <v>417</v>
      </c>
      <c r="E1656" s="17">
        <v>41640</v>
      </c>
      <c r="F1656" s="17">
        <v>42004</v>
      </c>
      <c r="G1656" s="16" t="s">
        <v>410</v>
      </c>
      <c r="H1656" s="16">
        <v>0</v>
      </c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 t="s">
        <v>413</v>
      </c>
    </row>
    <row r="1657" spans="1:32" ht="14.25" customHeight="1" x14ac:dyDescent="0.35">
      <c r="A1657" s="14" t="s">
        <v>1300</v>
      </c>
      <c r="B1657" s="14" t="s">
        <v>460</v>
      </c>
      <c r="C1657" s="14"/>
      <c r="D1657" s="14" t="s">
        <v>1301</v>
      </c>
      <c r="E1657" s="15">
        <v>41640</v>
      </c>
      <c r="F1657" s="15">
        <v>42004</v>
      </c>
      <c r="G1657" s="14" t="s">
        <v>415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0.27</v>
      </c>
      <c r="P1657" s="14">
        <v>0.55000000000000004</v>
      </c>
      <c r="Q1657" s="14">
        <v>0.64</v>
      </c>
      <c r="R1657" s="14">
        <v>0.64</v>
      </c>
      <c r="S1657" s="14">
        <v>0.82</v>
      </c>
      <c r="T1657" s="14">
        <v>1</v>
      </c>
      <c r="U1657" s="14">
        <v>0.91</v>
      </c>
      <c r="V1657" s="14">
        <v>0.55000000000000004</v>
      </c>
      <c r="W1657" s="14">
        <v>0.55000000000000004</v>
      </c>
      <c r="X1657" s="14">
        <v>0.73</v>
      </c>
      <c r="Y1657" s="14">
        <v>0.37</v>
      </c>
      <c r="Z1657" s="14">
        <v>0.37</v>
      </c>
      <c r="AA1657" s="14">
        <v>0.18</v>
      </c>
      <c r="AB1657" s="14">
        <v>0.27</v>
      </c>
      <c r="AC1657" s="14">
        <v>0.09</v>
      </c>
      <c r="AD1657" s="14">
        <v>0</v>
      </c>
      <c r="AE1657" s="14">
        <v>0</v>
      </c>
      <c r="AF1657" s="14" t="s">
        <v>413</v>
      </c>
    </row>
    <row r="1658" spans="1:32" ht="14.25" customHeight="1" x14ac:dyDescent="0.35">
      <c r="A1658" s="16" t="s">
        <v>1302</v>
      </c>
      <c r="B1658" s="16" t="s">
        <v>420</v>
      </c>
      <c r="C1658" s="16" t="s">
        <v>414</v>
      </c>
      <c r="D1658" s="16" t="s">
        <v>417</v>
      </c>
      <c r="E1658" s="17">
        <v>41640</v>
      </c>
      <c r="F1658" s="17">
        <v>42004</v>
      </c>
      <c r="G1658" s="16" t="s">
        <v>410</v>
      </c>
      <c r="H1658" s="14">
        <v>29.44</v>
      </c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 t="s">
        <v>413</v>
      </c>
    </row>
    <row r="1659" spans="1:32" ht="14.25" customHeight="1" x14ac:dyDescent="0.35">
      <c r="A1659" s="16" t="s">
        <v>1302</v>
      </c>
      <c r="B1659" s="16" t="s">
        <v>420</v>
      </c>
      <c r="C1659" s="16" t="s">
        <v>414</v>
      </c>
      <c r="D1659" s="16" t="s">
        <v>419</v>
      </c>
      <c r="E1659" s="17">
        <v>41640</v>
      </c>
      <c r="F1659" s="17">
        <v>42004</v>
      </c>
      <c r="G1659" s="16" t="s">
        <v>410</v>
      </c>
      <c r="H1659" s="16">
        <v>23.89</v>
      </c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 t="s">
        <v>413</v>
      </c>
    </row>
    <row r="1660" spans="1:32" ht="14.25" customHeight="1" x14ac:dyDescent="0.35">
      <c r="A1660" s="14" t="s">
        <v>1302</v>
      </c>
      <c r="B1660" s="14" t="s">
        <v>420</v>
      </c>
      <c r="C1660" s="14" t="s">
        <v>414</v>
      </c>
      <c r="D1660" s="14" t="s">
        <v>429</v>
      </c>
      <c r="E1660" s="15">
        <v>41640</v>
      </c>
      <c r="F1660" s="15">
        <v>42004</v>
      </c>
      <c r="G1660" s="14" t="s">
        <v>415</v>
      </c>
      <c r="H1660" s="14">
        <v>29.44</v>
      </c>
      <c r="I1660" s="14">
        <v>29.44</v>
      </c>
      <c r="J1660" s="14">
        <v>29.44</v>
      </c>
      <c r="K1660" s="14">
        <v>29.44</v>
      </c>
      <c r="L1660" s="14">
        <v>29.44</v>
      </c>
      <c r="M1660" s="14">
        <v>29.44</v>
      </c>
      <c r="N1660" s="14">
        <v>23.89</v>
      </c>
      <c r="O1660" s="14">
        <v>23.89</v>
      </c>
      <c r="P1660" s="14">
        <v>23.89</v>
      </c>
      <c r="Q1660" s="14">
        <v>23.89</v>
      </c>
      <c r="R1660" s="14">
        <v>23.89</v>
      </c>
      <c r="S1660" s="14">
        <v>23.89</v>
      </c>
      <c r="T1660" s="14">
        <v>23.89</v>
      </c>
      <c r="U1660" s="14">
        <v>23.89</v>
      </c>
      <c r="V1660" s="14">
        <v>23.89</v>
      </c>
      <c r="W1660" s="14">
        <v>23.89</v>
      </c>
      <c r="X1660" s="14">
        <v>23.89</v>
      </c>
      <c r="Y1660" s="14">
        <v>23.89</v>
      </c>
      <c r="Z1660" s="14">
        <v>29.44</v>
      </c>
      <c r="AA1660" s="14">
        <v>29.44</v>
      </c>
      <c r="AB1660" s="14">
        <v>29.44</v>
      </c>
      <c r="AC1660" s="14">
        <v>29.44</v>
      </c>
      <c r="AD1660" s="14">
        <v>29.44</v>
      </c>
      <c r="AE1660" s="14">
        <v>29.44</v>
      </c>
      <c r="AF1660" s="14" t="s">
        <v>413</v>
      </c>
    </row>
    <row r="1661" spans="1:32" ht="14.25" customHeight="1" x14ac:dyDescent="0.35">
      <c r="A1661" s="14" t="s">
        <v>1302</v>
      </c>
      <c r="B1661" s="14" t="s">
        <v>420</v>
      </c>
      <c r="C1661" s="14" t="s">
        <v>414</v>
      </c>
      <c r="D1661" s="14" t="s">
        <v>418</v>
      </c>
      <c r="E1661" s="15">
        <v>41640</v>
      </c>
      <c r="F1661" s="15">
        <v>42004</v>
      </c>
      <c r="G1661" s="14" t="s">
        <v>410</v>
      </c>
      <c r="H1661" s="14">
        <v>29.44</v>
      </c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 t="s">
        <v>413</v>
      </c>
    </row>
    <row r="1662" spans="1:32" ht="14.25" customHeight="1" x14ac:dyDescent="0.35">
      <c r="A1662" s="16" t="s">
        <v>1303</v>
      </c>
      <c r="B1662" s="16" t="s">
        <v>420</v>
      </c>
      <c r="C1662" s="16" t="s">
        <v>414</v>
      </c>
      <c r="D1662" s="16" t="s">
        <v>417</v>
      </c>
      <c r="E1662" s="17">
        <v>41640</v>
      </c>
      <c r="F1662" s="17">
        <v>42004</v>
      </c>
      <c r="G1662" s="16" t="s">
        <v>410</v>
      </c>
      <c r="H1662" s="16">
        <v>23.89</v>
      </c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 t="s">
        <v>413</v>
      </c>
    </row>
    <row r="1663" spans="1:32" ht="14.25" customHeight="1" x14ac:dyDescent="0.35">
      <c r="A1663" s="16" t="s">
        <v>1303</v>
      </c>
      <c r="B1663" s="16" t="s">
        <v>420</v>
      </c>
      <c r="C1663" s="16" t="s">
        <v>414</v>
      </c>
      <c r="D1663" s="16" t="s">
        <v>556</v>
      </c>
      <c r="E1663" s="17">
        <v>41640</v>
      </c>
      <c r="F1663" s="17">
        <v>42004</v>
      </c>
      <c r="G1663" s="16" t="s">
        <v>410</v>
      </c>
      <c r="H1663" s="16">
        <v>23.89</v>
      </c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 t="s">
        <v>413</v>
      </c>
    </row>
    <row r="1664" spans="1:32" ht="14.25" customHeight="1" x14ac:dyDescent="0.35">
      <c r="A1664" s="14" t="s">
        <v>1303</v>
      </c>
      <c r="B1664" s="14" t="s">
        <v>420</v>
      </c>
      <c r="C1664" s="14" t="s">
        <v>414</v>
      </c>
      <c r="D1664" s="14" t="s">
        <v>418</v>
      </c>
      <c r="E1664" s="15">
        <v>41640</v>
      </c>
      <c r="F1664" s="15">
        <v>42004</v>
      </c>
      <c r="G1664" s="14" t="s">
        <v>410</v>
      </c>
      <c r="H1664" s="14">
        <v>29.44</v>
      </c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 t="s">
        <v>413</v>
      </c>
    </row>
    <row r="1665" spans="1:32" ht="14.25" customHeight="1" x14ac:dyDescent="0.35">
      <c r="A1665" s="14" t="s">
        <v>1304</v>
      </c>
      <c r="B1665" s="14" t="s">
        <v>420</v>
      </c>
      <c r="C1665" s="14" t="s">
        <v>414</v>
      </c>
      <c r="D1665" s="14" t="s">
        <v>417</v>
      </c>
      <c r="E1665" s="15">
        <v>41640</v>
      </c>
      <c r="F1665" s="15">
        <v>42004</v>
      </c>
      <c r="G1665" s="14" t="s">
        <v>410</v>
      </c>
      <c r="H1665" s="14">
        <v>23.89</v>
      </c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 t="s">
        <v>413</v>
      </c>
    </row>
    <row r="1666" spans="1:32" ht="14.25" customHeight="1" x14ac:dyDescent="0.35">
      <c r="A1666" s="14" t="s">
        <v>1304</v>
      </c>
      <c r="B1666" s="14" t="s">
        <v>420</v>
      </c>
      <c r="C1666" s="14" t="s">
        <v>414</v>
      </c>
      <c r="D1666" s="14" t="s">
        <v>419</v>
      </c>
      <c r="E1666" s="15">
        <v>41640</v>
      </c>
      <c r="F1666" s="15">
        <v>42004</v>
      </c>
      <c r="G1666" s="14" t="s">
        <v>410</v>
      </c>
      <c r="H1666" s="14">
        <v>23.89</v>
      </c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 t="s">
        <v>413</v>
      </c>
    </row>
    <row r="1667" spans="1:32" ht="14.25" customHeight="1" x14ac:dyDescent="0.35">
      <c r="A1667" s="16" t="s">
        <v>1304</v>
      </c>
      <c r="B1667" s="16" t="s">
        <v>420</v>
      </c>
      <c r="C1667" s="16" t="s">
        <v>414</v>
      </c>
      <c r="D1667" s="16" t="s">
        <v>429</v>
      </c>
      <c r="E1667" s="17">
        <v>41640</v>
      </c>
      <c r="F1667" s="17">
        <v>42004</v>
      </c>
      <c r="G1667" s="16" t="s">
        <v>415</v>
      </c>
      <c r="H1667" s="16">
        <v>29.44</v>
      </c>
      <c r="I1667" s="16">
        <v>29.44</v>
      </c>
      <c r="J1667" s="16">
        <v>29.44</v>
      </c>
      <c r="K1667" s="16">
        <v>29.44</v>
      </c>
      <c r="L1667" s="16">
        <v>29.44</v>
      </c>
      <c r="M1667" s="16">
        <v>29.44</v>
      </c>
      <c r="N1667" s="16">
        <v>27.8</v>
      </c>
      <c r="O1667" s="16">
        <v>25.6</v>
      </c>
      <c r="P1667" s="16">
        <v>23.89</v>
      </c>
      <c r="Q1667" s="16">
        <v>23.89</v>
      </c>
      <c r="R1667" s="16">
        <v>23.89</v>
      </c>
      <c r="S1667" s="16">
        <v>23.89</v>
      </c>
      <c r="T1667" s="16">
        <v>23.89</v>
      </c>
      <c r="U1667" s="16">
        <v>23.89</v>
      </c>
      <c r="V1667" s="16">
        <v>23.89</v>
      </c>
      <c r="W1667" s="16">
        <v>23.89</v>
      </c>
      <c r="X1667" s="16">
        <v>23.89</v>
      </c>
      <c r="Y1667" s="16">
        <v>23.89</v>
      </c>
      <c r="Z1667" s="16">
        <v>29.44</v>
      </c>
      <c r="AA1667" s="16">
        <v>29.44</v>
      </c>
      <c r="AB1667" s="16">
        <v>29.44</v>
      </c>
      <c r="AC1667" s="16">
        <v>29.44</v>
      </c>
      <c r="AD1667" s="16">
        <v>29.44</v>
      </c>
      <c r="AE1667" s="16">
        <v>29.44</v>
      </c>
      <c r="AF1667" s="16" t="s">
        <v>413</v>
      </c>
    </row>
    <row r="1668" spans="1:32" ht="14.25" customHeight="1" x14ac:dyDescent="0.35">
      <c r="A1668" s="16" t="s">
        <v>1304</v>
      </c>
      <c r="B1668" s="16" t="s">
        <v>420</v>
      </c>
      <c r="C1668" s="16" t="s">
        <v>414</v>
      </c>
      <c r="D1668" s="16" t="s">
        <v>418</v>
      </c>
      <c r="E1668" s="17">
        <v>41640</v>
      </c>
      <c r="F1668" s="17">
        <v>42004</v>
      </c>
      <c r="G1668" s="16" t="s">
        <v>410</v>
      </c>
      <c r="H1668" s="16">
        <v>29.44</v>
      </c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 t="s">
        <v>413</v>
      </c>
    </row>
    <row r="1669" spans="1:32" ht="14.25" customHeight="1" x14ac:dyDescent="0.35">
      <c r="A1669" s="14" t="s">
        <v>1305</v>
      </c>
      <c r="B1669" s="14" t="s">
        <v>518</v>
      </c>
      <c r="C1669" s="14" t="s">
        <v>412</v>
      </c>
      <c r="D1669" s="14" t="s">
        <v>453</v>
      </c>
      <c r="E1669" s="15">
        <v>41640</v>
      </c>
      <c r="F1669" s="15">
        <v>42004</v>
      </c>
      <c r="G1669" s="14" t="s">
        <v>410</v>
      </c>
      <c r="H1669" s="14">
        <v>0.5</v>
      </c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 t="s">
        <v>413</v>
      </c>
    </row>
    <row r="1670" spans="1:32" ht="14.25" customHeight="1" x14ac:dyDescent="0.35">
      <c r="A1670" s="14" t="s">
        <v>1305</v>
      </c>
      <c r="B1670" s="14" t="s">
        <v>518</v>
      </c>
      <c r="C1670" s="14" t="s">
        <v>412</v>
      </c>
      <c r="D1670" s="14" t="s">
        <v>454</v>
      </c>
      <c r="E1670" s="15">
        <v>41913</v>
      </c>
      <c r="F1670" s="15">
        <v>42004</v>
      </c>
      <c r="G1670" s="14" t="s">
        <v>410</v>
      </c>
      <c r="H1670" s="14">
        <v>1</v>
      </c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 t="s">
        <v>413</v>
      </c>
    </row>
    <row r="1671" spans="1:32" ht="14.25" customHeight="1" x14ac:dyDescent="0.35">
      <c r="A1671" s="16" t="s">
        <v>1305</v>
      </c>
      <c r="B1671" s="16" t="s">
        <v>518</v>
      </c>
      <c r="C1671" s="16" t="s">
        <v>412</v>
      </c>
      <c r="D1671" s="16" t="s">
        <v>454</v>
      </c>
      <c r="E1671" s="17">
        <v>41640</v>
      </c>
      <c r="F1671" s="17">
        <v>41759</v>
      </c>
      <c r="G1671" s="16" t="s">
        <v>410</v>
      </c>
      <c r="H1671" s="16">
        <v>1</v>
      </c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 t="s">
        <v>413</v>
      </c>
    </row>
    <row r="1672" spans="1:32" ht="14.25" customHeight="1" x14ac:dyDescent="0.35">
      <c r="A1672" s="16" t="s">
        <v>1305</v>
      </c>
      <c r="B1672" s="16" t="s">
        <v>518</v>
      </c>
      <c r="C1672" s="16" t="s">
        <v>412</v>
      </c>
      <c r="D1672" s="16" t="s">
        <v>418</v>
      </c>
      <c r="E1672" s="17">
        <v>41640</v>
      </c>
      <c r="F1672" s="17">
        <v>42004</v>
      </c>
      <c r="G1672" s="16" t="s">
        <v>410</v>
      </c>
      <c r="H1672" s="16">
        <v>1</v>
      </c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 t="s">
        <v>413</v>
      </c>
    </row>
    <row r="1673" spans="1:32" ht="14.25" customHeight="1" x14ac:dyDescent="0.35">
      <c r="A1673" s="14" t="s">
        <v>1306</v>
      </c>
      <c r="B1673" s="14" t="s">
        <v>408</v>
      </c>
      <c r="C1673" s="14"/>
      <c r="D1673" s="14" t="s">
        <v>409</v>
      </c>
      <c r="E1673" s="15">
        <v>41640</v>
      </c>
      <c r="F1673" s="15">
        <v>42004</v>
      </c>
      <c r="G1673" s="14" t="s">
        <v>410</v>
      </c>
      <c r="H1673" s="14">
        <v>1</v>
      </c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 t="s">
        <v>413</v>
      </c>
    </row>
    <row r="1674" spans="1:32" ht="14.25" customHeight="1" x14ac:dyDescent="0.35">
      <c r="A1674" s="16" t="s">
        <v>1307</v>
      </c>
      <c r="B1674" s="16" t="s">
        <v>427</v>
      </c>
      <c r="C1674" s="16" t="s">
        <v>414</v>
      </c>
      <c r="D1674" s="16" t="s">
        <v>409</v>
      </c>
      <c r="E1674" s="17">
        <v>41640</v>
      </c>
      <c r="F1674" s="17">
        <v>42004</v>
      </c>
      <c r="G1674" s="16" t="s">
        <v>410</v>
      </c>
      <c r="H1674" s="16">
        <v>55</v>
      </c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 t="s">
        <v>413</v>
      </c>
    </row>
    <row r="1675" spans="1:32" ht="14.25" customHeight="1" x14ac:dyDescent="0.35">
      <c r="A1675" s="14" t="s">
        <v>1308</v>
      </c>
      <c r="B1675" s="14" t="s">
        <v>427</v>
      </c>
      <c r="C1675" s="14"/>
      <c r="D1675" s="14" t="s">
        <v>409</v>
      </c>
      <c r="E1675" s="15">
        <v>41640</v>
      </c>
      <c r="F1675" s="15">
        <v>42004</v>
      </c>
      <c r="G1675" s="14" t="s">
        <v>410</v>
      </c>
      <c r="H1675" s="14">
        <v>0.05</v>
      </c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 t="s">
        <v>413</v>
      </c>
    </row>
    <row r="1676" spans="1:32" ht="14.25" customHeight="1" x14ac:dyDescent="0.35">
      <c r="A1676" s="16" t="s">
        <v>1309</v>
      </c>
      <c r="B1676" s="16" t="s">
        <v>427</v>
      </c>
      <c r="C1676" s="16"/>
      <c r="D1676" s="16" t="s">
        <v>409</v>
      </c>
      <c r="E1676" s="17">
        <v>41640</v>
      </c>
      <c r="F1676" s="17">
        <v>42004</v>
      </c>
      <c r="G1676" s="16" t="s">
        <v>410</v>
      </c>
      <c r="H1676" s="16">
        <v>0.2</v>
      </c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 t="s">
        <v>413</v>
      </c>
    </row>
    <row r="1677" spans="1:32" ht="14.25" customHeight="1" x14ac:dyDescent="0.35">
      <c r="A1677" s="14" t="s">
        <v>1310</v>
      </c>
      <c r="B1677" s="14" t="s">
        <v>427</v>
      </c>
      <c r="C1677" s="14" t="s">
        <v>414</v>
      </c>
      <c r="D1677" s="14" t="s">
        <v>409</v>
      </c>
      <c r="E1677" s="15">
        <v>41640</v>
      </c>
      <c r="F1677" s="15">
        <v>42004</v>
      </c>
      <c r="G1677" s="14" t="s">
        <v>410</v>
      </c>
      <c r="H1677" s="14">
        <v>48.8</v>
      </c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 t="s">
        <v>413</v>
      </c>
    </row>
    <row r="1678" spans="1:32" ht="14.25" customHeight="1" x14ac:dyDescent="0.35">
      <c r="A1678" s="16" t="s">
        <v>1311</v>
      </c>
      <c r="B1678" s="16" t="s">
        <v>408</v>
      </c>
      <c r="C1678" s="16" t="s">
        <v>414</v>
      </c>
      <c r="D1678" s="16" t="s">
        <v>409</v>
      </c>
      <c r="E1678" s="17">
        <v>41640</v>
      </c>
      <c r="F1678" s="17">
        <v>42004</v>
      </c>
      <c r="G1678" s="16" t="s">
        <v>410</v>
      </c>
      <c r="H1678" s="16">
        <v>6.7</v>
      </c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 t="s">
        <v>413</v>
      </c>
    </row>
    <row r="1679" spans="1:32" ht="14.25" customHeight="1" x14ac:dyDescent="0.35">
      <c r="A1679" s="14" t="s">
        <v>1312</v>
      </c>
      <c r="B1679" s="14" t="s">
        <v>408</v>
      </c>
      <c r="C1679" s="14"/>
      <c r="D1679" s="14" t="s">
        <v>409</v>
      </c>
      <c r="E1679" s="15">
        <v>41640</v>
      </c>
      <c r="F1679" s="15">
        <v>42004</v>
      </c>
      <c r="G1679" s="14" t="s">
        <v>410</v>
      </c>
      <c r="H1679" s="14">
        <v>4</v>
      </c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 t="s">
        <v>413</v>
      </c>
    </row>
    <row r="1680" spans="1:32" ht="14.25" customHeight="1" x14ac:dyDescent="0.35">
      <c r="A1680" s="16" t="s">
        <v>1313</v>
      </c>
      <c r="B1680" s="16" t="s">
        <v>408</v>
      </c>
      <c r="C1680" s="16"/>
      <c r="D1680" s="16" t="s">
        <v>409</v>
      </c>
      <c r="E1680" s="17">
        <v>41640</v>
      </c>
      <c r="F1680" s="17">
        <v>42004</v>
      </c>
      <c r="G1680" s="16" t="s">
        <v>410</v>
      </c>
      <c r="H1680" s="16">
        <v>0.5</v>
      </c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 t="s">
        <v>413</v>
      </c>
    </row>
    <row r="1681" spans="1:32" ht="14.25" customHeight="1" x14ac:dyDescent="0.35">
      <c r="A1681" s="14" t="s">
        <v>1314</v>
      </c>
      <c r="B1681" s="14" t="s">
        <v>408</v>
      </c>
      <c r="C1681" s="14"/>
      <c r="D1681" s="14" t="s">
        <v>409</v>
      </c>
      <c r="E1681" s="15">
        <v>41640</v>
      </c>
      <c r="F1681" s="15">
        <v>42004</v>
      </c>
      <c r="G1681" s="14" t="s">
        <v>410</v>
      </c>
      <c r="H1681" s="14">
        <v>1</v>
      </c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 t="s">
        <v>413</v>
      </c>
    </row>
    <row r="1682" spans="1:32" ht="14.25" customHeight="1" x14ac:dyDescent="0.35">
      <c r="A1682" s="14" t="s">
        <v>1315</v>
      </c>
      <c r="B1682" s="14" t="s">
        <v>424</v>
      </c>
      <c r="C1682" s="14"/>
      <c r="D1682" s="14" t="s">
        <v>409</v>
      </c>
      <c r="E1682" s="15">
        <v>41640</v>
      </c>
      <c r="F1682" s="15">
        <v>42004</v>
      </c>
      <c r="G1682" s="14" t="s">
        <v>415</v>
      </c>
      <c r="H1682" s="14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1</v>
      </c>
      <c r="O1682" s="14">
        <v>1</v>
      </c>
      <c r="P1682" s="14">
        <v>1</v>
      </c>
      <c r="Q1682" s="14">
        <v>1</v>
      </c>
      <c r="R1682" s="14">
        <v>1</v>
      </c>
      <c r="S1682" s="14">
        <v>1</v>
      </c>
      <c r="T1682" s="14">
        <v>1</v>
      </c>
      <c r="U1682" s="14">
        <v>1</v>
      </c>
      <c r="V1682" s="14">
        <v>1</v>
      </c>
      <c r="W1682" s="14">
        <v>1</v>
      </c>
      <c r="X1682" s="14">
        <v>1</v>
      </c>
      <c r="Y1682" s="14">
        <v>1</v>
      </c>
      <c r="Z1682" s="14">
        <v>1</v>
      </c>
      <c r="AA1682" s="14">
        <v>1</v>
      </c>
      <c r="AB1682" s="14">
        <v>1</v>
      </c>
      <c r="AC1682" s="14">
        <v>1</v>
      </c>
      <c r="AD1682" s="14">
        <v>1</v>
      </c>
      <c r="AE1682" s="14">
        <v>1</v>
      </c>
      <c r="AF1682" s="14" t="s">
        <v>413</v>
      </c>
    </row>
    <row r="1683" spans="1:32" ht="14.25" customHeight="1" x14ac:dyDescent="0.35">
      <c r="A1683" s="14" t="s">
        <v>1316</v>
      </c>
      <c r="B1683" s="14" t="s">
        <v>424</v>
      </c>
      <c r="C1683" s="14"/>
      <c r="D1683" s="14" t="s">
        <v>409</v>
      </c>
      <c r="E1683" s="15">
        <v>41640</v>
      </c>
      <c r="F1683" s="15">
        <v>42004</v>
      </c>
      <c r="G1683" s="14" t="s">
        <v>415</v>
      </c>
      <c r="H1683" s="14">
        <v>0.7</v>
      </c>
      <c r="I1683" s="14">
        <v>0.7</v>
      </c>
      <c r="J1683" s="14">
        <v>0.7</v>
      </c>
      <c r="K1683" s="14">
        <v>0.7</v>
      </c>
      <c r="L1683" s="14">
        <v>0.7</v>
      </c>
      <c r="M1683" s="14">
        <v>0.7</v>
      </c>
      <c r="N1683" s="14">
        <v>1</v>
      </c>
      <c r="O1683" s="14">
        <v>1</v>
      </c>
      <c r="P1683" s="14">
        <v>1</v>
      </c>
      <c r="Q1683" s="14">
        <v>1</v>
      </c>
      <c r="R1683" s="14">
        <v>1</v>
      </c>
      <c r="S1683" s="14">
        <v>1</v>
      </c>
      <c r="T1683" s="14">
        <v>1</v>
      </c>
      <c r="U1683" s="14">
        <v>1</v>
      </c>
      <c r="V1683" s="14">
        <v>1</v>
      </c>
      <c r="W1683" s="14">
        <v>1</v>
      </c>
      <c r="X1683" s="14">
        <v>1</v>
      </c>
      <c r="Y1683" s="14">
        <v>1</v>
      </c>
      <c r="Z1683" s="14">
        <v>1</v>
      </c>
      <c r="AA1683" s="14">
        <v>1</v>
      </c>
      <c r="AB1683" s="14">
        <v>1</v>
      </c>
      <c r="AC1683" s="14">
        <v>1</v>
      </c>
      <c r="AD1683" s="14">
        <v>1</v>
      </c>
      <c r="AE1683" s="14">
        <v>1</v>
      </c>
      <c r="AF1683" s="14" t="s">
        <v>413</v>
      </c>
    </row>
    <row r="1684" spans="1:32" ht="14.25" customHeight="1" x14ac:dyDescent="0.35">
      <c r="A1684" s="16" t="s">
        <v>1317</v>
      </c>
      <c r="B1684" s="16" t="s">
        <v>408</v>
      </c>
      <c r="C1684" s="16" t="s">
        <v>414</v>
      </c>
      <c r="D1684" s="16" t="s">
        <v>409</v>
      </c>
      <c r="E1684" s="17">
        <v>41640</v>
      </c>
      <c r="F1684" s="17">
        <v>42004</v>
      </c>
      <c r="G1684" s="16" t="s">
        <v>410</v>
      </c>
      <c r="H1684" s="16">
        <v>16</v>
      </c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 t="s">
        <v>413</v>
      </c>
    </row>
    <row r="1685" spans="1:32" ht="14.25" customHeight="1" x14ac:dyDescent="0.35">
      <c r="A1685" s="14" t="s">
        <v>1318</v>
      </c>
      <c r="B1685" s="14" t="s">
        <v>420</v>
      </c>
      <c r="C1685" s="14" t="s">
        <v>414</v>
      </c>
      <c r="D1685" s="14" t="s">
        <v>417</v>
      </c>
      <c r="E1685" s="15">
        <v>41640</v>
      </c>
      <c r="F1685" s="15">
        <v>42004</v>
      </c>
      <c r="G1685" s="14" t="s">
        <v>410</v>
      </c>
      <c r="H1685" s="14">
        <v>15.56</v>
      </c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 t="s">
        <v>413</v>
      </c>
    </row>
    <row r="1686" spans="1:32" ht="14.25" customHeight="1" x14ac:dyDescent="0.35">
      <c r="A1686" s="14" t="s">
        <v>1318</v>
      </c>
      <c r="B1686" s="14" t="s">
        <v>420</v>
      </c>
      <c r="C1686" s="14" t="s">
        <v>414</v>
      </c>
      <c r="D1686" s="14" t="s">
        <v>419</v>
      </c>
      <c r="E1686" s="15">
        <v>41640</v>
      </c>
      <c r="F1686" s="15">
        <v>42004</v>
      </c>
      <c r="G1686" s="14" t="s">
        <v>410</v>
      </c>
      <c r="H1686" s="14">
        <v>15.56</v>
      </c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 t="s">
        <v>413</v>
      </c>
    </row>
    <row r="1687" spans="1:32" ht="14.25" customHeight="1" x14ac:dyDescent="0.35">
      <c r="A1687" s="16" t="s">
        <v>1318</v>
      </c>
      <c r="B1687" s="16" t="s">
        <v>420</v>
      </c>
      <c r="C1687" s="16" t="s">
        <v>414</v>
      </c>
      <c r="D1687" s="16" t="s">
        <v>429</v>
      </c>
      <c r="E1687" s="17">
        <v>41640</v>
      </c>
      <c r="F1687" s="17">
        <v>42004</v>
      </c>
      <c r="G1687" s="16" t="s">
        <v>415</v>
      </c>
      <c r="H1687" s="16">
        <v>15.56</v>
      </c>
      <c r="I1687" s="16">
        <v>15.56</v>
      </c>
      <c r="J1687" s="16">
        <v>15.56</v>
      </c>
      <c r="K1687" s="16">
        <v>15.56</v>
      </c>
      <c r="L1687" s="16">
        <v>15.56</v>
      </c>
      <c r="M1687" s="16">
        <v>15.56</v>
      </c>
      <c r="N1687" s="16">
        <v>21.11</v>
      </c>
      <c r="O1687" s="16">
        <v>21.11</v>
      </c>
      <c r="P1687" s="16">
        <v>21.11</v>
      </c>
      <c r="Q1687" s="16">
        <v>21.11</v>
      </c>
      <c r="R1687" s="16">
        <v>21.11</v>
      </c>
      <c r="S1687" s="16">
        <v>21.11</v>
      </c>
      <c r="T1687" s="16">
        <v>21.11</v>
      </c>
      <c r="U1687" s="16">
        <v>21.11</v>
      </c>
      <c r="V1687" s="16">
        <v>21.11</v>
      </c>
      <c r="W1687" s="16">
        <v>21.11</v>
      </c>
      <c r="X1687" s="16">
        <v>21.11</v>
      </c>
      <c r="Y1687" s="16">
        <v>21.11</v>
      </c>
      <c r="Z1687" s="16">
        <v>21.11</v>
      </c>
      <c r="AA1687" s="16">
        <v>15.56</v>
      </c>
      <c r="AB1687" s="16">
        <v>15.56</v>
      </c>
      <c r="AC1687" s="16">
        <v>15.56</v>
      </c>
      <c r="AD1687" s="16">
        <v>15.56</v>
      </c>
      <c r="AE1687" s="16">
        <v>15.56</v>
      </c>
      <c r="AF1687" s="16" t="s">
        <v>413</v>
      </c>
    </row>
    <row r="1688" spans="1:32" ht="14.25" customHeight="1" x14ac:dyDescent="0.35">
      <c r="A1688" s="16" t="s">
        <v>1318</v>
      </c>
      <c r="B1688" s="16" t="s">
        <v>420</v>
      </c>
      <c r="C1688" s="16" t="s">
        <v>414</v>
      </c>
      <c r="D1688" s="16" t="s">
        <v>418</v>
      </c>
      <c r="E1688" s="17">
        <v>41640</v>
      </c>
      <c r="F1688" s="17">
        <v>42004</v>
      </c>
      <c r="G1688" s="16" t="s">
        <v>410</v>
      </c>
      <c r="H1688" s="16">
        <v>21.11</v>
      </c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16" t="s">
        <v>413</v>
      </c>
    </row>
    <row r="1689" spans="1:32" ht="14.25" customHeight="1" x14ac:dyDescent="0.35">
      <c r="A1689" s="14" t="s">
        <v>1319</v>
      </c>
      <c r="B1689" s="14" t="s">
        <v>420</v>
      </c>
      <c r="C1689" s="14" t="s">
        <v>414</v>
      </c>
      <c r="D1689" s="14" t="s">
        <v>417</v>
      </c>
      <c r="E1689" s="15">
        <v>41640</v>
      </c>
      <c r="F1689" s="15">
        <v>42004</v>
      </c>
      <c r="G1689" s="14" t="s">
        <v>410</v>
      </c>
      <c r="H1689" s="14">
        <v>15.56</v>
      </c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 t="s">
        <v>413</v>
      </c>
    </row>
    <row r="1690" spans="1:32" ht="14.25" customHeight="1" x14ac:dyDescent="0.35">
      <c r="A1690" s="14" t="s">
        <v>1319</v>
      </c>
      <c r="B1690" s="14" t="s">
        <v>420</v>
      </c>
      <c r="C1690" s="14" t="s">
        <v>414</v>
      </c>
      <c r="D1690" s="14" t="s">
        <v>419</v>
      </c>
      <c r="E1690" s="15">
        <v>41640</v>
      </c>
      <c r="F1690" s="15">
        <v>42004</v>
      </c>
      <c r="G1690" s="14" t="s">
        <v>410</v>
      </c>
      <c r="H1690" s="14">
        <v>15.56</v>
      </c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 t="s">
        <v>413</v>
      </c>
    </row>
    <row r="1691" spans="1:32" ht="14.25" customHeight="1" x14ac:dyDescent="0.35">
      <c r="A1691" s="16" t="s">
        <v>1319</v>
      </c>
      <c r="B1691" s="16" t="s">
        <v>420</v>
      </c>
      <c r="C1691" s="16" t="s">
        <v>414</v>
      </c>
      <c r="D1691" s="16" t="s">
        <v>429</v>
      </c>
      <c r="E1691" s="17">
        <v>41640</v>
      </c>
      <c r="F1691" s="17">
        <v>42004</v>
      </c>
      <c r="G1691" s="16" t="s">
        <v>415</v>
      </c>
      <c r="H1691" s="16">
        <v>15.56</v>
      </c>
      <c r="I1691" s="16">
        <v>15.56</v>
      </c>
      <c r="J1691" s="16">
        <v>15.56</v>
      </c>
      <c r="K1691" s="16">
        <v>15.56</v>
      </c>
      <c r="L1691" s="16">
        <v>15.56</v>
      </c>
      <c r="M1691" s="16">
        <v>15.56</v>
      </c>
      <c r="N1691" s="16">
        <v>17.8</v>
      </c>
      <c r="O1691" s="16">
        <v>20</v>
      </c>
      <c r="P1691" s="16">
        <v>21.11</v>
      </c>
      <c r="Q1691" s="16">
        <v>21.11</v>
      </c>
      <c r="R1691" s="16">
        <v>21.11</v>
      </c>
      <c r="S1691" s="16">
        <v>21.11</v>
      </c>
      <c r="T1691" s="16">
        <v>21.11</v>
      </c>
      <c r="U1691" s="16">
        <v>21.11</v>
      </c>
      <c r="V1691" s="16">
        <v>21.11</v>
      </c>
      <c r="W1691" s="16">
        <v>21.11</v>
      </c>
      <c r="X1691" s="16">
        <v>21.11</v>
      </c>
      <c r="Y1691" s="16">
        <v>21.11</v>
      </c>
      <c r="Z1691" s="16">
        <v>21.11</v>
      </c>
      <c r="AA1691" s="16">
        <v>15.56</v>
      </c>
      <c r="AB1691" s="16">
        <v>15.56</v>
      </c>
      <c r="AC1691" s="16">
        <v>15.56</v>
      </c>
      <c r="AD1691" s="16">
        <v>15.56</v>
      </c>
      <c r="AE1691" s="16">
        <v>15.56</v>
      </c>
      <c r="AF1691" s="16" t="s">
        <v>413</v>
      </c>
    </row>
    <row r="1692" spans="1:32" ht="14.25" customHeight="1" x14ac:dyDescent="0.35">
      <c r="A1692" s="16" t="s">
        <v>1319</v>
      </c>
      <c r="B1692" s="16" t="s">
        <v>420</v>
      </c>
      <c r="C1692" s="16" t="s">
        <v>414</v>
      </c>
      <c r="D1692" s="16" t="s">
        <v>418</v>
      </c>
      <c r="E1692" s="17">
        <v>41640</v>
      </c>
      <c r="F1692" s="17">
        <v>42004</v>
      </c>
      <c r="G1692" s="16" t="s">
        <v>410</v>
      </c>
      <c r="H1692" s="16">
        <v>21.11</v>
      </c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 t="s">
        <v>413</v>
      </c>
    </row>
    <row r="1693" spans="1:32" ht="14.25" customHeight="1" x14ac:dyDescent="0.35">
      <c r="A1693" s="14" t="s">
        <v>1320</v>
      </c>
      <c r="B1693" s="14" t="s">
        <v>408</v>
      </c>
      <c r="C1693" s="14"/>
      <c r="D1693" s="14" t="s">
        <v>603</v>
      </c>
      <c r="E1693" s="15">
        <v>41640</v>
      </c>
      <c r="F1693" s="15">
        <v>42004</v>
      </c>
      <c r="G1693" s="14" t="s">
        <v>410</v>
      </c>
      <c r="H1693" s="14">
        <v>50</v>
      </c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 t="s">
        <v>413</v>
      </c>
    </row>
    <row r="1694" spans="1:32" ht="14.25" customHeight="1" x14ac:dyDescent="0.35">
      <c r="A1694" s="16" t="s">
        <v>1321</v>
      </c>
      <c r="B1694" s="16" t="s">
        <v>600</v>
      </c>
      <c r="C1694" s="16"/>
      <c r="D1694" s="16" t="s">
        <v>476</v>
      </c>
      <c r="E1694" s="17">
        <v>41640</v>
      </c>
      <c r="F1694" s="17">
        <v>42004</v>
      </c>
      <c r="G1694" s="16" t="s">
        <v>410</v>
      </c>
      <c r="H1694" s="16">
        <v>0</v>
      </c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 t="s">
        <v>413</v>
      </c>
    </row>
    <row r="1695" spans="1:32" ht="14.25" customHeight="1" x14ac:dyDescent="0.35">
      <c r="A1695" s="14" t="s">
        <v>1321</v>
      </c>
      <c r="B1695" s="14" t="s">
        <v>600</v>
      </c>
      <c r="C1695" s="14"/>
      <c r="D1695" s="14" t="s">
        <v>556</v>
      </c>
      <c r="E1695" s="15">
        <v>41640</v>
      </c>
      <c r="F1695" s="15">
        <v>42004</v>
      </c>
      <c r="G1695" s="14" t="s">
        <v>415</v>
      </c>
      <c r="H1695" s="14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1</v>
      </c>
      <c r="O1695" s="14">
        <v>1</v>
      </c>
      <c r="P1695" s="14">
        <v>1</v>
      </c>
      <c r="Q1695" s="14">
        <v>1</v>
      </c>
      <c r="R1695" s="14">
        <v>1</v>
      </c>
      <c r="S1695" s="14">
        <v>1</v>
      </c>
      <c r="T1695" s="14">
        <v>1</v>
      </c>
      <c r="U1695" s="14">
        <v>1</v>
      </c>
      <c r="V1695" s="14">
        <v>1</v>
      </c>
      <c r="W1695" s="14">
        <v>1</v>
      </c>
      <c r="X1695" s="14">
        <v>1</v>
      </c>
      <c r="Y1695" s="14">
        <v>1</v>
      </c>
      <c r="Z1695" s="14">
        <v>1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 t="s">
        <v>413</v>
      </c>
    </row>
    <row r="1696" spans="1:32" ht="14.25" customHeight="1" x14ac:dyDescent="0.35">
      <c r="A1696" s="16" t="s">
        <v>1322</v>
      </c>
      <c r="B1696" s="16" t="s">
        <v>408</v>
      </c>
      <c r="C1696" s="16" t="s">
        <v>414</v>
      </c>
      <c r="D1696" s="16" t="s">
        <v>409</v>
      </c>
      <c r="E1696" s="17">
        <v>41640</v>
      </c>
      <c r="F1696" s="17">
        <v>42004</v>
      </c>
      <c r="G1696" s="16" t="s">
        <v>410</v>
      </c>
      <c r="H1696" s="16">
        <v>60</v>
      </c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 t="s">
        <v>413</v>
      </c>
    </row>
    <row r="1697" spans="1:32" ht="14.25" customHeight="1" x14ac:dyDescent="0.35">
      <c r="A1697" s="14" t="s">
        <v>1323</v>
      </c>
      <c r="B1697" s="14" t="s">
        <v>441</v>
      </c>
      <c r="C1697" s="14"/>
      <c r="D1697" s="14" t="s">
        <v>409</v>
      </c>
      <c r="E1697" s="15">
        <v>41640</v>
      </c>
      <c r="F1697" s="15">
        <v>42004</v>
      </c>
      <c r="G1697" s="14" t="s">
        <v>410</v>
      </c>
      <c r="H1697" s="14">
        <v>0</v>
      </c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 t="s">
        <v>413</v>
      </c>
    </row>
    <row r="1698" spans="1:32" ht="14.25" customHeight="1" x14ac:dyDescent="0.35">
      <c r="A1698" s="16" t="s">
        <v>1323</v>
      </c>
      <c r="B1698" s="16" t="s">
        <v>441</v>
      </c>
      <c r="C1698" s="16"/>
      <c r="D1698" s="16" t="s">
        <v>429</v>
      </c>
      <c r="E1698" s="17">
        <v>41640</v>
      </c>
      <c r="F1698" s="17">
        <v>42004</v>
      </c>
      <c r="G1698" s="16" t="s">
        <v>415</v>
      </c>
      <c r="H1698" s="16">
        <v>0</v>
      </c>
      <c r="I1698" s="16">
        <v>0</v>
      </c>
      <c r="J1698" s="16">
        <v>0</v>
      </c>
      <c r="K1698" s="16">
        <v>0</v>
      </c>
      <c r="L1698" s="16">
        <v>0</v>
      </c>
      <c r="M1698" s="16">
        <v>0</v>
      </c>
      <c r="N1698" s="16">
        <v>0.14399999999999999</v>
      </c>
      <c r="O1698" s="16">
        <v>1</v>
      </c>
      <c r="P1698" s="16">
        <v>0.14399999999999999</v>
      </c>
      <c r="Q1698" s="16">
        <v>0.14399999999999999</v>
      </c>
      <c r="R1698" s="16">
        <v>0.14399999999999999</v>
      </c>
      <c r="S1698" s="16">
        <v>0.14399999999999999</v>
      </c>
      <c r="T1698" s="16">
        <v>1</v>
      </c>
      <c r="U1698" s="16">
        <v>0.14399999999999999</v>
      </c>
      <c r="V1698" s="16">
        <v>0.14399999999999999</v>
      </c>
      <c r="W1698" s="16">
        <v>0.14399999999999999</v>
      </c>
      <c r="X1698" s="16">
        <v>0.14399999999999999</v>
      </c>
      <c r="Y1698" s="16">
        <v>1</v>
      </c>
      <c r="Z1698" s="16">
        <v>0.14399999999999999</v>
      </c>
      <c r="AA1698" s="16">
        <v>0</v>
      </c>
      <c r="AB1698" s="16">
        <v>0</v>
      </c>
      <c r="AC1698" s="16">
        <v>0</v>
      </c>
      <c r="AD1698" s="16">
        <v>0</v>
      </c>
      <c r="AE1698" s="16">
        <v>0</v>
      </c>
      <c r="AF1698" s="16" t="s">
        <v>413</v>
      </c>
    </row>
    <row r="1699" spans="1:32" ht="14.25" customHeight="1" x14ac:dyDescent="0.35">
      <c r="A1699" s="14" t="s">
        <v>1324</v>
      </c>
      <c r="B1699" s="14" t="s">
        <v>441</v>
      </c>
      <c r="C1699" s="14"/>
      <c r="D1699" s="14" t="s">
        <v>417</v>
      </c>
      <c r="E1699" s="15">
        <v>41640</v>
      </c>
      <c r="F1699" s="15">
        <v>42004</v>
      </c>
      <c r="G1699" s="14" t="s">
        <v>410</v>
      </c>
      <c r="H1699" s="14">
        <v>1</v>
      </c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 t="s">
        <v>413</v>
      </c>
    </row>
    <row r="1700" spans="1:32" ht="14.25" customHeight="1" x14ac:dyDescent="0.35">
      <c r="A1700" s="14" t="s">
        <v>1324</v>
      </c>
      <c r="B1700" s="14" t="s">
        <v>441</v>
      </c>
      <c r="C1700" s="14"/>
      <c r="D1700" s="14" t="s">
        <v>556</v>
      </c>
      <c r="E1700" s="15">
        <v>41640</v>
      </c>
      <c r="F1700" s="15">
        <v>42004</v>
      </c>
      <c r="G1700" s="14" t="s">
        <v>415</v>
      </c>
      <c r="H1700" s="14">
        <v>1</v>
      </c>
      <c r="I1700" s="14">
        <v>1</v>
      </c>
      <c r="J1700" s="14">
        <v>1</v>
      </c>
      <c r="K1700" s="14">
        <v>1</v>
      </c>
      <c r="L1700" s="14">
        <v>1</v>
      </c>
      <c r="M1700" s="14">
        <v>1</v>
      </c>
      <c r="N1700" s="14">
        <v>1</v>
      </c>
      <c r="O1700" s="14">
        <v>0.25</v>
      </c>
      <c r="P1700" s="14">
        <v>0.25</v>
      </c>
      <c r="Q1700" s="14">
        <v>0.25</v>
      </c>
      <c r="R1700" s="14">
        <v>0.25</v>
      </c>
      <c r="S1700" s="14">
        <v>0.25</v>
      </c>
      <c r="T1700" s="14">
        <v>0.25</v>
      </c>
      <c r="U1700" s="14">
        <v>0.25</v>
      </c>
      <c r="V1700" s="14">
        <v>0.25</v>
      </c>
      <c r="W1700" s="14">
        <v>0.25</v>
      </c>
      <c r="X1700" s="14">
        <v>0.25</v>
      </c>
      <c r="Y1700" s="14">
        <v>0.25</v>
      </c>
      <c r="Z1700" s="14">
        <v>0.25</v>
      </c>
      <c r="AA1700" s="14">
        <v>1</v>
      </c>
      <c r="AB1700" s="14">
        <v>1</v>
      </c>
      <c r="AC1700" s="14">
        <v>1</v>
      </c>
      <c r="AD1700" s="14">
        <v>1</v>
      </c>
      <c r="AE1700" s="14">
        <v>1</v>
      </c>
      <c r="AF1700" s="14" t="s">
        <v>413</v>
      </c>
    </row>
    <row r="1701" spans="1:32" ht="14.25" customHeight="1" x14ac:dyDescent="0.35">
      <c r="A1701" s="16" t="s">
        <v>1324</v>
      </c>
      <c r="B1701" s="16" t="s">
        <v>441</v>
      </c>
      <c r="C1701" s="16"/>
      <c r="D1701" s="16" t="s">
        <v>514</v>
      </c>
      <c r="E1701" s="17">
        <v>41640</v>
      </c>
      <c r="F1701" s="17">
        <v>42004</v>
      </c>
      <c r="G1701" s="16" t="s">
        <v>415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0.25</v>
      </c>
      <c r="P1701" s="16">
        <v>0.25</v>
      </c>
      <c r="Q1701" s="16">
        <v>0.25</v>
      </c>
      <c r="R1701" s="16">
        <v>0.25</v>
      </c>
      <c r="S1701" s="16">
        <v>0.25</v>
      </c>
      <c r="T1701" s="16">
        <v>0.25</v>
      </c>
      <c r="U1701" s="16">
        <v>0.25</v>
      </c>
      <c r="V1701" s="16">
        <v>0.25</v>
      </c>
      <c r="W1701" s="16">
        <v>0.25</v>
      </c>
      <c r="X1701" s="16">
        <v>0.25</v>
      </c>
      <c r="Y1701" s="16">
        <v>0.25</v>
      </c>
      <c r="Z1701" s="16">
        <v>1</v>
      </c>
      <c r="AA1701" s="16">
        <v>1</v>
      </c>
      <c r="AB1701" s="16">
        <v>1</v>
      </c>
      <c r="AC1701" s="16">
        <v>1</v>
      </c>
      <c r="AD1701" s="16">
        <v>1</v>
      </c>
      <c r="AE1701" s="16">
        <v>1</v>
      </c>
      <c r="AF1701" s="16" t="s">
        <v>413</v>
      </c>
    </row>
    <row r="1702" spans="1:32" ht="14.25" customHeight="1" x14ac:dyDescent="0.35">
      <c r="A1702" s="16" t="s">
        <v>1325</v>
      </c>
      <c r="B1702" s="16" t="s">
        <v>550</v>
      </c>
      <c r="C1702" s="16"/>
      <c r="D1702" s="16" t="s">
        <v>476</v>
      </c>
      <c r="E1702" s="17">
        <v>41640</v>
      </c>
      <c r="F1702" s="17">
        <v>42004</v>
      </c>
      <c r="G1702" s="16" t="s">
        <v>410</v>
      </c>
      <c r="H1702" s="16">
        <v>0</v>
      </c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 t="s">
        <v>413</v>
      </c>
    </row>
    <row r="1703" spans="1:32" ht="14.25" customHeight="1" x14ac:dyDescent="0.35">
      <c r="A1703" s="14" t="s">
        <v>1325</v>
      </c>
      <c r="B1703" s="14" t="s">
        <v>550</v>
      </c>
      <c r="C1703" s="14"/>
      <c r="D1703" s="14" t="s">
        <v>556</v>
      </c>
      <c r="E1703" s="15">
        <v>41640</v>
      </c>
      <c r="F1703" s="15">
        <v>42004</v>
      </c>
      <c r="G1703" s="14" t="s">
        <v>415</v>
      </c>
      <c r="H1703" s="14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1</v>
      </c>
      <c r="P1703" s="14">
        <v>1</v>
      </c>
      <c r="Q1703" s="14">
        <v>1</v>
      </c>
      <c r="R1703" s="14">
        <v>1</v>
      </c>
      <c r="S1703" s="14">
        <v>1</v>
      </c>
      <c r="T1703" s="14">
        <v>1</v>
      </c>
      <c r="U1703" s="14">
        <v>1</v>
      </c>
      <c r="V1703" s="14">
        <v>1</v>
      </c>
      <c r="W1703" s="14">
        <v>1</v>
      </c>
      <c r="X1703" s="14">
        <v>1</v>
      </c>
      <c r="Y1703" s="14">
        <v>1</v>
      </c>
      <c r="Z1703" s="14">
        <v>1</v>
      </c>
      <c r="AA1703" s="14">
        <v>0</v>
      </c>
      <c r="AB1703" s="14">
        <v>0</v>
      </c>
      <c r="AC1703" s="14">
        <v>0</v>
      </c>
      <c r="AD1703" s="14">
        <v>0</v>
      </c>
      <c r="AE1703" s="14">
        <v>0</v>
      </c>
      <c r="AF1703" s="14" t="s">
        <v>413</v>
      </c>
    </row>
    <row r="1704" spans="1:32" ht="14.25" customHeight="1" x14ac:dyDescent="0.35">
      <c r="A1704" s="16" t="s">
        <v>1326</v>
      </c>
      <c r="B1704" s="16" t="s">
        <v>550</v>
      </c>
      <c r="C1704" s="16"/>
      <c r="D1704" s="16" t="s">
        <v>409</v>
      </c>
      <c r="E1704" s="17">
        <v>41640</v>
      </c>
      <c r="F1704" s="17">
        <v>42004</v>
      </c>
      <c r="G1704" s="16" t="s">
        <v>410</v>
      </c>
      <c r="H1704" s="16">
        <v>1</v>
      </c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 t="s">
        <v>413</v>
      </c>
    </row>
    <row r="1705" spans="1:32" ht="14.25" customHeight="1" x14ac:dyDescent="0.35">
      <c r="A1705" s="14" t="s">
        <v>1327</v>
      </c>
      <c r="B1705" s="14" t="s">
        <v>408</v>
      </c>
      <c r="C1705" s="14"/>
      <c r="D1705" s="14" t="s">
        <v>409</v>
      </c>
      <c r="E1705" s="15">
        <v>41640</v>
      </c>
      <c r="F1705" s="15">
        <v>42004</v>
      </c>
      <c r="G1705" s="14" t="s">
        <v>410</v>
      </c>
      <c r="H1705" s="14">
        <v>1</v>
      </c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 t="s">
        <v>413</v>
      </c>
    </row>
    <row r="1706" spans="1:32" ht="14.25" customHeight="1" x14ac:dyDescent="0.35">
      <c r="A1706" s="16" t="s">
        <v>1328</v>
      </c>
      <c r="B1706" s="16" t="s">
        <v>408</v>
      </c>
      <c r="C1706" s="16"/>
      <c r="D1706" s="16" t="s">
        <v>409</v>
      </c>
      <c r="E1706" s="17">
        <v>41640</v>
      </c>
      <c r="F1706" s="17">
        <v>42004</v>
      </c>
      <c r="G1706" s="16" t="s">
        <v>410</v>
      </c>
      <c r="H1706" s="16">
        <v>1</v>
      </c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 t="s">
        <v>413</v>
      </c>
    </row>
    <row r="1707" spans="1:32" ht="14.25" customHeight="1" x14ac:dyDescent="0.35">
      <c r="A1707" s="14" t="s">
        <v>1329</v>
      </c>
      <c r="B1707" s="14" t="s">
        <v>408</v>
      </c>
      <c r="C1707" s="14" t="s">
        <v>414</v>
      </c>
      <c r="D1707" s="14" t="s">
        <v>409</v>
      </c>
      <c r="E1707" s="15">
        <v>41640</v>
      </c>
      <c r="F1707" s="15">
        <v>42004</v>
      </c>
      <c r="G1707" s="14" t="s">
        <v>410</v>
      </c>
      <c r="H1707" s="14">
        <v>13</v>
      </c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 t="s">
        <v>413</v>
      </c>
    </row>
    <row r="1708" spans="1:32" ht="14.25" customHeight="1" x14ac:dyDescent="0.35">
      <c r="A1708" s="16" t="s">
        <v>1329</v>
      </c>
      <c r="B1708" s="16" t="s">
        <v>408</v>
      </c>
      <c r="C1708" s="16" t="s">
        <v>414</v>
      </c>
      <c r="D1708" s="16" t="s">
        <v>454</v>
      </c>
      <c r="E1708" s="17">
        <v>41913</v>
      </c>
      <c r="F1708" s="17">
        <v>42004</v>
      </c>
      <c r="G1708" s="16" t="s">
        <v>410</v>
      </c>
      <c r="H1708" s="16">
        <v>13</v>
      </c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 t="s">
        <v>413</v>
      </c>
    </row>
    <row r="1709" spans="1:32" ht="14.25" customHeight="1" x14ac:dyDescent="0.35">
      <c r="A1709" s="14" t="s">
        <v>1329</v>
      </c>
      <c r="B1709" s="14" t="s">
        <v>408</v>
      </c>
      <c r="C1709" s="14" t="s">
        <v>414</v>
      </c>
      <c r="D1709" s="14" t="s">
        <v>454</v>
      </c>
      <c r="E1709" s="15">
        <v>41640</v>
      </c>
      <c r="F1709" s="15">
        <v>41729</v>
      </c>
      <c r="G1709" s="14" t="s">
        <v>410</v>
      </c>
      <c r="H1709" s="14">
        <v>13</v>
      </c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 t="s">
        <v>413</v>
      </c>
    </row>
    <row r="1710" spans="1:32" ht="14.25" customHeight="1" x14ac:dyDescent="0.35">
      <c r="A1710" s="16" t="s">
        <v>1330</v>
      </c>
      <c r="B1710" s="16" t="s">
        <v>408</v>
      </c>
      <c r="C1710" s="16" t="s">
        <v>412</v>
      </c>
      <c r="D1710" s="16" t="s">
        <v>409</v>
      </c>
      <c r="E1710" s="17">
        <v>41640</v>
      </c>
      <c r="F1710" s="17">
        <v>42004</v>
      </c>
      <c r="G1710" s="16" t="s">
        <v>410</v>
      </c>
      <c r="H1710" s="16">
        <v>0</v>
      </c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 t="s">
        <v>413</v>
      </c>
    </row>
    <row r="1711" spans="1:32" ht="14.25" customHeight="1" x14ac:dyDescent="0.35">
      <c r="A1711" s="14" t="s">
        <v>1331</v>
      </c>
      <c r="B1711" s="14" t="s">
        <v>460</v>
      </c>
      <c r="C1711" s="14" t="s">
        <v>414</v>
      </c>
      <c r="D1711" s="14" t="s">
        <v>409</v>
      </c>
      <c r="E1711" s="15">
        <v>41640</v>
      </c>
      <c r="F1711" s="15">
        <v>42004</v>
      </c>
      <c r="G1711" s="14" t="s">
        <v>410</v>
      </c>
      <c r="H1711" s="14">
        <v>22</v>
      </c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 t="s">
        <v>413</v>
      </c>
    </row>
    <row r="1712" spans="1:32" ht="14.25" customHeight="1" x14ac:dyDescent="0.35">
      <c r="A1712" s="16" t="s">
        <v>1332</v>
      </c>
      <c r="B1712" s="16" t="s">
        <v>460</v>
      </c>
      <c r="C1712" s="16" t="s">
        <v>414</v>
      </c>
      <c r="D1712" s="16" t="s">
        <v>409</v>
      </c>
      <c r="E1712" s="17">
        <v>41640</v>
      </c>
      <c r="F1712" s="17">
        <v>42004</v>
      </c>
      <c r="G1712" s="16" t="s">
        <v>410</v>
      </c>
      <c r="H1712" s="16">
        <v>60</v>
      </c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 t="s">
        <v>413</v>
      </c>
    </row>
    <row r="1713" spans="1:32" ht="14.25" customHeight="1" x14ac:dyDescent="0.35">
      <c r="A1713" s="14" t="s">
        <v>1333</v>
      </c>
      <c r="B1713" s="14" t="s">
        <v>460</v>
      </c>
      <c r="C1713" s="14" t="s">
        <v>414</v>
      </c>
      <c r="D1713" s="14" t="s">
        <v>409</v>
      </c>
      <c r="E1713" s="15">
        <v>41640</v>
      </c>
      <c r="F1713" s="15">
        <v>42004</v>
      </c>
      <c r="G1713" s="14" t="s">
        <v>410</v>
      </c>
      <c r="H1713" s="14">
        <v>60</v>
      </c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 t="s">
        <v>413</v>
      </c>
    </row>
    <row r="1714" spans="1:32" ht="14.25" customHeight="1" x14ac:dyDescent="0.35">
      <c r="A1714" s="16" t="s">
        <v>1334</v>
      </c>
      <c r="B1714" s="16" t="s">
        <v>408</v>
      </c>
      <c r="C1714" s="16"/>
      <c r="D1714" s="16" t="s">
        <v>409</v>
      </c>
      <c r="E1714" s="17">
        <v>41640</v>
      </c>
      <c r="F1714" s="17">
        <v>42004</v>
      </c>
      <c r="G1714" s="16" t="s">
        <v>410</v>
      </c>
      <c r="H1714" s="16">
        <v>0</v>
      </c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 t="s">
        <v>413</v>
      </c>
    </row>
    <row r="1715" spans="1:32" ht="14.25" customHeight="1" x14ac:dyDescent="0.35">
      <c r="A1715" s="16" t="s">
        <v>1335</v>
      </c>
      <c r="B1715" s="16" t="s">
        <v>416</v>
      </c>
      <c r="C1715" s="16"/>
      <c r="D1715" s="16" t="s">
        <v>453</v>
      </c>
      <c r="E1715" s="17">
        <v>41640</v>
      </c>
      <c r="F1715" s="17">
        <v>42004</v>
      </c>
      <c r="G1715" s="16" t="s">
        <v>415</v>
      </c>
      <c r="H1715" s="16">
        <v>0.05</v>
      </c>
      <c r="I1715" s="16">
        <v>0.05</v>
      </c>
      <c r="J1715" s="16">
        <v>0.05</v>
      </c>
      <c r="K1715" s="16">
        <v>0.05</v>
      </c>
      <c r="L1715" s="16">
        <v>0.05</v>
      </c>
      <c r="M1715" s="16">
        <v>0.05</v>
      </c>
      <c r="N1715" s="16">
        <v>0.05</v>
      </c>
      <c r="O1715" s="16">
        <v>0.5</v>
      </c>
      <c r="P1715" s="16">
        <v>0.75</v>
      </c>
      <c r="Q1715" s="16">
        <v>1</v>
      </c>
      <c r="R1715" s="16">
        <v>1</v>
      </c>
      <c r="S1715" s="16">
        <v>1</v>
      </c>
      <c r="T1715" s="16">
        <v>0.75</v>
      </c>
      <c r="U1715" s="16">
        <v>1</v>
      </c>
      <c r="V1715" s="16">
        <v>1</v>
      </c>
      <c r="W1715" s="16">
        <v>1</v>
      </c>
      <c r="X1715" s="16">
        <v>1</v>
      </c>
      <c r="Y1715" s="16">
        <v>1</v>
      </c>
      <c r="Z1715" s="16">
        <v>0.52</v>
      </c>
      <c r="AA1715" s="16">
        <v>0.52</v>
      </c>
      <c r="AB1715" s="16">
        <v>0.52</v>
      </c>
      <c r="AC1715" s="16">
        <v>0.28000000000000003</v>
      </c>
      <c r="AD1715" s="16">
        <v>0.05</v>
      </c>
      <c r="AE1715" s="16">
        <v>0.05</v>
      </c>
      <c r="AF1715" s="16" t="s">
        <v>411</v>
      </c>
    </row>
    <row r="1716" spans="1:32" ht="14.25" customHeight="1" x14ac:dyDescent="0.35">
      <c r="A1716" s="16" t="s">
        <v>1335</v>
      </c>
      <c r="B1716" s="16" t="s">
        <v>416</v>
      </c>
      <c r="C1716" s="16"/>
      <c r="D1716" s="16" t="s">
        <v>512</v>
      </c>
      <c r="E1716" s="17">
        <v>41640</v>
      </c>
      <c r="F1716" s="17">
        <v>42004</v>
      </c>
      <c r="G1716" s="16" t="s">
        <v>415</v>
      </c>
      <c r="H1716" s="16">
        <v>0.05</v>
      </c>
      <c r="I1716" s="16">
        <v>0.05</v>
      </c>
      <c r="J1716" s="16">
        <v>0.05</v>
      </c>
      <c r="K1716" s="16">
        <v>0.05</v>
      </c>
      <c r="L1716" s="16">
        <v>0.05</v>
      </c>
      <c r="M1716" s="16">
        <v>0.05</v>
      </c>
      <c r="N1716" s="16">
        <v>0.05</v>
      </c>
      <c r="O1716" s="16">
        <v>0.4</v>
      </c>
      <c r="P1716" s="16">
        <v>0.46</v>
      </c>
      <c r="Q1716" s="16">
        <v>0.7</v>
      </c>
      <c r="R1716" s="16">
        <v>0.7</v>
      </c>
      <c r="S1716" s="16">
        <v>0.7</v>
      </c>
      <c r="T1716" s="16">
        <v>0.51</v>
      </c>
      <c r="U1716" s="16">
        <v>0.51</v>
      </c>
      <c r="V1716" s="16">
        <v>0.51</v>
      </c>
      <c r="W1716" s="16">
        <v>0.51</v>
      </c>
      <c r="X1716" s="16">
        <v>0.51</v>
      </c>
      <c r="Y1716" s="16">
        <v>0.25</v>
      </c>
      <c r="Z1716" s="16">
        <v>0.05</v>
      </c>
      <c r="AA1716" s="16">
        <v>0.05</v>
      </c>
      <c r="AB1716" s="16">
        <v>0.05</v>
      </c>
      <c r="AC1716" s="16">
        <v>0.05</v>
      </c>
      <c r="AD1716" s="16">
        <v>0.05</v>
      </c>
      <c r="AE1716" s="16">
        <v>0.05</v>
      </c>
      <c r="AF1716" s="16" t="s">
        <v>411</v>
      </c>
    </row>
    <row r="1717" spans="1:32" ht="14.25" customHeight="1" x14ac:dyDescent="0.35">
      <c r="A1717" s="14" t="s">
        <v>1335</v>
      </c>
      <c r="B1717" s="14" t="s">
        <v>416</v>
      </c>
      <c r="C1717" s="14"/>
      <c r="D1717" s="14" t="s">
        <v>979</v>
      </c>
      <c r="E1717" s="15">
        <v>41640</v>
      </c>
      <c r="F1717" s="15">
        <v>42004</v>
      </c>
      <c r="G1717" s="14" t="s">
        <v>415</v>
      </c>
      <c r="H1717" s="14">
        <v>0.05</v>
      </c>
      <c r="I1717" s="14">
        <v>0.05</v>
      </c>
      <c r="J1717" s="14">
        <v>0.05</v>
      </c>
      <c r="K1717" s="14">
        <v>0.05</v>
      </c>
      <c r="L1717" s="14">
        <v>0.05</v>
      </c>
      <c r="M1717" s="14">
        <v>0.05</v>
      </c>
      <c r="N1717" s="14">
        <v>0.05</v>
      </c>
      <c r="O1717" s="14">
        <v>0.05</v>
      </c>
      <c r="P1717" s="14">
        <v>0.4</v>
      </c>
      <c r="Q1717" s="14">
        <v>0.4</v>
      </c>
      <c r="R1717" s="14">
        <v>0.4</v>
      </c>
      <c r="S1717" s="14">
        <v>0.4</v>
      </c>
      <c r="T1717" s="14">
        <v>0.4</v>
      </c>
      <c r="U1717" s="14">
        <v>0.4</v>
      </c>
      <c r="V1717" s="14">
        <v>0.4</v>
      </c>
      <c r="W1717" s="14">
        <v>0.4</v>
      </c>
      <c r="X1717" s="14">
        <v>0.05</v>
      </c>
      <c r="Y1717" s="14">
        <v>0.05</v>
      </c>
      <c r="Z1717" s="14">
        <v>0.05</v>
      </c>
      <c r="AA1717" s="14">
        <v>0.05</v>
      </c>
      <c r="AB1717" s="14">
        <v>0.05</v>
      </c>
      <c r="AC1717" s="14">
        <v>0.05</v>
      </c>
      <c r="AD1717" s="14">
        <v>0.05</v>
      </c>
      <c r="AE1717" s="14">
        <v>0.05</v>
      </c>
      <c r="AF1717" s="14" t="s">
        <v>411</v>
      </c>
    </row>
    <row r="1718" spans="1:32" ht="14.25" customHeight="1" x14ac:dyDescent="0.35">
      <c r="A1718" s="14" t="s">
        <v>330</v>
      </c>
      <c r="B1718" s="14" t="s">
        <v>427</v>
      </c>
      <c r="C1718" s="14"/>
      <c r="D1718" s="14" t="s">
        <v>453</v>
      </c>
      <c r="E1718" s="15">
        <v>41640</v>
      </c>
      <c r="F1718" s="15">
        <v>42004</v>
      </c>
      <c r="G1718" s="14" t="s">
        <v>415</v>
      </c>
      <c r="H1718" s="14">
        <v>0.3</v>
      </c>
      <c r="I1718" s="14">
        <v>0.3</v>
      </c>
      <c r="J1718" s="14">
        <v>0.3</v>
      </c>
      <c r="K1718" s="14">
        <v>0.3</v>
      </c>
      <c r="L1718" s="14">
        <v>0.5</v>
      </c>
      <c r="M1718" s="14">
        <v>0.5</v>
      </c>
      <c r="N1718" s="14">
        <v>1</v>
      </c>
      <c r="O1718" s="14">
        <v>1</v>
      </c>
      <c r="P1718" s="14">
        <v>1</v>
      </c>
      <c r="Q1718" s="14">
        <v>1</v>
      </c>
      <c r="R1718" s="14">
        <v>1</v>
      </c>
      <c r="S1718" s="14">
        <v>1</v>
      </c>
      <c r="T1718" s="14">
        <v>1</v>
      </c>
      <c r="U1718" s="14">
        <v>1</v>
      </c>
      <c r="V1718" s="14">
        <v>1</v>
      </c>
      <c r="W1718" s="14">
        <v>1</v>
      </c>
      <c r="X1718" s="14">
        <v>1</v>
      </c>
      <c r="Y1718" s="14">
        <v>1</v>
      </c>
      <c r="Z1718" s="14">
        <v>0.5</v>
      </c>
      <c r="AA1718" s="14">
        <v>0.5</v>
      </c>
      <c r="AB1718" s="14">
        <v>0.3</v>
      </c>
      <c r="AC1718" s="14">
        <v>0.3</v>
      </c>
      <c r="AD1718" s="14">
        <v>0.3</v>
      </c>
      <c r="AE1718" s="14">
        <v>0.3</v>
      </c>
      <c r="AF1718" s="14" t="s">
        <v>411</v>
      </c>
    </row>
    <row r="1719" spans="1:32" ht="14.25" customHeight="1" x14ac:dyDescent="0.35">
      <c r="A1719" s="14" t="s">
        <v>330</v>
      </c>
      <c r="B1719" s="14" t="s">
        <v>427</v>
      </c>
      <c r="C1719" s="14"/>
      <c r="D1719" s="14" t="s">
        <v>512</v>
      </c>
      <c r="E1719" s="15">
        <v>41640</v>
      </c>
      <c r="F1719" s="15">
        <v>42004</v>
      </c>
      <c r="G1719" s="14" t="s">
        <v>415</v>
      </c>
      <c r="H1719" s="14">
        <v>0.3</v>
      </c>
      <c r="I1719" s="14">
        <v>0.3</v>
      </c>
      <c r="J1719" s="14">
        <v>0.3</v>
      </c>
      <c r="K1719" s="14">
        <v>0.3</v>
      </c>
      <c r="L1719" s="14">
        <v>0.3</v>
      </c>
      <c r="M1719" s="14">
        <v>0.3</v>
      </c>
      <c r="N1719" s="14">
        <v>0.3</v>
      </c>
      <c r="O1719" s="14">
        <v>0.5</v>
      </c>
      <c r="P1719" s="14">
        <v>0.5</v>
      </c>
      <c r="Q1719" s="14">
        <v>0.8</v>
      </c>
      <c r="R1719" s="14">
        <v>0.8</v>
      </c>
      <c r="S1719" s="14">
        <v>0.8</v>
      </c>
      <c r="T1719" s="14">
        <v>0.8</v>
      </c>
      <c r="U1719" s="14">
        <v>0.8</v>
      </c>
      <c r="V1719" s="14">
        <v>0.8</v>
      </c>
      <c r="W1719" s="14">
        <v>0.5</v>
      </c>
      <c r="X1719" s="14">
        <v>0.5</v>
      </c>
      <c r="Y1719" s="14">
        <v>0.5</v>
      </c>
      <c r="Z1719" s="14">
        <v>0.5</v>
      </c>
      <c r="AA1719" s="14">
        <v>0.5</v>
      </c>
      <c r="AB1719" s="14">
        <v>0.3</v>
      </c>
      <c r="AC1719" s="14">
        <v>0.3</v>
      </c>
      <c r="AD1719" s="14">
        <v>0.3</v>
      </c>
      <c r="AE1719" s="14">
        <v>0.3</v>
      </c>
      <c r="AF1719" s="14" t="s">
        <v>411</v>
      </c>
    </row>
    <row r="1720" spans="1:32" ht="14.25" customHeight="1" x14ac:dyDescent="0.35">
      <c r="A1720" s="16" t="s">
        <v>330</v>
      </c>
      <c r="B1720" s="16" t="s">
        <v>427</v>
      </c>
      <c r="C1720" s="16"/>
      <c r="D1720" s="16" t="s">
        <v>979</v>
      </c>
      <c r="E1720" s="17">
        <v>41640</v>
      </c>
      <c r="F1720" s="17">
        <v>42004</v>
      </c>
      <c r="G1720" s="16" t="s">
        <v>415</v>
      </c>
      <c r="H1720" s="16">
        <v>0.3</v>
      </c>
      <c r="I1720" s="16">
        <v>0.3</v>
      </c>
      <c r="J1720" s="16">
        <v>0.3</v>
      </c>
      <c r="K1720" s="16">
        <v>0.3</v>
      </c>
      <c r="L1720" s="16">
        <v>0.3</v>
      </c>
      <c r="M1720" s="16">
        <v>0.3</v>
      </c>
      <c r="N1720" s="16">
        <v>0.3</v>
      </c>
      <c r="O1720" s="16">
        <v>0.3</v>
      </c>
      <c r="P1720" s="16">
        <v>0.5</v>
      </c>
      <c r="Q1720" s="16">
        <v>0.5</v>
      </c>
      <c r="R1720" s="16">
        <v>0.5</v>
      </c>
      <c r="S1720" s="16">
        <v>0.5</v>
      </c>
      <c r="T1720" s="16">
        <v>0.5</v>
      </c>
      <c r="U1720" s="16">
        <v>0.5</v>
      </c>
      <c r="V1720" s="16">
        <v>0.5</v>
      </c>
      <c r="W1720" s="16">
        <v>0.5</v>
      </c>
      <c r="X1720" s="16">
        <v>0.5</v>
      </c>
      <c r="Y1720" s="16">
        <v>0.3</v>
      </c>
      <c r="Z1720" s="16">
        <v>0.3</v>
      </c>
      <c r="AA1720" s="16">
        <v>0.3</v>
      </c>
      <c r="AB1720" s="16">
        <v>0.3</v>
      </c>
      <c r="AC1720" s="16">
        <v>0.3</v>
      </c>
      <c r="AD1720" s="16">
        <v>0.3</v>
      </c>
      <c r="AE1720" s="16">
        <v>0.3</v>
      </c>
      <c r="AF1720" s="16" t="s">
        <v>411</v>
      </c>
    </row>
    <row r="1721" spans="1:32" ht="14.25" customHeight="1" x14ac:dyDescent="0.35">
      <c r="A1721" s="16" t="s">
        <v>1336</v>
      </c>
      <c r="B1721" s="16" t="s">
        <v>424</v>
      </c>
      <c r="C1721" s="16"/>
      <c r="D1721" s="16" t="s">
        <v>453</v>
      </c>
      <c r="E1721" s="17">
        <v>41640</v>
      </c>
      <c r="F1721" s="17">
        <v>42004</v>
      </c>
      <c r="G1721" s="16" t="s">
        <v>415</v>
      </c>
      <c r="H1721" s="16">
        <v>0.1</v>
      </c>
      <c r="I1721" s="16">
        <v>0.1</v>
      </c>
      <c r="J1721" s="16">
        <v>0.1</v>
      </c>
      <c r="K1721" s="16">
        <v>0.1</v>
      </c>
      <c r="L1721" s="16">
        <v>0.3</v>
      </c>
      <c r="M1721" s="16">
        <v>0.3</v>
      </c>
      <c r="N1721" s="16">
        <v>0.6</v>
      </c>
      <c r="O1721" s="16">
        <v>0.9</v>
      </c>
      <c r="P1721" s="16">
        <v>0.9</v>
      </c>
      <c r="Q1721" s="16">
        <v>0.9</v>
      </c>
      <c r="R1721" s="16">
        <v>0.9</v>
      </c>
      <c r="S1721" s="16">
        <v>0.9</v>
      </c>
      <c r="T1721" s="16">
        <v>0.9</v>
      </c>
      <c r="U1721" s="16">
        <v>0.9</v>
      </c>
      <c r="V1721" s="16">
        <v>0.9</v>
      </c>
      <c r="W1721" s="16">
        <v>0.9</v>
      </c>
      <c r="X1721" s="16">
        <v>0.9</v>
      </c>
      <c r="Y1721" s="16">
        <v>0.9</v>
      </c>
      <c r="Z1721" s="16">
        <v>0.6</v>
      </c>
      <c r="AA1721" s="16">
        <v>0.6</v>
      </c>
      <c r="AB1721" s="16">
        <v>0.3</v>
      </c>
      <c r="AC1721" s="16">
        <v>0.3</v>
      </c>
      <c r="AD1721" s="16">
        <v>0.1</v>
      </c>
      <c r="AE1721" s="16">
        <v>0.1</v>
      </c>
      <c r="AF1721" s="16" t="s">
        <v>411</v>
      </c>
    </row>
    <row r="1722" spans="1:32" ht="14.25" customHeight="1" x14ac:dyDescent="0.35">
      <c r="A1722" s="16" t="s">
        <v>1336</v>
      </c>
      <c r="B1722" s="16" t="s">
        <v>424</v>
      </c>
      <c r="C1722" s="16"/>
      <c r="D1722" s="16" t="s">
        <v>512</v>
      </c>
      <c r="E1722" s="17">
        <v>41640</v>
      </c>
      <c r="F1722" s="17">
        <v>42004</v>
      </c>
      <c r="G1722" s="16" t="s">
        <v>415</v>
      </c>
      <c r="H1722" s="16">
        <v>0.1</v>
      </c>
      <c r="I1722" s="16">
        <v>0.1</v>
      </c>
      <c r="J1722" s="16">
        <v>0.1</v>
      </c>
      <c r="K1722" s="16">
        <v>0.1</v>
      </c>
      <c r="L1722" s="16">
        <v>0.1</v>
      </c>
      <c r="M1722" s="16">
        <v>0.1</v>
      </c>
      <c r="N1722" s="16">
        <v>0.1</v>
      </c>
      <c r="O1722" s="16">
        <v>0.3</v>
      </c>
      <c r="P1722" s="16">
        <v>0.3</v>
      </c>
      <c r="Q1722" s="16">
        <v>0.4</v>
      </c>
      <c r="R1722" s="16">
        <v>0.4</v>
      </c>
      <c r="S1722" s="16">
        <v>0.4</v>
      </c>
      <c r="T1722" s="16">
        <v>0.4</v>
      </c>
      <c r="U1722" s="16">
        <v>0.4</v>
      </c>
      <c r="V1722" s="16">
        <v>0.4</v>
      </c>
      <c r="W1722" s="16">
        <v>0.3</v>
      </c>
      <c r="X1722" s="16">
        <v>0.3</v>
      </c>
      <c r="Y1722" s="16">
        <v>0.3</v>
      </c>
      <c r="Z1722" s="16">
        <v>0.3</v>
      </c>
      <c r="AA1722" s="16">
        <v>0.3</v>
      </c>
      <c r="AB1722" s="16">
        <v>0.1</v>
      </c>
      <c r="AC1722" s="16">
        <v>0.1</v>
      </c>
      <c r="AD1722" s="16">
        <v>0.1</v>
      </c>
      <c r="AE1722" s="16">
        <v>0.1</v>
      </c>
      <c r="AF1722" s="16" t="s">
        <v>411</v>
      </c>
    </row>
    <row r="1723" spans="1:32" ht="14.25" customHeight="1" x14ac:dyDescent="0.35">
      <c r="A1723" s="14" t="s">
        <v>1336</v>
      </c>
      <c r="B1723" s="14" t="s">
        <v>424</v>
      </c>
      <c r="C1723" s="14"/>
      <c r="D1723" s="14" t="s">
        <v>979</v>
      </c>
      <c r="E1723" s="15">
        <v>41640</v>
      </c>
      <c r="F1723" s="15">
        <v>42004</v>
      </c>
      <c r="G1723" s="14" t="s">
        <v>415</v>
      </c>
      <c r="H1723" s="14">
        <v>0.05</v>
      </c>
      <c r="I1723" s="14">
        <v>0.05</v>
      </c>
      <c r="J1723" s="14">
        <v>0.05</v>
      </c>
      <c r="K1723" s="14">
        <v>0.05</v>
      </c>
      <c r="L1723" s="14">
        <v>0.05</v>
      </c>
      <c r="M1723" s="14">
        <v>0.05</v>
      </c>
      <c r="N1723" s="14">
        <v>0.05</v>
      </c>
      <c r="O1723" s="14">
        <v>0.05</v>
      </c>
      <c r="P1723" s="14">
        <v>0.1</v>
      </c>
      <c r="Q1723" s="14">
        <v>0.1</v>
      </c>
      <c r="R1723" s="14">
        <v>0.1</v>
      </c>
      <c r="S1723" s="14">
        <v>0.1</v>
      </c>
      <c r="T1723" s="14">
        <v>0.1</v>
      </c>
      <c r="U1723" s="14">
        <v>0.1</v>
      </c>
      <c r="V1723" s="14">
        <v>0.1</v>
      </c>
      <c r="W1723" s="14">
        <v>0.1</v>
      </c>
      <c r="X1723" s="14">
        <v>0.1</v>
      </c>
      <c r="Y1723" s="14">
        <v>0.05</v>
      </c>
      <c r="Z1723" s="14">
        <v>0.05</v>
      </c>
      <c r="AA1723" s="14">
        <v>0.05</v>
      </c>
      <c r="AB1723" s="14">
        <v>0.05</v>
      </c>
      <c r="AC1723" s="14">
        <v>0.05</v>
      </c>
      <c r="AD1723" s="14">
        <v>0.05</v>
      </c>
      <c r="AE1723" s="14">
        <v>0.05</v>
      </c>
      <c r="AF1723" s="14" t="s">
        <v>411</v>
      </c>
    </row>
    <row r="1724" spans="1:32" ht="14.25" customHeight="1" x14ac:dyDescent="0.35">
      <c r="A1724" s="14" t="s">
        <v>1337</v>
      </c>
      <c r="B1724" s="14" t="s">
        <v>448</v>
      </c>
      <c r="C1724" s="14"/>
      <c r="D1724" s="14" t="s">
        <v>453</v>
      </c>
      <c r="E1724" s="15">
        <v>41640</v>
      </c>
      <c r="F1724" s="15">
        <v>42004</v>
      </c>
      <c r="G1724" s="14" t="s">
        <v>415</v>
      </c>
      <c r="H1724" s="14">
        <v>0.05</v>
      </c>
      <c r="I1724" s="14">
        <v>0.05</v>
      </c>
      <c r="J1724" s="14">
        <v>0.05</v>
      </c>
      <c r="K1724" s="14">
        <v>0.05</v>
      </c>
      <c r="L1724" s="14">
        <v>0.2</v>
      </c>
      <c r="M1724" s="14">
        <v>0.2</v>
      </c>
      <c r="N1724" s="14">
        <v>0.5</v>
      </c>
      <c r="O1724" s="14">
        <v>0.9</v>
      </c>
      <c r="P1724" s="14">
        <v>0.9</v>
      </c>
      <c r="Q1724" s="14">
        <v>0.9</v>
      </c>
      <c r="R1724" s="14">
        <v>0.9</v>
      </c>
      <c r="S1724" s="14">
        <v>0.9</v>
      </c>
      <c r="T1724" s="14">
        <v>0.9</v>
      </c>
      <c r="U1724" s="14">
        <v>0.9</v>
      </c>
      <c r="V1724" s="14">
        <v>0.9</v>
      </c>
      <c r="W1724" s="14">
        <v>0.9</v>
      </c>
      <c r="X1724" s="14">
        <v>0.9</v>
      </c>
      <c r="Y1724" s="14">
        <v>0.9</v>
      </c>
      <c r="Z1724" s="14">
        <v>0.5</v>
      </c>
      <c r="AA1724" s="14">
        <v>0.5</v>
      </c>
      <c r="AB1724" s="14">
        <v>0.2</v>
      </c>
      <c r="AC1724" s="14">
        <v>0.2</v>
      </c>
      <c r="AD1724" s="14">
        <v>0.05</v>
      </c>
      <c r="AE1724" s="14">
        <v>0.05</v>
      </c>
      <c r="AF1724" s="14" t="s">
        <v>411</v>
      </c>
    </row>
    <row r="1725" spans="1:32" ht="14.25" customHeight="1" x14ac:dyDescent="0.35">
      <c r="A1725" s="14" t="s">
        <v>1337</v>
      </c>
      <c r="B1725" s="14" t="s">
        <v>448</v>
      </c>
      <c r="C1725" s="14"/>
      <c r="D1725" s="14" t="s">
        <v>512</v>
      </c>
      <c r="E1725" s="15">
        <v>41640</v>
      </c>
      <c r="F1725" s="15">
        <v>42004</v>
      </c>
      <c r="G1725" s="14" t="s">
        <v>415</v>
      </c>
      <c r="H1725" s="14">
        <v>0.05</v>
      </c>
      <c r="I1725" s="14">
        <v>0.05</v>
      </c>
      <c r="J1725" s="14">
        <v>0.05</v>
      </c>
      <c r="K1725" s="14">
        <v>0.05</v>
      </c>
      <c r="L1725" s="14">
        <v>0.05</v>
      </c>
      <c r="M1725" s="14">
        <v>0.05</v>
      </c>
      <c r="N1725" s="14">
        <v>0.05</v>
      </c>
      <c r="O1725" s="14">
        <v>0.2</v>
      </c>
      <c r="P1725" s="14">
        <v>0.2</v>
      </c>
      <c r="Q1725" s="14">
        <v>0.3</v>
      </c>
      <c r="R1725" s="14">
        <v>0.3</v>
      </c>
      <c r="S1725" s="14">
        <v>0.3</v>
      </c>
      <c r="T1725" s="14">
        <v>0.3</v>
      </c>
      <c r="U1725" s="14">
        <v>0.3</v>
      </c>
      <c r="V1725" s="14">
        <v>0.3</v>
      </c>
      <c r="W1725" s="14">
        <v>0.2</v>
      </c>
      <c r="X1725" s="14">
        <v>0.2</v>
      </c>
      <c r="Y1725" s="14">
        <v>0.2</v>
      </c>
      <c r="Z1725" s="14">
        <v>0.2</v>
      </c>
      <c r="AA1725" s="14">
        <v>0.2</v>
      </c>
      <c r="AB1725" s="14">
        <v>0.05</v>
      </c>
      <c r="AC1725" s="14">
        <v>0.05</v>
      </c>
      <c r="AD1725" s="14">
        <v>0.05</v>
      </c>
      <c r="AE1725" s="14">
        <v>0.05</v>
      </c>
      <c r="AF1725" s="14" t="s">
        <v>411</v>
      </c>
    </row>
    <row r="1726" spans="1:32" ht="14.25" customHeight="1" x14ac:dyDescent="0.35">
      <c r="A1726" s="16" t="s">
        <v>1337</v>
      </c>
      <c r="B1726" s="16" t="s">
        <v>448</v>
      </c>
      <c r="C1726" s="16"/>
      <c r="D1726" s="16" t="s">
        <v>979</v>
      </c>
      <c r="E1726" s="17">
        <v>41640</v>
      </c>
      <c r="F1726" s="17">
        <v>42004</v>
      </c>
      <c r="G1726" s="16" t="s">
        <v>415</v>
      </c>
      <c r="H1726" s="16">
        <v>0</v>
      </c>
      <c r="I1726" s="16">
        <v>0</v>
      </c>
      <c r="J1726" s="16">
        <v>0</v>
      </c>
      <c r="K1726" s="16">
        <v>0</v>
      </c>
      <c r="L1726" s="16">
        <v>0</v>
      </c>
      <c r="M1726" s="16">
        <v>0</v>
      </c>
      <c r="N1726" s="16">
        <v>0</v>
      </c>
      <c r="O1726" s="16">
        <v>0</v>
      </c>
      <c r="P1726" s="16">
        <v>0.05</v>
      </c>
      <c r="Q1726" s="16">
        <v>0.05</v>
      </c>
      <c r="R1726" s="16">
        <v>0.05</v>
      </c>
      <c r="S1726" s="16">
        <v>0.05</v>
      </c>
      <c r="T1726" s="16">
        <v>0.05</v>
      </c>
      <c r="U1726" s="16">
        <v>0.05</v>
      </c>
      <c r="V1726" s="16">
        <v>0.05</v>
      </c>
      <c r="W1726" s="16">
        <v>0.05</v>
      </c>
      <c r="X1726" s="16">
        <v>0.05</v>
      </c>
      <c r="Y1726" s="16">
        <v>0</v>
      </c>
      <c r="Z1726" s="16">
        <v>0</v>
      </c>
      <c r="AA1726" s="16">
        <v>0</v>
      </c>
      <c r="AB1726" s="16">
        <v>0</v>
      </c>
      <c r="AC1726" s="16">
        <v>0</v>
      </c>
      <c r="AD1726" s="16">
        <v>0</v>
      </c>
      <c r="AE1726" s="16">
        <v>0</v>
      </c>
      <c r="AF1726" s="16" t="s">
        <v>411</v>
      </c>
    </row>
    <row r="1727" spans="1:32" ht="14.25" customHeight="1" x14ac:dyDescent="0.35">
      <c r="A1727" s="16" t="s">
        <v>1338</v>
      </c>
      <c r="B1727" s="16" t="s">
        <v>420</v>
      </c>
      <c r="C1727" s="16" t="s">
        <v>414</v>
      </c>
      <c r="D1727" s="16" t="s">
        <v>453</v>
      </c>
      <c r="E1727" s="17">
        <v>41640</v>
      </c>
      <c r="F1727" s="17">
        <v>42004</v>
      </c>
      <c r="G1727" s="16" t="s">
        <v>415</v>
      </c>
      <c r="H1727" s="16">
        <v>25</v>
      </c>
      <c r="I1727" s="16">
        <v>25</v>
      </c>
      <c r="J1727" s="16">
        <v>25</v>
      </c>
      <c r="K1727" s="16">
        <v>25</v>
      </c>
      <c r="L1727" s="16">
        <v>25</v>
      </c>
      <c r="M1727" s="16">
        <v>22.2</v>
      </c>
      <c r="N1727" s="16">
        <v>22.2</v>
      </c>
      <c r="O1727" s="16">
        <v>22.2</v>
      </c>
      <c r="P1727" s="16">
        <v>22.2</v>
      </c>
      <c r="Q1727" s="16">
        <v>22.2</v>
      </c>
      <c r="R1727" s="16">
        <v>22.2</v>
      </c>
      <c r="S1727" s="16">
        <v>22.2</v>
      </c>
      <c r="T1727" s="16">
        <v>22.2</v>
      </c>
      <c r="U1727" s="16">
        <v>22.2</v>
      </c>
      <c r="V1727" s="16">
        <v>22.2</v>
      </c>
      <c r="W1727" s="16">
        <v>22.2</v>
      </c>
      <c r="X1727" s="16">
        <v>22.2</v>
      </c>
      <c r="Y1727" s="16">
        <v>22.2</v>
      </c>
      <c r="Z1727" s="16">
        <v>25</v>
      </c>
      <c r="AA1727" s="16">
        <v>25</v>
      </c>
      <c r="AB1727" s="16">
        <v>25</v>
      </c>
      <c r="AC1727" s="16">
        <v>25</v>
      </c>
      <c r="AD1727" s="16">
        <v>25</v>
      </c>
      <c r="AE1727" s="16">
        <v>25</v>
      </c>
      <c r="AF1727" s="16" t="s">
        <v>411</v>
      </c>
    </row>
    <row r="1728" spans="1:32" ht="14.25" customHeight="1" x14ac:dyDescent="0.35">
      <c r="A1728" s="16" t="s">
        <v>1338</v>
      </c>
      <c r="B1728" s="16" t="s">
        <v>420</v>
      </c>
      <c r="C1728" s="16" t="s">
        <v>414</v>
      </c>
      <c r="D1728" s="16" t="s">
        <v>530</v>
      </c>
      <c r="E1728" s="17">
        <v>41640</v>
      </c>
      <c r="F1728" s="17">
        <v>42004</v>
      </c>
      <c r="G1728" s="16" t="s">
        <v>410</v>
      </c>
      <c r="H1728" s="16">
        <v>25</v>
      </c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 t="s">
        <v>411</v>
      </c>
    </row>
    <row r="1729" spans="1:32" ht="14.25" customHeight="1" x14ac:dyDescent="0.35">
      <c r="A1729" s="14" t="s">
        <v>1338</v>
      </c>
      <c r="B1729" s="14" t="s">
        <v>420</v>
      </c>
      <c r="C1729" s="14" t="s">
        <v>414</v>
      </c>
      <c r="D1729" s="14" t="s">
        <v>418</v>
      </c>
      <c r="E1729" s="15">
        <v>41640</v>
      </c>
      <c r="F1729" s="15">
        <v>42004</v>
      </c>
      <c r="G1729" s="14" t="s">
        <v>415</v>
      </c>
      <c r="H1729" s="14">
        <v>25</v>
      </c>
      <c r="I1729" s="14">
        <v>25</v>
      </c>
      <c r="J1729" s="14">
        <v>25</v>
      </c>
      <c r="K1729" s="14">
        <v>25</v>
      </c>
      <c r="L1729" s="14">
        <v>25</v>
      </c>
      <c r="M1729" s="14">
        <v>25</v>
      </c>
      <c r="N1729" s="14">
        <v>25</v>
      </c>
      <c r="O1729" s="14">
        <v>22.2</v>
      </c>
      <c r="P1729" s="14">
        <v>22.2</v>
      </c>
      <c r="Q1729" s="14">
        <v>22.2</v>
      </c>
      <c r="R1729" s="14">
        <v>22.2</v>
      </c>
      <c r="S1729" s="14">
        <v>22.2</v>
      </c>
      <c r="T1729" s="14">
        <v>22.2</v>
      </c>
      <c r="U1729" s="14">
        <v>22.2</v>
      </c>
      <c r="V1729" s="14">
        <v>22.2</v>
      </c>
      <c r="W1729" s="14">
        <v>25</v>
      </c>
      <c r="X1729" s="14">
        <v>25</v>
      </c>
      <c r="Y1729" s="14">
        <v>25</v>
      </c>
      <c r="Z1729" s="14">
        <v>25</v>
      </c>
      <c r="AA1729" s="14">
        <v>25</v>
      </c>
      <c r="AB1729" s="14">
        <v>25</v>
      </c>
      <c r="AC1729" s="14">
        <v>25</v>
      </c>
      <c r="AD1729" s="14">
        <v>25</v>
      </c>
      <c r="AE1729" s="14">
        <v>25</v>
      </c>
      <c r="AF1729" s="14" t="s">
        <v>411</v>
      </c>
    </row>
    <row r="1730" spans="1:32" ht="14.25" customHeight="1" x14ac:dyDescent="0.35">
      <c r="A1730" s="14" t="s">
        <v>1339</v>
      </c>
      <c r="B1730" s="14" t="s">
        <v>518</v>
      </c>
      <c r="C1730" s="14"/>
      <c r="D1730" s="14" t="s">
        <v>476</v>
      </c>
      <c r="E1730" s="15">
        <v>41640</v>
      </c>
      <c r="F1730" s="15">
        <v>42004</v>
      </c>
      <c r="G1730" s="14" t="s">
        <v>410</v>
      </c>
      <c r="H1730" s="14">
        <v>1</v>
      </c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 t="s">
        <v>411</v>
      </c>
    </row>
    <row r="1731" spans="1:32" ht="14.25" customHeight="1" x14ac:dyDescent="0.35">
      <c r="A1731" s="16" t="s">
        <v>1339</v>
      </c>
      <c r="B1731" s="16" t="s">
        <v>518</v>
      </c>
      <c r="C1731" s="16"/>
      <c r="D1731" s="16" t="s">
        <v>419</v>
      </c>
      <c r="E1731" s="17">
        <v>41640</v>
      </c>
      <c r="F1731" s="17">
        <v>42004</v>
      </c>
      <c r="G1731" s="16" t="s">
        <v>410</v>
      </c>
      <c r="H1731" s="16">
        <v>0.5</v>
      </c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 t="s">
        <v>411</v>
      </c>
    </row>
    <row r="1732" spans="1:32" ht="14.25" customHeight="1" x14ac:dyDescent="0.35">
      <c r="A1732" s="14" t="s">
        <v>1339</v>
      </c>
      <c r="B1732" s="14" t="s">
        <v>518</v>
      </c>
      <c r="C1732" s="14"/>
      <c r="D1732" s="14" t="s">
        <v>454</v>
      </c>
      <c r="E1732" s="15">
        <v>41913</v>
      </c>
      <c r="F1732" s="15">
        <v>42004</v>
      </c>
      <c r="G1732" s="14" t="s">
        <v>410</v>
      </c>
      <c r="H1732" s="14">
        <v>1</v>
      </c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 t="s">
        <v>411</v>
      </c>
    </row>
    <row r="1733" spans="1:32" ht="14.25" customHeight="1" x14ac:dyDescent="0.35">
      <c r="A1733" s="16" t="s">
        <v>1339</v>
      </c>
      <c r="B1733" s="16" t="s">
        <v>518</v>
      </c>
      <c r="C1733" s="16"/>
      <c r="D1733" s="16" t="s">
        <v>454</v>
      </c>
      <c r="E1733" s="17">
        <v>41760</v>
      </c>
      <c r="F1733" s="17">
        <v>41912</v>
      </c>
      <c r="G1733" s="16" t="s">
        <v>410</v>
      </c>
      <c r="H1733" s="16">
        <v>0.5</v>
      </c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 t="s">
        <v>411</v>
      </c>
    </row>
    <row r="1734" spans="1:32" ht="14.25" customHeight="1" x14ac:dyDescent="0.35">
      <c r="A1734" s="14" t="s">
        <v>1340</v>
      </c>
      <c r="B1734" s="14" t="s">
        <v>420</v>
      </c>
      <c r="C1734" s="14" t="s">
        <v>414</v>
      </c>
      <c r="D1734" s="14" t="s">
        <v>453</v>
      </c>
      <c r="E1734" s="15">
        <v>41640</v>
      </c>
      <c r="F1734" s="15">
        <v>42004</v>
      </c>
      <c r="G1734" s="14" t="s">
        <v>415</v>
      </c>
      <c r="H1734" s="14">
        <v>18.3</v>
      </c>
      <c r="I1734" s="14">
        <v>18.3</v>
      </c>
      <c r="J1734" s="14">
        <v>18.3</v>
      </c>
      <c r="K1734" s="14">
        <v>18.3</v>
      </c>
      <c r="L1734" s="14">
        <v>18.3</v>
      </c>
      <c r="M1734" s="14">
        <v>21.1</v>
      </c>
      <c r="N1734" s="14">
        <v>21.1</v>
      </c>
      <c r="O1734" s="14">
        <v>21.1</v>
      </c>
      <c r="P1734" s="14">
        <v>21.1</v>
      </c>
      <c r="Q1734" s="14">
        <v>21.1</v>
      </c>
      <c r="R1734" s="14">
        <v>21.1</v>
      </c>
      <c r="S1734" s="14">
        <v>21.1</v>
      </c>
      <c r="T1734" s="14">
        <v>21.1</v>
      </c>
      <c r="U1734" s="14">
        <v>21.1</v>
      </c>
      <c r="V1734" s="14">
        <v>21.1</v>
      </c>
      <c r="W1734" s="14">
        <v>21.1</v>
      </c>
      <c r="X1734" s="14">
        <v>21.1</v>
      </c>
      <c r="Y1734" s="14">
        <v>21.1</v>
      </c>
      <c r="Z1734" s="14">
        <v>18.3</v>
      </c>
      <c r="AA1734" s="14">
        <v>18.3</v>
      </c>
      <c r="AB1734" s="14">
        <v>18.3</v>
      </c>
      <c r="AC1734" s="14">
        <v>18.3</v>
      </c>
      <c r="AD1734" s="14">
        <v>18.3</v>
      </c>
      <c r="AE1734" s="14">
        <v>18.3</v>
      </c>
      <c r="AF1734" s="14" t="s">
        <v>411</v>
      </c>
    </row>
    <row r="1735" spans="1:32" ht="14.25" customHeight="1" x14ac:dyDescent="0.35">
      <c r="A1735" s="14" t="s">
        <v>1340</v>
      </c>
      <c r="B1735" s="14" t="s">
        <v>420</v>
      </c>
      <c r="C1735" s="14" t="s">
        <v>414</v>
      </c>
      <c r="D1735" s="14" t="s">
        <v>530</v>
      </c>
      <c r="E1735" s="15">
        <v>41640</v>
      </c>
      <c r="F1735" s="15">
        <v>42004</v>
      </c>
      <c r="G1735" s="14" t="s">
        <v>410</v>
      </c>
      <c r="H1735" s="14">
        <v>18.3</v>
      </c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 t="s">
        <v>411</v>
      </c>
    </row>
    <row r="1736" spans="1:32" ht="14.25" customHeight="1" x14ac:dyDescent="0.35">
      <c r="A1736" s="16" t="s">
        <v>1340</v>
      </c>
      <c r="B1736" s="16" t="s">
        <v>420</v>
      </c>
      <c r="C1736" s="16" t="s">
        <v>414</v>
      </c>
      <c r="D1736" s="16" t="s">
        <v>418</v>
      </c>
      <c r="E1736" s="17">
        <v>41640</v>
      </c>
      <c r="F1736" s="17">
        <v>42004</v>
      </c>
      <c r="G1736" s="16" t="s">
        <v>415</v>
      </c>
      <c r="H1736" s="16">
        <v>18.3</v>
      </c>
      <c r="I1736" s="16">
        <v>18.3</v>
      </c>
      <c r="J1736" s="16">
        <v>18.3</v>
      </c>
      <c r="K1736" s="16">
        <v>18.3</v>
      </c>
      <c r="L1736" s="16">
        <v>18.3</v>
      </c>
      <c r="M1736" s="16">
        <v>18.3</v>
      </c>
      <c r="N1736" s="16">
        <v>18.3</v>
      </c>
      <c r="O1736" s="16">
        <v>21.1</v>
      </c>
      <c r="P1736" s="16">
        <v>21.1</v>
      </c>
      <c r="Q1736" s="16">
        <v>21.1</v>
      </c>
      <c r="R1736" s="16">
        <v>21.1</v>
      </c>
      <c r="S1736" s="16">
        <v>21.1</v>
      </c>
      <c r="T1736" s="16">
        <v>21.1</v>
      </c>
      <c r="U1736" s="16">
        <v>21.1</v>
      </c>
      <c r="V1736" s="16">
        <v>21.1</v>
      </c>
      <c r="W1736" s="16">
        <v>18.3</v>
      </c>
      <c r="X1736" s="16">
        <v>18.3</v>
      </c>
      <c r="Y1736" s="16">
        <v>18.3</v>
      </c>
      <c r="Z1736" s="16">
        <v>18.3</v>
      </c>
      <c r="AA1736" s="16">
        <v>18.3</v>
      </c>
      <c r="AB1736" s="16">
        <v>18.3</v>
      </c>
      <c r="AC1736" s="16">
        <v>18.3</v>
      </c>
      <c r="AD1736" s="16">
        <v>18.3</v>
      </c>
      <c r="AE1736" s="16">
        <v>18.3</v>
      </c>
      <c r="AF1736" s="16" t="s">
        <v>411</v>
      </c>
    </row>
    <row r="1737" spans="1:32" ht="14.25" customHeight="1" x14ac:dyDescent="0.35">
      <c r="A1737" s="16" t="s">
        <v>1341</v>
      </c>
      <c r="B1737" s="16" t="s">
        <v>441</v>
      </c>
      <c r="C1737" s="16"/>
      <c r="D1737" s="16" t="s">
        <v>417</v>
      </c>
      <c r="E1737" s="17">
        <v>41640</v>
      </c>
      <c r="F1737" s="17">
        <v>42004</v>
      </c>
      <c r="G1737" s="16" t="s">
        <v>410</v>
      </c>
      <c r="H1737" s="16">
        <v>0.5</v>
      </c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 t="s">
        <v>411</v>
      </c>
    </row>
    <row r="1738" spans="1:32" ht="14.25" customHeight="1" x14ac:dyDescent="0.35">
      <c r="A1738" s="14" t="s">
        <v>1341</v>
      </c>
      <c r="B1738" s="14" t="s">
        <v>441</v>
      </c>
      <c r="C1738" s="14"/>
      <c r="D1738" s="14" t="s">
        <v>421</v>
      </c>
      <c r="E1738" s="15">
        <v>41640</v>
      </c>
      <c r="F1738" s="15">
        <v>42004</v>
      </c>
      <c r="G1738" s="14" t="s">
        <v>410</v>
      </c>
      <c r="H1738" s="14">
        <v>1</v>
      </c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 t="s">
        <v>411</v>
      </c>
    </row>
    <row r="1739" spans="1:32" ht="14.25" customHeight="1" x14ac:dyDescent="0.35">
      <c r="A1739" s="16" t="s">
        <v>1342</v>
      </c>
      <c r="B1739" s="16" t="s">
        <v>420</v>
      </c>
      <c r="C1739" s="16" t="s">
        <v>414</v>
      </c>
      <c r="D1739" s="16" t="s">
        <v>409</v>
      </c>
      <c r="E1739" s="17">
        <v>41640</v>
      </c>
      <c r="F1739" s="17">
        <v>42004</v>
      </c>
      <c r="G1739" s="16" t="s">
        <v>415</v>
      </c>
      <c r="H1739" s="16">
        <v>22.2</v>
      </c>
      <c r="I1739" s="16">
        <v>22.2</v>
      </c>
      <c r="J1739" s="16">
        <v>22.2</v>
      </c>
      <c r="K1739" s="16">
        <v>22.2</v>
      </c>
      <c r="L1739" s="16">
        <v>22.2</v>
      </c>
      <c r="M1739" s="16">
        <v>22.2</v>
      </c>
      <c r="N1739" s="16">
        <v>18.3</v>
      </c>
      <c r="O1739" s="16">
        <v>18.3</v>
      </c>
      <c r="P1739" s="16">
        <v>18.3</v>
      </c>
      <c r="Q1739" s="16">
        <v>18.3</v>
      </c>
      <c r="R1739" s="16">
        <v>18.3</v>
      </c>
      <c r="S1739" s="16">
        <v>18.3</v>
      </c>
      <c r="T1739" s="16">
        <v>18.3</v>
      </c>
      <c r="U1739" s="16">
        <v>18.3</v>
      </c>
      <c r="V1739" s="16">
        <v>18.3</v>
      </c>
      <c r="W1739" s="16">
        <v>18.3</v>
      </c>
      <c r="X1739" s="16">
        <v>18.3</v>
      </c>
      <c r="Y1739" s="16">
        <v>22.2</v>
      </c>
      <c r="Z1739" s="16">
        <v>22.2</v>
      </c>
      <c r="AA1739" s="16">
        <v>22.2</v>
      </c>
      <c r="AB1739" s="16">
        <v>22.2</v>
      </c>
      <c r="AC1739" s="16">
        <v>22.2</v>
      </c>
      <c r="AD1739" s="16">
        <v>22.2</v>
      </c>
      <c r="AE1739" s="16">
        <v>22.2</v>
      </c>
      <c r="AF1739" s="16" t="s">
        <v>411</v>
      </c>
    </row>
    <row r="1740" spans="1:32" ht="14.25" customHeight="1" x14ac:dyDescent="0.35">
      <c r="A1740" s="14" t="s">
        <v>1343</v>
      </c>
      <c r="B1740" s="14" t="s">
        <v>420</v>
      </c>
      <c r="C1740" s="14" t="s">
        <v>414</v>
      </c>
      <c r="D1740" s="14" t="s">
        <v>409</v>
      </c>
      <c r="E1740" s="15">
        <v>41640</v>
      </c>
      <c r="F1740" s="15">
        <v>42004</v>
      </c>
      <c r="G1740" s="14" t="s">
        <v>410</v>
      </c>
      <c r="H1740" s="14">
        <v>18.3</v>
      </c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 t="s">
        <v>411</v>
      </c>
    </row>
    <row r="1741" spans="1:32" ht="14.25" customHeight="1" x14ac:dyDescent="0.35">
      <c r="A1741" s="16" t="s">
        <v>1344</v>
      </c>
      <c r="B1741" s="16" t="s">
        <v>427</v>
      </c>
      <c r="C1741" s="16"/>
      <c r="D1741" s="16" t="s">
        <v>453</v>
      </c>
      <c r="E1741" s="17">
        <v>41640</v>
      </c>
      <c r="F1741" s="17">
        <v>42004</v>
      </c>
      <c r="G1741" s="16" t="s">
        <v>415</v>
      </c>
      <c r="H1741" s="16">
        <v>0.01</v>
      </c>
      <c r="I1741" s="16">
        <v>0.01</v>
      </c>
      <c r="J1741" s="16">
        <v>0.01</v>
      </c>
      <c r="K1741" s="16">
        <v>0.01</v>
      </c>
      <c r="L1741" s="16">
        <v>0.01</v>
      </c>
      <c r="M1741" s="16">
        <v>0.01</v>
      </c>
      <c r="N1741" s="16">
        <v>0.96</v>
      </c>
      <c r="O1741" s="16">
        <v>0.96</v>
      </c>
      <c r="P1741" s="16">
        <v>0.96</v>
      </c>
      <c r="Q1741" s="16">
        <v>0.96</v>
      </c>
      <c r="R1741" s="16">
        <v>0.96</v>
      </c>
      <c r="S1741" s="16">
        <v>0.96</v>
      </c>
      <c r="T1741" s="16">
        <v>0.96</v>
      </c>
      <c r="U1741" s="16">
        <v>0.96</v>
      </c>
      <c r="V1741" s="16">
        <v>0.96</v>
      </c>
      <c r="W1741" s="16">
        <v>0.96</v>
      </c>
      <c r="X1741" s="16">
        <v>0.96</v>
      </c>
      <c r="Y1741" s="16">
        <v>0.96</v>
      </c>
      <c r="Z1741" s="16">
        <v>0.01</v>
      </c>
      <c r="AA1741" s="16">
        <v>0.01</v>
      </c>
      <c r="AB1741" s="16">
        <v>0.01</v>
      </c>
      <c r="AC1741" s="16">
        <v>0.01</v>
      </c>
      <c r="AD1741" s="16">
        <v>0.01</v>
      </c>
      <c r="AE1741" s="16">
        <v>0.01</v>
      </c>
      <c r="AF1741" s="16" t="s">
        <v>411</v>
      </c>
    </row>
    <row r="1742" spans="1:32" ht="14.25" customHeight="1" x14ac:dyDescent="0.35">
      <c r="A1742" s="14" t="s">
        <v>1344</v>
      </c>
      <c r="B1742" s="14" t="s">
        <v>427</v>
      </c>
      <c r="C1742" s="14"/>
      <c r="D1742" s="14" t="s">
        <v>979</v>
      </c>
      <c r="E1742" s="15">
        <v>41640</v>
      </c>
      <c r="F1742" s="15">
        <v>42004</v>
      </c>
      <c r="G1742" s="14" t="s">
        <v>410</v>
      </c>
      <c r="H1742" s="14">
        <v>0.01</v>
      </c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 t="s">
        <v>411</v>
      </c>
    </row>
    <row r="1743" spans="1:32" ht="14.25" customHeight="1" x14ac:dyDescent="0.35">
      <c r="A1743" s="16" t="s">
        <v>1345</v>
      </c>
      <c r="B1743" s="16" t="s">
        <v>408</v>
      </c>
      <c r="C1743" s="16"/>
      <c r="D1743" s="16" t="s">
        <v>409</v>
      </c>
      <c r="E1743" s="17">
        <v>41640</v>
      </c>
      <c r="F1743" s="17">
        <v>42004</v>
      </c>
      <c r="G1743" s="16" t="s">
        <v>410</v>
      </c>
      <c r="H1743" s="16">
        <v>0</v>
      </c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 t="s">
        <v>411</v>
      </c>
    </row>
    <row r="1744" spans="1:32" ht="14.25" customHeight="1" x14ac:dyDescent="0.35">
      <c r="A1744" s="16" t="s">
        <v>1346</v>
      </c>
      <c r="B1744" s="16" t="s">
        <v>408</v>
      </c>
      <c r="C1744" s="16"/>
      <c r="D1744" s="16" t="s">
        <v>409</v>
      </c>
      <c r="E1744" s="17">
        <v>41640</v>
      </c>
      <c r="F1744" s="17">
        <v>42004</v>
      </c>
      <c r="G1744" s="16" t="s">
        <v>410</v>
      </c>
      <c r="H1744" s="16">
        <v>1</v>
      </c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 t="s">
        <v>413</v>
      </c>
    </row>
    <row r="1745" spans="1:32" ht="14.25" customHeight="1" x14ac:dyDescent="0.35">
      <c r="A1745" s="14" t="s">
        <v>1347</v>
      </c>
      <c r="B1745" s="14" t="s">
        <v>408</v>
      </c>
      <c r="C1745" s="14"/>
      <c r="D1745" s="14" t="s">
        <v>409</v>
      </c>
      <c r="E1745" s="15">
        <v>41640</v>
      </c>
      <c r="F1745" s="15">
        <v>42004</v>
      </c>
      <c r="G1745" s="14" t="s">
        <v>410</v>
      </c>
      <c r="H1745" s="14">
        <v>1</v>
      </c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 t="s">
        <v>413</v>
      </c>
    </row>
    <row r="1746" spans="1:32" ht="14.25" customHeight="1" x14ac:dyDescent="0.35">
      <c r="A1746" s="16" t="s">
        <v>1348</v>
      </c>
      <c r="B1746" s="16" t="s">
        <v>550</v>
      </c>
      <c r="C1746" s="16"/>
      <c r="D1746" s="16" t="s">
        <v>409</v>
      </c>
      <c r="E1746" s="17">
        <v>41640</v>
      </c>
      <c r="F1746" s="17">
        <v>42004</v>
      </c>
      <c r="G1746" s="16" t="s">
        <v>410</v>
      </c>
      <c r="H1746" s="16">
        <v>0.33</v>
      </c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 t="s">
        <v>413</v>
      </c>
    </row>
    <row r="1747" spans="1:32" ht="14.25" customHeight="1" x14ac:dyDescent="0.35">
      <c r="A1747" s="14" t="s">
        <v>1349</v>
      </c>
      <c r="B1747" s="14" t="s">
        <v>408</v>
      </c>
      <c r="C1747" s="14" t="s">
        <v>412</v>
      </c>
      <c r="D1747" s="14" t="s">
        <v>409</v>
      </c>
      <c r="E1747" s="15">
        <v>41640</v>
      </c>
      <c r="F1747" s="15">
        <v>42004</v>
      </c>
      <c r="G1747" s="14" t="s">
        <v>410</v>
      </c>
      <c r="H1747" s="14">
        <v>0.2</v>
      </c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 t="s">
        <v>413</v>
      </c>
    </row>
    <row r="1748" spans="1:32" ht="14.25" customHeight="1" x14ac:dyDescent="0.35">
      <c r="A1748" s="16" t="s">
        <v>1350</v>
      </c>
      <c r="B1748" s="16" t="s">
        <v>408</v>
      </c>
      <c r="C1748" s="16"/>
      <c r="D1748" s="16" t="s">
        <v>409</v>
      </c>
      <c r="E1748" s="17">
        <v>41640</v>
      </c>
      <c r="F1748" s="17">
        <v>42004</v>
      </c>
      <c r="G1748" s="16" t="s">
        <v>410</v>
      </c>
      <c r="H1748" s="16">
        <v>0</v>
      </c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 t="s">
        <v>413</v>
      </c>
    </row>
    <row r="1749" spans="1:32" ht="14.25" customHeight="1" x14ac:dyDescent="0.35">
      <c r="A1749" s="14" t="s">
        <v>1351</v>
      </c>
      <c r="B1749" s="14" t="s">
        <v>408</v>
      </c>
      <c r="C1749" s="14"/>
      <c r="D1749" s="14" t="s">
        <v>409</v>
      </c>
      <c r="E1749" s="15">
        <v>41640</v>
      </c>
      <c r="F1749" s="15">
        <v>42004</v>
      </c>
      <c r="G1749" s="14" t="s">
        <v>410</v>
      </c>
      <c r="H1749" s="14">
        <v>1</v>
      </c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 t="s">
        <v>413</v>
      </c>
    </row>
    <row r="1750" spans="1:32" ht="14.25" customHeight="1" x14ac:dyDescent="0.35">
      <c r="A1750" s="16" t="s">
        <v>1352</v>
      </c>
      <c r="B1750" s="16" t="s">
        <v>408</v>
      </c>
      <c r="C1750" s="16"/>
      <c r="D1750" s="16" t="s">
        <v>603</v>
      </c>
      <c r="E1750" s="17">
        <v>41640</v>
      </c>
      <c r="F1750" s="17">
        <v>42004</v>
      </c>
      <c r="G1750" s="16" t="s">
        <v>415</v>
      </c>
      <c r="H1750" s="16">
        <v>0.3</v>
      </c>
      <c r="I1750" s="16">
        <v>0.3</v>
      </c>
      <c r="J1750" s="16">
        <v>0.3</v>
      </c>
      <c r="K1750" s="16">
        <v>0.3</v>
      </c>
      <c r="L1750" s="16">
        <v>0.3</v>
      </c>
      <c r="M1750" s="16">
        <v>0.3</v>
      </c>
      <c r="N1750" s="16">
        <v>1</v>
      </c>
      <c r="O1750" s="16">
        <v>1</v>
      </c>
      <c r="P1750" s="16">
        <v>1</v>
      </c>
      <c r="Q1750" s="16">
        <v>1</v>
      </c>
      <c r="R1750" s="16">
        <v>1</v>
      </c>
      <c r="S1750" s="16">
        <v>1</v>
      </c>
      <c r="T1750" s="16">
        <v>1</v>
      </c>
      <c r="U1750" s="16">
        <v>1</v>
      </c>
      <c r="V1750" s="16">
        <v>1</v>
      </c>
      <c r="W1750" s="16">
        <v>1</v>
      </c>
      <c r="X1750" s="16">
        <v>1</v>
      </c>
      <c r="Y1750" s="16">
        <v>1</v>
      </c>
      <c r="Z1750" s="16">
        <v>0.3</v>
      </c>
      <c r="AA1750" s="16">
        <v>0.3</v>
      </c>
      <c r="AB1750" s="16">
        <v>0.3</v>
      </c>
      <c r="AC1750" s="16">
        <v>0.3</v>
      </c>
      <c r="AD1750" s="16">
        <v>0.3</v>
      </c>
      <c r="AE1750" s="16">
        <v>0.3</v>
      </c>
      <c r="AF1750" s="16" t="s">
        <v>413</v>
      </c>
    </row>
    <row r="1751" spans="1:32" ht="14.25" customHeight="1" x14ac:dyDescent="0.35">
      <c r="A1751" s="14" t="s">
        <v>1353</v>
      </c>
      <c r="B1751" s="14" t="s">
        <v>408</v>
      </c>
      <c r="C1751" s="14"/>
      <c r="D1751" s="14" t="s">
        <v>603</v>
      </c>
      <c r="E1751" s="15">
        <v>41640</v>
      </c>
      <c r="F1751" s="15">
        <v>42004</v>
      </c>
      <c r="G1751" s="14" t="s">
        <v>415</v>
      </c>
      <c r="H1751" s="14">
        <v>0.5</v>
      </c>
      <c r="I1751" s="14">
        <v>0.5</v>
      </c>
      <c r="J1751" s="14">
        <v>0.5</v>
      </c>
      <c r="K1751" s="14">
        <v>0.5</v>
      </c>
      <c r="L1751" s="14">
        <v>0.5</v>
      </c>
      <c r="M1751" s="14">
        <v>0.5</v>
      </c>
      <c r="N1751" s="14">
        <v>1</v>
      </c>
      <c r="O1751" s="14">
        <v>1</v>
      </c>
      <c r="P1751" s="14">
        <v>1</v>
      </c>
      <c r="Q1751" s="14">
        <v>1</v>
      </c>
      <c r="R1751" s="14">
        <v>1</v>
      </c>
      <c r="S1751" s="14">
        <v>1</v>
      </c>
      <c r="T1751" s="14">
        <v>1</v>
      </c>
      <c r="U1751" s="14">
        <v>1</v>
      </c>
      <c r="V1751" s="14">
        <v>1</v>
      </c>
      <c r="W1751" s="14">
        <v>1</v>
      </c>
      <c r="X1751" s="14">
        <v>1</v>
      </c>
      <c r="Y1751" s="14">
        <v>1</v>
      </c>
      <c r="Z1751" s="14">
        <v>0.5</v>
      </c>
      <c r="AA1751" s="14">
        <v>0.5</v>
      </c>
      <c r="AB1751" s="14">
        <v>0.5</v>
      </c>
      <c r="AC1751" s="14">
        <v>0.5</v>
      </c>
      <c r="AD1751" s="14">
        <v>0.5</v>
      </c>
      <c r="AE1751" s="14">
        <v>0.5</v>
      </c>
      <c r="AF1751" s="14" t="s">
        <v>413</v>
      </c>
    </row>
    <row r="1752" spans="1:32" ht="14.25" customHeight="1" x14ac:dyDescent="0.35">
      <c r="A1752" s="16" t="s">
        <v>1354</v>
      </c>
      <c r="B1752" s="16" t="s">
        <v>416</v>
      </c>
      <c r="C1752" s="16"/>
      <c r="D1752" s="16" t="s">
        <v>417</v>
      </c>
      <c r="E1752" s="17">
        <v>41640</v>
      </c>
      <c r="F1752" s="17">
        <v>42004</v>
      </c>
      <c r="G1752" s="16" t="s">
        <v>415</v>
      </c>
      <c r="H1752" s="16">
        <v>0.05</v>
      </c>
      <c r="I1752" s="16">
        <v>0.05</v>
      </c>
      <c r="J1752" s="16">
        <v>0.05</v>
      </c>
      <c r="K1752" s="16">
        <v>0.05</v>
      </c>
      <c r="L1752" s="16">
        <v>0.05</v>
      </c>
      <c r="M1752" s="16">
        <v>0.05</v>
      </c>
      <c r="N1752" s="16">
        <v>0.05</v>
      </c>
      <c r="O1752" s="16">
        <v>0.05</v>
      </c>
      <c r="P1752" s="16">
        <v>0.4</v>
      </c>
      <c r="Q1752" s="16">
        <v>0.4</v>
      </c>
      <c r="R1752" s="16">
        <v>0.4</v>
      </c>
      <c r="S1752" s="16">
        <v>0.4</v>
      </c>
      <c r="T1752" s="16">
        <v>0.4</v>
      </c>
      <c r="U1752" s="16">
        <v>0.4</v>
      </c>
      <c r="V1752" s="16">
        <v>0.4</v>
      </c>
      <c r="W1752" s="16">
        <v>0.4</v>
      </c>
      <c r="X1752" s="16">
        <v>0.05</v>
      </c>
      <c r="Y1752" s="16">
        <v>0.05</v>
      </c>
      <c r="Z1752" s="16">
        <v>0.05</v>
      </c>
      <c r="AA1752" s="16">
        <v>0.05</v>
      </c>
      <c r="AB1752" s="16">
        <v>0.05</v>
      </c>
      <c r="AC1752" s="16">
        <v>0.05</v>
      </c>
      <c r="AD1752" s="16">
        <v>0.05</v>
      </c>
      <c r="AE1752" s="16">
        <v>0.05</v>
      </c>
      <c r="AF1752" s="16" t="s">
        <v>413</v>
      </c>
    </row>
    <row r="1753" spans="1:32" ht="14.25" customHeight="1" x14ac:dyDescent="0.35">
      <c r="A1753" s="14" t="s">
        <v>1354</v>
      </c>
      <c r="B1753" s="14" t="s">
        <v>416</v>
      </c>
      <c r="C1753" s="14"/>
      <c r="D1753" s="14" t="s">
        <v>512</v>
      </c>
      <c r="E1753" s="15">
        <v>41640</v>
      </c>
      <c r="F1753" s="15">
        <v>42004</v>
      </c>
      <c r="G1753" s="14" t="s">
        <v>415</v>
      </c>
      <c r="H1753" s="14">
        <v>0.05</v>
      </c>
      <c r="I1753" s="14">
        <v>0.05</v>
      </c>
      <c r="J1753" s="14">
        <v>0.05</v>
      </c>
      <c r="K1753" s="14">
        <v>0.05</v>
      </c>
      <c r="L1753" s="14">
        <v>0.05</v>
      </c>
      <c r="M1753" s="14">
        <v>0.05</v>
      </c>
      <c r="N1753" s="14">
        <v>0.05</v>
      </c>
      <c r="O1753" s="14">
        <v>0.4</v>
      </c>
      <c r="P1753" s="14">
        <v>0.46</v>
      </c>
      <c r="Q1753" s="14">
        <v>0.7</v>
      </c>
      <c r="R1753" s="14">
        <v>0.7</v>
      </c>
      <c r="S1753" s="14">
        <v>0.7</v>
      </c>
      <c r="T1753" s="14">
        <v>0.51</v>
      </c>
      <c r="U1753" s="14">
        <v>0.51</v>
      </c>
      <c r="V1753" s="14">
        <v>0.51</v>
      </c>
      <c r="W1753" s="14">
        <v>0.51</v>
      </c>
      <c r="X1753" s="14">
        <v>0.51</v>
      </c>
      <c r="Y1753" s="14">
        <v>0.25</v>
      </c>
      <c r="Z1753" s="14">
        <v>0.05</v>
      </c>
      <c r="AA1753" s="14">
        <v>0.05</v>
      </c>
      <c r="AB1753" s="14">
        <v>0.05</v>
      </c>
      <c r="AC1753" s="14">
        <v>0.05</v>
      </c>
      <c r="AD1753" s="14">
        <v>0.05</v>
      </c>
      <c r="AE1753" s="14">
        <v>0.05</v>
      </c>
      <c r="AF1753" s="14" t="s">
        <v>413</v>
      </c>
    </row>
    <row r="1754" spans="1:32" ht="14.25" customHeight="1" x14ac:dyDescent="0.35">
      <c r="A1754" s="16" t="s">
        <v>1354</v>
      </c>
      <c r="B1754" s="16" t="s">
        <v>416</v>
      </c>
      <c r="C1754" s="16"/>
      <c r="D1754" s="16" t="s">
        <v>419</v>
      </c>
      <c r="E1754" s="17">
        <v>41640</v>
      </c>
      <c r="F1754" s="17">
        <v>42004</v>
      </c>
      <c r="G1754" s="16" t="s">
        <v>410</v>
      </c>
      <c r="H1754" s="16">
        <v>1</v>
      </c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 t="s">
        <v>413</v>
      </c>
    </row>
    <row r="1755" spans="1:32" ht="14.25" customHeight="1" x14ac:dyDescent="0.35">
      <c r="A1755" s="16" t="s">
        <v>1354</v>
      </c>
      <c r="B1755" s="16" t="s">
        <v>416</v>
      </c>
      <c r="C1755" s="16"/>
      <c r="D1755" s="16" t="s">
        <v>429</v>
      </c>
      <c r="E1755" s="17">
        <v>41640</v>
      </c>
      <c r="F1755" s="17">
        <v>42004</v>
      </c>
      <c r="G1755" s="16" t="s">
        <v>415</v>
      </c>
      <c r="H1755" s="16">
        <v>0.05</v>
      </c>
      <c r="I1755" s="16">
        <v>0.05</v>
      </c>
      <c r="J1755" s="16">
        <v>0.05</v>
      </c>
      <c r="K1755" s="16">
        <v>0.05</v>
      </c>
      <c r="L1755" s="16">
        <v>0.05</v>
      </c>
      <c r="M1755" s="16">
        <v>0.05</v>
      </c>
      <c r="N1755" s="16">
        <v>0.05</v>
      </c>
      <c r="O1755" s="16">
        <v>0.5</v>
      </c>
      <c r="P1755" s="16">
        <v>0.75</v>
      </c>
      <c r="Q1755" s="16">
        <v>1</v>
      </c>
      <c r="R1755" s="16">
        <v>1</v>
      </c>
      <c r="S1755" s="16">
        <v>1</v>
      </c>
      <c r="T1755" s="16">
        <v>0.75</v>
      </c>
      <c r="U1755" s="16">
        <v>1</v>
      </c>
      <c r="V1755" s="16">
        <v>1</v>
      </c>
      <c r="W1755" s="16">
        <v>1</v>
      </c>
      <c r="X1755" s="16">
        <v>1</v>
      </c>
      <c r="Y1755" s="16">
        <v>1</v>
      </c>
      <c r="Z1755" s="16">
        <v>0.52</v>
      </c>
      <c r="AA1755" s="16">
        <v>0.52</v>
      </c>
      <c r="AB1755" s="16">
        <v>0.52</v>
      </c>
      <c r="AC1755" s="16">
        <v>0.28000000000000003</v>
      </c>
      <c r="AD1755" s="16">
        <v>0.05</v>
      </c>
      <c r="AE1755" s="16">
        <v>0.05</v>
      </c>
      <c r="AF1755" s="16" t="s">
        <v>413</v>
      </c>
    </row>
    <row r="1756" spans="1:32" ht="14.25" customHeight="1" x14ac:dyDescent="0.35">
      <c r="A1756" s="14" t="s">
        <v>1354</v>
      </c>
      <c r="B1756" s="14" t="s">
        <v>416</v>
      </c>
      <c r="C1756" s="14"/>
      <c r="D1756" s="14" t="s">
        <v>418</v>
      </c>
      <c r="E1756" s="15">
        <v>41640</v>
      </c>
      <c r="F1756" s="15">
        <v>42004</v>
      </c>
      <c r="G1756" s="14" t="s">
        <v>410</v>
      </c>
      <c r="H1756" s="14">
        <v>0.05</v>
      </c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 t="s">
        <v>413</v>
      </c>
    </row>
    <row r="1757" spans="1:32" ht="14.25" customHeight="1" x14ac:dyDescent="0.35">
      <c r="A1757" s="14" t="s">
        <v>1355</v>
      </c>
      <c r="B1757" s="14" t="s">
        <v>427</v>
      </c>
      <c r="C1757" s="14"/>
      <c r="D1757" s="14" t="s">
        <v>417</v>
      </c>
      <c r="E1757" s="15">
        <v>41640</v>
      </c>
      <c r="F1757" s="15">
        <v>42004</v>
      </c>
      <c r="G1757" s="14" t="s">
        <v>415</v>
      </c>
      <c r="H1757" s="14">
        <v>0.3</v>
      </c>
      <c r="I1757" s="14">
        <v>0.3</v>
      </c>
      <c r="J1757" s="14">
        <v>0.3</v>
      </c>
      <c r="K1757" s="14">
        <v>0.3</v>
      </c>
      <c r="L1757" s="14">
        <v>0.3</v>
      </c>
      <c r="M1757" s="14">
        <v>0.3</v>
      </c>
      <c r="N1757" s="14">
        <v>0.3</v>
      </c>
      <c r="O1757" s="14">
        <v>0.3</v>
      </c>
      <c r="P1757" s="14">
        <v>0.5</v>
      </c>
      <c r="Q1757" s="14">
        <v>0.5</v>
      </c>
      <c r="R1757" s="14">
        <v>0.5</v>
      </c>
      <c r="S1757" s="14">
        <v>0.5</v>
      </c>
      <c r="T1757" s="14">
        <v>0.5</v>
      </c>
      <c r="U1757" s="14">
        <v>0.5</v>
      </c>
      <c r="V1757" s="14">
        <v>0.5</v>
      </c>
      <c r="W1757" s="14">
        <v>0.5</v>
      </c>
      <c r="X1757" s="14">
        <v>0.5</v>
      </c>
      <c r="Y1757" s="14">
        <v>0.3</v>
      </c>
      <c r="Z1757" s="14">
        <v>0.3</v>
      </c>
      <c r="AA1757" s="14">
        <v>0.3</v>
      </c>
      <c r="AB1757" s="14">
        <v>0.3</v>
      </c>
      <c r="AC1757" s="14">
        <v>0.3</v>
      </c>
      <c r="AD1757" s="14">
        <v>0.3</v>
      </c>
      <c r="AE1757" s="14">
        <v>0.3</v>
      </c>
      <c r="AF1757" s="14" t="s">
        <v>413</v>
      </c>
    </row>
    <row r="1758" spans="1:32" ht="14.25" customHeight="1" x14ac:dyDescent="0.35">
      <c r="A1758" s="14" t="s">
        <v>1355</v>
      </c>
      <c r="B1758" s="14" t="s">
        <v>427</v>
      </c>
      <c r="C1758" s="14"/>
      <c r="D1758" s="14" t="s">
        <v>556</v>
      </c>
      <c r="E1758" s="15">
        <v>41640</v>
      </c>
      <c r="F1758" s="15">
        <v>42004</v>
      </c>
      <c r="G1758" s="14" t="s">
        <v>415</v>
      </c>
      <c r="H1758" s="14">
        <v>0.3</v>
      </c>
      <c r="I1758" s="14">
        <v>0.3</v>
      </c>
      <c r="J1758" s="14">
        <v>0.3</v>
      </c>
      <c r="K1758" s="14">
        <v>0.3</v>
      </c>
      <c r="L1758" s="14">
        <v>0.5</v>
      </c>
      <c r="M1758" s="14">
        <v>0.5</v>
      </c>
      <c r="N1758" s="14">
        <v>1</v>
      </c>
      <c r="O1758" s="14">
        <v>1</v>
      </c>
      <c r="P1758" s="14">
        <v>1</v>
      </c>
      <c r="Q1758" s="14">
        <v>1</v>
      </c>
      <c r="R1758" s="14">
        <v>1</v>
      </c>
      <c r="S1758" s="14">
        <v>1</v>
      </c>
      <c r="T1758" s="14">
        <v>1</v>
      </c>
      <c r="U1758" s="14">
        <v>1</v>
      </c>
      <c r="V1758" s="14">
        <v>1</v>
      </c>
      <c r="W1758" s="14">
        <v>1</v>
      </c>
      <c r="X1758" s="14">
        <v>1</v>
      </c>
      <c r="Y1758" s="14">
        <v>1</v>
      </c>
      <c r="Z1758" s="14">
        <v>0.5</v>
      </c>
      <c r="AA1758" s="14">
        <v>0.5</v>
      </c>
      <c r="AB1758" s="14">
        <v>0.3</v>
      </c>
      <c r="AC1758" s="14">
        <v>0.3</v>
      </c>
      <c r="AD1758" s="14">
        <v>0.3</v>
      </c>
      <c r="AE1758" s="14">
        <v>0.3</v>
      </c>
      <c r="AF1758" s="14" t="s">
        <v>413</v>
      </c>
    </row>
    <row r="1759" spans="1:32" ht="14.25" customHeight="1" x14ac:dyDescent="0.35">
      <c r="A1759" s="16" t="s">
        <v>1355</v>
      </c>
      <c r="B1759" s="16" t="s">
        <v>427</v>
      </c>
      <c r="C1759" s="16"/>
      <c r="D1759" s="16" t="s">
        <v>514</v>
      </c>
      <c r="E1759" s="17">
        <v>41640</v>
      </c>
      <c r="F1759" s="17">
        <v>42004</v>
      </c>
      <c r="G1759" s="16" t="s">
        <v>415</v>
      </c>
      <c r="H1759" s="16">
        <v>0.3</v>
      </c>
      <c r="I1759" s="16">
        <v>0.3</v>
      </c>
      <c r="J1759" s="16">
        <v>0.3</v>
      </c>
      <c r="K1759" s="16">
        <v>0.3</v>
      </c>
      <c r="L1759" s="16">
        <v>0.3</v>
      </c>
      <c r="M1759" s="16">
        <v>0.3</v>
      </c>
      <c r="N1759" s="16">
        <v>0.3</v>
      </c>
      <c r="O1759" s="16">
        <v>0.5</v>
      </c>
      <c r="P1759" s="16">
        <v>0.5</v>
      </c>
      <c r="Q1759" s="16">
        <v>0.8</v>
      </c>
      <c r="R1759" s="16">
        <v>0.8</v>
      </c>
      <c r="S1759" s="16">
        <v>0.8</v>
      </c>
      <c r="T1759" s="16">
        <v>0.8</v>
      </c>
      <c r="U1759" s="16">
        <v>0.8</v>
      </c>
      <c r="V1759" s="16">
        <v>0.8</v>
      </c>
      <c r="W1759" s="16">
        <v>0.5</v>
      </c>
      <c r="X1759" s="16">
        <v>0.5</v>
      </c>
      <c r="Y1759" s="16">
        <v>0.5</v>
      </c>
      <c r="Z1759" s="16">
        <v>0.5</v>
      </c>
      <c r="AA1759" s="16">
        <v>0.5</v>
      </c>
      <c r="AB1759" s="16">
        <v>0.3</v>
      </c>
      <c r="AC1759" s="16">
        <v>0.3</v>
      </c>
      <c r="AD1759" s="16">
        <v>0.3</v>
      </c>
      <c r="AE1759" s="16">
        <v>0.3</v>
      </c>
      <c r="AF1759" s="16" t="s">
        <v>413</v>
      </c>
    </row>
    <row r="1760" spans="1:32" ht="14.25" customHeight="1" x14ac:dyDescent="0.35">
      <c r="A1760" s="16" t="s">
        <v>345</v>
      </c>
      <c r="B1760" s="16" t="s">
        <v>427</v>
      </c>
      <c r="C1760" s="16"/>
      <c r="D1760" s="16" t="s">
        <v>417</v>
      </c>
      <c r="E1760" s="17">
        <v>41640</v>
      </c>
      <c r="F1760" s="17">
        <v>42004</v>
      </c>
      <c r="G1760" s="16" t="s">
        <v>415</v>
      </c>
      <c r="H1760" s="16">
        <v>0.3</v>
      </c>
      <c r="I1760" s="16">
        <v>0.3</v>
      </c>
      <c r="J1760" s="16">
        <v>0.3</v>
      </c>
      <c r="K1760" s="16">
        <v>0.3</v>
      </c>
      <c r="L1760" s="16">
        <v>0.3</v>
      </c>
      <c r="M1760" s="16">
        <v>0.3</v>
      </c>
      <c r="N1760" s="16">
        <v>0.3</v>
      </c>
      <c r="O1760" s="16">
        <v>0.3</v>
      </c>
      <c r="P1760" s="16">
        <v>0.5</v>
      </c>
      <c r="Q1760" s="16">
        <v>0.5</v>
      </c>
      <c r="R1760" s="16">
        <v>0.5</v>
      </c>
      <c r="S1760" s="16">
        <v>0.5</v>
      </c>
      <c r="T1760" s="16">
        <v>0.5</v>
      </c>
      <c r="U1760" s="16">
        <v>0.5</v>
      </c>
      <c r="V1760" s="16">
        <v>0.5</v>
      </c>
      <c r="W1760" s="16">
        <v>0.5</v>
      </c>
      <c r="X1760" s="16">
        <v>0.5</v>
      </c>
      <c r="Y1760" s="16">
        <v>0.3</v>
      </c>
      <c r="Z1760" s="16">
        <v>0.3</v>
      </c>
      <c r="AA1760" s="16">
        <v>0.3</v>
      </c>
      <c r="AB1760" s="16">
        <v>0.3</v>
      </c>
      <c r="AC1760" s="16">
        <v>0.3</v>
      </c>
      <c r="AD1760" s="16">
        <v>0.3</v>
      </c>
      <c r="AE1760" s="16">
        <v>0.3</v>
      </c>
      <c r="AF1760" s="16" t="s">
        <v>413</v>
      </c>
    </row>
    <row r="1761" spans="1:32" ht="14.25" customHeight="1" x14ac:dyDescent="0.35">
      <c r="A1761" s="16" t="s">
        <v>345</v>
      </c>
      <c r="B1761" s="16" t="s">
        <v>427</v>
      </c>
      <c r="C1761" s="16"/>
      <c r="D1761" s="16" t="s">
        <v>556</v>
      </c>
      <c r="E1761" s="17">
        <v>41640</v>
      </c>
      <c r="F1761" s="17">
        <v>42004</v>
      </c>
      <c r="G1761" s="16" t="s">
        <v>415</v>
      </c>
      <c r="H1761" s="16">
        <v>0.3</v>
      </c>
      <c r="I1761" s="16">
        <v>0.3</v>
      </c>
      <c r="J1761" s="16">
        <v>0.3</v>
      </c>
      <c r="K1761" s="16">
        <v>0.3</v>
      </c>
      <c r="L1761" s="16">
        <v>0.5</v>
      </c>
      <c r="M1761" s="16">
        <v>0.5</v>
      </c>
      <c r="N1761" s="16">
        <v>1</v>
      </c>
      <c r="O1761" s="16">
        <v>1</v>
      </c>
      <c r="P1761" s="16">
        <v>1</v>
      </c>
      <c r="Q1761" s="16">
        <v>1</v>
      </c>
      <c r="R1761" s="16">
        <v>1</v>
      </c>
      <c r="S1761" s="16">
        <v>1</v>
      </c>
      <c r="T1761" s="16">
        <v>1</v>
      </c>
      <c r="U1761" s="16">
        <v>1</v>
      </c>
      <c r="V1761" s="16">
        <v>1</v>
      </c>
      <c r="W1761" s="16">
        <v>1</v>
      </c>
      <c r="X1761" s="16">
        <v>1</v>
      </c>
      <c r="Y1761" s="16">
        <v>1</v>
      </c>
      <c r="Z1761" s="16">
        <v>0.5</v>
      </c>
      <c r="AA1761" s="16">
        <v>0.5</v>
      </c>
      <c r="AB1761" s="16">
        <v>0.3</v>
      </c>
      <c r="AC1761" s="16">
        <v>0.3</v>
      </c>
      <c r="AD1761" s="16">
        <v>0.3</v>
      </c>
      <c r="AE1761" s="16">
        <v>0.3</v>
      </c>
      <c r="AF1761" s="16" t="s">
        <v>413</v>
      </c>
    </row>
    <row r="1762" spans="1:32" ht="14.25" customHeight="1" x14ac:dyDescent="0.35">
      <c r="A1762" s="14" t="s">
        <v>345</v>
      </c>
      <c r="B1762" s="14" t="s">
        <v>427</v>
      </c>
      <c r="C1762" s="14"/>
      <c r="D1762" s="14" t="s">
        <v>514</v>
      </c>
      <c r="E1762" s="15">
        <v>41640</v>
      </c>
      <c r="F1762" s="15">
        <v>42004</v>
      </c>
      <c r="G1762" s="14" t="s">
        <v>415</v>
      </c>
      <c r="H1762" s="14">
        <v>0.3</v>
      </c>
      <c r="I1762" s="14">
        <v>0.3</v>
      </c>
      <c r="J1762" s="14">
        <v>0.3</v>
      </c>
      <c r="K1762" s="14">
        <v>0.3</v>
      </c>
      <c r="L1762" s="14">
        <v>0.3</v>
      </c>
      <c r="M1762" s="14">
        <v>0.3</v>
      </c>
      <c r="N1762" s="14">
        <v>0.3</v>
      </c>
      <c r="O1762" s="14">
        <v>0.5</v>
      </c>
      <c r="P1762" s="14">
        <v>0.5</v>
      </c>
      <c r="Q1762" s="14">
        <v>0.8</v>
      </c>
      <c r="R1762" s="14">
        <v>0.8</v>
      </c>
      <c r="S1762" s="14">
        <v>0.8</v>
      </c>
      <c r="T1762" s="14">
        <v>0.8</v>
      </c>
      <c r="U1762" s="14">
        <v>0.8</v>
      </c>
      <c r="V1762" s="14">
        <v>0.8</v>
      </c>
      <c r="W1762" s="14">
        <v>0.5</v>
      </c>
      <c r="X1762" s="14">
        <v>0.5</v>
      </c>
      <c r="Y1762" s="14">
        <v>0.5</v>
      </c>
      <c r="Z1762" s="14">
        <v>0.5</v>
      </c>
      <c r="AA1762" s="14">
        <v>0.5</v>
      </c>
      <c r="AB1762" s="14">
        <v>0.3</v>
      </c>
      <c r="AC1762" s="14">
        <v>0.3</v>
      </c>
      <c r="AD1762" s="14">
        <v>0.3</v>
      </c>
      <c r="AE1762" s="14">
        <v>0.3</v>
      </c>
      <c r="AF1762" s="14" t="s">
        <v>413</v>
      </c>
    </row>
    <row r="1763" spans="1:32" ht="14.25" customHeight="1" x14ac:dyDescent="0.35">
      <c r="A1763" s="14" t="s">
        <v>1356</v>
      </c>
      <c r="B1763" s="14" t="s">
        <v>424</v>
      </c>
      <c r="C1763" s="14"/>
      <c r="D1763" s="14" t="s">
        <v>417</v>
      </c>
      <c r="E1763" s="15">
        <v>41640</v>
      </c>
      <c r="F1763" s="15">
        <v>42004</v>
      </c>
      <c r="G1763" s="14" t="s">
        <v>415</v>
      </c>
      <c r="H1763" s="14">
        <v>0.05</v>
      </c>
      <c r="I1763" s="14">
        <v>0.05</v>
      </c>
      <c r="J1763" s="14">
        <v>0.05</v>
      </c>
      <c r="K1763" s="14">
        <v>0.05</v>
      </c>
      <c r="L1763" s="14">
        <v>0.05</v>
      </c>
      <c r="M1763" s="14">
        <v>0.05</v>
      </c>
      <c r="N1763" s="14">
        <v>0.05</v>
      </c>
      <c r="O1763" s="14">
        <v>0.05</v>
      </c>
      <c r="P1763" s="14">
        <v>0.1</v>
      </c>
      <c r="Q1763" s="14">
        <v>0.1</v>
      </c>
      <c r="R1763" s="14">
        <v>0.1</v>
      </c>
      <c r="S1763" s="14">
        <v>0.1</v>
      </c>
      <c r="T1763" s="14">
        <v>0.1</v>
      </c>
      <c r="U1763" s="14">
        <v>0.1</v>
      </c>
      <c r="V1763" s="14">
        <v>0.1</v>
      </c>
      <c r="W1763" s="14">
        <v>0.1</v>
      </c>
      <c r="X1763" s="14">
        <v>0.1</v>
      </c>
      <c r="Y1763" s="14">
        <v>0.05</v>
      </c>
      <c r="Z1763" s="14">
        <v>0.05</v>
      </c>
      <c r="AA1763" s="14">
        <v>0.05</v>
      </c>
      <c r="AB1763" s="14">
        <v>0.05</v>
      </c>
      <c r="AC1763" s="14">
        <v>0.05</v>
      </c>
      <c r="AD1763" s="14">
        <v>0.05</v>
      </c>
      <c r="AE1763" s="14">
        <v>0.05</v>
      </c>
      <c r="AF1763" s="14" t="s">
        <v>413</v>
      </c>
    </row>
    <row r="1764" spans="1:32" ht="14.25" customHeight="1" x14ac:dyDescent="0.35">
      <c r="A1764" s="14" t="s">
        <v>1356</v>
      </c>
      <c r="B1764" s="14" t="s">
        <v>424</v>
      </c>
      <c r="C1764" s="14"/>
      <c r="D1764" s="14" t="s">
        <v>556</v>
      </c>
      <c r="E1764" s="15">
        <v>41640</v>
      </c>
      <c r="F1764" s="15">
        <v>42004</v>
      </c>
      <c r="G1764" s="14" t="s">
        <v>415</v>
      </c>
      <c r="H1764" s="14">
        <v>0.1</v>
      </c>
      <c r="I1764" s="14">
        <v>0.1</v>
      </c>
      <c r="J1764" s="14">
        <v>0.1</v>
      </c>
      <c r="K1764" s="14">
        <v>0.1</v>
      </c>
      <c r="L1764" s="14">
        <v>0.3</v>
      </c>
      <c r="M1764" s="14">
        <v>0.3</v>
      </c>
      <c r="N1764" s="14">
        <v>0.6</v>
      </c>
      <c r="O1764" s="14">
        <v>0.9</v>
      </c>
      <c r="P1764" s="14">
        <v>0.9</v>
      </c>
      <c r="Q1764" s="14">
        <v>0.9</v>
      </c>
      <c r="R1764" s="14">
        <v>0.9</v>
      </c>
      <c r="S1764" s="14">
        <v>0.9</v>
      </c>
      <c r="T1764" s="14">
        <v>0.9</v>
      </c>
      <c r="U1764" s="14">
        <v>0.9</v>
      </c>
      <c r="V1764" s="14">
        <v>0.9</v>
      </c>
      <c r="W1764" s="14">
        <v>0.9</v>
      </c>
      <c r="X1764" s="14">
        <v>0.9</v>
      </c>
      <c r="Y1764" s="14">
        <v>0.9</v>
      </c>
      <c r="Z1764" s="14">
        <v>0.6</v>
      </c>
      <c r="AA1764" s="14">
        <v>0.6</v>
      </c>
      <c r="AB1764" s="14">
        <v>0.3</v>
      </c>
      <c r="AC1764" s="14">
        <v>0.3</v>
      </c>
      <c r="AD1764" s="14">
        <v>0.1</v>
      </c>
      <c r="AE1764" s="14">
        <v>0.1</v>
      </c>
      <c r="AF1764" s="14" t="s">
        <v>413</v>
      </c>
    </row>
    <row r="1765" spans="1:32" ht="14.25" customHeight="1" x14ac:dyDescent="0.35">
      <c r="A1765" s="16" t="s">
        <v>1356</v>
      </c>
      <c r="B1765" s="16" t="s">
        <v>424</v>
      </c>
      <c r="C1765" s="16"/>
      <c r="D1765" s="16" t="s">
        <v>514</v>
      </c>
      <c r="E1765" s="17">
        <v>41640</v>
      </c>
      <c r="F1765" s="17">
        <v>42004</v>
      </c>
      <c r="G1765" s="16" t="s">
        <v>415</v>
      </c>
      <c r="H1765" s="16">
        <v>0.1</v>
      </c>
      <c r="I1765" s="16">
        <v>0.1</v>
      </c>
      <c r="J1765" s="16">
        <v>0.1</v>
      </c>
      <c r="K1765" s="16">
        <v>0.1</v>
      </c>
      <c r="L1765" s="16">
        <v>0.1</v>
      </c>
      <c r="M1765" s="16">
        <v>0.1</v>
      </c>
      <c r="N1765" s="16">
        <v>0.1</v>
      </c>
      <c r="O1765" s="16">
        <v>0.3</v>
      </c>
      <c r="P1765" s="16">
        <v>0.3</v>
      </c>
      <c r="Q1765" s="16">
        <v>0.4</v>
      </c>
      <c r="R1765" s="16">
        <v>0.4</v>
      </c>
      <c r="S1765" s="16">
        <v>0.4</v>
      </c>
      <c r="T1765" s="16">
        <v>0.4</v>
      </c>
      <c r="U1765" s="16">
        <v>0.4</v>
      </c>
      <c r="V1765" s="16">
        <v>0.4</v>
      </c>
      <c r="W1765" s="16">
        <v>0.3</v>
      </c>
      <c r="X1765" s="16">
        <v>0.3</v>
      </c>
      <c r="Y1765" s="16">
        <v>0.3</v>
      </c>
      <c r="Z1765" s="16">
        <v>0.3</v>
      </c>
      <c r="AA1765" s="16">
        <v>0.3</v>
      </c>
      <c r="AB1765" s="16">
        <v>0.1</v>
      </c>
      <c r="AC1765" s="16">
        <v>0.1</v>
      </c>
      <c r="AD1765" s="16">
        <v>0.1</v>
      </c>
      <c r="AE1765" s="16">
        <v>0.1</v>
      </c>
      <c r="AF1765" s="16" t="s">
        <v>413</v>
      </c>
    </row>
    <row r="1766" spans="1:32" ht="14.25" customHeight="1" x14ac:dyDescent="0.35">
      <c r="A1766" s="16" t="s">
        <v>1357</v>
      </c>
      <c r="B1766" s="16" t="s">
        <v>424</v>
      </c>
      <c r="C1766" s="16"/>
      <c r="D1766" s="16" t="s">
        <v>417</v>
      </c>
      <c r="E1766" s="17">
        <v>41640</v>
      </c>
      <c r="F1766" s="17">
        <v>42004</v>
      </c>
      <c r="G1766" s="16" t="s">
        <v>415</v>
      </c>
      <c r="H1766" s="16">
        <v>0.05</v>
      </c>
      <c r="I1766" s="16">
        <v>0.05</v>
      </c>
      <c r="J1766" s="16">
        <v>0.05</v>
      </c>
      <c r="K1766" s="16">
        <v>0.05</v>
      </c>
      <c r="L1766" s="16">
        <v>0.05</v>
      </c>
      <c r="M1766" s="16">
        <v>0.05</v>
      </c>
      <c r="N1766" s="16">
        <v>0.05</v>
      </c>
      <c r="O1766" s="16">
        <v>0.05</v>
      </c>
      <c r="P1766" s="16">
        <v>0.1</v>
      </c>
      <c r="Q1766" s="16">
        <v>0.1</v>
      </c>
      <c r="R1766" s="16">
        <v>0.1</v>
      </c>
      <c r="S1766" s="16">
        <v>0.1</v>
      </c>
      <c r="T1766" s="16">
        <v>0.1</v>
      </c>
      <c r="U1766" s="16">
        <v>0.1</v>
      </c>
      <c r="V1766" s="16">
        <v>0.1</v>
      </c>
      <c r="W1766" s="16">
        <v>0.1</v>
      </c>
      <c r="X1766" s="16">
        <v>0.1</v>
      </c>
      <c r="Y1766" s="16">
        <v>0.05</v>
      </c>
      <c r="Z1766" s="16">
        <v>0.05</v>
      </c>
      <c r="AA1766" s="16">
        <v>0.05</v>
      </c>
      <c r="AB1766" s="16">
        <v>0.05</v>
      </c>
      <c r="AC1766" s="16">
        <v>0.05</v>
      </c>
      <c r="AD1766" s="16">
        <v>0.05</v>
      </c>
      <c r="AE1766" s="16">
        <v>0.05</v>
      </c>
      <c r="AF1766" s="16" t="s">
        <v>413</v>
      </c>
    </row>
    <row r="1767" spans="1:32" ht="14.25" customHeight="1" x14ac:dyDescent="0.35">
      <c r="A1767" s="16" t="s">
        <v>1357</v>
      </c>
      <c r="B1767" s="16" t="s">
        <v>424</v>
      </c>
      <c r="C1767" s="16"/>
      <c r="D1767" s="16" t="s">
        <v>556</v>
      </c>
      <c r="E1767" s="17">
        <v>41640</v>
      </c>
      <c r="F1767" s="17">
        <v>42004</v>
      </c>
      <c r="G1767" s="16" t="s">
        <v>415</v>
      </c>
      <c r="H1767" s="16">
        <v>0.1</v>
      </c>
      <c r="I1767" s="16">
        <v>0.1</v>
      </c>
      <c r="J1767" s="16">
        <v>0.1</v>
      </c>
      <c r="K1767" s="16">
        <v>0.1</v>
      </c>
      <c r="L1767" s="16">
        <v>0.3</v>
      </c>
      <c r="M1767" s="16">
        <v>0.3</v>
      </c>
      <c r="N1767" s="16">
        <v>0.6</v>
      </c>
      <c r="O1767" s="16">
        <v>0.9</v>
      </c>
      <c r="P1767" s="16">
        <v>0.9</v>
      </c>
      <c r="Q1767" s="16">
        <v>0.9</v>
      </c>
      <c r="R1767" s="16">
        <v>0.9</v>
      </c>
      <c r="S1767" s="16">
        <v>0.9</v>
      </c>
      <c r="T1767" s="16">
        <v>0.9</v>
      </c>
      <c r="U1767" s="16">
        <v>0.9</v>
      </c>
      <c r="V1767" s="16">
        <v>0.9</v>
      </c>
      <c r="W1767" s="16">
        <v>0.9</v>
      </c>
      <c r="X1767" s="16">
        <v>0.9</v>
      </c>
      <c r="Y1767" s="16">
        <v>0.9</v>
      </c>
      <c r="Z1767" s="16">
        <v>0.6</v>
      </c>
      <c r="AA1767" s="16">
        <v>0.6</v>
      </c>
      <c r="AB1767" s="16">
        <v>0.3</v>
      </c>
      <c r="AC1767" s="16">
        <v>0.3</v>
      </c>
      <c r="AD1767" s="16">
        <v>0.1</v>
      </c>
      <c r="AE1767" s="16">
        <v>0.1</v>
      </c>
      <c r="AF1767" s="16" t="s">
        <v>413</v>
      </c>
    </row>
    <row r="1768" spans="1:32" ht="14.25" customHeight="1" x14ac:dyDescent="0.35">
      <c r="A1768" s="14" t="s">
        <v>1357</v>
      </c>
      <c r="B1768" s="14" t="s">
        <v>424</v>
      </c>
      <c r="C1768" s="14"/>
      <c r="D1768" s="14" t="s">
        <v>514</v>
      </c>
      <c r="E1768" s="15">
        <v>41640</v>
      </c>
      <c r="F1768" s="15">
        <v>42004</v>
      </c>
      <c r="G1768" s="14" t="s">
        <v>415</v>
      </c>
      <c r="H1768" s="14">
        <v>0.1</v>
      </c>
      <c r="I1768" s="14">
        <v>0.1</v>
      </c>
      <c r="J1768" s="14">
        <v>0.1</v>
      </c>
      <c r="K1768" s="14">
        <v>0.1</v>
      </c>
      <c r="L1768" s="14">
        <v>0.1</v>
      </c>
      <c r="M1768" s="14">
        <v>0.1</v>
      </c>
      <c r="N1768" s="14">
        <v>0.1</v>
      </c>
      <c r="O1768" s="14">
        <v>0.3</v>
      </c>
      <c r="P1768" s="14">
        <v>0.3</v>
      </c>
      <c r="Q1768" s="14">
        <v>0.4</v>
      </c>
      <c r="R1768" s="14">
        <v>0.4</v>
      </c>
      <c r="S1768" s="14">
        <v>0.4</v>
      </c>
      <c r="T1768" s="14">
        <v>0.4</v>
      </c>
      <c r="U1768" s="14">
        <v>0.4</v>
      </c>
      <c r="V1768" s="14">
        <v>0.4</v>
      </c>
      <c r="W1768" s="14">
        <v>0.3</v>
      </c>
      <c r="X1768" s="14">
        <v>0.3</v>
      </c>
      <c r="Y1768" s="14">
        <v>0.3</v>
      </c>
      <c r="Z1768" s="14">
        <v>0.3</v>
      </c>
      <c r="AA1768" s="14">
        <v>0.3</v>
      </c>
      <c r="AB1768" s="14">
        <v>0.1</v>
      </c>
      <c r="AC1768" s="14">
        <v>0.1</v>
      </c>
      <c r="AD1768" s="14">
        <v>0.1</v>
      </c>
      <c r="AE1768" s="14">
        <v>0.1</v>
      </c>
      <c r="AF1768" s="14" t="s">
        <v>413</v>
      </c>
    </row>
    <row r="1769" spans="1:32" ht="14.25" customHeight="1" x14ac:dyDescent="0.35">
      <c r="A1769" s="14" t="s">
        <v>1358</v>
      </c>
      <c r="B1769" s="14" t="s">
        <v>424</v>
      </c>
      <c r="C1769" s="14"/>
      <c r="D1769" s="14" t="s">
        <v>417</v>
      </c>
      <c r="E1769" s="15">
        <v>41640</v>
      </c>
      <c r="F1769" s="15">
        <v>42004</v>
      </c>
      <c r="G1769" s="14" t="s">
        <v>415</v>
      </c>
      <c r="H1769" s="14">
        <v>0.05</v>
      </c>
      <c r="I1769" s="14">
        <v>0.05</v>
      </c>
      <c r="J1769" s="14">
        <v>0.05</v>
      </c>
      <c r="K1769" s="14">
        <v>0.05</v>
      </c>
      <c r="L1769" s="14">
        <v>0.05</v>
      </c>
      <c r="M1769" s="14">
        <v>0.05</v>
      </c>
      <c r="N1769" s="14">
        <v>0.05</v>
      </c>
      <c r="O1769" s="14">
        <v>0.05</v>
      </c>
      <c r="P1769" s="14">
        <v>0.1</v>
      </c>
      <c r="Q1769" s="14">
        <v>0.1</v>
      </c>
      <c r="R1769" s="14">
        <v>0.1</v>
      </c>
      <c r="S1769" s="14">
        <v>0.1</v>
      </c>
      <c r="T1769" s="14">
        <v>0.1</v>
      </c>
      <c r="U1769" s="14">
        <v>0.1</v>
      </c>
      <c r="V1769" s="14">
        <v>0.1</v>
      </c>
      <c r="W1769" s="14">
        <v>0.1</v>
      </c>
      <c r="X1769" s="14">
        <v>0.1</v>
      </c>
      <c r="Y1769" s="14">
        <v>0.05</v>
      </c>
      <c r="Z1769" s="14">
        <v>0.05</v>
      </c>
      <c r="AA1769" s="14">
        <v>0.05</v>
      </c>
      <c r="AB1769" s="14">
        <v>0.05</v>
      </c>
      <c r="AC1769" s="14">
        <v>0.05</v>
      </c>
      <c r="AD1769" s="14">
        <v>0.05</v>
      </c>
      <c r="AE1769" s="14">
        <v>0.05</v>
      </c>
      <c r="AF1769" s="14" t="s">
        <v>413</v>
      </c>
    </row>
    <row r="1770" spans="1:32" ht="14.25" customHeight="1" x14ac:dyDescent="0.35">
      <c r="A1770" s="14" t="s">
        <v>1358</v>
      </c>
      <c r="B1770" s="14" t="s">
        <v>424</v>
      </c>
      <c r="C1770" s="14"/>
      <c r="D1770" s="14" t="s">
        <v>556</v>
      </c>
      <c r="E1770" s="15">
        <v>41640</v>
      </c>
      <c r="F1770" s="15">
        <v>42004</v>
      </c>
      <c r="G1770" s="14" t="s">
        <v>415</v>
      </c>
      <c r="H1770" s="14">
        <v>0.1</v>
      </c>
      <c r="I1770" s="14">
        <v>0.1</v>
      </c>
      <c r="J1770" s="14">
        <v>0.1</v>
      </c>
      <c r="K1770" s="14">
        <v>0.1</v>
      </c>
      <c r="L1770" s="14">
        <v>0.3</v>
      </c>
      <c r="M1770" s="14">
        <v>0.3</v>
      </c>
      <c r="N1770" s="14">
        <v>0.6</v>
      </c>
      <c r="O1770" s="14">
        <v>0.9</v>
      </c>
      <c r="P1770" s="14">
        <v>0.9</v>
      </c>
      <c r="Q1770" s="14">
        <v>0.9</v>
      </c>
      <c r="R1770" s="14">
        <v>0.9</v>
      </c>
      <c r="S1770" s="14">
        <v>0.9</v>
      </c>
      <c r="T1770" s="14">
        <v>0.9</v>
      </c>
      <c r="U1770" s="14">
        <v>0.9</v>
      </c>
      <c r="V1770" s="14">
        <v>0.9</v>
      </c>
      <c r="W1770" s="14">
        <v>0.9</v>
      </c>
      <c r="X1770" s="14">
        <v>0.9</v>
      </c>
      <c r="Y1770" s="14">
        <v>0.9</v>
      </c>
      <c r="Z1770" s="14">
        <v>0.6</v>
      </c>
      <c r="AA1770" s="14">
        <v>0.6</v>
      </c>
      <c r="AB1770" s="14">
        <v>0.3</v>
      </c>
      <c r="AC1770" s="14">
        <v>0.3</v>
      </c>
      <c r="AD1770" s="14">
        <v>0.1</v>
      </c>
      <c r="AE1770" s="14">
        <v>0.1</v>
      </c>
      <c r="AF1770" s="14" t="s">
        <v>413</v>
      </c>
    </row>
    <row r="1771" spans="1:32" ht="14.25" customHeight="1" x14ac:dyDescent="0.35">
      <c r="A1771" s="16" t="s">
        <v>1358</v>
      </c>
      <c r="B1771" s="16" t="s">
        <v>424</v>
      </c>
      <c r="C1771" s="16"/>
      <c r="D1771" s="16" t="s">
        <v>514</v>
      </c>
      <c r="E1771" s="17">
        <v>41640</v>
      </c>
      <c r="F1771" s="17">
        <v>42004</v>
      </c>
      <c r="G1771" s="16" t="s">
        <v>415</v>
      </c>
      <c r="H1771" s="16">
        <v>0.1</v>
      </c>
      <c r="I1771" s="16">
        <v>0.1</v>
      </c>
      <c r="J1771" s="16">
        <v>0.1</v>
      </c>
      <c r="K1771" s="16">
        <v>0.1</v>
      </c>
      <c r="L1771" s="16">
        <v>0.1</v>
      </c>
      <c r="M1771" s="16">
        <v>0.1</v>
      </c>
      <c r="N1771" s="16">
        <v>0.1</v>
      </c>
      <c r="O1771" s="16">
        <v>0.3</v>
      </c>
      <c r="P1771" s="16">
        <v>0.3</v>
      </c>
      <c r="Q1771" s="16">
        <v>0.4</v>
      </c>
      <c r="R1771" s="16">
        <v>0.4</v>
      </c>
      <c r="S1771" s="16">
        <v>0.4</v>
      </c>
      <c r="T1771" s="16">
        <v>0.4</v>
      </c>
      <c r="U1771" s="16">
        <v>0.4</v>
      </c>
      <c r="V1771" s="16">
        <v>0.4</v>
      </c>
      <c r="W1771" s="16">
        <v>0.3</v>
      </c>
      <c r="X1771" s="16">
        <v>0.3</v>
      </c>
      <c r="Y1771" s="16">
        <v>0.3</v>
      </c>
      <c r="Z1771" s="16">
        <v>0.3</v>
      </c>
      <c r="AA1771" s="16">
        <v>0.3</v>
      </c>
      <c r="AB1771" s="16">
        <v>0.1</v>
      </c>
      <c r="AC1771" s="16">
        <v>0.1</v>
      </c>
      <c r="AD1771" s="16">
        <v>0.1</v>
      </c>
      <c r="AE1771" s="16">
        <v>0.1</v>
      </c>
      <c r="AF1771" s="16" t="s">
        <v>413</v>
      </c>
    </row>
    <row r="1772" spans="1:32" ht="14.25" customHeight="1" x14ac:dyDescent="0.35">
      <c r="A1772" s="16" t="s">
        <v>1359</v>
      </c>
      <c r="B1772" s="16" t="s">
        <v>424</v>
      </c>
      <c r="C1772" s="16"/>
      <c r="D1772" s="16" t="s">
        <v>417</v>
      </c>
      <c r="E1772" s="17">
        <v>41640</v>
      </c>
      <c r="F1772" s="17">
        <v>42004</v>
      </c>
      <c r="G1772" s="16" t="s">
        <v>415</v>
      </c>
      <c r="H1772" s="16">
        <v>0.05</v>
      </c>
      <c r="I1772" s="16">
        <v>0.05</v>
      </c>
      <c r="J1772" s="16">
        <v>0.05</v>
      </c>
      <c r="K1772" s="16">
        <v>0.05</v>
      </c>
      <c r="L1772" s="16">
        <v>0.05</v>
      </c>
      <c r="M1772" s="16">
        <v>0.05</v>
      </c>
      <c r="N1772" s="16">
        <v>0.05</v>
      </c>
      <c r="O1772" s="16">
        <v>0.05</v>
      </c>
      <c r="P1772" s="16">
        <v>0.1</v>
      </c>
      <c r="Q1772" s="16">
        <v>0.1</v>
      </c>
      <c r="R1772" s="16">
        <v>0.1</v>
      </c>
      <c r="S1772" s="16">
        <v>0.1</v>
      </c>
      <c r="T1772" s="16">
        <v>0.1</v>
      </c>
      <c r="U1772" s="16">
        <v>0.1</v>
      </c>
      <c r="V1772" s="16">
        <v>0.1</v>
      </c>
      <c r="W1772" s="16">
        <v>0.1</v>
      </c>
      <c r="X1772" s="16">
        <v>0.1</v>
      </c>
      <c r="Y1772" s="16">
        <v>0.05</v>
      </c>
      <c r="Z1772" s="16">
        <v>0.05</v>
      </c>
      <c r="AA1772" s="16">
        <v>0.05</v>
      </c>
      <c r="AB1772" s="16">
        <v>0.05</v>
      </c>
      <c r="AC1772" s="16">
        <v>0.05</v>
      </c>
      <c r="AD1772" s="16">
        <v>0.05</v>
      </c>
      <c r="AE1772" s="16">
        <v>0.05</v>
      </c>
      <c r="AF1772" s="16" t="s">
        <v>413</v>
      </c>
    </row>
    <row r="1773" spans="1:32" ht="14.25" customHeight="1" x14ac:dyDescent="0.35">
      <c r="A1773" s="16" t="s">
        <v>1359</v>
      </c>
      <c r="B1773" s="16" t="s">
        <v>424</v>
      </c>
      <c r="C1773" s="16"/>
      <c r="D1773" s="16" t="s">
        <v>556</v>
      </c>
      <c r="E1773" s="17">
        <v>41640</v>
      </c>
      <c r="F1773" s="17">
        <v>42004</v>
      </c>
      <c r="G1773" s="16" t="s">
        <v>415</v>
      </c>
      <c r="H1773" s="16">
        <v>0.1</v>
      </c>
      <c r="I1773" s="16">
        <v>0.1</v>
      </c>
      <c r="J1773" s="16">
        <v>0.1</v>
      </c>
      <c r="K1773" s="16">
        <v>0.1</v>
      </c>
      <c r="L1773" s="16">
        <v>0.3</v>
      </c>
      <c r="M1773" s="16">
        <v>0.3</v>
      </c>
      <c r="N1773" s="16">
        <v>0.6</v>
      </c>
      <c r="O1773" s="16">
        <v>0.9</v>
      </c>
      <c r="P1773" s="16">
        <v>0.9</v>
      </c>
      <c r="Q1773" s="16">
        <v>0.9</v>
      </c>
      <c r="R1773" s="16">
        <v>0.9</v>
      </c>
      <c r="S1773" s="16">
        <v>0.9</v>
      </c>
      <c r="T1773" s="16">
        <v>0.9</v>
      </c>
      <c r="U1773" s="16">
        <v>0.9</v>
      </c>
      <c r="V1773" s="16">
        <v>0.9</v>
      </c>
      <c r="W1773" s="16">
        <v>0.9</v>
      </c>
      <c r="X1773" s="16">
        <v>0.9</v>
      </c>
      <c r="Y1773" s="16">
        <v>0.9</v>
      </c>
      <c r="Z1773" s="16">
        <v>0.6</v>
      </c>
      <c r="AA1773" s="16">
        <v>0.6</v>
      </c>
      <c r="AB1773" s="16">
        <v>0.3</v>
      </c>
      <c r="AC1773" s="16">
        <v>0.3</v>
      </c>
      <c r="AD1773" s="16">
        <v>0.1</v>
      </c>
      <c r="AE1773" s="16">
        <v>0.1</v>
      </c>
      <c r="AF1773" s="16" t="s">
        <v>413</v>
      </c>
    </row>
    <row r="1774" spans="1:32" ht="14.25" customHeight="1" x14ac:dyDescent="0.35">
      <c r="A1774" s="14" t="s">
        <v>1359</v>
      </c>
      <c r="B1774" s="14" t="s">
        <v>424</v>
      </c>
      <c r="C1774" s="14"/>
      <c r="D1774" s="14" t="s">
        <v>514</v>
      </c>
      <c r="E1774" s="15">
        <v>41640</v>
      </c>
      <c r="F1774" s="15">
        <v>42004</v>
      </c>
      <c r="G1774" s="14" t="s">
        <v>415</v>
      </c>
      <c r="H1774" s="14">
        <v>0.1</v>
      </c>
      <c r="I1774" s="14">
        <v>0.1</v>
      </c>
      <c r="J1774" s="14">
        <v>0.1</v>
      </c>
      <c r="K1774" s="14">
        <v>0.1</v>
      </c>
      <c r="L1774" s="14">
        <v>0.1</v>
      </c>
      <c r="M1774" s="14">
        <v>0.1</v>
      </c>
      <c r="N1774" s="14">
        <v>0.1</v>
      </c>
      <c r="O1774" s="14">
        <v>0.3</v>
      </c>
      <c r="P1774" s="14">
        <v>0.3</v>
      </c>
      <c r="Q1774" s="14">
        <v>0.4</v>
      </c>
      <c r="R1774" s="14">
        <v>0.4</v>
      </c>
      <c r="S1774" s="14">
        <v>0.4</v>
      </c>
      <c r="T1774" s="14">
        <v>0.4</v>
      </c>
      <c r="U1774" s="14">
        <v>0.4</v>
      </c>
      <c r="V1774" s="14">
        <v>0.4</v>
      </c>
      <c r="W1774" s="14">
        <v>0.3</v>
      </c>
      <c r="X1774" s="14">
        <v>0.3</v>
      </c>
      <c r="Y1774" s="14">
        <v>0.3</v>
      </c>
      <c r="Z1774" s="14">
        <v>0.3</v>
      </c>
      <c r="AA1774" s="14">
        <v>0.3</v>
      </c>
      <c r="AB1774" s="14">
        <v>0.1</v>
      </c>
      <c r="AC1774" s="14">
        <v>0.1</v>
      </c>
      <c r="AD1774" s="14">
        <v>0.1</v>
      </c>
      <c r="AE1774" s="14">
        <v>0.1</v>
      </c>
      <c r="AF1774" s="14" t="s">
        <v>413</v>
      </c>
    </row>
    <row r="1775" spans="1:32" ht="14.25" customHeight="1" x14ac:dyDescent="0.35">
      <c r="A1775" s="14" t="s">
        <v>1360</v>
      </c>
      <c r="B1775" s="14" t="s">
        <v>424</v>
      </c>
      <c r="C1775" s="14"/>
      <c r="D1775" s="14" t="s">
        <v>417</v>
      </c>
      <c r="E1775" s="15">
        <v>41640</v>
      </c>
      <c r="F1775" s="15">
        <v>42004</v>
      </c>
      <c r="G1775" s="14" t="s">
        <v>415</v>
      </c>
      <c r="H1775" s="14">
        <v>0.05</v>
      </c>
      <c r="I1775" s="14">
        <v>0.05</v>
      </c>
      <c r="J1775" s="14">
        <v>0.05</v>
      </c>
      <c r="K1775" s="14">
        <v>0.05</v>
      </c>
      <c r="L1775" s="14">
        <v>0.05</v>
      </c>
      <c r="M1775" s="14">
        <v>0.05</v>
      </c>
      <c r="N1775" s="14">
        <v>0.05</v>
      </c>
      <c r="O1775" s="14">
        <v>0.05</v>
      </c>
      <c r="P1775" s="14">
        <v>0.1</v>
      </c>
      <c r="Q1775" s="14">
        <v>0.1</v>
      </c>
      <c r="R1775" s="14">
        <v>0.1</v>
      </c>
      <c r="S1775" s="14">
        <v>0.1</v>
      </c>
      <c r="T1775" s="14">
        <v>0.1</v>
      </c>
      <c r="U1775" s="14">
        <v>0.1</v>
      </c>
      <c r="V1775" s="14">
        <v>0.1</v>
      </c>
      <c r="W1775" s="14">
        <v>0.1</v>
      </c>
      <c r="X1775" s="14">
        <v>0.1</v>
      </c>
      <c r="Y1775" s="14">
        <v>0.05</v>
      </c>
      <c r="Z1775" s="14">
        <v>0.05</v>
      </c>
      <c r="AA1775" s="14">
        <v>0.05</v>
      </c>
      <c r="AB1775" s="14">
        <v>0.05</v>
      </c>
      <c r="AC1775" s="14">
        <v>0.05</v>
      </c>
      <c r="AD1775" s="14">
        <v>0.05</v>
      </c>
      <c r="AE1775" s="14">
        <v>0.05</v>
      </c>
      <c r="AF1775" s="14" t="s">
        <v>413</v>
      </c>
    </row>
    <row r="1776" spans="1:32" ht="14.25" customHeight="1" x14ac:dyDescent="0.35">
      <c r="A1776" s="14" t="s">
        <v>1360</v>
      </c>
      <c r="B1776" s="14" t="s">
        <v>424</v>
      </c>
      <c r="C1776" s="14"/>
      <c r="D1776" s="14" t="s">
        <v>556</v>
      </c>
      <c r="E1776" s="15">
        <v>41640</v>
      </c>
      <c r="F1776" s="15">
        <v>42004</v>
      </c>
      <c r="G1776" s="14" t="s">
        <v>415</v>
      </c>
      <c r="H1776" s="14">
        <v>0.1</v>
      </c>
      <c r="I1776" s="14">
        <v>0.1</v>
      </c>
      <c r="J1776" s="14">
        <v>0.1</v>
      </c>
      <c r="K1776" s="14">
        <v>0.1</v>
      </c>
      <c r="L1776" s="14">
        <v>0.3</v>
      </c>
      <c r="M1776" s="14">
        <v>0.3</v>
      </c>
      <c r="N1776" s="14">
        <v>0.6</v>
      </c>
      <c r="O1776" s="14">
        <v>0.9</v>
      </c>
      <c r="P1776" s="14">
        <v>0.9</v>
      </c>
      <c r="Q1776" s="14">
        <v>0.9</v>
      </c>
      <c r="R1776" s="14">
        <v>0.9</v>
      </c>
      <c r="S1776" s="14">
        <v>0.9</v>
      </c>
      <c r="T1776" s="14">
        <v>0.9</v>
      </c>
      <c r="U1776" s="14">
        <v>0.9</v>
      </c>
      <c r="V1776" s="14">
        <v>0.9</v>
      </c>
      <c r="W1776" s="14">
        <v>0.9</v>
      </c>
      <c r="X1776" s="14">
        <v>0.9</v>
      </c>
      <c r="Y1776" s="14">
        <v>0.9</v>
      </c>
      <c r="Z1776" s="14">
        <v>0.6</v>
      </c>
      <c r="AA1776" s="14">
        <v>0.6</v>
      </c>
      <c r="AB1776" s="14">
        <v>0.3</v>
      </c>
      <c r="AC1776" s="14">
        <v>0.3</v>
      </c>
      <c r="AD1776" s="14">
        <v>0.1</v>
      </c>
      <c r="AE1776" s="14">
        <v>0.1</v>
      </c>
      <c r="AF1776" s="14" t="s">
        <v>413</v>
      </c>
    </row>
    <row r="1777" spans="1:32" ht="14.25" customHeight="1" x14ac:dyDescent="0.35">
      <c r="A1777" s="16" t="s">
        <v>1360</v>
      </c>
      <c r="B1777" s="16" t="s">
        <v>424</v>
      </c>
      <c r="C1777" s="16"/>
      <c r="D1777" s="16" t="s">
        <v>514</v>
      </c>
      <c r="E1777" s="17">
        <v>41640</v>
      </c>
      <c r="F1777" s="17">
        <v>42004</v>
      </c>
      <c r="G1777" s="16" t="s">
        <v>415</v>
      </c>
      <c r="H1777" s="16">
        <v>0.1</v>
      </c>
      <c r="I1777" s="16">
        <v>0.1</v>
      </c>
      <c r="J1777" s="16">
        <v>0.1</v>
      </c>
      <c r="K1777" s="16">
        <v>0.1</v>
      </c>
      <c r="L1777" s="16">
        <v>0.1</v>
      </c>
      <c r="M1777" s="16">
        <v>0.1</v>
      </c>
      <c r="N1777" s="16">
        <v>0.1</v>
      </c>
      <c r="O1777" s="16">
        <v>0.3</v>
      </c>
      <c r="P1777" s="16">
        <v>0.3</v>
      </c>
      <c r="Q1777" s="16">
        <v>0.4</v>
      </c>
      <c r="R1777" s="16">
        <v>0.4</v>
      </c>
      <c r="S1777" s="16">
        <v>0.4</v>
      </c>
      <c r="T1777" s="16">
        <v>0.4</v>
      </c>
      <c r="U1777" s="16">
        <v>0.4</v>
      </c>
      <c r="V1777" s="16">
        <v>0.4</v>
      </c>
      <c r="W1777" s="16">
        <v>0.3</v>
      </c>
      <c r="X1777" s="16">
        <v>0.3</v>
      </c>
      <c r="Y1777" s="16">
        <v>0.3</v>
      </c>
      <c r="Z1777" s="16">
        <v>0.3</v>
      </c>
      <c r="AA1777" s="16">
        <v>0.3</v>
      </c>
      <c r="AB1777" s="16">
        <v>0.1</v>
      </c>
      <c r="AC1777" s="16">
        <v>0.1</v>
      </c>
      <c r="AD1777" s="16">
        <v>0.1</v>
      </c>
      <c r="AE1777" s="16">
        <v>0.1</v>
      </c>
      <c r="AF1777" s="16" t="s">
        <v>413</v>
      </c>
    </row>
    <row r="1778" spans="1:32" ht="14.25" customHeight="1" x14ac:dyDescent="0.35">
      <c r="A1778" s="16" t="s">
        <v>1361</v>
      </c>
      <c r="B1778" s="16" t="s">
        <v>424</v>
      </c>
      <c r="C1778" s="16"/>
      <c r="D1778" s="16" t="s">
        <v>417</v>
      </c>
      <c r="E1778" s="17">
        <v>41640</v>
      </c>
      <c r="F1778" s="17">
        <v>42004</v>
      </c>
      <c r="G1778" s="16" t="s">
        <v>415</v>
      </c>
      <c r="H1778" s="16">
        <v>0.05</v>
      </c>
      <c r="I1778" s="16">
        <v>0.05</v>
      </c>
      <c r="J1778" s="16">
        <v>0.05</v>
      </c>
      <c r="K1778" s="16">
        <v>0.05</v>
      </c>
      <c r="L1778" s="16">
        <v>0.05</v>
      </c>
      <c r="M1778" s="16">
        <v>0.05</v>
      </c>
      <c r="N1778" s="16">
        <v>0.05</v>
      </c>
      <c r="O1778" s="16">
        <v>0.05</v>
      </c>
      <c r="P1778" s="16">
        <v>0.1</v>
      </c>
      <c r="Q1778" s="16">
        <v>0.1</v>
      </c>
      <c r="R1778" s="16">
        <v>0.1</v>
      </c>
      <c r="S1778" s="16">
        <v>0.1</v>
      </c>
      <c r="T1778" s="16">
        <v>0.1</v>
      </c>
      <c r="U1778" s="16">
        <v>0.1</v>
      </c>
      <c r="V1778" s="16">
        <v>0.1</v>
      </c>
      <c r="W1778" s="16">
        <v>0.1</v>
      </c>
      <c r="X1778" s="16">
        <v>0.1</v>
      </c>
      <c r="Y1778" s="16">
        <v>0.05</v>
      </c>
      <c r="Z1778" s="16">
        <v>0.05</v>
      </c>
      <c r="AA1778" s="16">
        <v>0.05</v>
      </c>
      <c r="AB1778" s="16">
        <v>0.05</v>
      </c>
      <c r="AC1778" s="16">
        <v>0.05</v>
      </c>
      <c r="AD1778" s="16">
        <v>0.05</v>
      </c>
      <c r="AE1778" s="16">
        <v>0.05</v>
      </c>
      <c r="AF1778" s="16" t="s">
        <v>413</v>
      </c>
    </row>
    <row r="1779" spans="1:32" ht="14.25" customHeight="1" x14ac:dyDescent="0.35">
      <c r="A1779" s="16" t="s">
        <v>1361</v>
      </c>
      <c r="B1779" s="16" t="s">
        <v>424</v>
      </c>
      <c r="C1779" s="16"/>
      <c r="D1779" s="16" t="s">
        <v>556</v>
      </c>
      <c r="E1779" s="17">
        <v>41640</v>
      </c>
      <c r="F1779" s="17">
        <v>42004</v>
      </c>
      <c r="G1779" s="16" t="s">
        <v>415</v>
      </c>
      <c r="H1779" s="16">
        <v>0.1</v>
      </c>
      <c r="I1779" s="16">
        <v>0.1</v>
      </c>
      <c r="J1779" s="16">
        <v>0.1</v>
      </c>
      <c r="K1779" s="16">
        <v>0.1</v>
      </c>
      <c r="L1779" s="16">
        <v>0.3</v>
      </c>
      <c r="M1779" s="16">
        <v>0.3</v>
      </c>
      <c r="N1779" s="16">
        <v>0.6</v>
      </c>
      <c r="O1779" s="16">
        <v>0.9</v>
      </c>
      <c r="P1779" s="16">
        <v>0.9</v>
      </c>
      <c r="Q1779" s="16">
        <v>0.9</v>
      </c>
      <c r="R1779" s="16">
        <v>0.9</v>
      </c>
      <c r="S1779" s="16">
        <v>0.9</v>
      </c>
      <c r="T1779" s="16">
        <v>0.9</v>
      </c>
      <c r="U1779" s="16">
        <v>0.9</v>
      </c>
      <c r="V1779" s="16">
        <v>0.9</v>
      </c>
      <c r="W1779" s="16">
        <v>0.9</v>
      </c>
      <c r="X1779" s="16">
        <v>0.9</v>
      </c>
      <c r="Y1779" s="16">
        <v>0.9</v>
      </c>
      <c r="Z1779" s="16">
        <v>0.6</v>
      </c>
      <c r="AA1779" s="16">
        <v>0.6</v>
      </c>
      <c r="AB1779" s="16">
        <v>0.3</v>
      </c>
      <c r="AC1779" s="16">
        <v>0.3</v>
      </c>
      <c r="AD1779" s="16">
        <v>0.1</v>
      </c>
      <c r="AE1779" s="16">
        <v>0.1</v>
      </c>
      <c r="AF1779" s="16" t="s">
        <v>413</v>
      </c>
    </row>
    <row r="1780" spans="1:32" ht="14.25" customHeight="1" x14ac:dyDescent="0.35">
      <c r="A1780" s="14" t="s">
        <v>1361</v>
      </c>
      <c r="B1780" s="14" t="s">
        <v>424</v>
      </c>
      <c r="C1780" s="14"/>
      <c r="D1780" s="14" t="s">
        <v>514</v>
      </c>
      <c r="E1780" s="15">
        <v>41640</v>
      </c>
      <c r="F1780" s="15">
        <v>42004</v>
      </c>
      <c r="G1780" s="14" t="s">
        <v>415</v>
      </c>
      <c r="H1780" s="14">
        <v>0.1</v>
      </c>
      <c r="I1780" s="14">
        <v>0.1</v>
      </c>
      <c r="J1780" s="14">
        <v>0.1</v>
      </c>
      <c r="K1780" s="14">
        <v>0.1</v>
      </c>
      <c r="L1780" s="14">
        <v>0.1</v>
      </c>
      <c r="M1780" s="14">
        <v>0.1</v>
      </c>
      <c r="N1780" s="14">
        <v>0.1</v>
      </c>
      <c r="O1780" s="14">
        <v>0.3</v>
      </c>
      <c r="P1780" s="14">
        <v>0.3</v>
      </c>
      <c r="Q1780" s="14">
        <v>0.4</v>
      </c>
      <c r="R1780" s="14">
        <v>0.4</v>
      </c>
      <c r="S1780" s="14">
        <v>0.4</v>
      </c>
      <c r="T1780" s="14">
        <v>0.4</v>
      </c>
      <c r="U1780" s="14">
        <v>0.4</v>
      </c>
      <c r="V1780" s="14">
        <v>0.4</v>
      </c>
      <c r="W1780" s="14">
        <v>0.3</v>
      </c>
      <c r="X1780" s="14">
        <v>0.3</v>
      </c>
      <c r="Y1780" s="14">
        <v>0.3</v>
      </c>
      <c r="Z1780" s="14">
        <v>0.3</v>
      </c>
      <c r="AA1780" s="14">
        <v>0.3</v>
      </c>
      <c r="AB1780" s="14">
        <v>0.1</v>
      </c>
      <c r="AC1780" s="14">
        <v>0.1</v>
      </c>
      <c r="AD1780" s="14">
        <v>0.1</v>
      </c>
      <c r="AE1780" s="14">
        <v>0.1</v>
      </c>
      <c r="AF1780" s="14" t="s">
        <v>413</v>
      </c>
    </row>
    <row r="1781" spans="1:32" ht="14.25" customHeight="1" x14ac:dyDescent="0.35">
      <c r="A1781" s="14" t="s">
        <v>1362</v>
      </c>
      <c r="B1781" s="14" t="s">
        <v>424</v>
      </c>
      <c r="C1781" s="14"/>
      <c r="D1781" s="14" t="s">
        <v>417</v>
      </c>
      <c r="E1781" s="15">
        <v>41640</v>
      </c>
      <c r="F1781" s="15">
        <v>42004</v>
      </c>
      <c r="G1781" s="14" t="s">
        <v>415</v>
      </c>
      <c r="H1781" s="14">
        <v>0.05</v>
      </c>
      <c r="I1781" s="14">
        <v>0.05</v>
      </c>
      <c r="J1781" s="14">
        <v>0.05</v>
      </c>
      <c r="K1781" s="14">
        <v>0.05</v>
      </c>
      <c r="L1781" s="14">
        <v>0.05</v>
      </c>
      <c r="M1781" s="14">
        <v>0.05</v>
      </c>
      <c r="N1781" s="14">
        <v>0.05</v>
      </c>
      <c r="O1781" s="14">
        <v>0.05</v>
      </c>
      <c r="P1781" s="14">
        <v>0.1</v>
      </c>
      <c r="Q1781" s="14">
        <v>0.1</v>
      </c>
      <c r="R1781" s="14">
        <v>0.1</v>
      </c>
      <c r="S1781" s="14">
        <v>0.1</v>
      </c>
      <c r="T1781" s="14">
        <v>0.1</v>
      </c>
      <c r="U1781" s="14">
        <v>0.1</v>
      </c>
      <c r="V1781" s="14">
        <v>0.1</v>
      </c>
      <c r="W1781" s="14">
        <v>0.1</v>
      </c>
      <c r="X1781" s="14">
        <v>0.1</v>
      </c>
      <c r="Y1781" s="14">
        <v>0.05</v>
      </c>
      <c r="Z1781" s="14">
        <v>0.05</v>
      </c>
      <c r="AA1781" s="14">
        <v>0.05</v>
      </c>
      <c r="AB1781" s="14">
        <v>0.05</v>
      </c>
      <c r="AC1781" s="14">
        <v>0.05</v>
      </c>
      <c r="AD1781" s="14">
        <v>0.05</v>
      </c>
      <c r="AE1781" s="14">
        <v>0.05</v>
      </c>
      <c r="AF1781" s="14" t="s">
        <v>413</v>
      </c>
    </row>
    <row r="1782" spans="1:32" ht="14.25" customHeight="1" x14ac:dyDescent="0.35">
      <c r="A1782" s="14" t="s">
        <v>1362</v>
      </c>
      <c r="B1782" s="14" t="s">
        <v>424</v>
      </c>
      <c r="C1782" s="14"/>
      <c r="D1782" s="14" t="s">
        <v>556</v>
      </c>
      <c r="E1782" s="15">
        <v>41640</v>
      </c>
      <c r="F1782" s="15">
        <v>42004</v>
      </c>
      <c r="G1782" s="14" t="s">
        <v>415</v>
      </c>
      <c r="H1782" s="14">
        <v>0.1</v>
      </c>
      <c r="I1782" s="14">
        <v>0.1</v>
      </c>
      <c r="J1782" s="14">
        <v>0.1</v>
      </c>
      <c r="K1782" s="14">
        <v>0.1</v>
      </c>
      <c r="L1782" s="14">
        <v>0.3</v>
      </c>
      <c r="M1782" s="14">
        <v>0.3</v>
      </c>
      <c r="N1782" s="14">
        <v>0.6</v>
      </c>
      <c r="O1782" s="14">
        <v>0.9</v>
      </c>
      <c r="P1782" s="14">
        <v>0.9</v>
      </c>
      <c r="Q1782" s="14">
        <v>0.9</v>
      </c>
      <c r="R1782" s="14">
        <v>0.9</v>
      </c>
      <c r="S1782" s="14">
        <v>0.9</v>
      </c>
      <c r="T1782" s="14">
        <v>0.9</v>
      </c>
      <c r="U1782" s="14">
        <v>0.9</v>
      </c>
      <c r="V1782" s="14">
        <v>0.9</v>
      </c>
      <c r="W1782" s="14">
        <v>0.9</v>
      </c>
      <c r="X1782" s="14">
        <v>0.9</v>
      </c>
      <c r="Y1782" s="14">
        <v>0.9</v>
      </c>
      <c r="Z1782" s="14">
        <v>0.6</v>
      </c>
      <c r="AA1782" s="14">
        <v>0.6</v>
      </c>
      <c r="AB1782" s="14">
        <v>0.3</v>
      </c>
      <c r="AC1782" s="14">
        <v>0.3</v>
      </c>
      <c r="AD1782" s="14">
        <v>0.1</v>
      </c>
      <c r="AE1782" s="14">
        <v>0.1</v>
      </c>
      <c r="AF1782" s="14" t="s">
        <v>413</v>
      </c>
    </row>
    <row r="1783" spans="1:32" ht="14.25" customHeight="1" x14ac:dyDescent="0.35">
      <c r="A1783" s="16" t="s">
        <v>1362</v>
      </c>
      <c r="B1783" s="16" t="s">
        <v>424</v>
      </c>
      <c r="C1783" s="16"/>
      <c r="D1783" s="16" t="s">
        <v>514</v>
      </c>
      <c r="E1783" s="17">
        <v>41640</v>
      </c>
      <c r="F1783" s="17">
        <v>42004</v>
      </c>
      <c r="G1783" s="16" t="s">
        <v>415</v>
      </c>
      <c r="H1783" s="16">
        <v>0.1</v>
      </c>
      <c r="I1783" s="16">
        <v>0.1</v>
      </c>
      <c r="J1783" s="16">
        <v>0.1</v>
      </c>
      <c r="K1783" s="16">
        <v>0.1</v>
      </c>
      <c r="L1783" s="16">
        <v>0.1</v>
      </c>
      <c r="M1783" s="16">
        <v>0.1</v>
      </c>
      <c r="N1783" s="16">
        <v>0.1</v>
      </c>
      <c r="O1783" s="16">
        <v>0.3</v>
      </c>
      <c r="P1783" s="16">
        <v>0.3</v>
      </c>
      <c r="Q1783" s="16">
        <v>0.4</v>
      </c>
      <c r="R1783" s="16">
        <v>0.4</v>
      </c>
      <c r="S1783" s="16">
        <v>0.4</v>
      </c>
      <c r="T1783" s="16">
        <v>0.4</v>
      </c>
      <c r="U1783" s="16">
        <v>0.4</v>
      </c>
      <c r="V1783" s="16">
        <v>0.4</v>
      </c>
      <c r="W1783" s="16">
        <v>0.3</v>
      </c>
      <c r="X1783" s="16">
        <v>0.3</v>
      </c>
      <c r="Y1783" s="16">
        <v>0.3</v>
      </c>
      <c r="Z1783" s="16">
        <v>0.3</v>
      </c>
      <c r="AA1783" s="16">
        <v>0.3</v>
      </c>
      <c r="AB1783" s="16">
        <v>0.1</v>
      </c>
      <c r="AC1783" s="16">
        <v>0.1</v>
      </c>
      <c r="AD1783" s="16">
        <v>0.1</v>
      </c>
      <c r="AE1783" s="16">
        <v>0.1</v>
      </c>
      <c r="AF1783" s="16" t="s">
        <v>413</v>
      </c>
    </row>
    <row r="1784" spans="1:32" ht="14.25" customHeight="1" x14ac:dyDescent="0.35">
      <c r="A1784" s="16" t="s">
        <v>1363</v>
      </c>
      <c r="B1784" s="16" t="s">
        <v>550</v>
      </c>
      <c r="C1784" s="16"/>
      <c r="D1784" s="16" t="s">
        <v>417</v>
      </c>
      <c r="E1784" s="17">
        <v>41640</v>
      </c>
      <c r="F1784" s="17">
        <v>42004</v>
      </c>
      <c r="G1784" s="16" t="s">
        <v>410</v>
      </c>
      <c r="H1784" s="16">
        <v>0</v>
      </c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16" t="s">
        <v>413</v>
      </c>
    </row>
    <row r="1785" spans="1:32" ht="14.25" customHeight="1" x14ac:dyDescent="0.35">
      <c r="A1785" s="14" t="s">
        <v>1363</v>
      </c>
      <c r="B1785" s="14" t="s">
        <v>550</v>
      </c>
      <c r="C1785" s="14"/>
      <c r="D1785" s="14" t="s">
        <v>551</v>
      </c>
      <c r="E1785" s="15">
        <v>41640</v>
      </c>
      <c r="F1785" s="15">
        <v>42004</v>
      </c>
      <c r="G1785" s="14" t="s">
        <v>415</v>
      </c>
      <c r="H1785" s="14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0.25</v>
      </c>
      <c r="O1785" s="14">
        <v>0.25</v>
      </c>
      <c r="P1785" s="14">
        <v>0.25</v>
      </c>
      <c r="Q1785" s="14">
        <v>0.25</v>
      </c>
      <c r="R1785" s="14">
        <v>0.25</v>
      </c>
      <c r="S1785" s="14">
        <v>0.25</v>
      </c>
      <c r="T1785" s="14">
        <v>0.25</v>
      </c>
      <c r="U1785" s="14">
        <v>0.25</v>
      </c>
      <c r="V1785" s="14">
        <v>0.25</v>
      </c>
      <c r="W1785" s="14">
        <v>0.25</v>
      </c>
      <c r="X1785" s="14">
        <v>0.25</v>
      </c>
      <c r="Y1785" s="14">
        <v>0.25</v>
      </c>
      <c r="Z1785" s="14">
        <v>0</v>
      </c>
      <c r="AA1785" s="14">
        <v>0</v>
      </c>
      <c r="AB1785" s="14">
        <v>0</v>
      </c>
      <c r="AC1785" s="14">
        <v>0</v>
      </c>
      <c r="AD1785" s="14">
        <v>0</v>
      </c>
      <c r="AE1785" s="14">
        <v>0</v>
      </c>
      <c r="AF1785" s="14" t="s">
        <v>413</v>
      </c>
    </row>
    <row r="1786" spans="1:32" ht="14.25" customHeight="1" x14ac:dyDescent="0.35">
      <c r="A1786" s="16" t="s">
        <v>1364</v>
      </c>
      <c r="B1786" s="16" t="s">
        <v>550</v>
      </c>
      <c r="C1786" s="16"/>
      <c r="D1786" s="16" t="s">
        <v>417</v>
      </c>
      <c r="E1786" s="17">
        <v>41640</v>
      </c>
      <c r="F1786" s="17">
        <v>42004</v>
      </c>
      <c r="G1786" s="16" t="s">
        <v>410</v>
      </c>
      <c r="H1786" s="16">
        <v>0</v>
      </c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16" t="s">
        <v>413</v>
      </c>
    </row>
    <row r="1787" spans="1:32" ht="14.25" customHeight="1" x14ac:dyDescent="0.35">
      <c r="A1787" s="14" t="s">
        <v>1364</v>
      </c>
      <c r="B1787" s="14" t="s">
        <v>550</v>
      </c>
      <c r="C1787" s="14"/>
      <c r="D1787" s="14" t="s">
        <v>551</v>
      </c>
      <c r="E1787" s="15">
        <v>41640</v>
      </c>
      <c r="F1787" s="15">
        <v>42004</v>
      </c>
      <c r="G1787" s="14" t="s">
        <v>415</v>
      </c>
      <c r="H1787" s="14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1</v>
      </c>
      <c r="O1787" s="14">
        <v>1</v>
      </c>
      <c r="P1787" s="14">
        <v>1</v>
      </c>
      <c r="Q1787" s="14">
        <v>1</v>
      </c>
      <c r="R1787" s="14">
        <v>1</v>
      </c>
      <c r="S1787" s="14">
        <v>1</v>
      </c>
      <c r="T1787" s="14">
        <v>1</v>
      </c>
      <c r="U1787" s="14">
        <v>1</v>
      </c>
      <c r="V1787" s="14">
        <v>1</v>
      </c>
      <c r="W1787" s="14">
        <v>1</v>
      </c>
      <c r="X1787" s="14">
        <v>1</v>
      </c>
      <c r="Y1787" s="14">
        <v>1</v>
      </c>
      <c r="Z1787" s="14">
        <v>0</v>
      </c>
      <c r="AA1787" s="14">
        <v>0</v>
      </c>
      <c r="AB1787" s="14">
        <v>0</v>
      </c>
      <c r="AC1787" s="14">
        <v>0</v>
      </c>
      <c r="AD1787" s="14">
        <v>0</v>
      </c>
      <c r="AE1787" s="14">
        <v>0</v>
      </c>
      <c r="AF1787" s="14" t="s">
        <v>413</v>
      </c>
    </row>
    <row r="1788" spans="1:32" ht="14.25" customHeight="1" x14ac:dyDescent="0.35">
      <c r="A1788" s="16" t="s">
        <v>1365</v>
      </c>
      <c r="B1788" s="16" t="s">
        <v>448</v>
      </c>
      <c r="C1788" s="16"/>
      <c r="D1788" s="16" t="s">
        <v>417</v>
      </c>
      <c r="E1788" s="17">
        <v>41640</v>
      </c>
      <c r="F1788" s="17">
        <v>42004</v>
      </c>
      <c r="G1788" s="16" t="s">
        <v>415</v>
      </c>
      <c r="H1788" s="16">
        <v>0</v>
      </c>
      <c r="I1788" s="16">
        <v>0</v>
      </c>
      <c r="J1788" s="16">
        <v>0</v>
      </c>
      <c r="K1788" s="16">
        <v>0</v>
      </c>
      <c r="L1788" s="16">
        <v>0</v>
      </c>
      <c r="M1788" s="16">
        <v>0</v>
      </c>
      <c r="N1788" s="16">
        <v>0</v>
      </c>
      <c r="O1788" s="16">
        <v>0</v>
      </c>
      <c r="P1788" s="16">
        <v>0.05</v>
      </c>
      <c r="Q1788" s="16">
        <v>0.05</v>
      </c>
      <c r="R1788" s="16">
        <v>0.05</v>
      </c>
      <c r="S1788" s="16">
        <v>0.05</v>
      </c>
      <c r="T1788" s="16">
        <v>0.05</v>
      </c>
      <c r="U1788" s="16">
        <v>0.05</v>
      </c>
      <c r="V1788" s="16">
        <v>0.05</v>
      </c>
      <c r="W1788" s="16">
        <v>0.05</v>
      </c>
      <c r="X1788" s="16">
        <v>0.05</v>
      </c>
      <c r="Y1788" s="16">
        <v>0</v>
      </c>
      <c r="Z1788" s="16">
        <v>0</v>
      </c>
      <c r="AA1788" s="16">
        <v>0</v>
      </c>
      <c r="AB1788" s="16">
        <v>0</v>
      </c>
      <c r="AC1788" s="16">
        <v>0</v>
      </c>
      <c r="AD1788" s="16">
        <v>0</v>
      </c>
      <c r="AE1788" s="16">
        <v>0</v>
      </c>
      <c r="AF1788" s="16" t="s">
        <v>413</v>
      </c>
    </row>
    <row r="1789" spans="1:32" ht="14.25" customHeight="1" x14ac:dyDescent="0.35">
      <c r="A1789" s="16" t="s">
        <v>1365</v>
      </c>
      <c r="B1789" s="16" t="s">
        <v>448</v>
      </c>
      <c r="C1789" s="16"/>
      <c r="D1789" s="16" t="s">
        <v>556</v>
      </c>
      <c r="E1789" s="17">
        <v>41640</v>
      </c>
      <c r="F1789" s="17">
        <v>42004</v>
      </c>
      <c r="G1789" s="16" t="s">
        <v>415</v>
      </c>
      <c r="H1789" s="16">
        <v>0.05</v>
      </c>
      <c r="I1789" s="16">
        <v>0.05</v>
      </c>
      <c r="J1789" s="16">
        <v>0.05</v>
      </c>
      <c r="K1789" s="16">
        <v>0.05</v>
      </c>
      <c r="L1789" s="16">
        <v>0.2</v>
      </c>
      <c r="M1789" s="16">
        <v>0.2</v>
      </c>
      <c r="N1789" s="16">
        <v>0.5</v>
      </c>
      <c r="O1789" s="16">
        <v>0.9</v>
      </c>
      <c r="P1789" s="16">
        <v>0.9</v>
      </c>
      <c r="Q1789" s="16">
        <v>0.9</v>
      </c>
      <c r="R1789" s="16">
        <v>0.9</v>
      </c>
      <c r="S1789" s="16">
        <v>0.9</v>
      </c>
      <c r="T1789" s="16">
        <v>0.9</v>
      </c>
      <c r="U1789" s="16">
        <v>0.9</v>
      </c>
      <c r="V1789" s="16">
        <v>0.9</v>
      </c>
      <c r="W1789" s="16">
        <v>0.9</v>
      </c>
      <c r="X1789" s="16">
        <v>0.9</v>
      </c>
      <c r="Y1789" s="16">
        <v>0.9</v>
      </c>
      <c r="Z1789" s="16">
        <v>0.5</v>
      </c>
      <c r="AA1789" s="16">
        <v>0.5</v>
      </c>
      <c r="AB1789" s="16">
        <v>0.2</v>
      </c>
      <c r="AC1789" s="16">
        <v>0.2</v>
      </c>
      <c r="AD1789" s="16">
        <v>0.05</v>
      </c>
      <c r="AE1789" s="16">
        <v>0.05</v>
      </c>
      <c r="AF1789" s="16" t="s">
        <v>413</v>
      </c>
    </row>
    <row r="1790" spans="1:32" ht="14.25" customHeight="1" x14ac:dyDescent="0.35">
      <c r="A1790" s="14" t="s">
        <v>1365</v>
      </c>
      <c r="B1790" s="14" t="s">
        <v>448</v>
      </c>
      <c r="C1790" s="14"/>
      <c r="D1790" s="14" t="s">
        <v>514</v>
      </c>
      <c r="E1790" s="15">
        <v>41640</v>
      </c>
      <c r="F1790" s="15">
        <v>42004</v>
      </c>
      <c r="G1790" s="14" t="s">
        <v>415</v>
      </c>
      <c r="H1790" s="14">
        <v>0.05</v>
      </c>
      <c r="I1790" s="14">
        <v>0.05</v>
      </c>
      <c r="J1790" s="14">
        <v>0.05</v>
      </c>
      <c r="K1790" s="14">
        <v>0.05</v>
      </c>
      <c r="L1790" s="14">
        <v>0.05</v>
      </c>
      <c r="M1790" s="14">
        <v>0.05</v>
      </c>
      <c r="N1790" s="14">
        <v>0.05</v>
      </c>
      <c r="O1790" s="14">
        <v>0.2</v>
      </c>
      <c r="P1790" s="14">
        <v>0.2</v>
      </c>
      <c r="Q1790" s="14">
        <v>0.3</v>
      </c>
      <c r="R1790" s="14">
        <v>0.3</v>
      </c>
      <c r="S1790" s="14">
        <v>0.3</v>
      </c>
      <c r="T1790" s="14">
        <v>0.3</v>
      </c>
      <c r="U1790" s="14">
        <v>0.3</v>
      </c>
      <c r="V1790" s="14">
        <v>0.3</v>
      </c>
      <c r="W1790" s="14">
        <v>0.2</v>
      </c>
      <c r="X1790" s="14">
        <v>0.2</v>
      </c>
      <c r="Y1790" s="14">
        <v>0.2</v>
      </c>
      <c r="Z1790" s="14">
        <v>0.2</v>
      </c>
      <c r="AA1790" s="14">
        <v>0.2</v>
      </c>
      <c r="AB1790" s="14">
        <v>0.05</v>
      </c>
      <c r="AC1790" s="14">
        <v>0.05</v>
      </c>
      <c r="AD1790" s="14">
        <v>0.05</v>
      </c>
      <c r="AE1790" s="14">
        <v>0.05</v>
      </c>
      <c r="AF1790" s="14" t="s">
        <v>413</v>
      </c>
    </row>
    <row r="1791" spans="1:32" ht="14.25" customHeight="1" x14ac:dyDescent="0.35">
      <c r="A1791" s="14" t="s">
        <v>1366</v>
      </c>
      <c r="B1791" s="14" t="s">
        <v>460</v>
      </c>
      <c r="C1791" s="14"/>
      <c r="D1791" s="14" t="s">
        <v>417</v>
      </c>
      <c r="E1791" s="15">
        <v>41640</v>
      </c>
      <c r="F1791" s="15">
        <v>42004</v>
      </c>
      <c r="G1791" s="14" t="s">
        <v>415</v>
      </c>
      <c r="H1791" s="14">
        <v>0</v>
      </c>
      <c r="I1791" s="14">
        <v>0</v>
      </c>
      <c r="J1791" s="14">
        <v>0</v>
      </c>
      <c r="K1791" s="14">
        <v>0</v>
      </c>
      <c r="L1791" s="14">
        <v>0</v>
      </c>
      <c r="M1791" s="14">
        <v>0</v>
      </c>
      <c r="N1791" s="14">
        <v>0</v>
      </c>
      <c r="O1791" s="14">
        <v>0</v>
      </c>
      <c r="P1791" s="14">
        <v>0.01</v>
      </c>
      <c r="Q1791" s="14">
        <v>0.01</v>
      </c>
      <c r="R1791" s="14">
        <v>0.01</v>
      </c>
      <c r="S1791" s="14">
        <v>0.01</v>
      </c>
      <c r="T1791" s="14">
        <v>0.01</v>
      </c>
      <c r="U1791" s="14">
        <v>0.01</v>
      </c>
      <c r="V1791" s="14">
        <v>0.01</v>
      </c>
      <c r="W1791" s="14">
        <v>0.01</v>
      </c>
      <c r="X1791" s="14">
        <v>0.01</v>
      </c>
      <c r="Y1791" s="14">
        <v>0</v>
      </c>
      <c r="Z1791" s="14">
        <v>0</v>
      </c>
      <c r="AA1791" s="14">
        <v>0</v>
      </c>
      <c r="AB1791" s="14">
        <v>0</v>
      </c>
      <c r="AC1791" s="14">
        <v>0</v>
      </c>
      <c r="AD1791" s="14">
        <v>0</v>
      </c>
      <c r="AE1791" s="14">
        <v>0</v>
      </c>
      <c r="AF1791" s="14" t="s">
        <v>413</v>
      </c>
    </row>
    <row r="1792" spans="1:32" ht="14.25" customHeight="1" x14ac:dyDescent="0.35">
      <c r="A1792" s="14" t="s">
        <v>1366</v>
      </c>
      <c r="B1792" s="14" t="s">
        <v>460</v>
      </c>
      <c r="C1792" s="14"/>
      <c r="D1792" s="14" t="s">
        <v>556</v>
      </c>
      <c r="E1792" s="15">
        <v>41640</v>
      </c>
      <c r="F1792" s="15">
        <v>42004</v>
      </c>
      <c r="G1792" s="14" t="s">
        <v>415</v>
      </c>
      <c r="H1792" s="14">
        <v>0.01</v>
      </c>
      <c r="I1792" s="14">
        <v>0.01</v>
      </c>
      <c r="J1792" s="14">
        <v>0.01</v>
      </c>
      <c r="K1792" s="14">
        <v>0.01</v>
      </c>
      <c r="L1792" s="14">
        <v>0.01</v>
      </c>
      <c r="M1792" s="14">
        <v>0.01</v>
      </c>
      <c r="N1792" s="14">
        <v>0.01</v>
      </c>
      <c r="O1792" s="14">
        <v>0.17</v>
      </c>
      <c r="P1792" s="14">
        <v>0.57999999999999996</v>
      </c>
      <c r="Q1792" s="14">
        <v>0.66</v>
      </c>
      <c r="R1792" s="14">
        <v>0.78</v>
      </c>
      <c r="S1792" s="14">
        <v>0.82</v>
      </c>
      <c r="T1792" s="14">
        <v>0.71</v>
      </c>
      <c r="U1792" s="14">
        <v>0.82</v>
      </c>
      <c r="V1792" s="14">
        <v>0.78</v>
      </c>
      <c r="W1792" s="14">
        <v>0.74</v>
      </c>
      <c r="X1792" s="14">
        <v>0.63</v>
      </c>
      <c r="Y1792" s="14">
        <v>0.41</v>
      </c>
      <c r="Z1792" s="14">
        <v>0.18</v>
      </c>
      <c r="AA1792" s="14">
        <v>0.18</v>
      </c>
      <c r="AB1792" s="14">
        <v>0.18</v>
      </c>
      <c r="AC1792" s="14">
        <v>0.1</v>
      </c>
      <c r="AD1792" s="14">
        <v>0.01</v>
      </c>
      <c r="AE1792" s="14">
        <v>0.01</v>
      </c>
      <c r="AF1792" s="14" t="s">
        <v>413</v>
      </c>
    </row>
    <row r="1793" spans="1:32" ht="14.25" customHeight="1" x14ac:dyDescent="0.35">
      <c r="A1793" s="16" t="s">
        <v>1366</v>
      </c>
      <c r="B1793" s="16" t="s">
        <v>460</v>
      </c>
      <c r="C1793" s="16"/>
      <c r="D1793" s="16" t="s">
        <v>514</v>
      </c>
      <c r="E1793" s="17">
        <v>41640</v>
      </c>
      <c r="F1793" s="17">
        <v>42004</v>
      </c>
      <c r="G1793" s="16" t="s">
        <v>415</v>
      </c>
      <c r="H1793" s="16">
        <v>0.01</v>
      </c>
      <c r="I1793" s="16">
        <v>0.01</v>
      </c>
      <c r="J1793" s="16">
        <v>0.01</v>
      </c>
      <c r="K1793" s="16">
        <v>0.01</v>
      </c>
      <c r="L1793" s="16">
        <v>0.01</v>
      </c>
      <c r="M1793" s="16">
        <v>0.01</v>
      </c>
      <c r="N1793" s="16">
        <v>0.01</v>
      </c>
      <c r="O1793" s="16">
        <v>0.01</v>
      </c>
      <c r="P1793" s="16">
        <v>0.2</v>
      </c>
      <c r="Q1793" s="16">
        <v>0.28000000000000003</v>
      </c>
      <c r="R1793" s="16">
        <v>0.3</v>
      </c>
      <c r="S1793" s="16">
        <v>0.3</v>
      </c>
      <c r="T1793" s="16">
        <v>0.24</v>
      </c>
      <c r="U1793" s="16">
        <v>0.24</v>
      </c>
      <c r="V1793" s="16">
        <v>0.23</v>
      </c>
      <c r="W1793" s="16">
        <v>0.23</v>
      </c>
      <c r="X1793" s="16">
        <v>0.23</v>
      </c>
      <c r="Y1793" s="16">
        <v>0.1</v>
      </c>
      <c r="Z1793" s="16">
        <v>0.01</v>
      </c>
      <c r="AA1793" s="16">
        <v>0.01</v>
      </c>
      <c r="AB1793" s="16">
        <v>0.01</v>
      </c>
      <c r="AC1793" s="16">
        <v>0.01</v>
      </c>
      <c r="AD1793" s="16">
        <v>0.01</v>
      </c>
      <c r="AE1793" s="16">
        <v>0.01</v>
      </c>
      <c r="AF1793" s="16" t="s">
        <v>413</v>
      </c>
    </row>
    <row r="1794" spans="1:32" ht="14.25" customHeight="1" x14ac:dyDescent="0.35">
      <c r="A1794" s="16" t="s">
        <v>1367</v>
      </c>
      <c r="B1794" s="16" t="s">
        <v>408</v>
      </c>
      <c r="C1794" s="16" t="s">
        <v>414</v>
      </c>
      <c r="D1794" s="16" t="s">
        <v>409</v>
      </c>
      <c r="E1794" s="17">
        <v>41640</v>
      </c>
      <c r="F1794" s="17">
        <v>42004</v>
      </c>
      <c r="G1794" s="16" t="s">
        <v>410</v>
      </c>
      <c r="H1794" s="16">
        <v>11.1</v>
      </c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 t="s">
        <v>413</v>
      </c>
    </row>
    <row r="1795" spans="1:32" ht="14.25" customHeight="1" x14ac:dyDescent="0.35">
      <c r="A1795" s="14" t="s">
        <v>1368</v>
      </c>
      <c r="B1795" s="14" t="s">
        <v>420</v>
      </c>
      <c r="C1795" s="14" t="s">
        <v>414</v>
      </c>
      <c r="D1795" s="14" t="s">
        <v>417</v>
      </c>
      <c r="E1795" s="15">
        <v>41640</v>
      </c>
      <c r="F1795" s="15">
        <v>42004</v>
      </c>
      <c r="G1795" s="14" t="s">
        <v>410</v>
      </c>
      <c r="H1795" s="14">
        <v>25</v>
      </c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 t="s">
        <v>413</v>
      </c>
    </row>
    <row r="1796" spans="1:32" ht="14.25" customHeight="1" x14ac:dyDescent="0.35">
      <c r="A1796" s="14" t="s">
        <v>1368</v>
      </c>
      <c r="B1796" s="14" t="s">
        <v>420</v>
      </c>
      <c r="C1796" s="14" t="s">
        <v>414</v>
      </c>
      <c r="D1796" s="14" t="s">
        <v>556</v>
      </c>
      <c r="E1796" s="15">
        <v>41640</v>
      </c>
      <c r="F1796" s="15">
        <v>42004</v>
      </c>
      <c r="G1796" s="14" t="s">
        <v>415</v>
      </c>
      <c r="H1796" s="14">
        <v>25</v>
      </c>
      <c r="I1796" s="14">
        <v>25</v>
      </c>
      <c r="J1796" s="14">
        <v>25</v>
      </c>
      <c r="K1796" s="14">
        <v>25</v>
      </c>
      <c r="L1796" s="14">
        <v>25</v>
      </c>
      <c r="M1796" s="14">
        <v>22.2</v>
      </c>
      <c r="N1796" s="14">
        <v>22.2</v>
      </c>
      <c r="O1796" s="14">
        <v>22.2</v>
      </c>
      <c r="P1796" s="14">
        <v>22.2</v>
      </c>
      <c r="Q1796" s="14">
        <v>22.2</v>
      </c>
      <c r="R1796" s="14">
        <v>22.2</v>
      </c>
      <c r="S1796" s="14">
        <v>22.2</v>
      </c>
      <c r="T1796" s="14">
        <v>22.2</v>
      </c>
      <c r="U1796" s="14">
        <v>22.2</v>
      </c>
      <c r="V1796" s="14">
        <v>22.2</v>
      </c>
      <c r="W1796" s="14">
        <v>22.2</v>
      </c>
      <c r="X1796" s="14">
        <v>22.2</v>
      </c>
      <c r="Y1796" s="14">
        <v>22.2</v>
      </c>
      <c r="Z1796" s="14">
        <v>25</v>
      </c>
      <c r="AA1796" s="14">
        <v>25</v>
      </c>
      <c r="AB1796" s="14">
        <v>25</v>
      </c>
      <c r="AC1796" s="14">
        <v>25</v>
      </c>
      <c r="AD1796" s="14">
        <v>25</v>
      </c>
      <c r="AE1796" s="14">
        <v>25</v>
      </c>
      <c r="AF1796" s="14" t="s">
        <v>413</v>
      </c>
    </row>
    <row r="1797" spans="1:32" ht="14.25" customHeight="1" x14ac:dyDescent="0.35">
      <c r="A1797" s="16" t="s">
        <v>1368</v>
      </c>
      <c r="B1797" s="16" t="s">
        <v>420</v>
      </c>
      <c r="C1797" s="16" t="s">
        <v>414</v>
      </c>
      <c r="D1797" s="16" t="s">
        <v>418</v>
      </c>
      <c r="E1797" s="17">
        <v>41640</v>
      </c>
      <c r="F1797" s="17">
        <v>42004</v>
      </c>
      <c r="G1797" s="16" t="s">
        <v>415</v>
      </c>
      <c r="H1797" s="16">
        <v>25</v>
      </c>
      <c r="I1797" s="16">
        <v>25</v>
      </c>
      <c r="J1797" s="16">
        <v>25</v>
      </c>
      <c r="K1797" s="16">
        <v>25</v>
      </c>
      <c r="L1797" s="16">
        <v>25</v>
      </c>
      <c r="M1797" s="16">
        <v>25</v>
      </c>
      <c r="N1797" s="16">
        <v>25</v>
      </c>
      <c r="O1797" s="16">
        <v>22.2</v>
      </c>
      <c r="P1797" s="16">
        <v>22.2</v>
      </c>
      <c r="Q1797" s="16">
        <v>22.2</v>
      </c>
      <c r="R1797" s="16">
        <v>22.2</v>
      </c>
      <c r="S1797" s="16">
        <v>22.2</v>
      </c>
      <c r="T1797" s="16">
        <v>22.2</v>
      </c>
      <c r="U1797" s="16">
        <v>22.2</v>
      </c>
      <c r="V1797" s="16">
        <v>22.2</v>
      </c>
      <c r="W1797" s="16">
        <v>25</v>
      </c>
      <c r="X1797" s="16">
        <v>25</v>
      </c>
      <c r="Y1797" s="16">
        <v>25</v>
      </c>
      <c r="Z1797" s="16">
        <v>25</v>
      </c>
      <c r="AA1797" s="16">
        <v>25</v>
      </c>
      <c r="AB1797" s="16">
        <v>25</v>
      </c>
      <c r="AC1797" s="16">
        <v>25</v>
      </c>
      <c r="AD1797" s="16">
        <v>25</v>
      </c>
      <c r="AE1797" s="16">
        <v>25</v>
      </c>
      <c r="AF1797" s="16" t="s">
        <v>413</v>
      </c>
    </row>
    <row r="1798" spans="1:32" ht="14.25" customHeight="1" x14ac:dyDescent="0.35">
      <c r="A1798" s="16" t="s">
        <v>1369</v>
      </c>
      <c r="B1798" s="16" t="s">
        <v>420</v>
      </c>
      <c r="C1798" s="16" t="s">
        <v>414</v>
      </c>
      <c r="D1798" s="16" t="s">
        <v>791</v>
      </c>
      <c r="E1798" s="17">
        <v>41640</v>
      </c>
      <c r="F1798" s="17">
        <v>42004</v>
      </c>
      <c r="G1798" s="16" t="s">
        <v>410</v>
      </c>
      <c r="H1798" s="16">
        <v>22.2</v>
      </c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 t="s">
        <v>413</v>
      </c>
    </row>
    <row r="1799" spans="1:32" ht="14.25" customHeight="1" x14ac:dyDescent="0.35">
      <c r="A1799" s="16" t="s">
        <v>1369</v>
      </c>
      <c r="B1799" s="16" t="s">
        <v>420</v>
      </c>
      <c r="C1799" s="16" t="s">
        <v>414</v>
      </c>
      <c r="D1799" s="16" t="s">
        <v>419</v>
      </c>
      <c r="E1799" s="17">
        <v>41640</v>
      </c>
      <c r="F1799" s="17">
        <v>42004</v>
      </c>
      <c r="G1799" s="16" t="s">
        <v>415</v>
      </c>
      <c r="H1799" s="16">
        <v>25</v>
      </c>
      <c r="I1799" s="16">
        <v>25</v>
      </c>
      <c r="J1799" s="16">
        <v>25</v>
      </c>
      <c r="K1799" s="16">
        <v>25</v>
      </c>
      <c r="L1799" s="16">
        <v>25</v>
      </c>
      <c r="M1799" s="16">
        <v>22.2</v>
      </c>
      <c r="N1799" s="16">
        <v>22.2</v>
      </c>
      <c r="O1799" s="16">
        <v>22.2</v>
      </c>
      <c r="P1799" s="16">
        <v>22.2</v>
      </c>
      <c r="Q1799" s="16">
        <v>22.2</v>
      </c>
      <c r="R1799" s="16">
        <v>22.2</v>
      </c>
      <c r="S1799" s="16">
        <v>22.2</v>
      </c>
      <c r="T1799" s="16">
        <v>22.2</v>
      </c>
      <c r="U1799" s="16">
        <v>22.2</v>
      </c>
      <c r="V1799" s="16">
        <v>22.2</v>
      </c>
      <c r="W1799" s="16">
        <v>22.2</v>
      </c>
      <c r="X1799" s="16">
        <v>22.2</v>
      </c>
      <c r="Y1799" s="16">
        <v>22.2</v>
      </c>
      <c r="Z1799" s="16">
        <v>25</v>
      </c>
      <c r="AA1799" s="16">
        <v>25</v>
      </c>
      <c r="AB1799" s="16">
        <v>25</v>
      </c>
      <c r="AC1799" s="16">
        <v>25</v>
      </c>
      <c r="AD1799" s="16">
        <v>25</v>
      </c>
      <c r="AE1799" s="16">
        <v>25</v>
      </c>
      <c r="AF1799" s="16" t="s">
        <v>413</v>
      </c>
    </row>
    <row r="1800" spans="1:32" ht="14.25" customHeight="1" x14ac:dyDescent="0.35">
      <c r="A1800" s="14" t="s">
        <v>1369</v>
      </c>
      <c r="B1800" s="14" t="s">
        <v>420</v>
      </c>
      <c r="C1800" s="14" t="s">
        <v>414</v>
      </c>
      <c r="D1800" s="14" t="s">
        <v>418</v>
      </c>
      <c r="E1800" s="15">
        <v>41640</v>
      </c>
      <c r="F1800" s="15">
        <v>42004</v>
      </c>
      <c r="G1800" s="14" t="s">
        <v>415</v>
      </c>
      <c r="H1800" s="14">
        <v>25</v>
      </c>
      <c r="I1800" s="14">
        <v>25</v>
      </c>
      <c r="J1800" s="14">
        <v>25</v>
      </c>
      <c r="K1800" s="14">
        <v>25</v>
      </c>
      <c r="L1800" s="14">
        <v>25</v>
      </c>
      <c r="M1800" s="14">
        <v>25</v>
      </c>
      <c r="N1800" s="14">
        <v>25</v>
      </c>
      <c r="O1800" s="14">
        <v>22.2</v>
      </c>
      <c r="P1800" s="14">
        <v>22.2</v>
      </c>
      <c r="Q1800" s="14">
        <v>22.2</v>
      </c>
      <c r="R1800" s="14">
        <v>22.2</v>
      </c>
      <c r="S1800" s="14">
        <v>22.2</v>
      </c>
      <c r="T1800" s="14">
        <v>22.2</v>
      </c>
      <c r="U1800" s="14">
        <v>22.2</v>
      </c>
      <c r="V1800" s="14">
        <v>22.2</v>
      </c>
      <c r="W1800" s="14">
        <v>25</v>
      </c>
      <c r="X1800" s="14">
        <v>25</v>
      </c>
      <c r="Y1800" s="14">
        <v>25</v>
      </c>
      <c r="Z1800" s="14">
        <v>25</v>
      </c>
      <c r="AA1800" s="14">
        <v>25</v>
      </c>
      <c r="AB1800" s="14">
        <v>25</v>
      </c>
      <c r="AC1800" s="14">
        <v>25</v>
      </c>
      <c r="AD1800" s="14">
        <v>25</v>
      </c>
      <c r="AE1800" s="14">
        <v>25</v>
      </c>
      <c r="AF1800" s="14" t="s">
        <v>413</v>
      </c>
    </row>
    <row r="1801" spans="1:32" ht="14.25" customHeight="1" x14ac:dyDescent="0.35">
      <c r="A1801" s="14" t="s">
        <v>1370</v>
      </c>
      <c r="B1801" s="14" t="s">
        <v>420</v>
      </c>
      <c r="C1801" s="14" t="s">
        <v>414</v>
      </c>
      <c r="D1801" s="14" t="s">
        <v>417</v>
      </c>
      <c r="E1801" s="15">
        <v>41640</v>
      </c>
      <c r="F1801" s="15">
        <v>42004</v>
      </c>
      <c r="G1801" s="14" t="s">
        <v>410</v>
      </c>
      <c r="H1801" s="14">
        <v>25</v>
      </c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 t="s">
        <v>413</v>
      </c>
    </row>
    <row r="1802" spans="1:32" ht="14.25" customHeight="1" x14ac:dyDescent="0.35">
      <c r="A1802" s="14" t="s">
        <v>1370</v>
      </c>
      <c r="B1802" s="14" t="s">
        <v>420</v>
      </c>
      <c r="C1802" s="14" t="s">
        <v>414</v>
      </c>
      <c r="D1802" s="14" t="s">
        <v>419</v>
      </c>
      <c r="E1802" s="15">
        <v>41640</v>
      </c>
      <c r="F1802" s="15">
        <v>42004</v>
      </c>
      <c r="G1802" s="14" t="s">
        <v>415</v>
      </c>
      <c r="H1802" s="14">
        <v>25</v>
      </c>
      <c r="I1802" s="14">
        <v>25</v>
      </c>
      <c r="J1802" s="14">
        <v>25</v>
      </c>
      <c r="K1802" s="14">
        <v>25</v>
      </c>
      <c r="L1802" s="14">
        <v>25</v>
      </c>
      <c r="M1802" s="14">
        <v>22.2</v>
      </c>
      <c r="N1802" s="14">
        <v>22.2</v>
      </c>
      <c r="O1802" s="14">
        <v>22.2</v>
      </c>
      <c r="P1802" s="14">
        <v>22.2</v>
      </c>
      <c r="Q1802" s="14">
        <v>22.2</v>
      </c>
      <c r="R1802" s="14">
        <v>22.2</v>
      </c>
      <c r="S1802" s="14">
        <v>22.2</v>
      </c>
      <c r="T1802" s="14">
        <v>22.2</v>
      </c>
      <c r="U1802" s="14">
        <v>22.2</v>
      </c>
      <c r="V1802" s="14">
        <v>22.2</v>
      </c>
      <c r="W1802" s="14">
        <v>22.2</v>
      </c>
      <c r="X1802" s="14">
        <v>22.2</v>
      </c>
      <c r="Y1802" s="14">
        <v>22.2</v>
      </c>
      <c r="Z1802" s="14">
        <v>25</v>
      </c>
      <c r="AA1802" s="14">
        <v>25</v>
      </c>
      <c r="AB1802" s="14">
        <v>25</v>
      </c>
      <c r="AC1802" s="14">
        <v>25</v>
      </c>
      <c r="AD1802" s="14">
        <v>25</v>
      </c>
      <c r="AE1802" s="14">
        <v>25</v>
      </c>
      <c r="AF1802" s="14" t="s">
        <v>413</v>
      </c>
    </row>
    <row r="1803" spans="1:32" ht="14.25" customHeight="1" x14ac:dyDescent="0.35">
      <c r="A1803" s="16" t="s">
        <v>1370</v>
      </c>
      <c r="B1803" s="16" t="s">
        <v>420</v>
      </c>
      <c r="C1803" s="16" t="s">
        <v>414</v>
      </c>
      <c r="D1803" s="16" t="s">
        <v>429</v>
      </c>
      <c r="E1803" s="17">
        <v>41640</v>
      </c>
      <c r="F1803" s="17">
        <v>42004</v>
      </c>
      <c r="G1803" s="16" t="s">
        <v>415</v>
      </c>
      <c r="H1803" s="16">
        <v>25</v>
      </c>
      <c r="I1803" s="16">
        <v>25</v>
      </c>
      <c r="J1803" s="16">
        <v>25</v>
      </c>
      <c r="K1803" s="16">
        <v>25</v>
      </c>
      <c r="L1803" s="16">
        <v>25</v>
      </c>
      <c r="M1803" s="16">
        <v>23.9</v>
      </c>
      <c r="N1803" s="16">
        <v>23.3</v>
      </c>
      <c r="O1803" s="16">
        <v>22.2</v>
      </c>
      <c r="P1803" s="16">
        <v>22.2</v>
      </c>
      <c r="Q1803" s="16">
        <v>22.2</v>
      </c>
      <c r="R1803" s="16">
        <v>22.2</v>
      </c>
      <c r="S1803" s="16">
        <v>22.2</v>
      </c>
      <c r="T1803" s="16">
        <v>22.2</v>
      </c>
      <c r="U1803" s="16">
        <v>22.2</v>
      </c>
      <c r="V1803" s="16">
        <v>22.2</v>
      </c>
      <c r="W1803" s="16">
        <v>22.2</v>
      </c>
      <c r="X1803" s="16">
        <v>22.2</v>
      </c>
      <c r="Y1803" s="16">
        <v>22.2</v>
      </c>
      <c r="Z1803" s="16">
        <v>25</v>
      </c>
      <c r="AA1803" s="16">
        <v>25</v>
      </c>
      <c r="AB1803" s="16">
        <v>25</v>
      </c>
      <c r="AC1803" s="16">
        <v>25</v>
      </c>
      <c r="AD1803" s="16">
        <v>25</v>
      </c>
      <c r="AE1803" s="16">
        <v>25</v>
      </c>
      <c r="AF1803" s="16" t="s">
        <v>413</v>
      </c>
    </row>
    <row r="1804" spans="1:32" ht="14.25" customHeight="1" x14ac:dyDescent="0.35">
      <c r="A1804" s="16" t="s">
        <v>1370</v>
      </c>
      <c r="B1804" s="16" t="s">
        <v>420</v>
      </c>
      <c r="C1804" s="16" t="s">
        <v>414</v>
      </c>
      <c r="D1804" s="16" t="s">
        <v>418</v>
      </c>
      <c r="E1804" s="17">
        <v>41640</v>
      </c>
      <c r="F1804" s="17">
        <v>42004</v>
      </c>
      <c r="G1804" s="16" t="s">
        <v>415</v>
      </c>
      <c r="H1804" s="16">
        <v>25</v>
      </c>
      <c r="I1804" s="16">
        <v>25</v>
      </c>
      <c r="J1804" s="16">
        <v>25</v>
      </c>
      <c r="K1804" s="16">
        <v>25</v>
      </c>
      <c r="L1804" s="16">
        <v>25</v>
      </c>
      <c r="M1804" s="16">
        <v>25</v>
      </c>
      <c r="N1804" s="16">
        <v>25</v>
      </c>
      <c r="O1804" s="16">
        <v>22.2</v>
      </c>
      <c r="P1804" s="16">
        <v>22.2</v>
      </c>
      <c r="Q1804" s="16">
        <v>22.2</v>
      </c>
      <c r="R1804" s="16">
        <v>22.2</v>
      </c>
      <c r="S1804" s="16">
        <v>22.2</v>
      </c>
      <c r="T1804" s="16">
        <v>22.2</v>
      </c>
      <c r="U1804" s="16">
        <v>22.2</v>
      </c>
      <c r="V1804" s="16">
        <v>22.2</v>
      </c>
      <c r="W1804" s="16">
        <v>25</v>
      </c>
      <c r="X1804" s="16">
        <v>25</v>
      </c>
      <c r="Y1804" s="16">
        <v>25</v>
      </c>
      <c r="Z1804" s="16">
        <v>25</v>
      </c>
      <c r="AA1804" s="16">
        <v>25</v>
      </c>
      <c r="AB1804" s="16">
        <v>25</v>
      </c>
      <c r="AC1804" s="16">
        <v>25</v>
      </c>
      <c r="AD1804" s="16">
        <v>25</v>
      </c>
      <c r="AE1804" s="16">
        <v>25</v>
      </c>
      <c r="AF1804" s="16" t="s">
        <v>413</v>
      </c>
    </row>
    <row r="1805" spans="1:32" ht="14.25" customHeight="1" x14ac:dyDescent="0.35">
      <c r="A1805" s="14" t="s">
        <v>1371</v>
      </c>
      <c r="B1805" s="14" t="s">
        <v>420</v>
      </c>
      <c r="C1805" s="14" t="s">
        <v>414</v>
      </c>
      <c r="D1805" s="14" t="s">
        <v>417</v>
      </c>
      <c r="E1805" s="15">
        <v>41640</v>
      </c>
      <c r="F1805" s="15">
        <v>42004</v>
      </c>
      <c r="G1805" s="14" t="s">
        <v>410</v>
      </c>
      <c r="H1805" s="14">
        <v>25</v>
      </c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 t="s">
        <v>413</v>
      </c>
    </row>
    <row r="1806" spans="1:32" ht="14.25" customHeight="1" x14ac:dyDescent="0.35">
      <c r="A1806" s="14" t="s">
        <v>1371</v>
      </c>
      <c r="B1806" s="14" t="s">
        <v>420</v>
      </c>
      <c r="C1806" s="14" t="s">
        <v>414</v>
      </c>
      <c r="D1806" s="14" t="s">
        <v>419</v>
      </c>
      <c r="E1806" s="15">
        <v>41640</v>
      </c>
      <c r="F1806" s="15">
        <v>42004</v>
      </c>
      <c r="G1806" s="14" t="s">
        <v>415</v>
      </c>
      <c r="H1806" s="14">
        <v>25</v>
      </c>
      <c r="I1806" s="14">
        <v>25</v>
      </c>
      <c r="J1806" s="14">
        <v>25</v>
      </c>
      <c r="K1806" s="14">
        <v>25</v>
      </c>
      <c r="L1806" s="14">
        <v>25</v>
      </c>
      <c r="M1806" s="14">
        <v>22.2</v>
      </c>
      <c r="N1806" s="14">
        <v>22.2</v>
      </c>
      <c r="O1806" s="14">
        <v>22.2</v>
      </c>
      <c r="P1806" s="14">
        <v>22.2</v>
      </c>
      <c r="Q1806" s="14">
        <v>22.2</v>
      </c>
      <c r="R1806" s="14">
        <v>22.2</v>
      </c>
      <c r="S1806" s="14">
        <v>22.2</v>
      </c>
      <c r="T1806" s="14">
        <v>22.2</v>
      </c>
      <c r="U1806" s="14">
        <v>22.2</v>
      </c>
      <c r="V1806" s="14">
        <v>22.2</v>
      </c>
      <c r="W1806" s="14">
        <v>22.2</v>
      </c>
      <c r="X1806" s="14">
        <v>22.2</v>
      </c>
      <c r="Y1806" s="14">
        <v>22.2</v>
      </c>
      <c r="Z1806" s="14">
        <v>25</v>
      </c>
      <c r="AA1806" s="14">
        <v>25</v>
      </c>
      <c r="AB1806" s="14">
        <v>25</v>
      </c>
      <c r="AC1806" s="14">
        <v>25</v>
      </c>
      <c r="AD1806" s="14">
        <v>25</v>
      </c>
      <c r="AE1806" s="14">
        <v>25</v>
      </c>
      <c r="AF1806" s="14" t="s">
        <v>413</v>
      </c>
    </row>
    <row r="1807" spans="1:32" ht="14.25" customHeight="1" x14ac:dyDescent="0.35">
      <c r="A1807" s="16" t="s">
        <v>1371</v>
      </c>
      <c r="B1807" s="16" t="s">
        <v>420</v>
      </c>
      <c r="C1807" s="16" t="s">
        <v>414</v>
      </c>
      <c r="D1807" s="16" t="s">
        <v>429</v>
      </c>
      <c r="E1807" s="17">
        <v>41640</v>
      </c>
      <c r="F1807" s="17">
        <v>42004</v>
      </c>
      <c r="G1807" s="16" t="s">
        <v>415</v>
      </c>
      <c r="H1807" s="16">
        <v>25</v>
      </c>
      <c r="I1807" s="16">
        <v>25</v>
      </c>
      <c r="J1807" s="16">
        <v>25</v>
      </c>
      <c r="K1807" s="16">
        <v>25</v>
      </c>
      <c r="L1807" s="16">
        <v>25</v>
      </c>
      <c r="M1807" s="16">
        <v>23.9</v>
      </c>
      <c r="N1807" s="16">
        <v>23.3</v>
      </c>
      <c r="O1807" s="16">
        <v>22.2</v>
      </c>
      <c r="P1807" s="16">
        <v>22.2</v>
      </c>
      <c r="Q1807" s="16">
        <v>22.2</v>
      </c>
      <c r="R1807" s="16">
        <v>22.2</v>
      </c>
      <c r="S1807" s="16">
        <v>22.2</v>
      </c>
      <c r="T1807" s="16">
        <v>22.2</v>
      </c>
      <c r="U1807" s="16">
        <v>22.2</v>
      </c>
      <c r="V1807" s="16">
        <v>22.2</v>
      </c>
      <c r="W1807" s="16">
        <v>22.2</v>
      </c>
      <c r="X1807" s="16">
        <v>22.2</v>
      </c>
      <c r="Y1807" s="16">
        <v>22.2</v>
      </c>
      <c r="Z1807" s="16">
        <v>25</v>
      </c>
      <c r="AA1807" s="16">
        <v>25</v>
      </c>
      <c r="AB1807" s="16">
        <v>25</v>
      </c>
      <c r="AC1807" s="16">
        <v>25</v>
      </c>
      <c r="AD1807" s="16">
        <v>25</v>
      </c>
      <c r="AE1807" s="16">
        <v>25</v>
      </c>
      <c r="AF1807" s="16" t="s">
        <v>413</v>
      </c>
    </row>
    <row r="1808" spans="1:32" ht="14.25" customHeight="1" x14ac:dyDescent="0.35">
      <c r="A1808" s="16" t="s">
        <v>1371</v>
      </c>
      <c r="B1808" s="16" t="s">
        <v>420</v>
      </c>
      <c r="C1808" s="16" t="s">
        <v>414</v>
      </c>
      <c r="D1808" s="16" t="s">
        <v>418</v>
      </c>
      <c r="E1808" s="17">
        <v>41640</v>
      </c>
      <c r="F1808" s="17">
        <v>42004</v>
      </c>
      <c r="G1808" s="16" t="s">
        <v>415</v>
      </c>
      <c r="H1808" s="16">
        <v>25</v>
      </c>
      <c r="I1808" s="16">
        <v>25</v>
      </c>
      <c r="J1808" s="16">
        <v>25</v>
      </c>
      <c r="K1808" s="16">
        <v>25</v>
      </c>
      <c r="L1808" s="16">
        <v>25</v>
      </c>
      <c r="M1808" s="16">
        <v>25</v>
      </c>
      <c r="N1808" s="16">
        <v>25</v>
      </c>
      <c r="O1808" s="16">
        <v>22.2</v>
      </c>
      <c r="P1808" s="16">
        <v>22.2</v>
      </c>
      <c r="Q1808" s="16">
        <v>22.2</v>
      </c>
      <c r="R1808" s="16">
        <v>22.2</v>
      </c>
      <c r="S1808" s="16">
        <v>22.2</v>
      </c>
      <c r="T1808" s="16">
        <v>22.2</v>
      </c>
      <c r="U1808" s="16">
        <v>22.2</v>
      </c>
      <c r="V1808" s="16">
        <v>22.2</v>
      </c>
      <c r="W1808" s="16">
        <v>25</v>
      </c>
      <c r="X1808" s="16">
        <v>25</v>
      </c>
      <c r="Y1808" s="16">
        <v>25</v>
      </c>
      <c r="Z1808" s="16">
        <v>25</v>
      </c>
      <c r="AA1808" s="16">
        <v>25</v>
      </c>
      <c r="AB1808" s="16">
        <v>25</v>
      </c>
      <c r="AC1808" s="16">
        <v>25</v>
      </c>
      <c r="AD1808" s="16">
        <v>25</v>
      </c>
      <c r="AE1808" s="16">
        <v>25</v>
      </c>
      <c r="AF1808" s="16" t="s">
        <v>413</v>
      </c>
    </row>
    <row r="1809" spans="1:32" ht="14.25" customHeight="1" x14ac:dyDescent="0.35">
      <c r="A1809" s="14" t="s">
        <v>1372</v>
      </c>
      <c r="B1809" s="14" t="s">
        <v>518</v>
      </c>
      <c r="C1809" s="14" t="s">
        <v>412</v>
      </c>
      <c r="D1809" s="14" t="s">
        <v>453</v>
      </c>
      <c r="E1809" s="15">
        <v>41640</v>
      </c>
      <c r="F1809" s="15">
        <v>42004</v>
      </c>
      <c r="G1809" s="14" t="s">
        <v>410</v>
      </c>
      <c r="H1809" s="14">
        <v>0.5</v>
      </c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 t="s">
        <v>413</v>
      </c>
    </row>
    <row r="1810" spans="1:32" ht="14.25" customHeight="1" x14ac:dyDescent="0.35">
      <c r="A1810" s="14" t="s">
        <v>1372</v>
      </c>
      <c r="B1810" s="14" t="s">
        <v>518</v>
      </c>
      <c r="C1810" s="14" t="s">
        <v>412</v>
      </c>
      <c r="D1810" s="14" t="s">
        <v>454</v>
      </c>
      <c r="E1810" s="15">
        <v>41913</v>
      </c>
      <c r="F1810" s="15">
        <v>42004</v>
      </c>
      <c r="G1810" s="14" t="s">
        <v>410</v>
      </c>
      <c r="H1810" s="14">
        <v>1</v>
      </c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 t="s">
        <v>413</v>
      </c>
    </row>
    <row r="1811" spans="1:32" ht="14.25" customHeight="1" x14ac:dyDescent="0.35">
      <c r="A1811" s="16" t="s">
        <v>1372</v>
      </c>
      <c r="B1811" s="16" t="s">
        <v>518</v>
      </c>
      <c r="C1811" s="16" t="s">
        <v>412</v>
      </c>
      <c r="D1811" s="16" t="s">
        <v>454</v>
      </c>
      <c r="E1811" s="17">
        <v>41640</v>
      </c>
      <c r="F1811" s="17">
        <v>41759</v>
      </c>
      <c r="G1811" s="16" t="s">
        <v>410</v>
      </c>
      <c r="H1811" s="16">
        <v>1</v>
      </c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6"/>
      <c r="AF1811" s="16" t="s">
        <v>413</v>
      </c>
    </row>
    <row r="1812" spans="1:32" ht="14.25" customHeight="1" x14ac:dyDescent="0.35">
      <c r="A1812" s="16" t="s">
        <v>1372</v>
      </c>
      <c r="B1812" s="16" t="s">
        <v>518</v>
      </c>
      <c r="C1812" s="16" t="s">
        <v>412</v>
      </c>
      <c r="D1812" s="16" t="s">
        <v>418</v>
      </c>
      <c r="E1812" s="17">
        <v>41640</v>
      </c>
      <c r="F1812" s="17">
        <v>42004</v>
      </c>
      <c r="G1812" s="16" t="s">
        <v>410</v>
      </c>
      <c r="H1812" s="16">
        <v>1</v>
      </c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 t="s">
        <v>413</v>
      </c>
    </row>
    <row r="1813" spans="1:32" ht="14.25" customHeight="1" x14ac:dyDescent="0.35">
      <c r="A1813" s="14" t="s">
        <v>1373</v>
      </c>
      <c r="B1813" s="14" t="s">
        <v>408</v>
      </c>
      <c r="C1813" s="14"/>
      <c r="D1813" s="14" t="s">
        <v>409</v>
      </c>
      <c r="E1813" s="15">
        <v>41640</v>
      </c>
      <c r="F1813" s="15">
        <v>42004</v>
      </c>
      <c r="G1813" s="14" t="s">
        <v>410</v>
      </c>
      <c r="H1813" s="14">
        <v>1</v>
      </c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 t="s">
        <v>413</v>
      </c>
    </row>
    <row r="1814" spans="1:32" ht="14.25" customHeight="1" x14ac:dyDescent="0.35">
      <c r="A1814" s="16" t="s">
        <v>1374</v>
      </c>
      <c r="B1814" s="16" t="s">
        <v>408</v>
      </c>
      <c r="C1814" s="16" t="s">
        <v>414</v>
      </c>
      <c r="D1814" s="16" t="s">
        <v>409</v>
      </c>
      <c r="E1814" s="17">
        <v>41640</v>
      </c>
      <c r="F1814" s="17">
        <v>42004</v>
      </c>
      <c r="G1814" s="16" t="s">
        <v>410</v>
      </c>
      <c r="H1814" s="16">
        <v>6.7</v>
      </c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 t="s">
        <v>413</v>
      </c>
    </row>
    <row r="1815" spans="1:32" ht="14.25" customHeight="1" x14ac:dyDescent="0.35">
      <c r="A1815" s="14" t="s">
        <v>1375</v>
      </c>
      <c r="B1815" s="14" t="s">
        <v>408</v>
      </c>
      <c r="C1815" s="14"/>
      <c r="D1815" s="14" t="s">
        <v>409</v>
      </c>
      <c r="E1815" s="15">
        <v>41640</v>
      </c>
      <c r="F1815" s="15">
        <v>42004</v>
      </c>
      <c r="G1815" s="14" t="s">
        <v>410</v>
      </c>
      <c r="H1815" s="14">
        <v>4</v>
      </c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 t="s">
        <v>413</v>
      </c>
    </row>
    <row r="1816" spans="1:32" ht="14.25" customHeight="1" x14ac:dyDescent="0.35">
      <c r="A1816" s="16" t="s">
        <v>1376</v>
      </c>
      <c r="B1816" s="16" t="s">
        <v>424</v>
      </c>
      <c r="C1816" s="16"/>
      <c r="D1816" s="16" t="s">
        <v>409</v>
      </c>
      <c r="E1816" s="17">
        <v>41640</v>
      </c>
      <c r="F1816" s="17">
        <v>42004</v>
      </c>
      <c r="G1816" s="16" t="s">
        <v>410</v>
      </c>
      <c r="H1816" s="16">
        <v>1</v>
      </c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6"/>
      <c r="AF1816" s="16" t="s">
        <v>413</v>
      </c>
    </row>
    <row r="1817" spans="1:32" ht="14.25" customHeight="1" x14ac:dyDescent="0.35">
      <c r="A1817" s="14" t="s">
        <v>1377</v>
      </c>
      <c r="B1817" s="14" t="s">
        <v>424</v>
      </c>
      <c r="C1817" s="14"/>
      <c r="D1817" s="14" t="s">
        <v>417</v>
      </c>
      <c r="E1817" s="15">
        <v>41640</v>
      </c>
      <c r="F1817" s="15">
        <v>42004</v>
      </c>
      <c r="G1817" s="14" t="s">
        <v>415</v>
      </c>
      <c r="H1817" s="14">
        <v>0.05</v>
      </c>
      <c r="I1817" s="14">
        <v>0.05</v>
      </c>
      <c r="J1817" s="14">
        <v>0.05</v>
      </c>
      <c r="K1817" s="14">
        <v>0.05</v>
      </c>
      <c r="L1817" s="14">
        <v>0.05</v>
      </c>
      <c r="M1817" s="14">
        <v>0.05</v>
      </c>
      <c r="N1817" s="14">
        <v>0.05</v>
      </c>
      <c r="O1817" s="14">
        <v>0.05</v>
      </c>
      <c r="P1817" s="14">
        <v>0.4</v>
      </c>
      <c r="Q1817" s="14">
        <v>0.4</v>
      </c>
      <c r="R1817" s="14">
        <v>0.4</v>
      </c>
      <c r="S1817" s="14">
        <v>0.4</v>
      </c>
      <c r="T1817" s="14">
        <v>0.4</v>
      </c>
      <c r="U1817" s="14">
        <v>0.4</v>
      </c>
      <c r="V1817" s="14">
        <v>0.4</v>
      </c>
      <c r="W1817" s="14">
        <v>0.4</v>
      </c>
      <c r="X1817" s="14">
        <v>0.05</v>
      </c>
      <c r="Y1817" s="14">
        <v>0.05</v>
      </c>
      <c r="Z1817" s="14">
        <v>0.05</v>
      </c>
      <c r="AA1817" s="14">
        <v>0.05</v>
      </c>
      <c r="AB1817" s="14">
        <v>0.05</v>
      </c>
      <c r="AC1817" s="14">
        <v>0.05</v>
      </c>
      <c r="AD1817" s="14">
        <v>0.05</v>
      </c>
      <c r="AE1817" s="14">
        <v>0.05</v>
      </c>
      <c r="AF1817" s="14" t="s">
        <v>413</v>
      </c>
    </row>
    <row r="1818" spans="1:32" ht="14.25" customHeight="1" x14ac:dyDescent="0.35">
      <c r="A1818" s="16" t="s">
        <v>1377</v>
      </c>
      <c r="B1818" s="16" t="s">
        <v>424</v>
      </c>
      <c r="C1818" s="16"/>
      <c r="D1818" s="16" t="s">
        <v>512</v>
      </c>
      <c r="E1818" s="17">
        <v>41640</v>
      </c>
      <c r="F1818" s="17">
        <v>42004</v>
      </c>
      <c r="G1818" s="16" t="s">
        <v>415</v>
      </c>
      <c r="H1818" s="16">
        <v>0.05</v>
      </c>
      <c r="I1818" s="16">
        <v>0.05</v>
      </c>
      <c r="J1818" s="16">
        <v>0.05</v>
      </c>
      <c r="K1818" s="16">
        <v>0.05</v>
      </c>
      <c r="L1818" s="16">
        <v>0.05</v>
      </c>
      <c r="M1818" s="16">
        <v>0.05</v>
      </c>
      <c r="N1818" s="16">
        <v>0.05</v>
      </c>
      <c r="O1818" s="16">
        <v>0.4</v>
      </c>
      <c r="P1818" s="16">
        <v>0.46</v>
      </c>
      <c r="Q1818" s="16">
        <v>0.7</v>
      </c>
      <c r="R1818" s="16">
        <v>0.7</v>
      </c>
      <c r="S1818" s="16">
        <v>0.7</v>
      </c>
      <c r="T1818" s="16">
        <v>0.51</v>
      </c>
      <c r="U1818" s="16">
        <v>0.51</v>
      </c>
      <c r="V1818" s="16">
        <v>0.51</v>
      </c>
      <c r="W1818" s="16">
        <v>0.51</v>
      </c>
      <c r="X1818" s="16">
        <v>0.51</v>
      </c>
      <c r="Y1818" s="16">
        <v>0.25</v>
      </c>
      <c r="Z1818" s="16">
        <v>0.05</v>
      </c>
      <c r="AA1818" s="16">
        <v>0.05</v>
      </c>
      <c r="AB1818" s="16">
        <v>0.05</v>
      </c>
      <c r="AC1818" s="16">
        <v>0.05</v>
      </c>
      <c r="AD1818" s="16">
        <v>0.05</v>
      </c>
      <c r="AE1818" s="16">
        <v>0.05</v>
      </c>
      <c r="AF1818" s="16" t="s">
        <v>413</v>
      </c>
    </row>
    <row r="1819" spans="1:32" ht="14.25" customHeight="1" x14ac:dyDescent="0.35">
      <c r="A1819" s="14" t="s">
        <v>1377</v>
      </c>
      <c r="B1819" s="14" t="s">
        <v>424</v>
      </c>
      <c r="C1819" s="14"/>
      <c r="D1819" s="14" t="s">
        <v>419</v>
      </c>
      <c r="E1819" s="15">
        <v>41640</v>
      </c>
      <c r="F1819" s="15">
        <v>42004</v>
      </c>
      <c r="G1819" s="14" t="s">
        <v>410</v>
      </c>
      <c r="H1819" s="14">
        <v>1</v>
      </c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 t="s">
        <v>413</v>
      </c>
    </row>
    <row r="1820" spans="1:32" ht="14.25" customHeight="1" x14ac:dyDescent="0.35">
      <c r="A1820" s="14" t="s">
        <v>1377</v>
      </c>
      <c r="B1820" s="14" t="s">
        <v>424</v>
      </c>
      <c r="C1820" s="14"/>
      <c r="D1820" s="14" t="s">
        <v>429</v>
      </c>
      <c r="E1820" s="15">
        <v>41640</v>
      </c>
      <c r="F1820" s="15">
        <v>42004</v>
      </c>
      <c r="G1820" s="14" t="s">
        <v>415</v>
      </c>
      <c r="H1820" s="14">
        <v>0.05</v>
      </c>
      <c r="I1820" s="14">
        <v>0.05</v>
      </c>
      <c r="J1820" s="14">
        <v>0.05</v>
      </c>
      <c r="K1820" s="14">
        <v>0.05</v>
      </c>
      <c r="L1820" s="14">
        <v>0.05</v>
      </c>
      <c r="M1820" s="14">
        <v>0.05</v>
      </c>
      <c r="N1820" s="14">
        <v>0.05</v>
      </c>
      <c r="O1820" s="14">
        <v>0.5</v>
      </c>
      <c r="P1820" s="14">
        <v>1</v>
      </c>
      <c r="Q1820" s="14">
        <v>1</v>
      </c>
      <c r="R1820" s="14">
        <v>1</v>
      </c>
      <c r="S1820" s="14">
        <v>1</v>
      </c>
      <c r="T1820" s="14">
        <v>1</v>
      </c>
      <c r="U1820" s="14">
        <v>1</v>
      </c>
      <c r="V1820" s="14">
        <v>1</v>
      </c>
      <c r="W1820" s="14">
        <v>1</v>
      </c>
      <c r="X1820" s="14">
        <v>1</v>
      </c>
      <c r="Y1820" s="14">
        <v>1</v>
      </c>
      <c r="Z1820" s="14">
        <v>0.52</v>
      </c>
      <c r="AA1820" s="14">
        <v>0.52</v>
      </c>
      <c r="AB1820" s="14">
        <v>0.52</v>
      </c>
      <c r="AC1820" s="14">
        <v>0.28000000000000003</v>
      </c>
      <c r="AD1820" s="14">
        <v>0.05</v>
      </c>
      <c r="AE1820" s="14">
        <v>0.05</v>
      </c>
      <c r="AF1820" s="14" t="s">
        <v>413</v>
      </c>
    </row>
    <row r="1821" spans="1:32" ht="14.25" customHeight="1" x14ac:dyDescent="0.35">
      <c r="A1821" s="16" t="s">
        <v>1377</v>
      </c>
      <c r="B1821" s="16" t="s">
        <v>424</v>
      </c>
      <c r="C1821" s="16"/>
      <c r="D1821" s="16" t="s">
        <v>418</v>
      </c>
      <c r="E1821" s="17">
        <v>41640</v>
      </c>
      <c r="F1821" s="17">
        <v>42004</v>
      </c>
      <c r="G1821" s="16" t="s">
        <v>410</v>
      </c>
      <c r="H1821" s="16">
        <v>0.05</v>
      </c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 t="s">
        <v>413</v>
      </c>
    </row>
    <row r="1822" spans="1:32" ht="14.25" customHeight="1" x14ac:dyDescent="0.35">
      <c r="A1822" s="16" t="s">
        <v>1378</v>
      </c>
      <c r="B1822" s="16" t="s">
        <v>408</v>
      </c>
      <c r="C1822" s="16"/>
      <c r="D1822" s="16" t="s">
        <v>409</v>
      </c>
      <c r="E1822" s="17">
        <v>41640</v>
      </c>
      <c r="F1822" s="17">
        <v>42004</v>
      </c>
      <c r="G1822" s="16" t="s">
        <v>415</v>
      </c>
      <c r="H1822" s="16">
        <v>0.5</v>
      </c>
      <c r="I1822" s="16">
        <v>0.5</v>
      </c>
      <c r="J1822" s="16">
        <v>0.5</v>
      </c>
      <c r="K1822" s="16">
        <v>0.5</v>
      </c>
      <c r="L1822" s="16">
        <v>0.5</v>
      </c>
      <c r="M1822" s="16">
        <v>0.5</v>
      </c>
      <c r="N1822" s="16">
        <v>0.5</v>
      </c>
      <c r="O1822" s="16">
        <v>0.5</v>
      </c>
      <c r="P1822" s="16">
        <v>0.5</v>
      </c>
      <c r="Q1822" s="16">
        <v>1</v>
      </c>
      <c r="R1822" s="16">
        <v>1</v>
      </c>
      <c r="S1822" s="16">
        <v>1</v>
      </c>
      <c r="T1822" s="16">
        <v>1</v>
      </c>
      <c r="U1822" s="16">
        <v>1</v>
      </c>
      <c r="V1822" s="16">
        <v>1</v>
      </c>
      <c r="W1822" s="16">
        <v>1</v>
      </c>
      <c r="X1822" s="16">
        <v>1</v>
      </c>
      <c r="Y1822" s="16">
        <v>0.5</v>
      </c>
      <c r="Z1822" s="16">
        <v>0.5</v>
      </c>
      <c r="AA1822" s="16">
        <v>0.5</v>
      </c>
      <c r="AB1822" s="16">
        <v>0.5</v>
      </c>
      <c r="AC1822" s="16">
        <v>0.5</v>
      </c>
      <c r="AD1822" s="16">
        <v>0.5</v>
      </c>
      <c r="AE1822" s="16">
        <v>0.5</v>
      </c>
      <c r="AF1822" s="16" t="s">
        <v>413</v>
      </c>
    </row>
    <row r="1823" spans="1:32" ht="14.25" customHeight="1" x14ac:dyDescent="0.35">
      <c r="A1823" s="14" t="s">
        <v>1379</v>
      </c>
      <c r="B1823" s="14" t="s">
        <v>408</v>
      </c>
      <c r="C1823" s="14"/>
      <c r="D1823" s="14" t="s">
        <v>409</v>
      </c>
      <c r="E1823" s="15">
        <v>41640</v>
      </c>
      <c r="F1823" s="15">
        <v>42004</v>
      </c>
      <c r="G1823" s="14" t="s">
        <v>410</v>
      </c>
      <c r="H1823" s="14">
        <v>1</v>
      </c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 t="s">
        <v>413</v>
      </c>
    </row>
    <row r="1824" spans="1:32" ht="14.25" customHeight="1" x14ac:dyDescent="0.35">
      <c r="A1824" s="16" t="s">
        <v>1380</v>
      </c>
      <c r="B1824" s="16" t="s">
        <v>424</v>
      </c>
      <c r="C1824" s="16"/>
      <c r="D1824" s="16" t="s">
        <v>409</v>
      </c>
      <c r="E1824" s="17">
        <v>41640</v>
      </c>
      <c r="F1824" s="17">
        <v>42004</v>
      </c>
      <c r="G1824" s="16" t="s">
        <v>415</v>
      </c>
      <c r="H1824" s="16">
        <v>0</v>
      </c>
      <c r="I1824" s="16">
        <v>0</v>
      </c>
      <c r="J1824" s="16">
        <v>0</v>
      </c>
      <c r="K1824" s="16">
        <v>0</v>
      </c>
      <c r="L1824" s="16">
        <v>0</v>
      </c>
      <c r="M1824" s="16">
        <v>0</v>
      </c>
      <c r="N1824" s="16">
        <v>1</v>
      </c>
      <c r="O1824" s="16">
        <v>1</v>
      </c>
      <c r="P1824" s="16">
        <v>1</v>
      </c>
      <c r="Q1824" s="16">
        <v>1</v>
      </c>
      <c r="R1824" s="16">
        <v>1</v>
      </c>
      <c r="S1824" s="16">
        <v>1</v>
      </c>
      <c r="T1824" s="16">
        <v>1</v>
      </c>
      <c r="U1824" s="16">
        <v>1</v>
      </c>
      <c r="V1824" s="16">
        <v>1</v>
      </c>
      <c r="W1824" s="16">
        <v>1</v>
      </c>
      <c r="X1824" s="16">
        <v>1</v>
      </c>
      <c r="Y1824" s="16">
        <v>1</v>
      </c>
      <c r="Z1824" s="16">
        <v>1</v>
      </c>
      <c r="AA1824" s="16">
        <v>1</v>
      </c>
      <c r="AB1824" s="16">
        <v>1</v>
      </c>
      <c r="AC1824" s="16">
        <v>1</v>
      </c>
      <c r="AD1824" s="16">
        <v>1</v>
      </c>
      <c r="AE1824" s="16">
        <v>1</v>
      </c>
      <c r="AF1824" s="16" t="s">
        <v>413</v>
      </c>
    </row>
    <row r="1825" spans="1:32" ht="14.25" customHeight="1" x14ac:dyDescent="0.35">
      <c r="A1825" s="14" t="s">
        <v>1381</v>
      </c>
      <c r="B1825" s="14" t="s">
        <v>424</v>
      </c>
      <c r="C1825" s="14"/>
      <c r="D1825" s="14" t="s">
        <v>409</v>
      </c>
      <c r="E1825" s="15">
        <v>41640</v>
      </c>
      <c r="F1825" s="15">
        <v>42004</v>
      </c>
      <c r="G1825" s="14" t="s">
        <v>415</v>
      </c>
      <c r="H1825" s="14">
        <v>0.7</v>
      </c>
      <c r="I1825" s="14">
        <v>0.7</v>
      </c>
      <c r="J1825" s="14">
        <v>0.7</v>
      </c>
      <c r="K1825" s="14">
        <v>0.7</v>
      </c>
      <c r="L1825" s="14">
        <v>0.7</v>
      </c>
      <c r="M1825" s="14">
        <v>0.7</v>
      </c>
      <c r="N1825" s="14">
        <v>1</v>
      </c>
      <c r="O1825" s="14">
        <v>1</v>
      </c>
      <c r="P1825" s="14">
        <v>1</v>
      </c>
      <c r="Q1825" s="14">
        <v>1</v>
      </c>
      <c r="R1825" s="14">
        <v>1</v>
      </c>
      <c r="S1825" s="14">
        <v>1</v>
      </c>
      <c r="T1825" s="14">
        <v>1</v>
      </c>
      <c r="U1825" s="14">
        <v>1</v>
      </c>
      <c r="V1825" s="14">
        <v>1</v>
      </c>
      <c r="W1825" s="14">
        <v>1</v>
      </c>
      <c r="X1825" s="14">
        <v>1</v>
      </c>
      <c r="Y1825" s="14">
        <v>1</v>
      </c>
      <c r="Z1825" s="14">
        <v>1</v>
      </c>
      <c r="AA1825" s="14">
        <v>1</v>
      </c>
      <c r="AB1825" s="14">
        <v>1</v>
      </c>
      <c r="AC1825" s="14">
        <v>1</v>
      </c>
      <c r="AD1825" s="14">
        <v>1</v>
      </c>
      <c r="AE1825" s="14">
        <v>1</v>
      </c>
      <c r="AF1825" s="14" t="s">
        <v>413</v>
      </c>
    </row>
    <row r="1826" spans="1:32" ht="14.25" customHeight="1" x14ac:dyDescent="0.35">
      <c r="A1826" s="16" t="s">
        <v>1382</v>
      </c>
      <c r="B1826" s="16" t="s">
        <v>408</v>
      </c>
      <c r="C1826" s="16"/>
      <c r="D1826" s="16" t="s">
        <v>409</v>
      </c>
      <c r="E1826" s="17">
        <v>41640</v>
      </c>
      <c r="F1826" s="17">
        <v>42004</v>
      </c>
      <c r="G1826" s="16" t="s">
        <v>410</v>
      </c>
      <c r="H1826" s="16">
        <v>1</v>
      </c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 t="s">
        <v>413</v>
      </c>
    </row>
    <row r="1827" spans="1:32" ht="14.25" customHeight="1" x14ac:dyDescent="0.35">
      <c r="A1827" s="14" t="s">
        <v>1383</v>
      </c>
      <c r="B1827" s="14" t="s">
        <v>427</v>
      </c>
      <c r="C1827" s="14" t="s">
        <v>414</v>
      </c>
      <c r="D1827" s="14" t="s">
        <v>409</v>
      </c>
      <c r="E1827" s="15">
        <v>41640</v>
      </c>
      <c r="F1827" s="15">
        <v>42004</v>
      </c>
      <c r="G1827" s="14" t="s">
        <v>410</v>
      </c>
      <c r="H1827" s="14">
        <v>55</v>
      </c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 t="s">
        <v>413</v>
      </c>
    </row>
    <row r="1828" spans="1:32" ht="14.25" customHeight="1" x14ac:dyDescent="0.35">
      <c r="A1828" s="16" t="s">
        <v>1384</v>
      </c>
      <c r="B1828" s="16" t="s">
        <v>427</v>
      </c>
      <c r="C1828" s="16"/>
      <c r="D1828" s="16" t="s">
        <v>409</v>
      </c>
      <c r="E1828" s="17">
        <v>41640</v>
      </c>
      <c r="F1828" s="17">
        <v>42004</v>
      </c>
      <c r="G1828" s="16" t="s">
        <v>410</v>
      </c>
      <c r="H1828" s="16">
        <v>0.05</v>
      </c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 t="s">
        <v>413</v>
      </c>
    </row>
    <row r="1829" spans="1:32" ht="14.25" customHeight="1" x14ac:dyDescent="0.35">
      <c r="A1829" s="14" t="s">
        <v>1385</v>
      </c>
      <c r="B1829" s="14" t="s">
        <v>427</v>
      </c>
      <c r="C1829" s="14"/>
      <c r="D1829" s="14" t="s">
        <v>409</v>
      </c>
      <c r="E1829" s="15">
        <v>41640</v>
      </c>
      <c r="F1829" s="15">
        <v>42004</v>
      </c>
      <c r="G1829" s="14" t="s">
        <v>410</v>
      </c>
      <c r="H1829" s="14">
        <v>0.2</v>
      </c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 t="s">
        <v>413</v>
      </c>
    </row>
    <row r="1830" spans="1:32" ht="14.25" customHeight="1" x14ac:dyDescent="0.35">
      <c r="A1830" s="16" t="s">
        <v>1386</v>
      </c>
      <c r="B1830" s="16" t="s">
        <v>427</v>
      </c>
      <c r="C1830" s="16" t="s">
        <v>414</v>
      </c>
      <c r="D1830" s="16" t="s">
        <v>409</v>
      </c>
      <c r="E1830" s="17">
        <v>41640</v>
      </c>
      <c r="F1830" s="17">
        <v>42004</v>
      </c>
      <c r="G1830" s="16" t="s">
        <v>410</v>
      </c>
      <c r="H1830" s="16">
        <v>60</v>
      </c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 t="s">
        <v>413</v>
      </c>
    </row>
    <row r="1831" spans="1:32" ht="14.25" customHeight="1" x14ac:dyDescent="0.35">
      <c r="A1831" s="14" t="s">
        <v>1387</v>
      </c>
      <c r="B1831" s="14" t="s">
        <v>427</v>
      </c>
      <c r="C1831" s="14" t="s">
        <v>414</v>
      </c>
      <c r="D1831" s="14" t="s">
        <v>409</v>
      </c>
      <c r="E1831" s="15">
        <v>41640</v>
      </c>
      <c r="F1831" s="15">
        <v>42004</v>
      </c>
      <c r="G1831" s="14" t="s">
        <v>410</v>
      </c>
      <c r="H1831" s="14">
        <v>55</v>
      </c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 t="s">
        <v>413</v>
      </c>
    </row>
    <row r="1832" spans="1:32" ht="14.25" customHeight="1" x14ac:dyDescent="0.35">
      <c r="A1832" s="16" t="s">
        <v>1388</v>
      </c>
      <c r="B1832" s="16" t="s">
        <v>427</v>
      </c>
      <c r="C1832" s="16"/>
      <c r="D1832" s="16" t="s">
        <v>409</v>
      </c>
      <c r="E1832" s="17">
        <v>41640</v>
      </c>
      <c r="F1832" s="17">
        <v>42004</v>
      </c>
      <c r="G1832" s="16" t="s">
        <v>410</v>
      </c>
      <c r="H1832" s="16">
        <v>0.05</v>
      </c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6"/>
      <c r="AB1832" s="16"/>
      <c r="AC1832" s="16"/>
      <c r="AD1832" s="16"/>
      <c r="AE1832" s="16"/>
      <c r="AF1832" s="16" t="s">
        <v>413</v>
      </c>
    </row>
    <row r="1833" spans="1:32" ht="14.25" customHeight="1" x14ac:dyDescent="0.35">
      <c r="A1833" s="14" t="s">
        <v>1389</v>
      </c>
      <c r="B1833" s="14" t="s">
        <v>427</v>
      </c>
      <c r="C1833" s="14"/>
      <c r="D1833" s="14" t="s">
        <v>409</v>
      </c>
      <c r="E1833" s="15">
        <v>41640</v>
      </c>
      <c r="F1833" s="15">
        <v>42004</v>
      </c>
      <c r="G1833" s="14" t="s">
        <v>410</v>
      </c>
      <c r="H1833" s="14">
        <v>0.2</v>
      </c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 t="s">
        <v>413</v>
      </c>
    </row>
    <row r="1834" spans="1:32" ht="14.25" customHeight="1" x14ac:dyDescent="0.35">
      <c r="A1834" s="16" t="s">
        <v>1390</v>
      </c>
      <c r="B1834" s="16" t="s">
        <v>427</v>
      </c>
      <c r="C1834" s="16" t="s">
        <v>414</v>
      </c>
      <c r="D1834" s="16" t="s">
        <v>409</v>
      </c>
      <c r="E1834" s="17">
        <v>41640</v>
      </c>
      <c r="F1834" s="17">
        <v>42004</v>
      </c>
      <c r="G1834" s="16" t="s">
        <v>410</v>
      </c>
      <c r="H1834" s="16">
        <v>60</v>
      </c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 t="s">
        <v>413</v>
      </c>
    </row>
    <row r="1835" spans="1:32" ht="14.25" customHeight="1" x14ac:dyDescent="0.35">
      <c r="A1835" s="14" t="s">
        <v>1391</v>
      </c>
      <c r="B1835" s="14" t="s">
        <v>427</v>
      </c>
      <c r="C1835" s="14" t="s">
        <v>414</v>
      </c>
      <c r="D1835" s="14" t="s">
        <v>409</v>
      </c>
      <c r="E1835" s="15">
        <v>41640</v>
      </c>
      <c r="F1835" s="15">
        <v>42004</v>
      </c>
      <c r="G1835" s="14" t="s">
        <v>410</v>
      </c>
      <c r="H1835" s="14">
        <v>55</v>
      </c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 t="s">
        <v>413</v>
      </c>
    </row>
    <row r="1836" spans="1:32" ht="14.25" customHeight="1" x14ac:dyDescent="0.35">
      <c r="A1836" s="16" t="s">
        <v>1392</v>
      </c>
      <c r="B1836" s="16" t="s">
        <v>427</v>
      </c>
      <c r="C1836" s="16"/>
      <c r="D1836" s="16" t="s">
        <v>409</v>
      </c>
      <c r="E1836" s="17">
        <v>41640</v>
      </c>
      <c r="F1836" s="17">
        <v>42004</v>
      </c>
      <c r="G1836" s="16" t="s">
        <v>410</v>
      </c>
      <c r="H1836" s="16">
        <v>0.05</v>
      </c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6"/>
      <c r="AF1836" s="16" t="s">
        <v>413</v>
      </c>
    </row>
    <row r="1837" spans="1:32" ht="14.25" customHeight="1" x14ac:dyDescent="0.35">
      <c r="A1837" s="14" t="s">
        <v>1393</v>
      </c>
      <c r="B1837" s="14" t="s">
        <v>427</v>
      </c>
      <c r="C1837" s="14"/>
      <c r="D1837" s="14" t="s">
        <v>409</v>
      </c>
      <c r="E1837" s="15">
        <v>41640</v>
      </c>
      <c r="F1837" s="15">
        <v>42004</v>
      </c>
      <c r="G1837" s="14" t="s">
        <v>410</v>
      </c>
      <c r="H1837" s="14">
        <v>0.2</v>
      </c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 t="s">
        <v>413</v>
      </c>
    </row>
    <row r="1838" spans="1:32" ht="14.25" customHeight="1" x14ac:dyDescent="0.35">
      <c r="A1838" s="16" t="s">
        <v>1394</v>
      </c>
      <c r="B1838" s="16" t="s">
        <v>427</v>
      </c>
      <c r="C1838" s="16" t="s">
        <v>414</v>
      </c>
      <c r="D1838" s="16" t="s">
        <v>409</v>
      </c>
      <c r="E1838" s="17">
        <v>41640</v>
      </c>
      <c r="F1838" s="17">
        <v>42004</v>
      </c>
      <c r="G1838" s="16" t="s">
        <v>410</v>
      </c>
      <c r="H1838" s="16">
        <v>60</v>
      </c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6"/>
      <c r="AF1838" s="16" t="s">
        <v>413</v>
      </c>
    </row>
    <row r="1839" spans="1:32" ht="14.25" customHeight="1" x14ac:dyDescent="0.35">
      <c r="A1839" s="14" t="s">
        <v>1395</v>
      </c>
      <c r="B1839" s="14" t="s">
        <v>408</v>
      </c>
      <c r="C1839" s="14" t="s">
        <v>412</v>
      </c>
      <c r="D1839" s="14" t="s">
        <v>409</v>
      </c>
      <c r="E1839" s="15">
        <v>41640</v>
      </c>
      <c r="F1839" s="15">
        <v>42004</v>
      </c>
      <c r="G1839" s="14" t="s">
        <v>410</v>
      </c>
      <c r="H1839" s="14">
        <v>0</v>
      </c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 t="s">
        <v>413</v>
      </c>
    </row>
    <row r="1840" spans="1:32" ht="14.25" customHeight="1" x14ac:dyDescent="0.35">
      <c r="A1840" s="16" t="s">
        <v>1396</v>
      </c>
      <c r="B1840" s="16" t="s">
        <v>427</v>
      </c>
      <c r="C1840" s="16" t="s">
        <v>414</v>
      </c>
      <c r="D1840" s="16" t="s">
        <v>409</v>
      </c>
      <c r="E1840" s="17">
        <v>41640</v>
      </c>
      <c r="F1840" s="17">
        <v>42004</v>
      </c>
      <c r="G1840" s="16" t="s">
        <v>410</v>
      </c>
      <c r="H1840" s="16">
        <v>55</v>
      </c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  <c r="AB1840" s="16"/>
      <c r="AC1840" s="16"/>
      <c r="AD1840" s="16"/>
      <c r="AE1840" s="16"/>
      <c r="AF1840" s="16" t="s">
        <v>413</v>
      </c>
    </row>
    <row r="1841" spans="1:32" ht="14.25" customHeight="1" x14ac:dyDescent="0.35">
      <c r="A1841" s="14" t="s">
        <v>1397</v>
      </c>
      <c r="B1841" s="14" t="s">
        <v>427</v>
      </c>
      <c r="C1841" s="14"/>
      <c r="D1841" s="14" t="s">
        <v>409</v>
      </c>
      <c r="E1841" s="15">
        <v>41640</v>
      </c>
      <c r="F1841" s="15">
        <v>42004</v>
      </c>
      <c r="G1841" s="14" t="s">
        <v>410</v>
      </c>
      <c r="H1841" s="14">
        <v>0.05</v>
      </c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 t="s">
        <v>413</v>
      </c>
    </row>
    <row r="1842" spans="1:32" ht="14.25" customHeight="1" x14ac:dyDescent="0.35">
      <c r="A1842" s="16" t="s">
        <v>1398</v>
      </c>
      <c r="B1842" s="16" t="s">
        <v>427</v>
      </c>
      <c r="C1842" s="16"/>
      <c r="D1842" s="16" t="s">
        <v>409</v>
      </c>
      <c r="E1842" s="17">
        <v>41640</v>
      </c>
      <c r="F1842" s="17">
        <v>42004</v>
      </c>
      <c r="G1842" s="16" t="s">
        <v>410</v>
      </c>
      <c r="H1842" s="16">
        <v>0.2</v>
      </c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 t="s">
        <v>413</v>
      </c>
    </row>
    <row r="1843" spans="1:32" ht="14.25" customHeight="1" x14ac:dyDescent="0.35">
      <c r="A1843" s="14" t="s">
        <v>1399</v>
      </c>
      <c r="B1843" s="14" t="s">
        <v>427</v>
      </c>
      <c r="C1843" s="14" t="s">
        <v>414</v>
      </c>
      <c r="D1843" s="14" t="s">
        <v>409</v>
      </c>
      <c r="E1843" s="15">
        <v>41640</v>
      </c>
      <c r="F1843" s="15">
        <v>42004</v>
      </c>
      <c r="G1843" s="14" t="s">
        <v>410</v>
      </c>
      <c r="H1843" s="14">
        <v>60</v>
      </c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 t="s">
        <v>413</v>
      </c>
    </row>
    <row r="1844" spans="1:32" ht="14.25" customHeight="1" x14ac:dyDescent="0.35">
      <c r="A1844" s="16" t="s">
        <v>1400</v>
      </c>
      <c r="B1844" s="16" t="s">
        <v>427</v>
      </c>
      <c r="C1844" s="16" t="s">
        <v>414</v>
      </c>
      <c r="D1844" s="16" t="s">
        <v>409</v>
      </c>
      <c r="E1844" s="17">
        <v>41640</v>
      </c>
      <c r="F1844" s="17">
        <v>42004</v>
      </c>
      <c r="G1844" s="16" t="s">
        <v>410</v>
      </c>
      <c r="H1844" s="16">
        <v>55</v>
      </c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  <c r="AC1844" s="16"/>
      <c r="AD1844" s="16"/>
      <c r="AE1844" s="16"/>
      <c r="AF1844" s="16" t="s">
        <v>413</v>
      </c>
    </row>
    <row r="1845" spans="1:32" ht="14.25" customHeight="1" x14ac:dyDescent="0.35">
      <c r="A1845" s="14" t="s">
        <v>1401</v>
      </c>
      <c r="B1845" s="14" t="s">
        <v>427</v>
      </c>
      <c r="C1845" s="14"/>
      <c r="D1845" s="14" t="s">
        <v>409</v>
      </c>
      <c r="E1845" s="15">
        <v>41640</v>
      </c>
      <c r="F1845" s="15">
        <v>42004</v>
      </c>
      <c r="G1845" s="14" t="s">
        <v>410</v>
      </c>
      <c r="H1845" s="14">
        <v>0.05</v>
      </c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 t="s">
        <v>413</v>
      </c>
    </row>
    <row r="1846" spans="1:32" ht="14.25" customHeight="1" x14ac:dyDescent="0.35">
      <c r="A1846" s="16" t="s">
        <v>1402</v>
      </c>
      <c r="B1846" s="16" t="s">
        <v>427</v>
      </c>
      <c r="C1846" s="16"/>
      <c r="D1846" s="16" t="s">
        <v>409</v>
      </c>
      <c r="E1846" s="17">
        <v>41640</v>
      </c>
      <c r="F1846" s="17">
        <v>42004</v>
      </c>
      <c r="G1846" s="16" t="s">
        <v>410</v>
      </c>
      <c r="H1846" s="16">
        <v>0.2</v>
      </c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 t="s">
        <v>413</v>
      </c>
    </row>
    <row r="1847" spans="1:32" ht="14.25" customHeight="1" x14ac:dyDescent="0.35">
      <c r="A1847" s="14" t="s">
        <v>1403</v>
      </c>
      <c r="B1847" s="14" t="s">
        <v>427</v>
      </c>
      <c r="C1847" s="14" t="s">
        <v>414</v>
      </c>
      <c r="D1847" s="14" t="s">
        <v>409</v>
      </c>
      <c r="E1847" s="15">
        <v>41640</v>
      </c>
      <c r="F1847" s="15">
        <v>42004</v>
      </c>
      <c r="G1847" s="14" t="s">
        <v>410</v>
      </c>
      <c r="H1847" s="14">
        <v>60</v>
      </c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 t="s">
        <v>413</v>
      </c>
    </row>
    <row r="1848" spans="1:32" ht="14.25" customHeight="1" x14ac:dyDescent="0.35">
      <c r="A1848" s="16" t="s">
        <v>1404</v>
      </c>
      <c r="B1848" s="16" t="s">
        <v>427</v>
      </c>
      <c r="C1848" s="16" t="s">
        <v>414</v>
      </c>
      <c r="D1848" s="16" t="s">
        <v>409</v>
      </c>
      <c r="E1848" s="17">
        <v>41640</v>
      </c>
      <c r="F1848" s="17">
        <v>42004</v>
      </c>
      <c r="G1848" s="16" t="s">
        <v>410</v>
      </c>
      <c r="H1848" s="16">
        <v>55</v>
      </c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  <c r="AB1848" s="16"/>
      <c r="AC1848" s="16"/>
      <c r="AD1848" s="16"/>
      <c r="AE1848" s="16"/>
      <c r="AF1848" s="16" t="s">
        <v>413</v>
      </c>
    </row>
    <row r="1849" spans="1:32" ht="14.25" customHeight="1" x14ac:dyDescent="0.35">
      <c r="A1849" s="14" t="s">
        <v>1405</v>
      </c>
      <c r="B1849" s="14" t="s">
        <v>427</v>
      </c>
      <c r="C1849" s="14"/>
      <c r="D1849" s="14" t="s">
        <v>409</v>
      </c>
      <c r="E1849" s="15">
        <v>41640</v>
      </c>
      <c r="F1849" s="15">
        <v>42004</v>
      </c>
      <c r="G1849" s="14" t="s">
        <v>410</v>
      </c>
      <c r="H1849" s="14">
        <v>0.05</v>
      </c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 t="s">
        <v>413</v>
      </c>
    </row>
    <row r="1850" spans="1:32" ht="14.25" customHeight="1" x14ac:dyDescent="0.35">
      <c r="A1850" s="16" t="s">
        <v>1406</v>
      </c>
      <c r="B1850" s="16" t="s">
        <v>427</v>
      </c>
      <c r="C1850" s="16"/>
      <c r="D1850" s="16" t="s">
        <v>409</v>
      </c>
      <c r="E1850" s="17">
        <v>41640</v>
      </c>
      <c r="F1850" s="17">
        <v>42004</v>
      </c>
      <c r="G1850" s="16" t="s">
        <v>410</v>
      </c>
      <c r="H1850" s="16">
        <v>0.2</v>
      </c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 t="s">
        <v>413</v>
      </c>
    </row>
    <row r="1851" spans="1:32" ht="14.25" customHeight="1" x14ac:dyDescent="0.35">
      <c r="A1851" s="14" t="s">
        <v>1407</v>
      </c>
      <c r="B1851" s="14" t="s">
        <v>427</v>
      </c>
      <c r="C1851" s="14" t="s">
        <v>414</v>
      </c>
      <c r="D1851" s="14" t="s">
        <v>409</v>
      </c>
      <c r="E1851" s="15">
        <v>41640</v>
      </c>
      <c r="F1851" s="15">
        <v>42004</v>
      </c>
      <c r="G1851" s="14" t="s">
        <v>410</v>
      </c>
      <c r="H1851" s="14">
        <v>60</v>
      </c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 t="s">
        <v>413</v>
      </c>
    </row>
    <row r="1852" spans="1:32" ht="14.25" customHeight="1" x14ac:dyDescent="0.35">
      <c r="A1852" s="16" t="s">
        <v>1408</v>
      </c>
      <c r="B1852" s="16" t="s">
        <v>427</v>
      </c>
      <c r="C1852" s="16" t="s">
        <v>414</v>
      </c>
      <c r="D1852" s="16" t="s">
        <v>409</v>
      </c>
      <c r="E1852" s="17">
        <v>41640</v>
      </c>
      <c r="F1852" s="17">
        <v>42004</v>
      </c>
      <c r="G1852" s="16" t="s">
        <v>410</v>
      </c>
      <c r="H1852" s="16">
        <v>55</v>
      </c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6"/>
      <c r="AF1852" s="16" t="s">
        <v>413</v>
      </c>
    </row>
    <row r="1853" spans="1:32" ht="14.25" customHeight="1" x14ac:dyDescent="0.35">
      <c r="A1853" s="14" t="s">
        <v>1409</v>
      </c>
      <c r="B1853" s="14" t="s">
        <v>427</v>
      </c>
      <c r="C1853" s="14"/>
      <c r="D1853" s="14" t="s">
        <v>409</v>
      </c>
      <c r="E1853" s="15">
        <v>41640</v>
      </c>
      <c r="F1853" s="15">
        <v>42004</v>
      </c>
      <c r="G1853" s="14" t="s">
        <v>410</v>
      </c>
      <c r="H1853" s="14">
        <v>0.05</v>
      </c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 t="s">
        <v>413</v>
      </c>
    </row>
    <row r="1854" spans="1:32" ht="14.25" customHeight="1" x14ac:dyDescent="0.35">
      <c r="A1854" s="16" t="s">
        <v>1410</v>
      </c>
      <c r="B1854" s="16" t="s">
        <v>427</v>
      </c>
      <c r="C1854" s="16"/>
      <c r="D1854" s="16" t="s">
        <v>409</v>
      </c>
      <c r="E1854" s="17">
        <v>41640</v>
      </c>
      <c r="F1854" s="17">
        <v>42004</v>
      </c>
      <c r="G1854" s="16" t="s">
        <v>410</v>
      </c>
      <c r="H1854" s="16">
        <v>0.2</v>
      </c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 t="s">
        <v>413</v>
      </c>
    </row>
    <row r="1855" spans="1:32" ht="14.25" customHeight="1" x14ac:dyDescent="0.35">
      <c r="A1855" s="14" t="s">
        <v>1411</v>
      </c>
      <c r="B1855" s="14" t="s">
        <v>427</v>
      </c>
      <c r="C1855" s="14" t="s">
        <v>414</v>
      </c>
      <c r="D1855" s="14" t="s">
        <v>409</v>
      </c>
      <c r="E1855" s="15">
        <v>41640</v>
      </c>
      <c r="F1855" s="15">
        <v>42004</v>
      </c>
      <c r="G1855" s="14" t="s">
        <v>410</v>
      </c>
      <c r="H1855" s="14">
        <v>60</v>
      </c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 t="s">
        <v>413</v>
      </c>
    </row>
    <row r="1856" spans="1:32" ht="14.25" customHeight="1" x14ac:dyDescent="0.35">
      <c r="A1856" s="16" t="s">
        <v>1412</v>
      </c>
      <c r="B1856" s="16" t="s">
        <v>427</v>
      </c>
      <c r="C1856" s="16" t="s">
        <v>414</v>
      </c>
      <c r="D1856" s="16" t="s">
        <v>409</v>
      </c>
      <c r="E1856" s="17">
        <v>41640</v>
      </c>
      <c r="F1856" s="17">
        <v>42004</v>
      </c>
      <c r="G1856" s="16" t="s">
        <v>410</v>
      </c>
      <c r="H1856" s="16">
        <v>55</v>
      </c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6"/>
      <c r="AF1856" s="16" t="s">
        <v>413</v>
      </c>
    </row>
    <row r="1857" spans="1:32" ht="14.25" customHeight="1" x14ac:dyDescent="0.35">
      <c r="A1857" s="14" t="s">
        <v>1413</v>
      </c>
      <c r="B1857" s="14" t="s">
        <v>427</v>
      </c>
      <c r="C1857" s="14"/>
      <c r="D1857" s="14" t="s">
        <v>409</v>
      </c>
      <c r="E1857" s="15">
        <v>41640</v>
      </c>
      <c r="F1857" s="15">
        <v>42004</v>
      </c>
      <c r="G1857" s="14" t="s">
        <v>410</v>
      </c>
      <c r="H1857" s="14">
        <v>0.05</v>
      </c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 t="s">
        <v>413</v>
      </c>
    </row>
    <row r="1858" spans="1:32" ht="14.25" customHeight="1" x14ac:dyDescent="0.35">
      <c r="A1858" s="16" t="s">
        <v>1414</v>
      </c>
      <c r="B1858" s="16" t="s">
        <v>427</v>
      </c>
      <c r="C1858" s="16"/>
      <c r="D1858" s="16" t="s">
        <v>409</v>
      </c>
      <c r="E1858" s="17">
        <v>41640</v>
      </c>
      <c r="F1858" s="17">
        <v>42004</v>
      </c>
      <c r="G1858" s="16" t="s">
        <v>410</v>
      </c>
      <c r="H1858" s="16">
        <v>0.2</v>
      </c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6"/>
      <c r="AF1858" s="16" t="s">
        <v>413</v>
      </c>
    </row>
    <row r="1859" spans="1:32" ht="14.25" customHeight="1" x14ac:dyDescent="0.35">
      <c r="A1859" s="14" t="s">
        <v>1415</v>
      </c>
      <c r="B1859" s="14" t="s">
        <v>427</v>
      </c>
      <c r="C1859" s="14" t="s">
        <v>414</v>
      </c>
      <c r="D1859" s="14" t="s">
        <v>409</v>
      </c>
      <c r="E1859" s="15">
        <v>41640</v>
      </c>
      <c r="F1859" s="15">
        <v>42004</v>
      </c>
      <c r="G1859" s="14" t="s">
        <v>410</v>
      </c>
      <c r="H1859" s="14">
        <v>60</v>
      </c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 t="s">
        <v>413</v>
      </c>
    </row>
    <row r="1860" spans="1:32" ht="14.25" customHeight="1" x14ac:dyDescent="0.35">
      <c r="A1860" s="16" t="s">
        <v>1416</v>
      </c>
      <c r="B1860" s="16" t="s">
        <v>427</v>
      </c>
      <c r="C1860" s="16" t="s">
        <v>414</v>
      </c>
      <c r="D1860" s="16" t="s">
        <v>409</v>
      </c>
      <c r="E1860" s="17">
        <v>41640</v>
      </c>
      <c r="F1860" s="17">
        <v>42004</v>
      </c>
      <c r="G1860" s="16" t="s">
        <v>410</v>
      </c>
      <c r="H1860" s="16">
        <v>55</v>
      </c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 t="s">
        <v>413</v>
      </c>
    </row>
    <row r="1861" spans="1:32" ht="14.25" customHeight="1" x14ac:dyDescent="0.35">
      <c r="A1861" s="14" t="s">
        <v>1417</v>
      </c>
      <c r="B1861" s="14" t="s">
        <v>427</v>
      </c>
      <c r="C1861" s="14"/>
      <c r="D1861" s="14" t="s">
        <v>409</v>
      </c>
      <c r="E1861" s="15">
        <v>41640</v>
      </c>
      <c r="F1861" s="15">
        <v>42004</v>
      </c>
      <c r="G1861" s="14" t="s">
        <v>410</v>
      </c>
      <c r="H1861" s="14">
        <v>0.05</v>
      </c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 t="s">
        <v>413</v>
      </c>
    </row>
    <row r="1862" spans="1:32" ht="14.25" customHeight="1" x14ac:dyDescent="0.35">
      <c r="A1862" s="16" t="s">
        <v>1418</v>
      </c>
      <c r="B1862" s="16" t="s">
        <v>427</v>
      </c>
      <c r="C1862" s="16"/>
      <c r="D1862" s="16" t="s">
        <v>409</v>
      </c>
      <c r="E1862" s="17">
        <v>41640</v>
      </c>
      <c r="F1862" s="17">
        <v>42004</v>
      </c>
      <c r="G1862" s="16" t="s">
        <v>410</v>
      </c>
      <c r="H1862" s="16">
        <v>0.2</v>
      </c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 t="s">
        <v>413</v>
      </c>
    </row>
    <row r="1863" spans="1:32" ht="14.25" customHeight="1" x14ac:dyDescent="0.35">
      <c r="A1863" s="14" t="s">
        <v>1419</v>
      </c>
      <c r="B1863" s="14" t="s">
        <v>427</v>
      </c>
      <c r="C1863" s="14" t="s">
        <v>414</v>
      </c>
      <c r="D1863" s="14" t="s">
        <v>409</v>
      </c>
      <c r="E1863" s="15">
        <v>41640</v>
      </c>
      <c r="F1863" s="15">
        <v>42004</v>
      </c>
      <c r="G1863" s="14" t="s">
        <v>410</v>
      </c>
      <c r="H1863" s="14">
        <v>60</v>
      </c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 t="s">
        <v>413</v>
      </c>
    </row>
    <row r="1864" spans="1:32" ht="14.25" customHeight="1" x14ac:dyDescent="0.35">
      <c r="A1864" s="16" t="s">
        <v>1420</v>
      </c>
      <c r="B1864" s="16" t="s">
        <v>427</v>
      </c>
      <c r="C1864" s="16" t="s">
        <v>414</v>
      </c>
      <c r="D1864" s="16" t="s">
        <v>409</v>
      </c>
      <c r="E1864" s="17">
        <v>41640</v>
      </c>
      <c r="F1864" s="17">
        <v>42004</v>
      </c>
      <c r="G1864" s="16" t="s">
        <v>410</v>
      </c>
      <c r="H1864" s="16">
        <v>55</v>
      </c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  <c r="AB1864" s="16"/>
      <c r="AC1864" s="16"/>
      <c r="AD1864" s="16"/>
      <c r="AE1864" s="16"/>
      <c r="AF1864" s="16" t="s">
        <v>413</v>
      </c>
    </row>
    <row r="1865" spans="1:32" ht="14.25" customHeight="1" x14ac:dyDescent="0.35">
      <c r="A1865" s="14" t="s">
        <v>1421</v>
      </c>
      <c r="B1865" s="14" t="s">
        <v>427</v>
      </c>
      <c r="C1865" s="14"/>
      <c r="D1865" s="14" t="s">
        <v>409</v>
      </c>
      <c r="E1865" s="15">
        <v>41640</v>
      </c>
      <c r="F1865" s="15">
        <v>42004</v>
      </c>
      <c r="G1865" s="14" t="s">
        <v>410</v>
      </c>
      <c r="H1865" s="14">
        <v>0.05</v>
      </c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 t="s">
        <v>413</v>
      </c>
    </row>
    <row r="1866" spans="1:32" ht="14.25" customHeight="1" x14ac:dyDescent="0.35">
      <c r="A1866" s="16" t="s">
        <v>1422</v>
      </c>
      <c r="B1866" s="16" t="s">
        <v>427</v>
      </c>
      <c r="C1866" s="16"/>
      <c r="D1866" s="16" t="s">
        <v>409</v>
      </c>
      <c r="E1866" s="17">
        <v>41640</v>
      </c>
      <c r="F1866" s="17">
        <v>42004</v>
      </c>
      <c r="G1866" s="16" t="s">
        <v>410</v>
      </c>
      <c r="H1866" s="16">
        <v>0.2</v>
      </c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6"/>
      <c r="AF1866" s="16" t="s">
        <v>413</v>
      </c>
    </row>
    <row r="1867" spans="1:32" ht="14.25" customHeight="1" x14ac:dyDescent="0.35">
      <c r="A1867" s="14" t="s">
        <v>1423</v>
      </c>
      <c r="B1867" s="14" t="s">
        <v>427</v>
      </c>
      <c r="C1867" s="14" t="s">
        <v>414</v>
      </c>
      <c r="D1867" s="14" t="s">
        <v>409</v>
      </c>
      <c r="E1867" s="15">
        <v>41640</v>
      </c>
      <c r="F1867" s="15">
        <v>42004</v>
      </c>
      <c r="G1867" s="14" t="s">
        <v>410</v>
      </c>
      <c r="H1867" s="14">
        <v>60</v>
      </c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 t="s">
        <v>413</v>
      </c>
    </row>
    <row r="1868" spans="1:32" ht="14.25" customHeight="1" x14ac:dyDescent="0.35">
      <c r="A1868" s="16" t="s">
        <v>1424</v>
      </c>
      <c r="B1868" s="16" t="s">
        <v>427</v>
      </c>
      <c r="C1868" s="16" t="s">
        <v>414</v>
      </c>
      <c r="D1868" s="16" t="s">
        <v>409</v>
      </c>
      <c r="E1868" s="17">
        <v>41640</v>
      </c>
      <c r="F1868" s="17">
        <v>42004</v>
      </c>
      <c r="G1868" s="16" t="s">
        <v>410</v>
      </c>
      <c r="H1868" s="16">
        <v>55</v>
      </c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  <c r="AC1868" s="16"/>
      <c r="AD1868" s="16"/>
      <c r="AE1868" s="16"/>
      <c r="AF1868" s="16" t="s">
        <v>413</v>
      </c>
    </row>
    <row r="1869" spans="1:32" ht="14.25" customHeight="1" x14ac:dyDescent="0.35">
      <c r="A1869" s="14" t="s">
        <v>1425</v>
      </c>
      <c r="B1869" s="14" t="s">
        <v>427</v>
      </c>
      <c r="C1869" s="14"/>
      <c r="D1869" s="14" t="s">
        <v>409</v>
      </c>
      <c r="E1869" s="15">
        <v>41640</v>
      </c>
      <c r="F1869" s="15">
        <v>42004</v>
      </c>
      <c r="G1869" s="14" t="s">
        <v>410</v>
      </c>
      <c r="H1869" s="14">
        <v>0.05</v>
      </c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 t="s">
        <v>413</v>
      </c>
    </row>
    <row r="1870" spans="1:32" ht="14.25" customHeight="1" x14ac:dyDescent="0.35">
      <c r="A1870" s="16" t="s">
        <v>1426</v>
      </c>
      <c r="B1870" s="16" t="s">
        <v>427</v>
      </c>
      <c r="C1870" s="16"/>
      <c r="D1870" s="16" t="s">
        <v>409</v>
      </c>
      <c r="E1870" s="17">
        <v>41640</v>
      </c>
      <c r="F1870" s="17">
        <v>42004</v>
      </c>
      <c r="G1870" s="16" t="s">
        <v>410</v>
      </c>
      <c r="H1870" s="16">
        <v>0.2</v>
      </c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 t="s">
        <v>413</v>
      </c>
    </row>
    <row r="1871" spans="1:32" ht="14.25" customHeight="1" x14ac:dyDescent="0.35">
      <c r="A1871" s="14" t="s">
        <v>1427</v>
      </c>
      <c r="B1871" s="14" t="s">
        <v>427</v>
      </c>
      <c r="C1871" s="14" t="s">
        <v>414</v>
      </c>
      <c r="D1871" s="14" t="s">
        <v>409</v>
      </c>
      <c r="E1871" s="15">
        <v>41640</v>
      </c>
      <c r="F1871" s="15">
        <v>42004</v>
      </c>
      <c r="G1871" s="14" t="s">
        <v>410</v>
      </c>
      <c r="H1871" s="14">
        <v>60</v>
      </c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 t="s">
        <v>413</v>
      </c>
    </row>
    <row r="1872" spans="1:32" ht="14.25" customHeight="1" x14ac:dyDescent="0.35">
      <c r="A1872" s="16" t="s">
        <v>1428</v>
      </c>
      <c r="B1872" s="16" t="s">
        <v>427</v>
      </c>
      <c r="C1872" s="16" t="s">
        <v>414</v>
      </c>
      <c r="D1872" s="16" t="s">
        <v>409</v>
      </c>
      <c r="E1872" s="17">
        <v>41640</v>
      </c>
      <c r="F1872" s="17">
        <v>42004</v>
      </c>
      <c r="G1872" s="16" t="s">
        <v>410</v>
      </c>
      <c r="H1872" s="16">
        <v>55</v>
      </c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6"/>
      <c r="AB1872" s="16"/>
      <c r="AC1872" s="16"/>
      <c r="AD1872" s="16"/>
      <c r="AE1872" s="16"/>
      <c r="AF1872" s="16" t="s">
        <v>413</v>
      </c>
    </row>
    <row r="1873" spans="1:32" ht="14.25" customHeight="1" x14ac:dyDescent="0.35">
      <c r="A1873" s="14" t="s">
        <v>1429</v>
      </c>
      <c r="B1873" s="14" t="s">
        <v>427</v>
      </c>
      <c r="C1873" s="14"/>
      <c r="D1873" s="14" t="s">
        <v>409</v>
      </c>
      <c r="E1873" s="15">
        <v>41640</v>
      </c>
      <c r="F1873" s="15">
        <v>42004</v>
      </c>
      <c r="G1873" s="14" t="s">
        <v>410</v>
      </c>
      <c r="H1873" s="14">
        <v>0.05</v>
      </c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 t="s">
        <v>413</v>
      </c>
    </row>
    <row r="1874" spans="1:32" ht="14.25" customHeight="1" x14ac:dyDescent="0.35">
      <c r="A1874" s="16" t="s">
        <v>1430</v>
      </c>
      <c r="B1874" s="16" t="s">
        <v>427</v>
      </c>
      <c r="C1874" s="16"/>
      <c r="D1874" s="16" t="s">
        <v>409</v>
      </c>
      <c r="E1874" s="17">
        <v>41640</v>
      </c>
      <c r="F1874" s="17">
        <v>42004</v>
      </c>
      <c r="G1874" s="16" t="s">
        <v>410</v>
      </c>
      <c r="H1874" s="16">
        <v>0.2</v>
      </c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6"/>
      <c r="AF1874" s="16" t="s">
        <v>413</v>
      </c>
    </row>
    <row r="1875" spans="1:32" ht="14.25" customHeight="1" x14ac:dyDescent="0.35">
      <c r="A1875" s="14" t="s">
        <v>1431</v>
      </c>
      <c r="B1875" s="14" t="s">
        <v>427</v>
      </c>
      <c r="C1875" s="14" t="s">
        <v>414</v>
      </c>
      <c r="D1875" s="14" t="s">
        <v>409</v>
      </c>
      <c r="E1875" s="15">
        <v>41640</v>
      </c>
      <c r="F1875" s="15">
        <v>42004</v>
      </c>
      <c r="G1875" s="14" t="s">
        <v>410</v>
      </c>
      <c r="H1875" s="14">
        <v>60</v>
      </c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 t="s">
        <v>413</v>
      </c>
    </row>
    <row r="1876" spans="1:32" ht="14.25" customHeight="1" x14ac:dyDescent="0.35">
      <c r="A1876" s="16" t="s">
        <v>1432</v>
      </c>
      <c r="B1876" s="16" t="s">
        <v>427</v>
      </c>
      <c r="C1876" s="16" t="s">
        <v>414</v>
      </c>
      <c r="D1876" s="16" t="s">
        <v>409</v>
      </c>
      <c r="E1876" s="17">
        <v>41640</v>
      </c>
      <c r="F1876" s="17">
        <v>42004</v>
      </c>
      <c r="G1876" s="16" t="s">
        <v>410</v>
      </c>
      <c r="H1876" s="16">
        <v>55</v>
      </c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6"/>
      <c r="AF1876" s="16" t="s">
        <v>413</v>
      </c>
    </row>
    <row r="1877" spans="1:32" ht="14.25" customHeight="1" x14ac:dyDescent="0.35">
      <c r="A1877" s="14" t="s">
        <v>1433</v>
      </c>
      <c r="B1877" s="14" t="s">
        <v>427</v>
      </c>
      <c r="C1877" s="14"/>
      <c r="D1877" s="14" t="s">
        <v>409</v>
      </c>
      <c r="E1877" s="15">
        <v>41640</v>
      </c>
      <c r="F1877" s="15">
        <v>42004</v>
      </c>
      <c r="G1877" s="14" t="s">
        <v>410</v>
      </c>
      <c r="H1877" s="14">
        <v>0.05</v>
      </c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 t="s">
        <v>413</v>
      </c>
    </row>
    <row r="1878" spans="1:32" ht="14.25" customHeight="1" x14ac:dyDescent="0.35">
      <c r="A1878" s="16" t="s">
        <v>1434</v>
      </c>
      <c r="B1878" s="16" t="s">
        <v>427</v>
      </c>
      <c r="C1878" s="16"/>
      <c r="D1878" s="16" t="s">
        <v>409</v>
      </c>
      <c r="E1878" s="17">
        <v>41640</v>
      </c>
      <c r="F1878" s="17">
        <v>42004</v>
      </c>
      <c r="G1878" s="16" t="s">
        <v>410</v>
      </c>
      <c r="H1878" s="16">
        <v>0.2</v>
      </c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 t="s">
        <v>413</v>
      </c>
    </row>
    <row r="1879" spans="1:32" ht="14.25" customHeight="1" x14ac:dyDescent="0.35">
      <c r="A1879" s="14" t="s">
        <v>1435</v>
      </c>
      <c r="B1879" s="14" t="s">
        <v>427</v>
      </c>
      <c r="C1879" s="14" t="s">
        <v>414</v>
      </c>
      <c r="D1879" s="14" t="s">
        <v>409</v>
      </c>
      <c r="E1879" s="15">
        <v>41640</v>
      </c>
      <c r="F1879" s="15">
        <v>42004</v>
      </c>
      <c r="G1879" s="14" t="s">
        <v>410</v>
      </c>
      <c r="H1879" s="14">
        <v>60</v>
      </c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 t="s">
        <v>413</v>
      </c>
    </row>
    <row r="1880" spans="1:32" ht="14.25" customHeight="1" x14ac:dyDescent="0.35">
      <c r="A1880" s="16" t="s">
        <v>1436</v>
      </c>
      <c r="B1880" s="16" t="s">
        <v>427</v>
      </c>
      <c r="C1880" s="16" t="s">
        <v>414</v>
      </c>
      <c r="D1880" s="16" t="s">
        <v>409</v>
      </c>
      <c r="E1880" s="17">
        <v>41640</v>
      </c>
      <c r="F1880" s="17">
        <v>42004</v>
      </c>
      <c r="G1880" s="16" t="s">
        <v>410</v>
      </c>
      <c r="H1880" s="16">
        <v>55</v>
      </c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/>
      <c r="AC1880" s="16"/>
      <c r="AD1880" s="16"/>
      <c r="AE1880" s="16"/>
      <c r="AF1880" s="16" t="s">
        <v>413</v>
      </c>
    </row>
    <row r="1881" spans="1:32" ht="14.25" customHeight="1" x14ac:dyDescent="0.35">
      <c r="A1881" s="14" t="s">
        <v>1437</v>
      </c>
      <c r="B1881" s="14" t="s">
        <v>427</v>
      </c>
      <c r="C1881" s="14"/>
      <c r="D1881" s="14" t="s">
        <v>409</v>
      </c>
      <c r="E1881" s="15">
        <v>41640</v>
      </c>
      <c r="F1881" s="15">
        <v>42004</v>
      </c>
      <c r="G1881" s="14" t="s">
        <v>410</v>
      </c>
      <c r="H1881" s="14">
        <v>0.05</v>
      </c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 t="s">
        <v>413</v>
      </c>
    </row>
    <row r="1882" spans="1:32" ht="14.25" customHeight="1" x14ac:dyDescent="0.35">
      <c r="A1882" s="16" t="s">
        <v>1438</v>
      </c>
      <c r="B1882" s="16" t="s">
        <v>427</v>
      </c>
      <c r="C1882" s="16"/>
      <c r="D1882" s="16" t="s">
        <v>409</v>
      </c>
      <c r="E1882" s="17">
        <v>41640</v>
      </c>
      <c r="F1882" s="17">
        <v>42004</v>
      </c>
      <c r="G1882" s="16" t="s">
        <v>410</v>
      </c>
      <c r="H1882" s="16">
        <v>0.2</v>
      </c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 t="s">
        <v>413</v>
      </c>
    </row>
    <row r="1883" spans="1:32" ht="14.25" customHeight="1" x14ac:dyDescent="0.35">
      <c r="A1883" s="14" t="s">
        <v>1439</v>
      </c>
      <c r="B1883" s="14" t="s">
        <v>427</v>
      </c>
      <c r="C1883" s="14" t="s">
        <v>414</v>
      </c>
      <c r="D1883" s="14" t="s">
        <v>409</v>
      </c>
      <c r="E1883" s="15">
        <v>41640</v>
      </c>
      <c r="F1883" s="15">
        <v>42004</v>
      </c>
      <c r="G1883" s="14" t="s">
        <v>410</v>
      </c>
      <c r="H1883" s="14">
        <v>60</v>
      </c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 t="s">
        <v>413</v>
      </c>
    </row>
    <row r="1884" spans="1:32" ht="14.25" customHeight="1" x14ac:dyDescent="0.35">
      <c r="A1884" s="16" t="s">
        <v>1440</v>
      </c>
      <c r="B1884" s="16" t="s">
        <v>427</v>
      </c>
      <c r="C1884" s="16" t="s">
        <v>414</v>
      </c>
      <c r="D1884" s="16" t="s">
        <v>409</v>
      </c>
      <c r="E1884" s="17">
        <v>41640</v>
      </c>
      <c r="F1884" s="17">
        <v>42004</v>
      </c>
      <c r="G1884" s="16" t="s">
        <v>410</v>
      </c>
      <c r="H1884" s="16">
        <v>55</v>
      </c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  <c r="AC1884" s="16"/>
      <c r="AD1884" s="16"/>
      <c r="AE1884" s="16"/>
      <c r="AF1884" s="16" t="s">
        <v>413</v>
      </c>
    </row>
    <row r="1885" spans="1:32" ht="14.25" customHeight="1" x14ac:dyDescent="0.35">
      <c r="A1885" s="14" t="s">
        <v>1441</v>
      </c>
      <c r="B1885" s="14" t="s">
        <v>427</v>
      </c>
      <c r="C1885" s="14"/>
      <c r="D1885" s="14" t="s">
        <v>409</v>
      </c>
      <c r="E1885" s="15">
        <v>41640</v>
      </c>
      <c r="F1885" s="15">
        <v>42004</v>
      </c>
      <c r="G1885" s="14" t="s">
        <v>410</v>
      </c>
      <c r="H1885" s="14">
        <v>0.05</v>
      </c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 t="s">
        <v>413</v>
      </c>
    </row>
    <row r="1886" spans="1:32" ht="14.25" customHeight="1" x14ac:dyDescent="0.35">
      <c r="A1886" s="16" t="s">
        <v>1442</v>
      </c>
      <c r="B1886" s="16" t="s">
        <v>427</v>
      </c>
      <c r="C1886" s="16"/>
      <c r="D1886" s="16" t="s">
        <v>409</v>
      </c>
      <c r="E1886" s="17">
        <v>41640</v>
      </c>
      <c r="F1886" s="17">
        <v>42004</v>
      </c>
      <c r="G1886" s="16" t="s">
        <v>410</v>
      </c>
      <c r="H1886" s="16">
        <v>0.2</v>
      </c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 t="s">
        <v>413</v>
      </c>
    </row>
    <row r="1887" spans="1:32" ht="14.25" customHeight="1" x14ac:dyDescent="0.35">
      <c r="A1887" s="14" t="s">
        <v>1443</v>
      </c>
      <c r="B1887" s="14" t="s">
        <v>427</v>
      </c>
      <c r="C1887" s="14" t="s">
        <v>414</v>
      </c>
      <c r="D1887" s="14" t="s">
        <v>409</v>
      </c>
      <c r="E1887" s="15">
        <v>41640</v>
      </c>
      <c r="F1887" s="15">
        <v>42004</v>
      </c>
      <c r="G1887" s="14" t="s">
        <v>410</v>
      </c>
      <c r="H1887" s="14">
        <v>60</v>
      </c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 t="s">
        <v>413</v>
      </c>
    </row>
    <row r="1888" spans="1:32" ht="14.25" customHeight="1" x14ac:dyDescent="0.35">
      <c r="A1888" s="16" t="s">
        <v>1444</v>
      </c>
      <c r="B1888" s="16" t="s">
        <v>408</v>
      </c>
      <c r="C1888" s="16" t="s">
        <v>414</v>
      </c>
      <c r="D1888" s="16" t="s">
        <v>409</v>
      </c>
      <c r="E1888" s="17">
        <v>41640</v>
      </c>
      <c r="F1888" s="17">
        <v>42004</v>
      </c>
      <c r="G1888" s="16" t="s">
        <v>410</v>
      </c>
      <c r="H1888" s="16">
        <v>16</v>
      </c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  <c r="AA1888" s="16"/>
      <c r="AB1888" s="16"/>
      <c r="AC1888" s="16"/>
      <c r="AD1888" s="16"/>
      <c r="AE1888" s="16"/>
      <c r="AF1888" s="16" t="s">
        <v>413</v>
      </c>
    </row>
    <row r="1889" spans="1:32" ht="14.25" customHeight="1" x14ac:dyDescent="0.35">
      <c r="A1889" s="14" t="s">
        <v>1445</v>
      </c>
      <c r="B1889" s="14" t="s">
        <v>408</v>
      </c>
      <c r="C1889" s="14" t="s">
        <v>414</v>
      </c>
      <c r="D1889" s="14" t="s">
        <v>409</v>
      </c>
      <c r="E1889" s="15">
        <v>41640</v>
      </c>
      <c r="F1889" s="15">
        <v>42004</v>
      </c>
      <c r="G1889" s="14" t="s">
        <v>410</v>
      </c>
      <c r="H1889" s="14">
        <v>82.2</v>
      </c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 t="s">
        <v>413</v>
      </c>
    </row>
    <row r="1890" spans="1:32" ht="14.25" customHeight="1" x14ac:dyDescent="0.35">
      <c r="A1890" s="16" t="s">
        <v>1446</v>
      </c>
      <c r="B1890" s="16" t="s">
        <v>600</v>
      </c>
      <c r="C1890" s="16"/>
      <c r="D1890" s="16" t="s">
        <v>409</v>
      </c>
      <c r="E1890" s="17">
        <v>41640</v>
      </c>
      <c r="F1890" s="17">
        <v>42004</v>
      </c>
      <c r="G1890" s="16" t="s">
        <v>410</v>
      </c>
      <c r="H1890" s="16">
        <v>1</v>
      </c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  <c r="AB1890" s="16"/>
      <c r="AC1890" s="16"/>
      <c r="AD1890" s="16"/>
      <c r="AE1890" s="16"/>
      <c r="AF1890" s="16" t="s">
        <v>413</v>
      </c>
    </row>
    <row r="1891" spans="1:32" ht="14.25" customHeight="1" x14ac:dyDescent="0.35">
      <c r="A1891" s="14" t="s">
        <v>1447</v>
      </c>
      <c r="B1891" s="14" t="s">
        <v>420</v>
      </c>
      <c r="C1891" s="14" t="s">
        <v>414</v>
      </c>
      <c r="D1891" s="14" t="s">
        <v>417</v>
      </c>
      <c r="E1891" s="15">
        <v>41640</v>
      </c>
      <c r="F1891" s="15">
        <v>42004</v>
      </c>
      <c r="G1891" s="14" t="s">
        <v>410</v>
      </c>
      <c r="H1891" s="14">
        <v>18.3</v>
      </c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 t="s">
        <v>413</v>
      </c>
    </row>
    <row r="1892" spans="1:32" ht="14.25" customHeight="1" x14ac:dyDescent="0.35">
      <c r="A1892" s="14" t="s">
        <v>1447</v>
      </c>
      <c r="B1892" s="14" t="s">
        <v>420</v>
      </c>
      <c r="C1892" s="14" t="s">
        <v>414</v>
      </c>
      <c r="D1892" s="14" t="s">
        <v>556</v>
      </c>
      <c r="E1892" s="15">
        <v>41640</v>
      </c>
      <c r="F1892" s="15">
        <v>42004</v>
      </c>
      <c r="G1892" s="14" t="s">
        <v>415</v>
      </c>
      <c r="H1892" s="14">
        <v>18.3</v>
      </c>
      <c r="I1892" s="14">
        <v>18.3</v>
      </c>
      <c r="J1892" s="14">
        <v>18.3</v>
      </c>
      <c r="K1892" s="14">
        <v>18.3</v>
      </c>
      <c r="L1892" s="14">
        <v>18.3</v>
      </c>
      <c r="M1892" s="14">
        <v>21.1</v>
      </c>
      <c r="N1892" s="14">
        <v>21.1</v>
      </c>
      <c r="O1892" s="14">
        <v>21.1</v>
      </c>
      <c r="P1892" s="14">
        <v>21.1</v>
      </c>
      <c r="Q1892" s="14">
        <v>21.1</v>
      </c>
      <c r="R1892" s="14">
        <v>21.1</v>
      </c>
      <c r="S1892" s="14">
        <v>21.1</v>
      </c>
      <c r="T1892" s="14">
        <v>21.1</v>
      </c>
      <c r="U1892" s="14">
        <v>21.1</v>
      </c>
      <c r="V1892" s="14">
        <v>21.1</v>
      </c>
      <c r="W1892" s="14">
        <v>21.1</v>
      </c>
      <c r="X1892" s="14">
        <v>21.1</v>
      </c>
      <c r="Y1892" s="14">
        <v>21.1</v>
      </c>
      <c r="Z1892" s="14">
        <v>18.3</v>
      </c>
      <c r="AA1892" s="14">
        <v>18.3</v>
      </c>
      <c r="AB1892" s="14">
        <v>18.3</v>
      </c>
      <c r="AC1892" s="14">
        <v>18.3</v>
      </c>
      <c r="AD1892" s="14">
        <v>18.3</v>
      </c>
      <c r="AE1892" s="14">
        <v>18.3</v>
      </c>
      <c r="AF1892" s="14" t="s">
        <v>413</v>
      </c>
    </row>
    <row r="1893" spans="1:32" ht="14.25" customHeight="1" x14ac:dyDescent="0.35">
      <c r="A1893" s="16" t="s">
        <v>1447</v>
      </c>
      <c r="B1893" s="16" t="s">
        <v>420</v>
      </c>
      <c r="C1893" s="16" t="s">
        <v>414</v>
      </c>
      <c r="D1893" s="16" t="s">
        <v>418</v>
      </c>
      <c r="E1893" s="17">
        <v>41640</v>
      </c>
      <c r="F1893" s="17">
        <v>42004</v>
      </c>
      <c r="G1893" s="16" t="s">
        <v>415</v>
      </c>
      <c r="H1893" s="16">
        <v>18.3</v>
      </c>
      <c r="I1893" s="16">
        <v>18.3</v>
      </c>
      <c r="J1893" s="16">
        <v>18.3</v>
      </c>
      <c r="K1893" s="16">
        <v>18.3</v>
      </c>
      <c r="L1893" s="16">
        <v>18.3</v>
      </c>
      <c r="M1893" s="16">
        <v>18.3</v>
      </c>
      <c r="N1893" s="16">
        <v>18.3</v>
      </c>
      <c r="O1893" s="16">
        <v>21.1</v>
      </c>
      <c r="P1893" s="16">
        <v>21.1</v>
      </c>
      <c r="Q1893" s="16">
        <v>21.1</v>
      </c>
      <c r="R1893" s="16">
        <v>21.1</v>
      </c>
      <c r="S1893" s="16">
        <v>21.1</v>
      </c>
      <c r="T1893" s="16">
        <v>21.1</v>
      </c>
      <c r="U1893" s="16">
        <v>21.1</v>
      </c>
      <c r="V1893" s="16">
        <v>21.1</v>
      </c>
      <c r="W1893" s="16">
        <v>18.3</v>
      </c>
      <c r="X1893" s="16">
        <v>18.3</v>
      </c>
      <c r="Y1893" s="16">
        <v>18.3</v>
      </c>
      <c r="Z1893" s="16">
        <v>18.3</v>
      </c>
      <c r="AA1893" s="16">
        <v>18.3</v>
      </c>
      <c r="AB1893" s="16">
        <v>18.3</v>
      </c>
      <c r="AC1893" s="16">
        <v>18.3</v>
      </c>
      <c r="AD1893" s="16">
        <v>18.3</v>
      </c>
      <c r="AE1893" s="16">
        <v>18.3</v>
      </c>
      <c r="AF1893" s="16" t="s">
        <v>413</v>
      </c>
    </row>
    <row r="1894" spans="1:32" ht="14.25" customHeight="1" x14ac:dyDescent="0.35">
      <c r="A1894" s="16" t="s">
        <v>1448</v>
      </c>
      <c r="B1894" s="16" t="s">
        <v>420</v>
      </c>
      <c r="C1894" s="16" t="s">
        <v>414</v>
      </c>
      <c r="D1894" s="16" t="s">
        <v>417</v>
      </c>
      <c r="E1894" s="17">
        <v>41640</v>
      </c>
      <c r="F1894" s="17">
        <v>42004</v>
      </c>
      <c r="G1894" s="16" t="s">
        <v>410</v>
      </c>
      <c r="H1894" s="16">
        <v>18.3</v>
      </c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 t="s">
        <v>413</v>
      </c>
    </row>
    <row r="1895" spans="1:32" ht="14.25" customHeight="1" x14ac:dyDescent="0.35">
      <c r="A1895" s="16" t="s">
        <v>1448</v>
      </c>
      <c r="B1895" s="16" t="s">
        <v>420</v>
      </c>
      <c r="C1895" s="16" t="s">
        <v>414</v>
      </c>
      <c r="D1895" s="16" t="s">
        <v>419</v>
      </c>
      <c r="E1895" s="17">
        <v>41640</v>
      </c>
      <c r="F1895" s="17">
        <v>42004</v>
      </c>
      <c r="G1895" s="16" t="s">
        <v>415</v>
      </c>
      <c r="H1895" s="16">
        <v>18.3</v>
      </c>
      <c r="I1895" s="16">
        <v>18.3</v>
      </c>
      <c r="J1895" s="16">
        <v>18.3</v>
      </c>
      <c r="K1895" s="16">
        <v>18.3</v>
      </c>
      <c r="L1895" s="16">
        <v>18.3</v>
      </c>
      <c r="M1895" s="16">
        <v>21.1</v>
      </c>
      <c r="N1895" s="16">
        <v>21.1</v>
      </c>
      <c r="O1895" s="16">
        <v>21.1</v>
      </c>
      <c r="P1895" s="16">
        <v>21.1</v>
      </c>
      <c r="Q1895" s="16">
        <v>21.1</v>
      </c>
      <c r="R1895" s="16">
        <v>21.1</v>
      </c>
      <c r="S1895" s="16">
        <v>21.1</v>
      </c>
      <c r="T1895" s="16">
        <v>21.1</v>
      </c>
      <c r="U1895" s="16">
        <v>21.1</v>
      </c>
      <c r="V1895" s="16">
        <v>21.1</v>
      </c>
      <c r="W1895" s="16">
        <v>21.1</v>
      </c>
      <c r="X1895" s="16">
        <v>21.1</v>
      </c>
      <c r="Y1895" s="16">
        <v>21.1</v>
      </c>
      <c r="Z1895" s="16">
        <v>18.3</v>
      </c>
      <c r="AA1895" s="16">
        <v>18.3</v>
      </c>
      <c r="AB1895" s="16">
        <v>18.3</v>
      </c>
      <c r="AC1895" s="16">
        <v>18.3</v>
      </c>
      <c r="AD1895" s="16">
        <v>18.3</v>
      </c>
      <c r="AE1895" s="16">
        <v>18.3</v>
      </c>
      <c r="AF1895" s="16" t="s">
        <v>413</v>
      </c>
    </row>
    <row r="1896" spans="1:32" ht="14.25" customHeight="1" x14ac:dyDescent="0.35">
      <c r="A1896" s="14" t="s">
        <v>1448</v>
      </c>
      <c r="B1896" s="14" t="s">
        <v>420</v>
      </c>
      <c r="C1896" s="14" t="s">
        <v>414</v>
      </c>
      <c r="D1896" s="14" t="s">
        <v>429</v>
      </c>
      <c r="E1896" s="15">
        <v>41640</v>
      </c>
      <c r="F1896" s="15">
        <v>42004</v>
      </c>
      <c r="G1896" s="14" t="s">
        <v>415</v>
      </c>
      <c r="H1896" s="14">
        <v>18.3</v>
      </c>
      <c r="I1896" s="14">
        <v>18.3</v>
      </c>
      <c r="J1896" s="14">
        <v>18.3</v>
      </c>
      <c r="K1896" s="14">
        <v>18.3</v>
      </c>
      <c r="L1896" s="14">
        <v>18.3</v>
      </c>
      <c r="M1896" s="14">
        <v>19.399999999999999</v>
      </c>
      <c r="N1896" s="14">
        <v>20</v>
      </c>
      <c r="O1896" s="14">
        <v>21.1</v>
      </c>
      <c r="P1896" s="14">
        <v>21.1</v>
      </c>
      <c r="Q1896" s="14">
        <v>21.1</v>
      </c>
      <c r="R1896" s="14">
        <v>21.1</v>
      </c>
      <c r="S1896" s="14">
        <v>21.1</v>
      </c>
      <c r="T1896" s="14">
        <v>21.1</v>
      </c>
      <c r="U1896" s="14">
        <v>21.1</v>
      </c>
      <c r="V1896" s="14">
        <v>21.1</v>
      </c>
      <c r="W1896" s="14">
        <v>21.1</v>
      </c>
      <c r="X1896" s="14">
        <v>21.1</v>
      </c>
      <c r="Y1896" s="14">
        <v>21.1</v>
      </c>
      <c r="Z1896" s="14">
        <v>18.3</v>
      </c>
      <c r="AA1896" s="14">
        <v>18.3</v>
      </c>
      <c r="AB1896" s="14">
        <v>18.3</v>
      </c>
      <c r="AC1896" s="14">
        <v>18.3</v>
      </c>
      <c r="AD1896" s="14">
        <v>18.3</v>
      </c>
      <c r="AE1896" s="14">
        <v>18.3</v>
      </c>
      <c r="AF1896" s="14" t="s">
        <v>413</v>
      </c>
    </row>
    <row r="1897" spans="1:32" ht="14.25" customHeight="1" x14ac:dyDescent="0.35">
      <c r="A1897" s="14" t="s">
        <v>1448</v>
      </c>
      <c r="B1897" s="14" t="s">
        <v>420</v>
      </c>
      <c r="C1897" s="14" t="s">
        <v>414</v>
      </c>
      <c r="D1897" s="14" t="s">
        <v>418</v>
      </c>
      <c r="E1897" s="15">
        <v>41640</v>
      </c>
      <c r="F1897" s="15">
        <v>42004</v>
      </c>
      <c r="G1897" s="14" t="s">
        <v>415</v>
      </c>
      <c r="H1897" s="14">
        <v>18.3</v>
      </c>
      <c r="I1897" s="14">
        <v>18.3</v>
      </c>
      <c r="J1897" s="14">
        <v>18.3</v>
      </c>
      <c r="K1897" s="14">
        <v>18.3</v>
      </c>
      <c r="L1897" s="14">
        <v>18.3</v>
      </c>
      <c r="M1897" s="14">
        <v>18.3</v>
      </c>
      <c r="N1897" s="14">
        <v>18.3</v>
      </c>
      <c r="O1897" s="14">
        <v>21.1</v>
      </c>
      <c r="P1897" s="14">
        <v>21.1</v>
      </c>
      <c r="Q1897" s="14">
        <v>21.1</v>
      </c>
      <c r="R1897" s="14">
        <v>21.1</v>
      </c>
      <c r="S1897" s="14">
        <v>21.1</v>
      </c>
      <c r="T1897" s="14">
        <v>21.1</v>
      </c>
      <c r="U1897" s="14">
        <v>21.1</v>
      </c>
      <c r="V1897" s="14">
        <v>21.1</v>
      </c>
      <c r="W1897" s="14">
        <v>18.3</v>
      </c>
      <c r="X1897" s="14">
        <v>18.3</v>
      </c>
      <c r="Y1897" s="14">
        <v>18.3</v>
      </c>
      <c r="Z1897" s="14">
        <v>18.3</v>
      </c>
      <c r="AA1897" s="14">
        <v>18.3</v>
      </c>
      <c r="AB1897" s="14">
        <v>18.3</v>
      </c>
      <c r="AC1897" s="14">
        <v>18.3</v>
      </c>
      <c r="AD1897" s="14">
        <v>18.3</v>
      </c>
      <c r="AE1897" s="14">
        <v>18.3</v>
      </c>
      <c r="AF1897" s="14" t="s">
        <v>413</v>
      </c>
    </row>
    <row r="1898" spans="1:32" ht="14.25" customHeight="1" x14ac:dyDescent="0.35">
      <c r="A1898" s="16" t="s">
        <v>1449</v>
      </c>
      <c r="B1898" s="16" t="s">
        <v>408</v>
      </c>
      <c r="C1898" s="16"/>
      <c r="D1898" s="16" t="s">
        <v>603</v>
      </c>
      <c r="E1898" s="17">
        <v>41640</v>
      </c>
      <c r="F1898" s="17">
        <v>42004</v>
      </c>
      <c r="G1898" s="16" t="s">
        <v>410</v>
      </c>
      <c r="H1898" s="16">
        <v>50</v>
      </c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6"/>
      <c r="AF1898" s="16" t="s">
        <v>413</v>
      </c>
    </row>
    <row r="1899" spans="1:32" ht="14.25" customHeight="1" x14ac:dyDescent="0.35">
      <c r="A1899" s="14" t="s">
        <v>1450</v>
      </c>
      <c r="B1899" s="14" t="s">
        <v>600</v>
      </c>
      <c r="C1899" s="14"/>
      <c r="D1899" s="14" t="s">
        <v>409</v>
      </c>
      <c r="E1899" s="15">
        <v>41640</v>
      </c>
      <c r="F1899" s="15">
        <v>42004</v>
      </c>
      <c r="G1899" s="14" t="s">
        <v>410</v>
      </c>
      <c r="H1899" s="14">
        <v>1</v>
      </c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 t="s">
        <v>413</v>
      </c>
    </row>
    <row r="1900" spans="1:32" ht="14.25" customHeight="1" x14ac:dyDescent="0.35">
      <c r="A1900" s="16" t="s">
        <v>1451</v>
      </c>
      <c r="B1900" s="16" t="s">
        <v>408</v>
      </c>
      <c r="C1900" s="16" t="s">
        <v>414</v>
      </c>
      <c r="D1900" s="16" t="s">
        <v>409</v>
      </c>
      <c r="E1900" s="17">
        <v>41640</v>
      </c>
      <c r="F1900" s="17">
        <v>42004</v>
      </c>
      <c r="G1900" s="16" t="s">
        <v>410</v>
      </c>
      <c r="H1900" s="16">
        <v>60</v>
      </c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6"/>
      <c r="AF1900" s="16" t="s">
        <v>413</v>
      </c>
    </row>
    <row r="1901" spans="1:32" ht="14.25" customHeight="1" x14ac:dyDescent="0.35">
      <c r="A1901" s="14" t="s">
        <v>1452</v>
      </c>
      <c r="B1901" s="14" t="s">
        <v>441</v>
      </c>
      <c r="C1901" s="14"/>
      <c r="D1901" s="14" t="s">
        <v>409</v>
      </c>
      <c r="E1901" s="15">
        <v>41640</v>
      </c>
      <c r="F1901" s="15">
        <v>42004</v>
      </c>
      <c r="G1901" s="14" t="s">
        <v>410</v>
      </c>
      <c r="H1901" s="14">
        <v>0</v>
      </c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 t="s">
        <v>413</v>
      </c>
    </row>
    <row r="1902" spans="1:32" ht="14.25" customHeight="1" x14ac:dyDescent="0.35">
      <c r="A1902" s="16" t="s">
        <v>1452</v>
      </c>
      <c r="B1902" s="16" t="s">
        <v>441</v>
      </c>
      <c r="C1902" s="16"/>
      <c r="D1902" s="16" t="s">
        <v>429</v>
      </c>
      <c r="E1902" s="17">
        <v>41640</v>
      </c>
      <c r="F1902" s="17">
        <v>42004</v>
      </c>
      <c r="G1902" s="16" t="s">
        <v>415</v>
      </c>
      <c r="H1902" s="16">
        <v>0</v>
      </c>
      <c r="I1902" s="16">
        <v>0</v>
      </c>
      <c r="J1902" s="16">
        <v>0</v>
      </c>
      <c r="K1902" s="16">
        <v>0</v>
      </c>
      <c r="L1902" s="16">
        <v>0</v>
      </c>
      <c r="M1902" s="16">
        <v>0</v>
      </c>
      <c r="N1902" s="16">
        <v>0.14399999999999999</v>
      </c>
      <c r="O1902" s="16">
        <v>1</v>
      </c>
      <c r="P1902" s="16">
        <v>1</v>
      </c>
      <c r="Q1902" s="16">
        <v>1</v>
      </c>
      <c r="R1902" s="16">
        <v>1</v>
      </c>
      <c r="S1902" s="16">
        <v>1</v>
      </c>
      <c r="T1902" s="16">
        <v>1</v>
      </c>
      <c r="U1902" s="16">
        <v>1</v>
      </c>
      <c r="V1902" s="16">
        <v>1</v>
      </c>
      <c r="W1902" s="16">
        <v>1</v>
      </c>
      <c r="X1902" s="16">
        <v>1</v>
      </c>
      <c r="Y1902" s="16">
        <v>1</v>
      </c>
      <c r="Z1902" s="16">
        <v>0.14399999999999999</v>
      </c>
      <c r="AA1902" s="16">
        <v>0</v>
      </c>
      <c r="AB1902" s="16">
        <v>0</v>
      </c>
      <c r="AC1902" s="16">
        <v>0</v>
      </c>
      <c r="AD1902" s="16">
        <v>0</v>
      </c>
      <c r="AE1902" s="16">
        <v>0</v>
      </c>
      <c r="AF1902" s="16" t="s">
        <v>413</v>
      </c>
    </row>
    <row r="1903" spans="1:32" ht="14.25" customHeight="1" x14ac:dyDescent="0.35">
      <c r="A1903" s="14" t="s">
        <v>1453</v>
      </c>
      <c r="B1903" s="14" t="s">
        <v>441</v>
      </c>
      <c r="C1903" s="14"/>
      <c r="D1903" s="14" t="s">
        <v>821</v>
      </c>
      <c r="E1903" s="15">
        <v>41640</v>
      </c>
      <c r="F1903" s="15">
        <v>42004</v>
      </c>
      <c r="G1903" s="14" t="s">
        <v>410</v>
      </c>
      <c r="H1903" s="14">
        <v>0.5</v>
      </c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 t="s">
        <v>413</v>
      </c>
    </row>
    <row r="1904" spans="1:32" ht="14.25" customHeight="1" x14ac:dyDescent="0.35">
      <c r="A1904" s="16" t="s">
        <v>1453</v>
      </c>
      <c r="B1904" s="16" t="s">
        <v>441</v>
      </c>
      <c r="C1904" s="16"/>
      <c r="D1904" s="16" t="s">
        <v>421</v>
      </c>
      <c r="E1904" s="17">
        <v>41640</v>
      </c>
      <c r="F1904" s="17">
        <v>42004</v>
      </c>
      <c r="G1904" s="16" t="s">
        <v>410</v>
      </c>
      <c r="H1904" s="16">
        <v>1</v>
      </c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16"/>
      <c r="AA1904" s="16"/>
      <c r="AB1904" s="16"/>
      <c r="AC1904" s="16"/>
      <c r="AD1904" s="16"/>
      <c r="AE1904" s="16"/>
      <c r="AF1904" s="16" t="s">
        <v>413</v>
      </c>
    </row>
    <row r="1905" spans="1:32" ht="14.25" customHeight="1" x14ac:dyDescent="0.35">
      <c r="A1905" s="14" t="s">
        <v>1454</v>
      </c>
      <c r="B1905" s="14" t="s">
        <v>441</v>
      </c>
      <c r="C1905" s="14"/>
      <c r="D1905" s="14" t="s">
        <v>821</v>
      </c>
      <c r="E1905" s="15">
        <v>41640</v>
      </c>
      <c r="F1905" s="15">
        <v>42004</v>
      </c>
      <c r="G1905" s="14" t="s">
        <v>410</v>
      </c>
      <c r="H1905" s="14">
        <v>0.25</v>
      </c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 t="s">
        <v>413</v>
      </c>
    </row>
    <row r="1906" spans="1:32" ht="14.25" customHeight="1" x14ac:dyDescent="0.35">
      <c r="A1906" s="16" t="s">
        <v>1454</v>
      </c>
      <c r="B1906" s="16" t="s">
        <v>441</v>
      </c>
      <c r="C1906" s="16"/>
      <c r="D1906" s="16" t="s">
        <v>421</v>
      </c>
      <c r="E1906" s="17">
        <v>41640</v>
      </c>
      <c r="F1906" s="17">
        <v>42004</v>
      </c>
      <c r="G1906" s="16" t="s">
        <v>410</v>
      </c>
      <c r="H1906" s="16">
        <v>1</v>
      </c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 t="s">
        <v>413</v>
      </c>
    </row>
    <row r="1907" spans="1:32" ht="14.25" customHeight="1" x14ac:dyDescent="0.35">
      <c r="A1907" s="14" t="s">
        <v>1455</v>
      </c>
      <c r="B1907" s="14" t="s">
        <v>408</v>
      </c>
      <c r="C1907" s="14"/>
      <c r="D1907" s="14" t="s">
        <v>409</v>
      </c>
      <c r="E1907" s="15">
        <v>41640</v>
      </c>
      <c r="F1907" s="15">
        <v>42004</v>
      </c>
      <c r="G1907" s="14" t="s">
        <v>410</v>
      </c>
      <c r="H1907" s="14">
        <v>60</v>
      </c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 t="s">
        <v>413</v>
      </c>
    </row>
    <row r="1908" spans="1:32" ht="14.25" customHeight="1" x14ac:dyDescent="0.35">
      <c r="A1908" s="16" t="s">
        <v>1456</v>
      </c>
      <c r="B1908" s="16" t="s">
        <v>550</v>
      </c>
      <c r="C1908" s="16"/>
      <c r="D1908" s="16" t="s">
        <v>409</v>
      </c>
      <c r="E1908" s="17">
        <v>41640</v>
      </c>
      <c r="F1908" s="17">
        <v>42004</v>
      </c>
      <c r="G1908" s="16" t="s">
        <v>410</v>
      </c>
      <c r="H1908" s="16">
        <v>1</v>
      </c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6"/>
      <c r="AF1908" s="16" t="s">
        <v>413</v>
      </c>
    </row>
    <row r="1909" spans="1:32" ht="14.25" customHeight="1" x14ac:dyDescent="0.35">
      <c r="A1909" s="14" t="s">
        <v>1457</v>
      </c>
      <c r="B1909" s="14" t="s">
        <v>550</v>
      </c>
      <c r="C1909" s="14"/>
      <c r="D1909" s="14" t="s">
        <v>409</v>
      </c>
      <c r="E1909" s="15">
        <v>41640</v>
      </c>
      <c r="F1909" s="15">
        <v>42004</v>
      </c>
      <c r="G1909" s="14" t="s">
        <v>410</v>
      </c>
      <c r="H1909" s="14">
        <v>1</v>
      </c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 t="s">
        <v>413</v>
      </c>
    </row>
    <row r="1910" spans="1:32" ht="14.25" customHeight="1" x14ac:dyDescent="0.35">
      <c r="A1910" s="16" t="s">
        <v>1458</v>
      </c>
      <c r="B1910" s="16" t="s">
        <v>408</v>
      </c>
      <c r="C1910" s="16"/>
      <c r="D1910" s="16" t="s">
        <v>409</v>
      </c>
      <c r="E1910" s="17">
        <v>41640</v>
      </c>
      <c r="F1910" s="17">
        <v>42004</v>
      </c>
      <c r="G1910" s="16" t="s">
        <v>410</v>
      </c>
      <c r="H1910" s="16">
        <v>40</v>
      </c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 t="s">
        <v>413</v>
      </c>
    </row>
    <row r="1911" spans="1:32" ht="14.25" customHeight="1" x14ac:dyDescent="0.35">
      <c r="A1911" s="14" t="s">
        <v>1459</v>
      </c>
      <c r="B1911" s="14" t="s">
        <v>408</v>
      </c>
      <c r="C1911" s="14"/>
      <c r="D1911" s="14" t="s">
        <v>409</v>
      </c>
      <c r="E1911" s="15">
        <v>41640</v>
      </c>
      <c r="F1911" s="15">
        <v>42004</v>
      </c>
      <c r="G1911" s="14" t="s">
        <v>410</v>
      </c>
      <c r="H1911" s="14">
        <v>30</v>
      </c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 t="s">
        <v>413</v>
      </c>
    </row>
    <row r="1912" spans="1:32" ht="14.25" customHeight="1" x14ac:dyDescent="0.35">
      <c r="A1912" s="16" t="s">
        <v>1460</v>
      </c>
      <c r="B1912" s="16" t="s">
        <v>420</v>
      </c>
      <c r="C1912" s="16" t="s">
        <v>414</v>
      </c>
      <c r="D1912" s="16" t="s">
        <v>409</v>
      </c>
      <c r="E1912" s="17">
        <v>41640</v>
      </c>
      <c r="F1912" s="17">
        <v>42004</v>
      </c>
      <c r="G1912" s="16" t="s">
        <v>415</v>
      </c>
      <c r="H1912" s="16">
        <v>22.2</v>
      </c>
      <c r="I1912" s="16">
        <v>22.2</v>
      </c>
      <c r="J1912" s="16">
        <v>22.2</v>
      </c>
      <c r="K1912" s="16">
        <v>22.2</v>
      </c>
      <c r="L1912" s="16">
        <v>22.2</v>
      </c>
      <c r="M1912" s="16">
        <v>22.2</v>
      </c>
      <c r="N1912" s="16">
        <v>18.3</v>
      </c>
      <c r="O1912" s="16">
        <v>18.3</v>
      </c>
      <c r="P1912" s="16">
        <v>18.3</v>
      </c>
      <c r="Q1912" s="16">
        <v>18.3</v>
      </c>
      <c r="R1912" s="16">
        <v>18.3</v>
      </c>
      <c r="S1912" s="16">
        <v>18.3</v>
      </c>
      <c r="T1912" s="16">
        <v>18.3</v>
      </c>
      <c r="U1912" s="16">
        <v>18.3</v>
      </c>
      <c r="V1912" s="16">
        <v>18.3</v>
      </c>
      <c r="W1912" s="16">
        <v>18.3</v>
      </c>
      <c r="X1912" s="16">
        <v>18.3</v>
      </c>
      <c r="Y1912" s="16">
        <v>22.2</v>
      </c>
      <c r="Z1912" s="16">
        <v>22.2</v>
      </c>
      <c r="AA1912" s="16">
        <v>22.2</v>
      </c>
      <c r="AB1912" s="16">
        <v>22.2</v>
      </c>
      <c r="AC1912" s="16">
        <v>22.2</v>
      </c>
      <c r="AD1912" s="16">
        <v>22.2</v>
      </c>
      <c r="AE1912" s="16">
        <v>22.2</v>
      </c>
      <c r="AF1912" s="16" t="s">
        <v>413</v>
      </c>
    </row>
    <row r="1913" spans="1:32" ht="14.25" customHeight="1" x14ac:dyDescent="0.35">
      <c r="A1913" s="14" t="s">
        <v>1461</v>
      </c>
      <c r="B1913" s="14" t="s">
        <v>420</v>
      </c>
      <c r="C1913" s="14" t="s">
        <v>414</v>
      </c>
      <c r="D1913" s="14" t="s">
        <v>409</v>
      </c>
      <c r="E1913" s="15">
        <v>41640</v>
      </c>
      <c r="F1913" s="15">
        <v>42004</v>
      </c>
      <c r="G1913" s="14" t="s">
        <v>410</v>
      </c>
      <c r="H1913" s="14">
        <v>18.3</v>
      </c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 t="s">
        <v>413</v>
      </c>
    </row>
    <row r="1914" spans="1:32" ht="14.25" customHeight="1" x14ac:dyDescent="0.35">
      <c r="A1914" s="16" t="s">
        <v>1462</v>
      </c>
      <c r="B1914" s="16" t="s">
        <v>408</v>
      </c>
      <c r="C1914" s="16"/>
      <c r="D1914" s="16" t="s">
        <v>476</v>
      </c>
      <c r="E1914" s="17">
        <v>41640</v>
      </c>
      <c r="F1914" s="17">
        <v>42004</v>
      </c>
      <c r="G1914" s="16" t="s">
        <v>410</v>
      </c>
      <c r="H1914" s="16">
        <v>0.2</v>
      </c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  <c r="AB1914" s="16"/>
      <c r="AC1914" s="16"/>
      <c r="AD1914" s="16"/>
      <c r="AE1914" s="16"/>
      <c r="AF1914" s="16" t="s">
        <v>413</v>
      </c>
    </row>
    <row r="1915" spans="1:32" ht="14.25" customHeight="1" x14ac:dyDescent="0.35">
      <c r="A1915" s="16" t="s">
        <v>1462</v>
      </c>
      <c r="B1915" s="16" t="s">
        <v>408</v>
      </c>
      <c r="C1915" s="16"/>
      <c r="D1915" s="16" t="s">
        <v>1463</v>
      </c>
      <c r="E1915" s="17">
        <v>41640</v>
      </c>
      <c r="F1915" s="17">
        <v>42004</v>
      </c>
      <c r="G1915" s="16" t="s">
        <v>415</v>
      </c>
      <c r="H1915" s="16">
        <v>0.2</v>
      </c>
      <c r="I1915" s="16">
        <v>0.2</v>
      </c>
      <c r="J1915" s="16">
        <v>0.2</v>
      </c>
      <c r="K1915" s="16">
        <v>0.2</v>
      </c>
      <c r="L1915" s="16">
        <v>0.2</v>
      </c>
      <c r="M1915" s="16">
        <v>0.2</v>
      </c>
      <c r="N1915" s="16">
        <v>1</v>
      </c>
      <c r="O1915" s="16">
        <v>1</v>
      </c>
      <c r="P1915" s="16">
        <v>1</v>
      </c>
      <c r="Q1915" s="16">
        <v>1</v>
      </c>
      <c r="R1915" s="16">
        <v>1</v>
      </c>
      <c r="S1915" s="16">
        <v>1</v>
      </c>
      <c r="T1915" s="16">
        <v>1</v>
      </c>
      <c r="U1915" s="16">
        <v>1</v>
      </c>
      <c r="V1915" s="16">
        <v>1</v>
      </c>
      <c r="W1915" s="16">
        <v>1</v>
      </c>
      <c r="X1915" s="16">
        <v>1</v>
      </c>
      <c r="Y1915" s="16">
        <v>1</v>
      </c>
      <c r="Z1915" s="16">
        <v>0.2</v>
      </c>
      <c r="AA1915" s="16">
        <v>0.2</v>
      </c>
      <c r="AB1915" s="16">
        <v>0.2</v>
      </c>
      <c r="AC1915" s="16">
        <v>0.2</v>
      </c>
      <c r="AD1915" s="16">
        <v>0.2</v>
      </c>
      <c r="AE1915" s="16">
        <v>0.2</v>
      </c>
      <c r="AF1915" s="16" t="s">
        <v>413</v>
      </c>
    </row>
    <row r="1916" spans="1:32" ht="14.25" customHeight="1" x14ac:dyDescent="0.35">
      <c r="A1916" s="14" t="s">
        <v>1462</v>
      </c>
      <c r="B1916" s="14" t="s">
        <v>408</v>
      </c>
      <c r="C1916" s="14"/>
      <c r="D1916" s="14" t="s">
        <v>419</v>
      </c>
      <c r="E1916" s="15">
        <v>41640</v>
      </c>
      <c r="F1916" s="15">
        <v>42004</v>
      </c>
      <c r="G1916" s="14" t="s">
        <v>410</v>
      </c>
      <c r="H1916" s="14">
        <v>1</v>
      </c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 t="s">
        <v>413</v>
      </c>
    </row>
    <row r="1917" spans="1:32" ht="14.25" customHeight="1" x14ac:dyDescent="0.35">
      <c r="A1917" s="14" t="s">
        <v>1464</v>
      </c>
      <c r="B1917" s="14" t="s">
        <v>408</v>
      </c>
      <c r="C1917" s="14"/>
      <c r="D1917" s="14" t="s">
        <v>409</v>
      </c>
      <c r="E1917" s="15">
        <v>41640</v>
      </c>
      <c r="F1917" s="15">
        <v>42004</v>
      </c>
      <c r="G1917" s="14" t="s">
        <v>410</v>
      </c>
      <c r="H1917" s="14">
        <v>1</v>
      </c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 t="s">
        <v>413</v>
      </c>
    </row>
    <row r="1918" spans="1:32" ht="14.25" customHeight="1" x14ac:dyDescent="0.35">
      <c r="A1918" s="16" t="s">
        <v>1465</v>
      </c>
      <c r="B1918" s="16" t="s">
        <v>408</v>
      </c>
      <c r="C1918" s="16"/>
      <c r="D1918" s="16" t="s">
        <v>409</v>
      </c>
      <c r="E1918" s="17">
        <v>41640</v>
      </c>
      <c r="F1918" s="17">
        <v>42004</v>
      </c>
      <c r="G1918" s="16" t="s">
        <v>410</v>
      </c>
      <c r="H1918" s="16">
        <v>1</v>
      </c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 t="s">
        <v>413</v>
      </c>
    </row>
    <row r="1919" spans="1:32" ht="14.25" customHeight="1" x14ac:dyDescent="0.35">
      <c r="A1919" s="14" t="s">
        <v>1466</v>
      </c>
      <c r="B1919" s="14" t="s">
        <v>408</v>
      </c>
      <c r="C1919" s="14" t="s">
        <v>414</v>
      </c>
      <c r="D1919" s="14" t="s">
        <v>409</v>
      </c>
      <c r="E1919" s="15">
        <v>41640</v>
      </c>
      <c r="F1919" s="15">
        <v>42004</v>
      </c>
      <c r="G1919" s="14" t="s">
        <v>410</v>
      </c>
      <c r="H1919" s="14">
        <v>11.1</v>
      </c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 t="s">
        <v>413</v>
      </c>
    </row>
    <row r="1920" spans="1:32" ht="14.25" customHeight="1" x14ac:dyDescent="0.35">
      <c r="A1920" s="16" t="s">
        <v>1467</v>
      </c>
      <c r="B1920" s="16" t="s">
        <v>408</v>
      </c>
      <c r="C1920" s="16" t="s">
        <v>412</v>
      </c>
      <c r="D1920" s="16" t="s">
        <v>409</v>
      </c>
      <c r="E1920" s="17">
        <v>41640</v>
      </c>
      <c r="F1920" s="17">
        <v>42004</v>
      </c>
      <c r="G1920" s="16" t="s">
        <v>410</v>
      </c>
      <c r="H1920" s="16">
        <v>0</v>
      </c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  <c r="AB1920" s="16"/>
      <c r="AC1920" s="16"/>
      <c r="AD1920" s="16"/>
      <c r="AE1920" s="16"/>
      <c r="AF1920" s="16" t="s">
        <v>413</v>
      </c>
    </row>
    <row r="1921" spans="1:32" ht="14.25" customHeight="1" x14ac:dyDescent="0.35">
      <c r="A1921" s="14" t="s">
        <v>1468</v>
      </c>
      <c r="B1921" s="14" t="s">
        <v>460</v>
      </c>
      <c r="C1921" s="14" t="s">
        <v>414</v>
      </c>
      <c r="D1921" s="14" t="s">
        <v>409</v>
      </c>
      <c r="E1921" s="15">
        <v>41640</v>
      </c>
      <c r="F1921" s="15">
        <v>42004</v>
      </c>
      <c r="G1921" s="14" t="s">
        <v>410</v>
      </c>
      <c r="H1921" s="14">
        <v>22</v>
      </c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 t="s">
        <v>413</v>
      </c>
    </row>
    <row r="1922" spans="1:32" ht="14.25" customHeight="1" x14ac:dyDescent="0.35">
      <c r="A1922" s="16" t="s">
        <v>1469</v>
      </c>
      <c r="B1922" s="16" t="s">
        <v>460</v>
      </c>
      <c r="C1922" s="16" t="s">
        <v>414</v>
      </c>
      <c r="D1922" s="16" t="s">
        <v>409</v>
      </c>
      <c r="E1922" s="17">
        <v>41640</v>
      </c>
      <c r="F1922" s="17">
        <v>42004</v>
      </c>
      <c r="G1922" s="16" t="s">
        <v>410</v>
      </c>
      <c r="H1922" s="16">
        <v>60</v>
      </c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 t="s">
        <v>413</v>
      </c>
    </row>
    <row r="1923" spans="1:32" ht="14.25" customHeight="1" x14ac:dyDescent="0.35">
      <c r="A1923" s="14" t="s">
        <v>1470</v>
      </c>
      <c r="B1923" s="14" t="s">
        <v>460</v>
      </c>
      <c r="C1923" s="14" t="s">
        <v>414</v>
      </c>
      <c r="D1923" s="14" t="s">
        <v>409</v>
      </c>
      <c r="E1923" s="15">
        <v>41640</v>
      </c>
      <c r="F1923" s="15">
        <v>42004</v>
      </c>
      <c r="G1923" s="14" t="s">
        <v>410</v>
      </c>
      <c r="H1923" s="14">
        <v>60</v>
      </c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 t="s">
        <v>413</v>
      </c>
    </row>
    <row r="1924" spans="1:32" ht="14.25" customHeight="1" x14ac:dyDescent="0.35">
      <c r="A1924" s="16" t="s">
        <v>1471</v>
      </c>
      <c r="B1924" s="16" t="s">
        <v>408</v>
      </c>
      <c r="C1924" s="16" t="s">
        <v>414</v>
      </c>
      <c r="D1924" s="16" t="s">
        <v>409</v>
      </c>
      <c r="E1924" s="17">
        <v>41640</v>
      </c>
      <c r="F1924" s="17">
        <v>42004</v>
      </c>
      <c r="G1924" s="16" t="s">
        <v>410</v>
      </c>
      <c r="H1924" s="16">
        <v>12.8</v>
      </c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6"/>
      <c r="AF1924" s="16" t="s">
        <v>413</v>
      </c>
    </row>
    <row r="1925" spans="1:32" ht="14.25" customHeight="1" x14ac:dyDescent="0.35">
      <c r="A1925" s="14" t="s">
        <v>1472</v>
      </c>
      <c r="B1925" s="14" t="s">
        <v>408</v>
      </c>
      <c r="C1925" s="14"/>
      <c r="D1925" s="14" t="s">
        <v>409</v>
      </c>
      <c r="E1925" s="15">
        <v>41640</v>
      </c>
      <c r="F1925" s="15">
        <v>42004</v>
      </c>
      <c r="G1925" s="14" t="s">
        <v>410</v>
      </c>
      <c r="H1925" s="14">
        <v>0</v>
      </c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 t="s">
        <v>413</v>
      </c>
    </row>
    <row r="1926" spans="1:32" ht="14.25" customHeight="1" x14ac:dyDescent="0.35">
      <c r="A1926" s="16" t="s">
        <v>1473</v>
      </c>
      <c r="B1926" s="16" t="s">
        <v>420</v>
      </c>
      <c r="C1926" s="16" t="s">
        <v>414</v>
      </c>
      <c r="D1926" s="16" t="s">
        <v>476</v>
      </c>
      <c r="E1926" s="17">
        <v>41640</v>
      </c>
      <c r="F1926" s="17">
        <v>42004</v>
      </c>
      <c r="G1926" s="16" t="s">
        <v>410</v>
      </c>
      <c r="H1926" s="16">
        <v>27</v>
      </c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6"/>
      <c r="AF1926" s="16" t="s">
        <v>411</v>
      </c>
    </row>
    <row r="1927" spans="1:32" ht="14.25" customHeight="1" x14ac:dyDescent="0.35">
      <c r="A1927" s="14" t="s">
        <v>1473</v>
      </c>
      <c r="B1927" s="14" t="s">
        <v>420</v>
      </c>
      <c r="C1927" s="14" t="s">
        <v>414</v>
      </c>
      <c r="D1927" s="14" t="s">
        <v>419</v>
      </c>
      <c r="E1927" s="15">
        <v>41640</v>
      </c>
      <c r="F1927" s="15">
        <v>42004</v>
      </c>
      <c r="G1927" s="14" t="s">
        <v>415</v>
      </c>
      <c r="H1927" s="14">
        <v>27</v>
      </c>
      <c r="I1927" s="14">
        <v>27</v>
      </c>
      <c r="J1927" s="14">
        <v>27</v>
      </c>
      <c r="K1927" s="14">
        <v>27</v>
      </c>
      <c r="L1927" s="14">
        <v>27</v>
      </c>
      <c r="M1927" s="14">
        <v>27</v>
      </c>
      <c r="N1927" s="14">
        <v>24</v>
      </c>
      <c r="O1927" s="14">
        <v>24</v>
      </c>
      <c r="P1927" s="14">
        <v>24</v>
      </c>
      <c r="Q1927" s="14">
        <v>24</v>
      </c>
      <c r="R1927" s="14">
        <v>24</v>
      </c>
      <c r="S1927" s="14">
        <v>24</v>
      </c>
      <c r="T1927" s="14">
        <v>24</v>
      </c>
      <c r="U1927" s="14">
        <v>24</v>
      </c>
      <c r="V1927" s="14">
        <v>24</v>
      </c>
      <c r="W1927" s="14">
        <v>24</v>
      </c>
      <c r="X1927" s="14">
        <v>24</v>
      </c>
      <c r="Y1927" s="14">
        <v>24</v>
      </c>
      <c r="Z1927" s="14">
        <v>24</v>
      </c>
      <c r="AA1927" s="14">
        <v>24</v>
      </c>
      <c r="AB1927" s="14">
        <v>24</v>
      </c>
      <c r="AC1927" s="14">
        <v>27</v>
      </c>
      <c r="AD1927" s="14">
        <v>27</v>
      </c>
      <c r="AE1927" s="14">
        <v>27</v>
      </c>
      <c r="AF1927" s="14" t="s">
        <v>411</v>
      </c>
    </row>
    <row r="1928" spans="1:32" ht="14.25" customHeight="1" x14ac:dyDescent="0.35">
      <c r="A1928" s="16" t="s">
        <v>1474</v>
      </c>
      <c r="B1928" s="16" t="s">
        <v>420</v>
      </c>
      <c r="C1928" s="16" t="s">
        <v>414</v>
      </c>
      <c r="D1928" s="16" t="s">
        <v>453</v>
      </c>
      <c r="E1928" s="17">
        <v>41640</v>
      </c>
      <c r="F1928" s="17">
        <v>42004</v>
      </c>
      <c r="G1928" s="16" t="s">
        <v>410</v>
      </c>
      <c r="H1928" s="16">
        <v>16</v>
      </c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  <c r="AB1928" s="16"/>
      <c r="AC1928" s="16"/>
      <c r="AD1928" s="16"/>
      <c r="AE1928" s="16"/>
      <c r="AF1928" s="16" t="s">
        <v>411</v>
      </c>
    </row>
    <row r="1929" spans="1:32" ht="14.25" customHeight="1" x14ac:dyDescent="0.35">
      <c r="A1929" s="14" t="s">
        <v>1474</v>
      </c>
      <c r="B1929" s="14" t="s">
        <v>420</v>
      </c>
      <c r="C1929" s="14" t="s">
        <v>414</v>
      </c>
      <c r="D1929" s="14" t="s">
        <v>418</v>
      </c>
      <c r="E1929" s="15">
        <v>41640</v>
      </c>
      <c r="F1929" s="15">
        <v>42004</v>
      </c>
      <c r="G1929" s="14" t="s">
        <v>415</v>
      </c>
      <c r="H1929" s="14">
        <v>16</v>
      </c>
      <c r="I1929" s="14">
        <v>16</v>
      </c>
      <c r="J1929" s="14">
        <v>16</v>
      </c>
      <c r="K1929" s="14">
        <v>16</v>
      </c>
      <c r="L1929" s="14">
        <v>16</v>
      </c>
      <c r="M1929" s="14">
        <v>16</v>
      </c>
      <c r="N1929" s="14">
        <v>21</v>
      </c>
      <c r="O1929" s="14">
        <v>21</v>
      </c>
      <c r="P1929" s="14">
        <v>21</v>
      </c>
      <c r="Q1929" s="14">
        <v>21</v>
      </c>
      <c r="R1929" s="14">
        <v>21</v>
      </c>
      <c r="S1929" s="14">
        <v>21</v>
      </c>
      <c r="T1929" s="14">
        <v>21</v>
      </c>
      <c r="U1929" s="14">
        <v>21</v>
      </c>
      <c r="V1929" s="14">
        <v>21</v>
      </c>
      <c r="W1929" s="14">
        <v>21</v>
      </c>
      <c r="X1929" s="14">
        <v>21</v>
      </c>
      <c r="Y1929" s="14">
        <v>21</v>
      </c>
      <c r="Z1929" s="14">
        <v>21</v>
      </c>
      <c r="AA1929" s="14">
        <v>21</v>
      </c>
      <c r="AB1929" s="14">
        <v>21</v>
      </c>
      <c r="AC1929" s="14">
        <v>16</v>
      </c>
      <c r="AD1929" s="14">
        <v>16</v>
      </c>
      <c r="AE1929" s="14">
        <v>16</v>
      </c>
      <c r="AF1929" s="14" t="s">
        <v>411</v>
      </c>
    </row>
    <row r="1930" spans="1:32" ht="14.25" customHeight="1" x14ac:dyDescent="0.35">
      <c r="A1930" s="16" t="s">
        <v>1475</v>
      </c>
      <c r="B1930" s="16" t="s">
        <v>427</v>
      </c>
      <c r="C1930" s="16"/>
      <c r="D1930" s="16" t="s">
        <v>453</v>
      </c>
      <c r="E1930" s="17">
        <v>41640</v>
      </c>
      <c r="F1930" s="17">
        <v>42004</v>
      </c>
      <c r="G1930" s="16" t="s">
        <v>415</v>
      </c>
      <c r="H1930" s="16">
        <v>0.35</v>
      </c>
      <c r="I1930" s="16">
        <v>0.35</v>
      </c>
      <c r="J1930" s="16">
        <v>0.35</v>
      </c>
      <c r="K1930" s="16">
        <v>0.35</v>
      </c>
      <c r="L1930" s="16">
        <v>0.35</v>
      </c>
      <c r="M1930" s="16">
        <v>0.35</v>
      </c>
      <c r="N1930" s="16">
        <v>0.35</v>
      </c>
      <c r="O1930" s="16">
        <v>0.35</v>
      </c>
      <c r="P1930" s="16">
        <v>0.95</v>
      </c>
      <c r="Q1930" s="16">
        <v>0.95</v>
      </c>
      <c r="R1930" s="16">
        <v>0.95</v>
      </c>
      <c r="S1930" s="16">
        <v>0.95</v>
      </c>
      <c r="T1930" s="16">
        <v>0.95</v>
      </c>
      <c r="U1930" s="16">
        <v>0.95</v>
      </c>
      <c r="V1930" s="16">
        <v>0.95</v>
      </c>
      <c r="W1930" s="16">
        <v>0.95</v>
      </c>
      <c r="X1930" s="16">
        <v>0.95</v>
      </c>
      <c r="Y1930" s="16">
        <v>0.35</v>
      </c>
      <c r="Z1930" s="16">
        <v>0.35</v>
      </c>
      <c r="AA1930" s="16">
        <v>0.35</v>
      </c>
      <c r="AB1930" s="16">
        <v>0.35</v>
      </c>
      <c r="AC1930" s="16">
        <v>0.35</v>
      </c>
      <c r="AD1930" s="16">
        <v>0.35</v>
      </c>
      <c r="AE1930" s="16">
        <v>0.35</v>
      </c>
      <c r="AF1930" s="16" t="s">
        <v>411</v>
      </c>
    </row>
    <row r="1931" spans="1:32" ht="14.25" customHeight="1" x14ac:dyDescent="0.35">
      <c r="A1931" s="14" t="s">
        <v>1475</v>
      </c>
      <c r="B1931" s="14" t="s">
        <v>427</v>
      </c>
      <c r="C1931" s="14"/>
      <c r="D1931" s="14" t="s">
        <v>429</v>
      </c>
      <c r="E1931" s="15">
        <v>41883</v>
      </c>
      <c r="F1931" s="15">
        <v>42004</v>
      </c>
      <c r="G1931" s="14" t="s">
        <v>415</v>
      </c>
      <c r="H1931" s="14">
        <v>0.35</v>
      </c>
      <c r="I1931" s="14">
        <v>0.35</v>
      </c>
      <c r="J1931" s="14">
        <v>0.35</v>
      </c>
      <c r="K1931" s="14">
        <v>0.35</v>
      </c>
      <c r="L1931" s="14">
        <v>0.35</v>
      </c>
      <c r="M1931" s="14">
        <v>0.35</v>
      </c>
      <c r="N1931" s="14">
        <v>0.35</v>
      </c>
      <c r="O1931" s="14">
        <v>0.35</v>
      </c>
      <c r="P1931" s="14">
        <v>0.95</v>
      </c>
      <c r="Q1931" s="14">
        <v>0.95</v>
      </c>
      <c r="R1931" s="14">
        <v>0.95</v>
      </c>
      <c r="S1931" s="14">
        <v>0.95</v>
      </c>
      <c r="T1931" s="14">
        <v>0.95</v>
      </c>
      <c r="U1931" s="14">
        <v>0.95</v>
      </c>
      <c r="V1931" s="14">
        <v>0.95</v>
      </c>
      <c r="W1931" s="14">
        <v>0.95</v>
      </c>
      <c r="X1931" s="14">
        <v>0.95</v>
      </c>
      <c r="Y1931" s="14">
        <v>0.35</v>
      </c>
      <c r="Z1931" s="14">
        <v>0.35</v>
      </c>
      <c r="AA1931" s="14">
        <v>0.35</v>
      </c>
      <c r="AB1931" s="14">
        <v>0.35</v>
      </c>
      <c r="AC1931" s="14">
        <v>0.35</v>
      </c>
      <c r="AD1931" s="14">
        <v>0.35</v>
      </c>
      <c r="AE1931" s="14">
        <v>0.35</v>
      </c>
      <c r="AF1931" s="14" t="s">
        <v>411</v>
      </c>
    </row>
    <row r="1932" spans="1:32" ht="14.25" customHeight="1" x14ac:dyDescent="0.35">
      <c r="A1932" s="14" t="s">
        <v>1475</v>
      </c>
      <c r="B1932" s="14" t="s">
        <v>427</v>
      </c>
      <c r="C1932" s="14"/>
      <c r="D1932" s="14" t="s">
        <v>429</v>
      </c>
      <c r="E1932" s="15">
        <v>41821</v>
      </c>
      <c r="F1932" s="15">
        <v>41883</v>
      </c>
      <c r="G1932" s="14" t="s">
        <v>415</v>
      </c>
      <c r="H1932" s="14">
        <v>0.25</v>
      </c>
      <c r="I1932" s="14">
        <v>0.25</v>
      </c>
      <c r="J1932" s="14">
        <v>0.25</v>
      </c>
      <c r="K1932" s="14">
        <v>0.25</v>
      </c>
      <c r="L1932" s="14">
        <v>0.25</v>
      </c>
      <c r="M1932" s="14">
        <v>0.25</v>
      </c>
      <c r="N1932" s="14">
        <v>0.25</v>
      </c>
      <c r="O1932" s="14">
        <v>0.25</v>
      </c>
      <c r="P1932" s="14">
        <v>0.5</v>
      </c>
      <c r="Q1932" s="14">
        <v>0.5</v>
      </c>
      <c r="R1932" s="14">
        <v>0.5</v>
      </c>
      <c r="S1932" s="14">
        <v>0.5</v>
      </c>
      <c r="T1932" s="14">
        <v>0.5</v>
      </c>
      <c r="U1932" s="14">
        <v>0.5</v>
      </c>
      <c r="V1932" s="14">
        <v>0.5</v>
      </c>
      <c r="W1932" s="14">
        <v>0.5</v>
      </c>
      <c r="X1932" s="14">
        <v>0.5</v>
      </c>
      <c r="Y1932" s="14">
        <v>0.25</v>
      </c>
      <c r="Z1932" s="14">
        <v>0.25</v>
      </c>
      <c r="AA1932" s="14">
        <v>0.25</v>
      </c>
      <c r="AB1932" s="14">
        <v>0.25</v>
      </c>
      <c r="AC1932" s="14">
        <v>0.25</v>
      </c>
      <c r="AD1932" s="14">
        <v>0.25</v>
      </c>
      <c r="AE1932" s="14">
        <v>0.25</v>
      </c>
      <c r="AF1932" s="14" t="s">
        <v>411</v>
      </c>
    </row>
    <row r="1933" spans="1:32" ht="14.25" customHeight="1" x14ac:dyDescent="0.35">
      <c r="A1933" s="16" t="s">
        <v>1475</v>
      </c>
      <c r="B1933" s="16" t="s">
        <v>427</v>
      </c>
      <c r="C1933" s="16"/>
      <c r="D1933" s="16" t="s">
        <v>530</v>
      </c>
      <c r="E1933" s="17">
        <v>41883</v>
      </c>
      <c r="F1933" s="17">
        <v>42004</v>
      </c>
      <c r="G1933" s="16" t="s">
        <v>410</v>
      </c>
      <c r="H1933" s="16">
        <v>0.35</v>
      </c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 t="s">
        <v>411</v>
      </c>
    </row>
    <row r="1934" spans="1:32" ht="14.25" customHeight="1" x14ac:dyDescent="0.35">
      <c r="A1934" s="16" t="s">
        <v>1475</v>
      </c>
      <c r="B1934" s="16" t="s">
        <v>427</v>
      </c>
      <c r="C1934" s="16"/>
      <c r="D1934" s="16" t="s">
        <v>530</v>
      </c>
      <c r="E1934" s="17">
        <v>41821</v>
      </c>
      <c r="F1934" s="17">
        <v>41883</v>
      </c>
      <c r="G1934" s="16" t="s">
        <v>410</v>
      </c>
      <c r="H1934" s="16">
        <v>0.25</v>
      </c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6"/>
      <c r="AF1934" s="16" t="s">
        <v>411</v>
      </c>
    </row>
    <row r="1935" spans="1:32" ht="14.25" customHeight="1" x14ac:dyDescent="0.35">
      <c r="A1935" s="16" t="s">
        <v>1475</v>
      </c>
      <c r="B1935" s="16" t="s">
        <v>427</v>
      </c>
      <c r="C1935" s="16"/>
      <c r="D1935" s="16" t="s">
        <v>530</v>
      </c>
      <c r="E1935" s="17">
        <v>41640</v>
      </c>
      <c r="F1935" s="17">
        <v>41820</v>
      </c>
      <c r="G1935" s="16" t="s">
        <v>410</v>
      </c>
      <c r="H1935" s="16">
        <v>0.35</v>
      </c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16"/>
      <c r="AF1935" s="16" t="s">
        <v>411</v>
      </c>
    </row>
    <row r="1936" spans="1:32" ht="14.25" customHeight="1" x14ac:dyDescent="0.35">
      <c r="A1936" s="14" t="s">
        <v>1475</v>
      </c>
      <c r="B1936" s="14" t="s">
        <v>427</v>
      </c>
      <c r="C1936" s="14"/>
      <c r="D1936" s="14" t="s">
        <v>418</v>
      </c>
      <c r="E1936" s="15">
        <v>41640</v>
      </c>
      <c r="F1936" s="15">
        <v>42004</v>
      </c>
      <c r="G1936" s="14" t="s">
        <v>410</v>
      </c>
      <c r="H1936" s="14">
        <v>0.35</v>
      </c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 t="s">
        <v>411</v>
      </c>
    </row>
    <row r="1937" spans="1:32" ht="14.25" customHeight="1" x14ac:dyDescent="0.35">
      <c r="A1937" s="14" t="s">
        <v>1476</v>
      </c>
      <c r="B1937" s="14" t="s">
        <v>424</v>
      </c>
      <c r="C1937" s="14"/>
      <c r="D1937" s="14" t="s">
        <v>453</v>
      </c>
      <c r="E1937" s="15">
        <v>41640</v>
      </c>
      <c r="F1937" s="15">
        <v>42004</v>
      </c>
      <c r="G1937" s="14" t="s">
        <v>415</v>
      </c>
      <c r="H1937" s="14">
        <v>0.17730000000000001</v>
      </c>
      <c r="I1937" s="14">
        <v>0.17730000000000001</v>
      </c>
      <c r="J1937" s="14">
        <v>0.17730000000000001</v>
      </c>
      <c r="K1937" s="14">
        <v>0.17730000000000001</v>
      </c>
      <c r="L1937" s="14">
        <v>0.17730000000000001</v>
      </c>
      <c r="M1937" s="14">
        <v>0.17730000000000001</v>
      </c>
      <c r="N1937" s="14">
        <v>0.17730000000000001</v>
      </c>
      <c r="O1937" s="14">
        <v>0.9</v>
      </c>
      <c r="P1937" s="14">
        <v>0.9</v>
      </c>
      <c r="Q1937" s="14">
        <v>0.9</v>
      </c>
      <c r="R1937" s="14">
        <v>0.9</v>
      </c>
      <c r="S1937" s="14">
        <v>0.9</v>
      </c>
      <c r="T1937" s="14">
        <v>0.9</v>
      </c>
      <c r="U1937" s="14">
        <v>0.9</v>
      </c>
      <c r="V1937" s="14">
        <v>0.9</v>
      </c>
      <c r="W1937" s="14">
        <v>0.9</v>
      </c>
      <c r="X1937" s="14">
        <v>0.9</v>
      </c>
      <c r="Y1937" s="14">
        <v>0.9</v>
      </c>
      <c r="Z1937" s="14">
        <v>0.9</v>
      </c>
      <c r="AA1937" s="14">
        <v>0.9</v>
      </c>
      <c r="AB1937" s="14">
        <v>0.9</v>
      </c>
      <c r="AC1937" s="14">
        <v>0.17730000000000001</v>
      </c>
      <c r="AD1937" s="14">
        <v>0.17730000000000001</v>
      </c>
      <c r="AE1937" s="14">
        <v>0.17730000000000001</v>
      </c>
      <c r="AF1937" s="14" t="s">
        <v>411</v>
      </c>
    </row>
    <row r="1938" spans="1:32" ht="14.25" customHeight="1" x14ac:dyDescent="0.35">
      <c r="A1938" s="16" t="s">
        <v>1476</v>
      </c>
      <c r="B1938" s="16" t="s">
        <v>424</v>
      </c>
      <c r="C1938" s="16"/>
      <c r="D1938" s="16" t="s">
        <v>429</v>
      </c>
      <c r="E1938" s="17">
        <v>41883</v>
      </c>
      <c r="F1938" s="17">
        <v>42004</v>
      </c>
      <c r="G1938" s="16" t="s">
        <v>415</v>
      </c>
      <c r="H1938" s="16">
        <v>0.17730000000000001</v>
      </c>
      <c r="I1938" s="16">
        <v>0.17730000000000001</v>
      </c>
      <c r="J1938" s="16">
        <v>0.17730000000000001</v>
      </c>
      <c r="K1938" s="16">
        <v>0.17730000000000001</v>
      </c>
      <c r="L1938" s="16">
        <v>0.17730000000000001</v>
      </c>
      <c r="M1938" s="16">
        <v>0.17730000000000001</v>
      </c>
      <c r="N1938" s="16">
        <v>0.17730000000000001</v>
      </c>
      <c r="O1938" s="16">
        <v>0.9</v>
      </c>
      <c r="P1938" s="16">
        <v>0.9</v>
      </c>
      <c r="Q1938" s="16">
        <v>0.9</v>
      </c>
      <c r="R1938" s="16">
        <v>0.9</v>
      </c>
      <c r="S1938" s="16">
        <v>0.9</v>
      </c>
      <c r="T1938" s="16">
        <v>0.9</v>
      </c>
      <c r="U1938" s="16">
        <v>0.9</v>
      </c>
      <c r="V1938" s="16">
        <v>0.9</v>
      </c>
      <c r="W1938" s="16">
        <v>0.9</v>
      </c>
      <c r="X1938" s="16">
        <v>0.9</v>
      </c>
      <c r="Y1938" s="16">
        <v>0.9</v>
      </c>
      <c r="Z1938" s="16">
        <v>0.9</v>
      </c>
      <c r="AA1938" s="16">
        <v>0.9</v>
      </c>
      <c r="AB1938" s="16">
        <v>0.9</v>
      </c>
      <c r="AC1938" s="16">
        <v>0.17730000000000001</v>
      </c>
      <c r="AD1938" s="16">
        <v>0.17730000000000001</v>
      </c>
      <c r="AE1938" s="16">
        <v>0.17730000000000001</v>
      </c>
      <c r="AF1938" s="16" t="s">
        <v>411</v>
      </c>
    </row>
    <row r="1939" spans="1:32" ht="14.25" customHeight="1" x14ac:dyDescent="0.35">
      <c r="A1939" s="16" t="s">
        <v>1476</v>
      </c>
      <c r="B1939" s="16" t="s">
        <v>424</v>
      </c>
      <c r="C1939" s="16"/>
      <c r="D1939" s="16" t="s">
        <v>429</v>
      </c>
      <c r="E1939" s="17">
        <v>41821</v>
      </c>
      <c r="F1939" s="17">
        <v>41883</v>
      </c>
      <c r="G1939" s="16" t="s">
        <v>415</v>
      </c>
      <c r="H1939" s="16">
        <v>0.17730000000000001</v>
      </c>
      <c r="I1939" s="16">
        <v>0.17730000000000001</v>
      </c>
      <c r="J1939" s="16">
        <v>0.17730000000000001</v>
      </c>
      <c r="K1939" s="16">
        <v>0.17730000000000001</v>
      </c>
      <c r="L1939" s="16">
        <v>0.17730000000000001</v>
      </c>
      <c r="M1939" s="16">
        <v>0.17730000000000001</v>
      </c>
      <c r="N1939" s="16">
        <v>0.17730000000000001</v>
      </c>
      <c r="O1939" s="16">
        <v>0.17730000000000001</v>
      </c>
      <c r="P1939" s="16">
        <v>0.5</v>
      </c>
      <c r="Q1939" s="16">
        <v>0.5</v>
      </c>
      <c r="R1939" s="16">
        <v>0.5</v>
      </c>
      <c r="S1939" s="16">
        <v>0.5</v>
      </c>
      <c r="T1939" s="16">
        <v>0.5</v>
      </c>
      <c r="U1939" s="16">
        <v>0.5</v>
      </c>
      <c r="V1939" s="16">
        <v>0.5</v>
      </c>
      <c r="W1939" s="16">
        <v>0.5</v>
      </c>
      <c r="X1939" s="16">
        <v>0.5</v>
      </c>
      <c r="Y1939" s="16">
        <v>0.5</v>
      </c>
      <c r="Z1939" s="16">
        <v>0.5</v>
      </c>
      <c r="AA1939" s="16">
        <v>0.5</v>
      </c>
      <c r="AB1939" s="16">
        <v>0.17730000000000001</v>
      </c>
      <c r="AC1939" s="16">
        <v>0.17730000000000001</v>
      </c>
      <c r="AD1939" s="16">
        <v>0.17730000000000001</v>
      </c>
      <c r="AE1939" s="16">
        <v>0.17730000000000001</v>
      </c>
      <c r="AF1939" s="16" t="s">
        <v>411</v>
      </c>
    </row>
    <row r="1940" spans="1:32" ht="14.25" customHeight="1" x14ac:dyDescent="0.35">
      <c r="A1940" s="14" t="s">
        <v>1476</v>
      </c>
      <c r="B1940" s="14" t="s">
        <v>424</v>
      </c>
      <c r="C1940" s="14"/>
      <c r="D1940" s="14" t="s">
        <v>530</v>
      </c>
      <c r="E1940" s="15">
        <v>41883</v>
      </c>
      <c r="F1940" s="15">
        <v>42004</v>
      </c>
      <c r="G1940" s="14" t="s">
        <v>410</v>
      </c>
      <c r="H1940" s="14">
        <v>0.17730000000000001</v>
      </c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 t="s">
        <v>411</v>
      </c>
    </row>
    <row r="1941" spans="1:32" ht="14.25" customHeight="1" x14ac:dyDescent="0.35">
      <c r="A1941" s="14" t="s">
        <v>1476</v>
      </c>
      <c r="B1941" s="14" t="s">
        <v>424</v>
      </c>
      <c r="C1941" s="14"/>
      <c r="D1941" s="14" t="s">
        <v>530</v>
      </c>
      <c r="E1941" s="15">
        <v>41821</v>
      </c>
      <c r="F1941" s="15">
        <v>41883</v>
      </c>
      <c r="G1941" s="14" t="s">
        <v>410</v>
      </c>
      <c r="H1941" s="14">
        <v>0.17730000000000001</v>
      </c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 t="s">
        <v>411</v>
      </c>
    </row>
    <row r="1942" spans="1:32" ht="14.25" customHeight="1" x14ac:dyDescent="0.35">
      <c r="A1942" s="14" t="s">
        <v>1476</v>
      </c>
      <c r="B1942" s="14" t="s">
        <v>424</v>
      </c>
      <c r="C1942" s="14"/>
      <c r="D1942" s="14" t="s">
        <v>530</v>
      </c>
      <c r="E1942" s="15">
        <v>41640</v>
      </c>
      <c r="F1942" s="15">
        <v>41820</v>
      </c>
      <c r="G1942" s="14" t="s">
        <v>410</v>
      </c>
      <c r="H1942" s="14">
        <v>0.17730000000000001</v>
      </c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 t="s">
        <v>411</v>
      </c>
    </row>
    <row r="1943" spans="1:32" ht="14.25" customHeight="1" x14ac:dyDescent="0.35">
      <c r="A1943" s="16" t="s">
        <v>1476</v>
      </c>
      <c r="B1943" s="16" t="s">
        <v>424</v>
      </c>
      <c r="C1943" s="16"/>
      <c r="D1943" s="16" t="s">
        <v>418</v>
      </c>
      <c r="E1943" s="17">
        <v>41640</v>
      </c>
      <c r="F1943" s="17">
        <v>42004</v>
      </c>
      <c r="G1943" s="16" t="s">
        <v>410</v>
      </c>
      <c r="H1943" s="16">
        <v>0.17730000000000001</v>
      </c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  <c r="AA1943" s="16"/>
      <c r="AB1943" s="16"/>
      <c r="AC1943" s="16"/>
      <c r="AD1943" s="16"/>
      <c r="AE1943" s="16"/>
      <c r="AF1943" s="16" t="s">
        <v>411</v>
      </c>
    </row>
    <row r="1944" spans="1:32" ht="14.25" customHeight="1" x14ac:dyDescent="0.35">
      <c r="A1944" s="16" t="s">
        <v>1477</v>
      </c>
      <c r="B1944" s="16" t="s">
        <v>448</v>
      </c>
      <c r="C1944" s="16"/>
      <c r="D1944" s="16" t="s">
        <v>453</v>
      </c>
      <c r="E1944" s="17">
        <v>41640</v>
      </c>
      <c r="F1944" s="17">
        <v>42004</v>
      </c>
      <c r="G1944" s="16" t="s">
        <v>415</v>
      </c>
      <c r="H1944" s="16">
        <v>0</v>
      </c>
      <c r="I1944" s="16">
        <v>0</v>
      </c>
      <c r="J1944" s="16">
        <v>0</v>
      </c>
      <c r="K1944" s="16">
        <v>0</v>
      </c>
      <c r="L1944" s="16">
        <v>0</v>
      </c>
      <c r="M1944" s="16">
        <v>0</v>
      </c>
      <c r="N1944" s="16">
        <v>0</v>
      </c>
      <c r="O1944" s="16">
        <v>0</v>
      </c>
      <c r="P1944" s="16">
        <v>0.75</v>
      </c>
      <c r="Q1944" s="16">
        <v>0.75</v>
      </c>
      <c r="R1944" s="16">
        <v>0.75</v>
      </c>
      <c r="S1944" s="16">
        <v>0.75</v>
      </c>
      <c r="T1944" s="16">
        <v>0.75</v>
      </c>
      <c r="U1944" s="16">
        <v>0.75</v>
      </c>
      <c r="V1944" s="16">
        <v>0.75</v>
      </c>
      <c r="W1944" s="16">
        <v>0.75</v>
      </c>
      <c r="X1944" s="16">
        <v>0.15</v>
      </c>
      <c r="Y1944" s="16">
        <v>0.15</v>
      </c>
      <c r="Z1944" s="16">
        <v>0.15</v>
      </c>
      <c r="AA1944" s="16">
        <v>0.15</v>
      </c>
      <c r="AB1944" s="16">
        <v>0.15</v>
      </c>
      <c r="AC1944" s="16">
        <v>0</v>
      </c>
      <c r="AD1944" s="16">
        <v>0</v>
      </c>
      <c r="AE1944" s="16">
        <v>0</v>
      </c>
      <c r="AF1944" s="16" t="s">
        <v>411</v>
      </c>
    </row>
    <row r="1945" spans="1:32" ht="14.25" customHeight="1" x14ac:dyDescent="0.35">
      <c r="A1945" s="14" t="s">
        <v>1477</v>
      </c>
      <c r="B1945" s="14" t="s">
        <v>448</v>
      </c>
      <c r="C1945" s="14"/>
      <c r="D1945" s="14" t="s">
        <v>429</v>
      </c>
      <c r="E1945" s="15">
        <v>41883</v>
      </c>
      <c r="F1945" s="15">
        <v>42004</v>
      </c>
      <c r="G1945" s="14" t="s">
        <v>415</v>
      </c>
      <c r="H1945" s="14">
        <v>0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0.75</v>
      </c>
      <c r="Q1945" s="14">
        <v>0.75</v>
      </c>
      <c r="R1945" s="14">
        <v>0.75</v>
      </c>
      <c r="S1945" s="14">
        <v>0.75</v>
      </c>
      <c r="T1945" s="14">
        <v>0.75</v>
      </c>
      <c r="U1945" s="14">
        <v>0.75</v>
      </c>
      <c r="V1945" s="14">
        <v>0.75</v>
      </c>
      <c r="W1945" s="14">
        <v>0.75</v>
      </c>
      <c r="X1945" s="14">
        <v>0.15</v>
      </c>
      <c r="Y1945" s="14">
        <v>0.15</v>
      </c>
      <c r="Z1945" s="14">
        <v>0.15</v>
      </c>
      <c r="AA1945" s="14">
        <v>0.15</v>
      </c>
      <c r="AB1945" s="14">
        <v>0.15</v>
      </c>
      <c r="AC1945" s="14">
        <v>0</v>
      </c>
      <c r="AD1945" s="14">
        <v>0</v>
      </c>
      <c r="AE1945" s="14">
        <v>0</v>
      </c>
      <c r="AF1945" s="14" t="s">
        <v>411</v>
      </c>
    </row>
    <row r="1946" spans="1:32" ht="14.25" customHeight="1" x14ac:dyDescent="0.35">
      <c r="A1946" s="14" t="s">
        <v>1477</v>
      </c>
      <c r="B1946" s="14" t="s">
        <v>448</v>
      </c>
      <c r="C1946" s="14"/>
      <c r="D1946" s="14" t="s">
        <v>429</v>
      </c>
      <c r="E1946" s="15">
        <v>41821</v>
      </c>
      <c r="F1946" s="15">
        <v>41883</v>
      </c>
      <c r="G1946" s="14" t="s">
        <v>415</v>
      </c>
      <c r="H1946" s="14">
        <v>0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0.15</v>
      </c>
      <c r="Q1946" s="14">
        <v>0.15</v>
      </c>
      <c r="R1946" s="14">
        <v>0.15</v>
      </c>
      <c r="S1946" s="14">
        <v>0.15</v>
      </c>
      <c r="T1946" s="14">
        <v>0.15</v>
      </c>
      <c r="U1946" s="14">
        <v>0.15</v>
      </c>
      <c r="V1946" s="14">
        <v>0.15</v>
      </c>
      <c r="W1946" s="14">
        <v>0.15</v>
      </c>
      <c r="X1946" s="14">
        <v>0.15</v>
      </c>
      <c r="Y1946" s="14">
        <v>0.15</v>
      </c>
      <c r="Z1946" s="14">
        <v>0.15</v>
      </c>
      <c r="AA1946" s="14">
        <v>0.15</v>
      </c>
      <c r="AB1946" s="14">
        <v>0.15</v>
      </c>
      <c r="AC1946" s="14">
        <v>0</v>
      </c>
      <c r="AD1946" s="14">
        <v>0</v>
      </c>
      <c r="AE1946" s="14">
        <v>0</v>
      </c>
      <c r="AF1946" s="14" t="s">
        <v>411</v>
      </c>
    </row>
    <row r="1947" spans="1:32" ht="14.25" customHeight="1" x14ac:dyDescent="0.35">
      <c r="A1947" s="16" t="s">
        <v>1477</v>
      </c>
      <c r="B1947" s="16" t="s">
        <v>448</v>
      </c>
      <c r="C1947" s="16"/>
      <c r="D1947" s="16" t="s">
        <v>530</v>
      </c>
      <c r="E1947" s="17">
        <v>41883</v>
      </c>
      <c r="F1947" s="17">
        <v>42004</v>
      </c>
      <c r="G1947" s="16" t="s">
        <v>410</v>
      </c>
      <c r="H1947" s="16">
        <v>0</v>
      </c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  <c r="AB1947" s="16"/>
      <c r="AC1947" s="16"/>
      <c r="AD1947" s="16"/>
      <c r="AE1947" s="16"/>
      <c r="AF1947" s="16" t="s">
        <v>411</v>
      </c>
    </row>
    <row r="1948" spans="1:32" ht="14.25" customHeight="1" x14ac:dyDescent="0.35">
      <c r="A1948" s="16" t="s">
        <v>1477</v>
      </c>
      <c r="B1948" s="16" t="s">
        <v>448</v>
      </c>
      <c r="C1948" s="16"/>
      <c r="D1948" s="16" t="s">
        <v>530</v>
      </c>
      <c r="E1948" s="17">
        <v>41821</v>
      </c>
      <c r="F1948" s="17">
        <v>41883</v>
      </c>
      <c r="G1948" s="16" t="s">
        <v>410</v>
      </c>
      <c r="H1948" s="16">
        <v>0</v>
      </c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  <c r="AB1948" s="16"/>
      <c r="AC1948" s="16"/>
      <c r="AD1948" s="16"/>
      <c r="AE1948" s="16"/>
      <c r="AF1948" s="16" t="s">
        <v>411</v>
      </c>
    </row>
    <row r="1949" spans="1:32" ht="14.25" customHeight="1" x14ac:dyDescent="0.35">
      <c r="A1949" s="16" t="s">
        <v>1477</v>
      </c>
      <c r="B1949" s="16" t="s">
        <v>448</v>
      </c>
      <c r="C1949" s="16"/>
      <c r="D1949" s="16" t="s">
        <v>530</v>
      </c>
      <c r="E1949" s="17">
        <v>41640</v>
      </c>
      <c r="F1949" s="17">
        <v>41820</v>
      </c>
      <c r="G1949" s="16" t="s">
        <v>410</v>
      </c>
      <c r="H1949" s="16">
        <v>0</v>
      </c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 t="s">
        <v>411</v>
      </c>
    </row>
    <row r="1950" spans="1:32" ht="14.25" customHeight="1" x14ac:dyDescent="0.35">
      <c r="A1950" s="14" t="s">
        <v>1477</v>
      </c>
      <c r="B1950" s="14" t="s">
        <v>448</v>
      </c>
      <c r="C1950" s="14"/>
      <c r="D1950" s="14" t="s">
        <v>418</v>
      </c>
      <c r="E1950" s="15">
        <v>41640</v>
      </c>
      <c r="F1950" s="15">
        <v>42004</v>
      </c>
      <c r="G1950" s="14" t="s">
        <v>410</v>
      </c>
      <c r="H1950" s="14">
        <v>0</v>
      </c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 t="s">
        <v>411</v>
      </c>
    </row>
    <row r="1951" spans="1:32" ht="14.25" customHeight="1" x14ac:dyDescent="0.35">
      <c r="A1951" s="14" t="s">
        <v>1478</v>
      </c>
      <c r="B1951" s="14" t="s">
        <v>448</v>
      </c>
      <c r="C1951" s="14"/>
      <c r="D1951" s="14" t="s">
        <v>453</v>
      </c>
      <c r="E1951" s="15">
        <v>41640</v>
      </c>
      <c r="F1951" s="15">
        <v>42004</v>
      </c>
      <c r="G1951" s="14" t="s">
        <v>415</v>
      </c>
      <c r="H1951" s="14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0.15</v>
      </c>
      <c r="P1951" s="14">
        <v>0.15</v>
      </c>
      <c r="Q1951" s="14">
        <v>0.05</v>
      </c>
      <c r="R1951" s="14">
        <v>0.05</v>
      </c>
      <c r="S1951" s="14">
        <v>0.95</v>
      </c>
      <c r="T1951" s="14">
        <v>0.95</v>
      </c>
      <c r="U1951" s="14">
        <v>0.15</v>
      </c>
      <c r="V1951" s="14">
        <v>0.15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  <c r="AC1951" s="14">
        <v>0</v>
      </c>
      <c r="AD1951" s="14">
        <v>0</v>
      </c>
      <c r="AE1951" s="14">
        <v>0</v>
      </c>
      <c r="AF1951" s="14" t="s">
        <v>411</v>
      </c>
    </row>
    <row r="1952" spans="1:32" ht="14.25" customHeight="1" x14ac:dyDescent="0.35">
      <c r="A1952" s="16" t="s">
        <v>1478</v>
      </c>
      <c r="B1952" s="16" t="s">
        <v>448</v>
      </c>
      <c r="C1952" s="16"/>
      <c r="D1952" s="16" t="s">
        <v>429</v>
      </c>
      <c r="E1952" s="17">
        <v>41883</v>
      </c>
      <c r="F1952" s="17">
        <v>42004</v>
      </c>
      <c r="G1952" s="16" t="s">
        <v>415</v>
      </c>
      <c r="H1952" s="16">
        <v>0</v>
      </c>
      <c r="I1952" s="16">
        <v>0</v>
      </c>
      <c r="J1952" s="16">
        <v>0</v>
      </c>
      <c r="K1952" s="16">
        <v>0</v>
      </c>
      <c r="L1952" s="16">
        <v>0</v>
      </c>
      <c r="M1952" s="16">
        <v>0</v>
      </c>
      <c r="N1952" s="16">
        <v>0</v>
      </c>
      <c r="O1952" s="16">
        <v>0.15</v>
      </c>
      <c r="P1952" s="16">
        <v>0.15</v>
      </c>
      <c r="Q1952" s="16">
        <v>0.05</v>
      </c>
      <c r="R1952" s="16">
        <v>0.05</v>
      </c>
      <c r="S1952" s="16">
        <v>0.95</v>
      </c>
      <c r="T1952" s="16">
        <v>0.95</v>
      </c>
      <c r="U1952" s="16">
        <v>0.15</v>
      </c>
      <c r="V1952" s="16">
        <v>0.15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  <c r="AC1952" s="16">
        <v>0</v>
      </c>
      <c r="AD1952" s="16">
        <v>0</v>
      </c>
      <c r="AE1952" s="16">
        <v>0</v>
      </c>
      <c r="AF1952" s="16" t="s">
        <v>411</v>
      </c>
    </row>
    <row r="1953" spans="1:32" ht="14.25" customHeight="1" x14ac:dyDescent="0.35">
      <c r="A1953" s="16" t="s">
        <v>1478</v>
      </c>
      <c r="B1953" s="16" t="s">
        <v>448</v>
      </c>
      <c r="C1953" s="16"/>
      <c r="D1953" s="16" t="s">
        <v>429</v>
      </c>
      <c r="E1953" s="17">
        <v>41821</v>
      </c>
      <c r="F1953" s="17">
        <v>41883</v>
      </c>
      <c r="G1953" s="16" t="s">
        <v>415</v>
      </c>
      <c r="H1953" s="16">
        <v>0</v>
      </c>
      <c r="I1953" s="16">
        <v>0</v>
      </c>
      <c r="J1953" s="16">
        <v>0</v>
      </c>
      <c r="K1953" s="16">
        <v>0</v>
      </c>
      <c r="L1953" s="16">
        <v>0</v>
      </c>
      <c r="M1953" s="16">
        <v>0</v>
      </c>
      <c r="N1953" s="16">
        <v>0</v>
      </c>
      <c r="O1953" s="16">
        <v>0</v>
      </c>
      <c r="P1953" s="16">
        <v>0</v>
      </c>
      <c r="Q1953" s="16">
        <v>0.25</v>
      </c>
      <c r="R1953" s="16">
        <v>0.25</v>
      </c>
      <c r="S1953" s="16">
        <v>0.25</v>
      </c>
      <c r="T1953" s="16">
        <v>0.25</v>
      </c>
      <c r="U1953" s="16">
        <v>0.25</v>
      </c>
      <c r="V1953" s="16">
        <v>0.25</v>
      </c>
      <c r="W1953" s="16">
        <v>0</v>
      </c>
      <c r="X1953" s="16">
        <v>0</v>
      </c>
      <c r="Y1953" s="16">
        <v>0</v>
      </c>
      <c r="Z1953" s="16">
        <v>0</v>
      </c>
      <c r="AA1953" s="16">
        <v>0</v>
      </c>
      <c r="AB1953" s="16">
        <v>0</v>
      </c>
      <c r="AC1953" s="16">
        <v>0</v>
      </c>
      <c r="AD1953" s="16">
        <v>0</v>
      </c>
      <c r="AE1953" s="16">
        <v>0</v>
      </c>
      <c r="AF1953" s="16" t="s">
        <v>411</v>
      </c>
    </row>
    <row r="1954" spans="1:32" ht="14.25" customHeight="1" x14ac:dyDescent="0.35">
      <c r="A1954" s="14" t="s">
        <v>1478</v>
      </c>
      <c r="B1954" s="14" t="s">
        <v>448</v>
      </c>
      <c r="C1954" s="14"/>
      <c r="D1954" s="14" t="s">
        <v>530</v>
      </c>
      <c r="E1954" s="15">
        <v>41883</v>
      </c>
      <c r="F1954" s="15">
        <v>42004</v>
      </c>
      <c r="G1954" s="14" t="s">
        <v>410</v>
      </c>
      <c r="H1954" s="14">
        <v>0</v>
      </c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 t="s">
        <v>411</v>
      </c>
    </row>
    <row r="1955" spans="1:32" ht="14.25" customHeight="1" x14ac:dyDescent="0.35">
      <c r="A1955" s="14" t="s">
        <v>1478</v>
      </c>
      <c r="B1955" s="14" t="s">
        <v>448</v>
      </c>
      <c r="C1955" s="14"/>
      <c r="D1955" s="14" t="s">
        <v>530</v>
      </c>
      <c r="E1955" s="15">
        <v>41821</v>
      </c>
      <c r="F1955" s="15">
        <v>41883</v>
      </c>
      <c r="G1955" s="14" t="s">
        <v>410</v>
      </c>
      <c r="H1955" s="14">
        <v>0</v>
      </c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 t="s">
        <v>411</v>
      </c>
    </row>
    <row r="1956" spans="1:32" ht="14.25" customHeight="1" x14ac:dyDescent="0.35">
      <c r="A1956" s="14" t="s">
        <v>1478</v>
      </c>
      <c r="B1956" s="14" t="s">
        <v>448</v>
      </c>
      <c r="C1956" s="14"/>
      <c r="D1956" s="14" t="s">
        <v>530</v>
      </c>
      <c r="E1956" s="15">
        <v>41640</v>
      </c>
      <c r="F1956" s="15">
        <v>41820</v>
      </c>
      <c r="G1956" s="14" t="s">
        <v>410</v>
      </c>
      <c r="H1956" s="14">
        <v>0</v>
      </c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 t="s">
        <v>411</v>
      </c>
    </row>
    <row r="1957" spans="1:32" ht="14.25" customHeight="1" x14ac:dyDescent="0.35">
      <c r="A1957" s="16" t="s">
        <v>1478</v>
      </c>
      <c r="B1957" s="16" t="s">
        <v>448</v>
      </c>
      <c r="C1957" s="16"/>
      <c r="D1957" s="16" t="s">
        <v>418</v>
      </c>
      <c r="E1957" s="17">
        <v>41640</v>
      </c>
      <c r="F1957" s="17">
        <v>42004</v>
      </c>
      <c r="G1957" s="16" t="s">
        <v>410</v>
      </c>
      <c r="H1957" s="16">
        <v>0</v>
      </c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 t="s">
        <v>411</v>
      </c>
    </row>
    <row r="1958" spans="1:32" ht="14.25" customHeight="1" x14ac:dyDescent="0.35">
      <c r="A1958" s="16" t="s">
        <v>1479</v>
      </c>
      <c r="B1958" s="16" t="s">
        <v>420</v>
      </c>
      <c r="C1958" s="16" t="s">
        <v>414</v>
      </c>
      <c r="D1958" s="16" t="s">
        <v>417</v>
      </c>
      <c r="E1958" s="17">
        <v>41640</v>
      </c>
      <c r="F1958" s="17">
        <v>42004</v>
      </c>
      <c r="G1958" s="16" t="s">
        <v>415</v>
      </c>
      <c r="H1958" s="16">
        <v>27</v>
      </c>
      <c r="I1958" s="16">
        <v>27</v>
      </c>
      <c r="J1958" s="16">
        <v>27</v>
      </c>
      <c r="K1958" s="16">
        <v>27</v>
      </c>
      <c r="L1958" s="16">
        <v>27</v>
      </c>
      <c r="M1958" s="16">
        <v>27</v>
      </c>
      <c r="N1958" s="16">
        <v>24</v>
      </c>
      <c r="O1958" s="16">
        <v>24</v>
      </c>
      <c r="P1958" s="16">
        <v>24</v>
      </c>
      <c r="Q1958" s="16">
        <v>24</v>
      </c>
      <c r="R1958" s="16">
        <v>24</v>
      </c>
      <c r="S1958" s="16">
        <v>24</v>
      </c>
      <c r="T1958" s="16">
        <v>24</v>
      </c>
      <c r="U1958" s="16">
        <v>24</v>
      </c>
      <c r="V1958" s="16">
        <v>24</v>
      </c>
      <c r="W1958" s="16">
        <v>24</v>
      </c>
      <c r="X1958" s="16">
        <v>24</v>
      </c>
      <c r="Y1958" s="16">
        <v>24</v>
      </c>
      <c r="Z1958" s="16">
        <v>24</v>
      </c>
      <c r="AA1958" s="16">
        <v>24</v>
      </c>
      <c r="AB1958" s="16">
        <v>24</v>
      </c>
      <c r="AC1958" s="16">
        <v>27</v>
      </c>
      <c r="AD1958" s="16">
        <v>27</v>
      </c>
      <c r="AE1958" s="16">
        <v>27</v>
      </c>
      <c r="AF1958" s="16" t="s">
        <v>411</v>
      </c>
    </row>
    <row r="1959" spans="1:32" ht="14.25" customHeight="1" x14ac:dyDescent="0.35">
      <c r="A1959" s="16" t="s">
        <v>1479</v>
      </c>
      <c r="B1959" s="16" t="s">
        <v>420</v>
      </c>
      <c r="C1959" s="16" t="s">
        <v>414</v>
      </c>
      <c r="D1959" s="16" t="s">
        <v>419</v>
      </c>
      <c r="E1959" s="17">
        <v>41640</v>
      </c>
      <c r="F1959" s="17">
        <v>42004</v>
      </c>
      <c r="G1959" s="16" t="s">
        <v>410</v>
      </c>
      <c r="H1959" s="16">
        <v>24</v>
      </c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  <c r="AB1959" s="16"/>
      <c r="AC1959" s="16"/>
      <c r="AD1959" s="16"/>
      <c r="AE1959" s="16"/>
      <c r="AF1959" s="16" t="s">
        <v>411</v>
      </c>
    </row>
    <row r="1960" spans="1:32" ht="14.25" customHeight="1" x14ac:dyDescent="0.35">
      <c r="A1960" s="14" t="s">
        <v>1479</v>
      </c>
      <c r="B1960" s="14" t="s">
        <v>420</v>
      </c>
      <c r="C1960" s="14" t="s">
        <v>414</v>
      </c>
      <c r="D1960" s="14" t="s">
        <v>454</v>
      </c>
      <c r="E1960" s="15">
        <v>41883</v>
      </c>
      <c r="F1960" s="15">
        <v>42004</v>
      </c>
      <c r="G1960" s="14" t="s">
        <v>415</v>
      </c>
      <c r="H1960" s="14">
        <v>27</v>
      </c>
      <c r="I1960" s="14">
        <v>27</v>
      </c>
      <c r="J1960" s="14">
        <v>27</v>
      </c>
      <c r="K1960" s="14">
        <v>27</v>
      </c>
      <c r="L1960" s="14">
        <v>27</v>
      </c>
      <c r="M1960" s="14">
        <v>27</v>
      </c>
      <c r="N1960" s="14">
        <v>24</v>
      </c>
      <c r="O1960" s="14">
        <v>24</v>
      </c>
      <c r="P1960" s="14">
        <v>24</v>
      </c>
      <c r="Q1960" s="14">
        <v>24</v>
      </c>
      <c r="R1960" s="14">
        <v>24</v>
      </c>
      <c r="S1960" s="14">
        <v>24</v>
      </c>
      <c r="T1960" s="14">
        <v>24</v>
      </c>
      <c r="U1960" s="14">
        <v>24</v>
      </c>
      <c r="V1960" s="14">
        <v>24</v>
      </c>
      <c r="W1960" s="14">
        <v>24</v>
      </c>
      <c r="X1960" s="14">
        <v>24</v>
      </c>
      <c r="Y1960" s="14">
        <v>24</v>
      </c>
      <c r="Z1960" s="14">
        <v>24</v>
      </c>
      <c r="AA1960" s="14">
        <v>24</v>
      </c>
      <c r="AB1960" s="14">
        <v>24</v>
      </c>
      <c r="AC1960" s="14">
        <v>27</v>
      </c>
      <c r="AD1960" s="14">
        <v>27</v>
      </c>
      <c r="AE1960" s="14">
        <v>27</v>
      </c>
      <c r="AF1960" s="14" t="s">
        <v>411</v>
      </c>
    </row>
    <row r="1961" spans="1:32" ht="14.25" customHeight="1" x14ac:dyDescent="0.35">
      <c r="A1961" s="16" t="s">
        <v>1479</v>
      </c>
      <c r="B1961" s="16" t="s">
        <v>420</v>
      </c>
      <c r="C1961" s="16" t="s">
        <v>414</v>
      </c>
      <c r="D1961" s="16" t="s">
        <v>454</v>
      </c>
      <c r="E1961" s="17">
        <v>41821</v>
      </c>
      <c r="F1961" s="17">
        <v>41883</v>
      </c>
      <c r="G1961" s="16" t="s">
        <v>415</v>
      </c>
      <c r="H1961" s="16">
        <v>27</v>
      </c>
      <c r="I1961" s="16">
        <v>27</v>
      </c>
      <c r="J1961" s="16">
        <v>27</v>
      </c>
      <c r="K1961" s="16">
        <v>27</v>
      </c>
      <c r="L1961" s="16">
        <v>27</v>
      </c>
      <c r="M1961" s="16">
        <v>27</v>
      </c>
      <c r="N1961" s="16">
        <v>27</v>
      </c>
      <c r="O1961" s="16">
        <v>24</v>
      </c>
      <c r="P1961" s="16">
        <v>24</v>
      </c>
      <c r="Q1961" s="16">
        <v>24</v>
      </c>
      <c r="R1961" s="16">
        <v>24</v>
      </c>
      <c r="S1961" s="16">
        <v>24</v>
      </c>
      <c r="T1961" s="16">
        <v>24</v>
      </c>
      <c r="U1961" s="16">
        <v>24</v>
      </c>
      <c r="V1961" s="16">
        <v>24</v>
      </c>
      <c r="W1961" s="16">
        <v>24</v>
      </c>
      <c r="X1961" s="16">
        <v>24</v>
      </c>
      <c r="Y1961" s="16">
        <v>24</v>
      </c>
      <c r="Z1961" s="16">
        <v>27</v>
      </c>
      <c r="AA1961" s="16">
        <v>27</v>
      </c>
      <c r="AB1961" s="16">
        <v>27</v>
      </c>
      <c r="AC1961" s="16">
        <v>27</v>
      </c>
      <c r="AD1961" s="16">
        <v>27</v>
      </c>
      <c r="AE1961" s="16">
        <v>27</v>
      </c>
      <c r="AF1961" s="16" t="s">
        <v>411</v>
      </c>
    </row>
    <row r="1962" spans="1:32" ht="14.25" customHeight="1" x14ac:dyDescent="0.35">
      <c r="A1962" s="14" t="s">
        <v>1479</v>
      </c>
      <c r="B1962" s="14" t="s">
        <v>420</v>
      </c>
      <c r="C1962" s="14" t="s">
        <v>414</v>
      </c>
      <c r="D1962" s="14" t="s">
        <v>418</v>
      </c>
      <c r="E1962" s="15">
        <v>41640</v>
      </c>
      <c r="F1962" s="15">
        <v>42004</v>
      </c>
      <c r="G1962" s="14" t="s">
        <v>410</v>
      </c>
      <c r="H1962" s="14">
        <v>27</v>
      </c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 t="s">
        <v>411</v>
      </c>
    </row>
    <row r="1963" spans="1:32" ht="14.25" customHeight="1" x14ac:dyDescent="0.35">
      <c r="A1963" s="14" t="s">
        <v>1480</v>
      </c>
      <c r="B1963" s="14" t="s">
        <v>518</v>
      </c>
      <c r="C1963" s="14"/>
      <c r="D1963" s="14" t="s">
        <v>476</v>
      </c>
      <c r="E1963" s="15">
        <v>41640</v>
      </c>
      <c r="F1963" s="15">
        <v>42004</v>
      </c>
      <c r="G1963" s="14" t="s">
        <v>410</v>
      </c>
      <c r="H1963" s="14">
        <v>1.1000000000000001</v>
      </c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 t="s">
        <v>411</v>
      </c>
    </row>
    <row r="1964" spans="1:32" ht="14.25" customHeight="1" x14ac:dyDescent="0.35">
      <c r="A1964" s="16" t="s">
        <v>1480</v>
      </c>
      <c r="B1964" s="16" t="s">
        <v>518</v>
      </c>
      <c r="C1964" s="16"/>
      <c r="D1964" s="16" t="s">
        <v>419</v>
      </c>
      <c r="E1964" s="17">
        <v>41640</v>
      </c>
      <c r="F1964" s="17">
        <v>42004</v>
      </c>
      <c r="G1964" s="16" t="s">
        <v>410</v>
      </c>
      <c r="H1964" s="16">
        <v>0.6</v>
      </c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  <c r="AC1964" s="16"/>
      <c r="AD1964" s="16"/>
      <c r="AE1964" s="16"/>
      <c r="AF1964" s="16" t="s">
        <v>411</v>
      </c>
    </row>
    <row r="1965" spans="1:32" ht="14.25" customHeight="1" x14ac:dyDescent="0.35">
      <c r="A1965" s="14" t="s">
        <v>1480</v>
      </c>
      <c r="B1965" s="14" t="s">
        <v>518</v>
      </c>
      <c r="C1965" s="14"/>
      <c r="D1965" s="14" t="s">
        <v>454</v>
      </c>
      <c r="E1965" s="15">
        <v>41913</v>
      </c>
      <c r="F1965" s="15">
        <v>42004</v>
      </c>
      <c r="G1965" s="14" t="s">
        <v>410</v>
      </c>
      <c r="H1965" s="14">
        <v>1.1000000000000001</v>
      </c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 t="s">
        <v>411</v>
      </c>
    </row>
    <row r="1966" spans="1:32" ht="14.25" customHeight="1" x14ac:dyDescent="0.35">
      <c r="A1966" s="16" t="s">
        <v>1480</v>
      </c>
      <c r="B1966" s="16" t="s">
        <v>518</v>
      </c>
      <c r="C1966" s="16"/>
      <c r="D1966" s="16" t="s">
        <v>454</v>
      </c>
      <c r="E1966" s="17">
        <v>41760</v>
      </c>
      <c r="F1966" s="17">
        <v>41912</v>
      </c>
      <c r="G1966" s="16" t="s">
        <v>410</v>
      </c>
      <c r="H1966" s="16">
        <v>0.6</v>
      </c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6"/>
      <c r="AF1966" s="16" t="s">
        <v>411</v>
      </c>
    </row>
    <row r="1967" spans="1:32" ht="14.25" customHeight="1" x14ac:dyDescent="0.35">
      <c r="A1967" s="16" t="s">
        <v>1481</v>
      </c>
      <c r="B1967" s="16" t="s">
        <v>424</v>
      </c>
      <c r="C1967" s="16" t="s">
        <v>1290</v>
      </c>
      <c r="D1967" s="16" t="s">
        <v>409</v>
      </c>
      <c r="E1967" s="17">
        <v>41640</v>
      </c>
      <c r="F1967" s="17">
        <v>42004</v>
      </c>
      <c r="G1967" s="17" t="s">
        <v>415</v>
      </c>
      <c r="H1967" s="27">
        <v>0</v>
      </c>
      <c r="I1967" s="27">
        <v>0</v>
      </c>
      <c r="J1967" s="27">
        <v>0</v>
      </c>
      <c r="K1967" s="27">
        <v>0</v>
      </c>
      <c r="L1967" s="27">
        <v>0</v>
      </c>
      <c r="M1967" s="27">
        <v>0</v>
      </c>
      <c r="N1967" s="27">
        <v>0</v>
      </c>
      <c r="O1967" s="27">
        <v>1</v>
      </c>
      <c r="P1967" s="27">
        <v>1</v>
      </c>
      <c r="Q1967" s="27">
        <v>1</v>
      </c>
      <c r="R1967" s="27">
        <v>1</v>
      </c>
      <c r="S1967" s="27">
        <v>1</v>
      </c>
      <c r="T1967" s="27">
        <v>1</v>
      </c>
      <c r="U1967" s="27">
        <v>1</v>
      </c>
      <c r="V1967" s="27">
        <v>1</v>
      </c>
      <c r="W1967" s="27">
        <v>1</v>
      </c>
      <c r="X1967" s="27">
        <v>1</v>
      </c>
      <c r="Y1967" s="27">
        <v>1</v>
      </c>
      <c r="Z1967" s="27">
        <v>1</v>
      </c>
      <c r="AA1967" s="27">
        <v>1</v>
      </c>
      <c r="AB1967" s="27">
        <v>1</v>
      </c>
      <c r="AC1967" s="27">
        <v>1</v>
      </c>
      <c r="AD1967" s="27">
        <v>1</v>
      </c>
      <c r="AE1967" s="27">
        <v>1</v>
      </c>
      <c r="AF1967" s="16"/>
    </row>
    <row r="1968" spans="1:32" ht="14.25" customHeight="1" x14ac:dyDescent="0.35">
      <c r="A1968" s="14" t="s">
        <v>1482</v>
      </c>
      <c r="B1968" s="14" t="s">
        <v>424</v>
      </c>
      <c r="C1968" s="14" t="s">
        <v>1290</v>
      </c>
      <c r="D1968" s="14" t="s">
        <v>409</v>
      </c>
      <c r="E1968" s="15">
        <v>41640</v>
      </c>
      <c r="F1968" s="15">
        <v>42004</v>
      </c>
      <c r="G1968" s="15" t="s">
        <v>410</v>
      </c>
      <c r="H1968" s="20">
        <v>1</v>
      </c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  <c r="AB1968" s="21"/>
      <c r="AC1968" s="21"/>
      <c r="AD1968" s="21"/>
      <c r="AE1968" s="21"/>
      <c r="AF1968" s="14"/>
    </row>
    <row r="1969" spans="1:32" ht="14.25" customHeight="1" x14ac:dyDescent="0.35">
      <c r="A1969" s="14" t="s">
        <v>1483</v>
      </c>
      <c r="B1969" s="14" t="s">
        <v>448</v>
      </c>
      <c r="C1969" s="14"/>
      <c r="D1969" s="14" t="s">
        <v>453</v>
      </c>
      <c r="E1969" s="15">
        <v>41640</v>
      </c>
      <c r="F1969" s="15">
        <v>42004</v>
      </c>
      <c r="G1969" s="14" t="s">
        <v>415</v>
      </c>
      <c r="H1969" s="14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0.35</v>
      </c>
      <c r="Q1969" s="14">
        <v>0.35</v>
      </c>
      <c r="R1969" s="14">
        <v>0.35</v>
      </c>
      <c r="S1969" s="14">
        <v>0.35</v>
      </c>
      <c r="T1969" s="14">
        <v>0.35</v>
      </c>
      <c r="U1969" s="14">
        <v>0.35</v>
      </c>
      <c r="V1969" s="14">
        <v>0.35</v>
      </c>
      <c r="W1969" s="14">
        <v>0.35</v>
      </c>
      <c r="X1969" s="14">
        <v>0.95</v>
      </c>
      <c r="Y1969" s="14">
        <v>0.95</v>
      </c>
      <c r="Z1969" s="14">
        <v>0.95</v>
      </c>
      <c r="AA1969" s="14">
        <v>0.95</v>
      </c>
      <c r="AB1969" s="14">
        <v>0.95</v>
      </c>
      <c r="AC1969" s="14">
        <v>0</v>
      </c>
      <c r="AD1969" s="14">
        <v>0</v>
      </c>
      <c r="AE1969" s="14">
        <v>0</v>
      </c>
      <c r="AF1969" s="14" t="s">
        <v>411</v>
      </c>
    </row>
    <row r="1970" spans="1:32" ht="14.25" customHeight="1" x14ac:dyDescent="0.35">
      <c r="A1970" s="16" t="s">
        <v>1483</v>
      </c>
      <c r="B1970" s="16" t="s">
        <v>448</v>
      </c>
      <c r="C1970" s="16"/>
      <c r="D1970" s="16" t="s">
        <v>429</v>
      </c>
      <c r="E1970" s="17">
        <v>41883</v>
      </c>
      <c r="F1970" s="17">
        <v>42004</v>
      </c>
      <c r="G1970" s="16" t="s">
        <v>415</v>
      </c>
      <c r="H1970" s="16">
        <v>0</v>
      </c>
      <c r="I1970" s="16">
        <v>0</v>
      </c>
      <c r="J1970" s="16">
        <v>0</v>
      </c>
      <c r="K1970" s="16">
        <v>0</v>
      </c>
      <c r="L1970" s="16">
        <v>0</v>
      </c>
      <c r="M1970" s="16">
        <v>0</v>
      </c>
      <c r="N1970" s="16">
        <v>0</v>
      </c>
      <c r="O1970" s="16">
        <v>0</v>
      </c>
      <c r="P1970" s="16">
        <v>0.35</v>
      </c>
      <c r="Q1970" s="16">
        <v>0.35</v>
      </c>
      <c r="R1970" s="16">
        <v>0.35</v>
      </c>
      <c r="S1970" s="16">
        <v>0.35</v>
      </c>
      <c r="T1970" s="16">
        <v>0.35</v>
      </c>
      <c r="U1970" s="16">
        <v>0.35</v>
      </c>
      <c r="V1970" s="16">
        <v>0.35</v>
      </c>
      <c r="W1970" s="16">
        <v>0.35</v>
      </c>
      <c r="X1970" s="16">
        <v>0.95</v>
      </c>
      <c r="Y1970" s="16">
        <v>0.95</v>
      </c>
      <c r="Z1970" s="16">
        <v>0.95</v>
      </c>
      <c r="AA1970" s="16">
        <v>0.95</v>
      </c>
      <c r="AB1970" s="16">
        <v>0.95</v>
      </c>
      <c r="AC1970" s="16">
        <v>0</v>
      </c>
      <c r="AD1970" s="16">
        <v>0</v>
      </c>
      <c r="AE1970" s="16">
        <v>0</v>
      </c>
      <c r="AF1970" s="16" t="s">
        <v>411</v>
      </c>
    </row>
    <row r="1971" spans="1:32" ht="14.25" customHeight="1" x14ac:dyDescent="0.35">
      <c r="A1971" s="16" t="s">
        <v>1483</v>
      </c>
      <c r="B1971" s="16" t="s">
        <v>448</v>
      </c>
      <c r="C1971" s="16"/>
      <c r="D1971" s="16" t="s">
        <v>429</v>
      </c>
      <c r="E1971" s="17">
        <v>41821</v>
      </c>
      <c r="F1971" s="17">
        <v>41883</v>
      </c>
      <c r="G1971" s="16" t="s">
        <v>415</v>
      </c>
      <c r="H1971" s="16">
        <v>0</v>
      </c>
      <c r="I1971" s="16">
        <v>0</v>
      </c>
      <c r="J1971" s="16">
        <v>0</v>
      </c>
      <c r="K1971" s="16">
        <v>0</v>
      </c>
      <c r="L1971" s="16">
        <v>0</v>
      </c>
      <c r="M1971" s="16">
        <v>0</v>
      </c>
      <c r="N1971" s="16">
        <v>0</v>
      </c>
      <c r="O1971" s="16">
        <v>0</v>
      </c>
      <c r="P1971" s="16">
        <v>0.35</v>
      </c>
      <c r="Q1971" s="16">
        <v>0.35</v>
      </c>
      <c r="R1971" s="16">
        <v>0.35</v>
      </c>
      <c r="S1971" s="16">
        <v>0.35</v>
      </c>
      <c r="T1971" s="16">
        <v>0.35</v>
      </c>
      <c r="U1971" s="16">
        <v>0.35</v>
      </c>
      <c r="V1971" s="16">
        <v>0.35</v>
      </c>
      <c r="W1971" s="16">
        <v>0.35</v>
      </c>
      <c r="X1971" s="16">
        <v>0.35</v>
      </c>
      <c r="Y1971" s="16">
        <v>0.35</v>
      </c>
      <c r="Z1971" s="16">
        <v>0.35</v>
      </c>
      <c r="AA1971" s="16">
        <v>0.35</v>
      </c>
      <c r="AB1971" s="16">
        <v>0.35</v>
      </c>
      <c r="AC1971" s="16">
        <v>0</v>
      </c>
      <c r="AD1971" s="16">
        <v>0</v>
      </c>
      <c r="AE1971" s="16">
        <v>0</v>
      </c>
      <c r="AF1971" s="16" t="s">
        <v>411</v>
      </c>
    </row>
    <row r="1972" spans="1:32" ht="14.25" customHeight="1" x14ac:dyDescent="0.35">
      <c r="A1972" s="14" t="s">
        <v>1483</v>
      </c>
      <c r="B1972" s="14" t="s">
        <v>448</v>
      </c>
      <c r="C1972" s="14"/>
      <c r="D1972" s="14" t="s">
        <v>530</v>
      </c>
      <c r="E1972" s="15">
        <v>41883</v>
      </c>
      <c r="F1972" s="15">
        <v>42004</v>
      </c>
      <c r="G1972" s="14" t="s">
        <v>410</v>
      </c>
      <c r="H1972" s="14">
        <v>0</v>
      </c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 t="s">
        <v>411</v>
      </c>
    </row>
    <row r="1973" spans="1:32" ht="14.25" customHeight="1" x14ac:dyDescent="0.35">
      <c r="A1973" s="14" t="s">
        <v>1483</v>
      </c>
      <c r="B1973" s="14" t="s">
        <v>448</v>
      </c>
      <c r="C1973" s="14"/>
      <c r="D1973" s="14" t="s">
        <v>530</v>
      </c>
      <c r="E1973" s="15">
        <v>41821</v>
      </c>
      <c r="F1973" s="15">
        <v>41883</v>
      </c>
      <c r="G1973" s="14" t="s">
        <v>410</v>
      </c>
      <c r="H1973" s="14">
        <v>0</v>
      </c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 t="s">
        <v>411</v>
      </c>
    </row>
    <row r="1974" spans="1:32" ht="14.25" customHeight="1" x14ac:dyDescent="0.35">
      <c r="A1974" s="14" t="s">
        <v>1483</v>
      </c>
      <c r="B1974" s="14" t="s">
        <v>448</v>
      </c>
      <c r="C1974" s="14"/>
      <c r="D1974" s="14" t="s">
        <v>530</v>
      </c>
      <c r="E1974" s="15">
        <v>41640</v>
      </c>
      <c r="F1974" s="15">
        <v>41820</v>
      </c>
      <c r="G1974" s="14" t="s">
        <v>410</v>
      </c>
      <c r="H1974" s="14">
        <v>0</v>
      </c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 t="s">
        <v>411</v>
      </c>
    </row>
    <row r="1975" spans="1:32" ht="14.25" customHeight="1" x14ac:dyDescent="0.35">
      <c r="A1975" s="16" t="s">
        <v>1483</v>
      </c>
      <c r="B1975" s="16" t="s">
        <v>448</v>
      </c>
      <c r="C1975" s="16"/>
      <c r="D1975" s="16" t="s">
        <v>418</v>
      </c>
      <c r="E1975" s="17">
        <v>41640</v>
      </c>
      <c r="F1975" s="17">
        <v>42004</v>
      </c>
      <c r="G1975" s="16" t="s">
        <v>410</v>
      </c>
      <c r="H1975" s="16">
        <v>0</v>
      </c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  <c r="AC1975" s="16"/>
      <c r="AD1975" s="16"/>
      <c r="AE1975" s="16"/>
      <c r="AF1975" s="16" t="s">
        <v>411</v>
      </c>
    </row>
    <row r="1976" spans="1:32" ht="14.25" customHeight="1" x14ac:dyDescent="0.35">
      <c r="A1976" s="16" t="s">
        <v>1484</v>
      </c>
      <c r="B1976" s="16" t="s">
        <v>420</v>
      </c>
      <c r="C1976" s="16" t="s">
        <v>414</v>
      </c>
      <c r="D1976" s="16" t="s">
        <v>417</v>
      </c>
      <c r="E1976" s="17">
        <v>41640</v>
      </c>
      <c r="F1976" s="17">
        <v>42004</v>
      </c>
      <c r="G1976" s="16" t="s">
        <v>415</v>
      </c>
      <c r="H1976" s="16">
        <v>16</v>
      </c>
      <c r="I1976" s="16">
        <v>16</v>
      </c>
      <c r="J1976" s="16">
        <v>16</v>
      </c>
      <c r="K1976" s="16">
        <v>16</v>
      </c>
      <c r="L1976" s="16">
        <v>16</v>
      </c>
      <c r="M1976" s="16">
        <v>16</v>
      </c>
      <c r="N1976" s="16">
        <v>21</v>
      </c>
      <c r="O1976" s="16">
        <v>21</v>
      </c>
      <c r="P1976" s="16">
        <v>21</v>
      </c>
      <c r="Q1976" s="16">
        <v>21</v>
      </c>
      <c r="R1976" s="16">
        <v>21</v>
      </c>
      <c r="S1976" s="16">
        <v>21</v>
      </c>
      <c r="T1976" s="16">
        <v>21</v>
      </c>
      <c r="U1976" s="16">
        <v>21</v>
      </c>
      <c r="V1976" s="16">
        <v>21</v>
      </c>
      <c r="W1976" s="16">
        <v>21</v>
      </c>
      <c r="X1976" s="16">
        <v>21</v>
      </c>
      <c r="Y1976" s="16">
        <v>21</v>
      </c>
      <c r="Z1976" s="16">
        <v>21</v>
      </c>
      <c r="AA1976" s="16">
        <v>21</v>
      </c>
      <c r="AB1976" s="16">
        <v>21</v>
      </c>
      <c r="AC1976" s="16">
        <v>16</v>
      </c>
      <c r="AD1976" s="16">
        <v>16</v>
      </c>
      <c r="AE1976" s="16">
        <v>16</v>
      </c>
      <c r="AF1976" s="16" t="s">
        <v>411</v>
      </c>
    </row>
    <row r="1977" spans="1:32" ht="14.25" customHeight="1" x14ac:dyDescent="0.35">
      <c r="A1977" s="16" t="s">
        <v>1484</v>
      </c>
      <c r="B1977" s="16" t="s">
        <v>420</v>
      </c>
      <c r="C1977" s="16" t="s">
        <v>414</v>
      </c>
      <c r="D1977" s="16" t="s">
        <v>419</v>
      </c>
      <c r="E1977" s="17">
        <v>41640</v>
      </c>
      <c r="F1977" s="17">
        <v>42004</v>
      </c>
      <c r="G1977" s="16" t="s">
        <v>410</v>
      </c>
      <c r="H1977" s="16">
        <v>16</v>
      </c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6"/>
      <c r="AF1977" s="16" t="s">
        <v>411</v>
      </c>
    </row>
    <row r="1978" spans="1:32" ht="14.25" customHeight="1" x14ac:dyDescent="0.35">
      <c r="A1978" s="14" t="s">
        <v>1484</v>
      </c>
      <c r="B1978" s="14" t="s">
        <v>420</v>
      </c>
      <c r="C1978" s="14" t="s">
        <v>414</v>
      </c>
      <c r="D1978" s="14" t="s">
        <v>454</v>
      </c>
      <c r="E1978" s="15">
        <v>41883</v>
      </c>
      <c r="F1978" s="15">
        <v>42004</v>
      </c>
      <c r="G1978" s="14" t="s">
        <v>415</v>
      </c>
      <c r="H1978" s="14">
        <v>16</v>
      </c>
      <c r="I1978" s="14">
        <v>16</v>
      </c>
      <c r="J1978" s="14">
        <v>16</v>
      </c>
      <c r="K1978" s="14">
        <v>16</v>
      </c>
      <c r="L1978" s="14">
        <v>16</v>
      </c>
      <c r="M1978" s="14">
        <v>16</v>
      </c>
      <c r="N1978" s="14">
        <v>21</v>
      </c>
      <c r="O1978" s="14">
        <v>21</v>
      </c>
      <c r="P1978" s="14">
        <v>21</v>
      </c>
      <c r="Q1978" s="14">
        <v>21</v>
      </c>
      <c r="R1978" s="14">
        <v>21</v>
      </c>
      <c r="S1978" s="14">
        <v>21</v>
      </c>
      <c r="T1978" s="14">
        <v>21</v>
      </c>
      <c r="U1978" s="14">
        <v>21</v>
      </c>
      <c r="V1978" s="14">
        <v>21</v>
      </c>
      <c r="W1978" s="14">
        <v>21</v>
      </c>
      <c r="X1978" s="14">
        <v>21</v>
      </c>
      <c r="Y1978" s="14">
        <v>21</v>
      </c>
      <c r="Z1978" s="14">
        <v>21</v>
      </c>
      <c r="AA1978" s="14">
        <v>21</v>
      </c>
      <c r="AB1978" s="14">
        <v>21</v>
      </c>
      <c r="AC1978" s="14">
        <v>16</v>
      </c>
      <c r="AD1978" s="14">
        <v>16</v>
      </c>
      <c r="AE1978" s="14">
        <v>16</v>
      </c>
      <c r="AF1978" s="14" t="s">
        <v>411</v>
      </c>
    </row>
    <row r="1979" spans="1:32" ht="14.25" customHeight="1" x14ac:dyDescent="0.35">
      <c r="A1979" s="16" t="s">
        <v>1484</v>
      </c>
      <c r="B1979" s="16" t="s">
        <v>420</v>
      </c>
      <c r="C1979" s="16" t="s">
        <v>414</v>
      </c>
      <c r="D1979" s="16" t="s">
        <v>454</v>
      </c>
      <c r="E1979" s="17">
        <v>41821</v>
      </c>
      <c r="F1979" s="17">
        <v>41883</v>
      </c>
      <c r="G1979" s="16" t="s">
        <v>415</v>
      </c>
      <c r="H1979" s="16">
        <v>16</v>
      </c>
      <c r="I1979" s="16">
        <v>16</v>
      </c>
      <c r="J1979" s="16">
        <v>16</v>
      </c>
      <c r="K1979" s="16">
        <v>16</v>
      </c>
      <c r="L1979" s="16">
        <v>16</v>
      </c>
      <c r="M1979" s="16">
        <v>16</v>
      </c>
      <c r="N1979" s="16">
        <v>16</v>
      </c>
      <c r="O1979" s="16">
        <v>21</v>
      </c>
      <c r="P1979" s="16">
        <v>21</v>
      </c>
      <c r="Q1979" s="16">
        <v>21</v>
      </c>
      <c r="R1979" s="16">
        <v>21</v>
      </c>
      <c r="S1979" s="16">
        <v>21</v>
      </c>
      <c r="T1979" s="16">
        <v>21</v>
      </c>
      <c r="U1979" s="16">
        <v>21</v>
      </c>
      <c r="V1979" s="16">
        <v>21</v>
      </c>
      <c r="W1979" s="16">
        <v>21</v>
      </c>
      <c r="X1979" s="16">
        <v>21</v>
      </c>
      <c r="Y1979" s="16">
        <v>21</v>
      </c>
      <c r="Z1979" s="16">
        <v>16</v>
      </c>
      <c r="AA1979" s="16">
        <v>16</v>
      </c>
      <c r="AB1979" s="16">
        <v>16</v>
      </c>
      <c r="AC1979" s="16">
        <v>16</v>
      </c>
      <c r="AD1979" s="16">
        <v>16</v>
      </c>
      <c r="AE1979" s="16">
        <v>16</v>
      </c>
      <c r="AF1979" s="16" t="s">
        <v>411</v>
      </c>
    </row>
    <row r="1980" spans="1:32" ht="14.25" customHeight="1" x14ac:dyDescent="0.35">
      <c r="A1980" s="14" t="s">
        <v>1484</v>
      </c>
      <c r="B1980" s="14" t="s">
        <v>420</v>
      </c>
      <c r="C1980" s="14" t="s">
        <v>414</v>
      </c>
      <c r="D1980" s="14" t="s">
        <v>418</v>
      </c>
      <c r="E1980" s="15">
        <v>41640</v>
      </c>
      <c r="F1980" s="15">
        <v>42004</v>
      </c>
      <c r="G1980" s="14" t="s">
        <v>410</v>
      </c>
      <c r="H1980" s="14">
        <v>21</v>
      </c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 t="s">
        <v>411</v>
      </c>
    </row>
    <row r="1981" spans="1:32" ht="14.25" customHeight="1" x14ac:dyDescent="0.35">
      <c r="A1981" s="14" t="s">
        <v>1485</v>
      </c>
      <c r="B1981" s="14" t="s">
        <v>441</v>
      </c>
      <c r="C1981" s="14"/>
      <c r="D1981" s="14" t="s">
        <v>409</v>
      </c>
      <c r="E1981" s="15">
        <v>41640</v>
      </c>
      <c r="F1981" s="15">
        <v>42004</v>
      </c>
      <c r="G1981" s="14" t="s">
        <v>415</v>
      </c>
      <c r="H1981" s="14">
        <v>1</v>
      </c>
      <c r="I1981" s="14">
        <v>1</v>
      </c>
      <c r="J1981" s="14">
        <v>1</v>
      </c>
      <c r="K1981" s="14">
        <v>1</v>
      </c>
      <c r="L1981" s="14">
        <v>1</v>
      </c>
      <c r="M1981" s="14">
        <v>1</v>
      </c>
      <c r="N1981" s="14">
        <v>1</v>
      </c>
      <c r="O1981" s="14">
        <v>0.5</v>
      </c>
      <c r="P1981" s="14">
        <v>0.5</v>
      </c>
      <c r="Q1981" s="14">
        <v>0.5</v>
      </c>
      <c r="R1981" s="14">
        <v>0.5</v>
      </c>
      <c r="S1981" s="14">
        <v>0.5</v>
      </c>
      <c r="T1981" s="14">
        <v>0.5</v>
      </c>
      <c r="U1981" s="14">
        <v>0.5</v>
      </c>
      <c r="V1981" s="14">
        <v>0.5</v>
      </c>
      <c r="W1981" s="14">
        <v>0.5</v>
      </c>
      <c r="X1981" s="14">
        <v>0.5</v>
      </c>
      <c r="Y1981" s="14">
        <v>0.5</v>
      </c>
      <c r="Z1981" s="14">
        <v>0.5</v>
      </c>
      <c r="AA1981" s="14">
        <v>0.5</v>
      </c>
      <c r="AB1981" s="14">
        <v>0.5</v>
      </c>
      <c r="AC1981" s="14">
        <v>1</v>
      </c>
      <c r="AD1981" s="14">
        <v>1</v>
      </c>
      <c r="AE1981" s="14">
        <v>1</v>
      </c>
      <c r="AF1981" s="14" t="s">
        <v>411</v>
      </c>
    </row>
    <row r="1982" spans="1:32" ht="14.25" customHeight="1" x14ac:dyDescent="0.35">
      <c r="A1982" s="16" t="s">
        <v>1486</v>
      </c>
      <c r="B1982" s="16" t="s">
        <v>427</v>
      </c>
      <c r="C1982" s="16"/>
      <c r="D1982" s="16" t="s">
        <v>453</v>
      </c>
      <c r="E1982" s="17">
        <v>41640</v>
      </c>
      <c r="F1982" s="17">
        <v>42004</v>
      </c>
      <c r="G1982" s="16" t="s">
        <v>415</v>
      </c>
      <c r="H1982" s="16">
        <v>0.1</v>
      </c>
      <c r="I1982" s="16">
        <v>0.1</v>
      </c>
      <c r="J1982" s="16">
        <v>0.1</v>
      </c>
      <c r="K1982" s="16">
        <v>0.1</v>
      </c>
      <c r="L1982" s="16">
        <v>0.1</v>
      </c>
      <c r="M1982" s="16">
        <v>0.1</v>
      </c>
      <c r="N1982" s="16">
        <v>0.1</v>
      </c>
      <c r="O1982" s="16">
        <v>0.1</v>
      </c>
      <c r="P1982" s="16">
        <v>0.15</v>
      </c>
      <c r="Q1982" s="16">
        <v>0.15</v>
      </c>
      <c r="R1982" s="16">
        <v>0.25</v>
      </c>
      <c r="S1982" s="16">
        <v>0.25</v>
      </c>
      <c r="T1982" s="16">
        <v>0.25</v>
      </c>
      <c r="U1982" s="16">
        <v>0.15</v>
      </c>
      <c r="V1982" s="16">
        <v>0.15</v>
      </c>
      <c r="W1982" s="16">
        <v>0.1</v>
      </c>
      <c r="X1982" s="16">
        <v>0.1</v>
      </c>
      <c r="Y1982" s="16">
        <v>0.1</v>
      </c>
      <c r="Z1982" s="16">
        <v>0.1</v>
      </c>
      <c r="AA1982" s="16">
        <v>0.1</v>
      </c>
      <c r="AB1982" s="16">
        <v>0.1</v>
      </c>
      <c r="AC1982" s="16">
        <v>0.1</v>
      </c>
      <c r="AD1982" s="16">
        <v>0.1</v>
      </c>
      <c r="AE1982" s="16">
        <v>0.1</v>
      </c>
      <c r="AF1982" s="16" t="s">
        <v>411</v>
      </c>
    </row>
    <row r="1983" spans="1:32" ht="14.25" customHeight="1" x14ac:dyDescent="0.35">
      <c r="A1983" s="14" t="s">
        <v>1486</v>
      </c>
      <c r="B1983" s="14" t="s">
        <v>427</v>
      </c>
      <c r="C1983" s="14"/>
      <c r="D1983" s="14" t="s">
        <v>429</v>
      </c>
      <c r="E1983" s="15">
        <v>41883</v>
      </c>
      <c r="F1983" s="15">
        <v>42004</v>
      </c>
      <c r="G1983" s="14" t="s">
        <v>415</v>
      </c>
      <c r="H1983" s="14">
        <v>0.1</v>
      </c>
      <c r="I1983" s="14">
        <v>0.1</v>
      </c>
      <c r="J1983" s="14">
        <v>0.1</v>
      </c>
      <c r="K1983" s="14">
        <v>0.1</v>
      </c>
      <c r="L1983" s="14">
        <v>0.1</v>
      </c>
      <c r="M1983" s="14">
        <v>0.1</v>
      </c>
      <c r="N1983" s="14">
        <v>0.1</v>
      </c>
      <c r="O1983" s="14">
        <v>0.1</v>
      </c>
      <c r="P1983" s="14">
        <v>0.15</v>
      </c>
      <c r="Q1983" s="14">
        <v>0.15</v>
      </c>
      <c r="R1983" s="14">
        <v>0.25</v>
      </c>
      <c r="S1983" s="14">
        <v>0.25</v>
      </c>
      <c r="T1983" s="14">
        <v>0.25</v>
      </c>
      <c r="U1983" s="14">
        <v>0.15</v>
      </c>
      <c r="V1983" s="14">
        <v>0.15</v>
      </c>
      <c r="W1983" s="14">
        <v>0.1</v>
      </c>
      <c r="X1983" s="14">
        <v>0.1</v>
      </c>
      <c r="Y1983" s="14">
        <v>0.1</v>
      </c>
      <c r="Z1983" s="14">
        <v>0.1</v>
      </c>
      <c r="AA1983" s="14">
        <v>0.1</v>
      </c>
      <c r="AB1983" s="14">
        <v>0.1</v>
      </c>
      <c r="AC1983" s="14">
        <v>0.1</v>
      </c>
      <c r="AD1983" s="14">
        <v>0.1</v>
      </c>
      <c r="AE1983" s="14">
        <v>0.1</v>
      </c>
      <c r="AF1983" s="14" t="s">
        <v>411</v>
      </c>
    </row>
    <row r="1984" spans="1:32" ht="14.25" customHeight="1" x14ac:dyDescent="0.35">
      <c r="A1984" s="14" t="s">
        <v>1486</v>
      </c>
      <c r="B1984" s="14" t="s">
        <v>427</v>
      </c>
      <c r="C1984" s="14"/>
      <c r="D1984" s="14" t="s">
        <v>429</v>
      </c>
      <c r="E1984" s="15">
        <v>41821</v>
      </c>
      <c r="F1984" s="15">
        <v>41883</v>
      </c>
      <c r="G1984" s="14" t="s">
        <v>415</v>
      </c>
      <c r="H1984" s="14">
        <v>0.1</v>
      </c>
      <c r="I1984" s="14">
        <v>0.1</v>
      </c>
      <c r="J1984" s="14">
        <v>0.1</v>
      </c>
      <c r="K1984" s="14">
        <v>0.1</v>
      </c>
      <c r="L1984" s="14">
        <v>0.1</v>
      </c>
      <c r="M1984" s="14">
        <v>0.1</v>
      </c>
      <c r="N1984" s="14">
        <v>0.1</v>
      </c>
      <c r="O1984" s="14">
        <v>0.1</v>
      </c>
      <c r="P1984" s="14">
        <v>0.13</v>
      </c>
      <c r="Q1984" s="14">
        <v>0.13</v>
      </c>
      <c r="R1984" s="14">
        <v>0.2</v>
      </c>
      <c r="S1984" s="14">
        <v>0.2</v>
      </c>
      <c r="T1984" s="14">
        <v>0.2</v>
      </c>
      <c r="U1984" s="14">
        <v>0.13</v>
      </c>
      <c r="V1984" s="14">
        <v>0.13</v>
      </c>
      <c r="W1984" s="14">
        <v>0.1</v>
      </c>
      <c r="X1984" s="14">
        <v>0.1</v>
      </c>
      <c r="Y1984" s="14">
        <v>0.1</v>
      </c>
      <c r="Z1984" s="14">
        <v>0.1</v>
      </c>
      <c r="AA1984" s="14">
        <v>0.1</v>
      </c>
      <c r="AB1984" s="14">
        <v>0.1</v>
      </c>
      <c r="AC1984" s="14">
        <v>0.1</v>
      </c>
      <c r="AD1984" s="14">
        <v>0.1</v>
      </c>
      <c r="AE1984" s="14">
        <v>0.1</v>
      </c>
      <c r="AF1984" s="14" t="s">
        <v>411</v>
      </c>
    </row>
    <row r="1985" spans="1:32" ht="14.25" customHeight="1" x14ac:dyDescent="0.35">
      <c r="A1985" s="16" t="s">
        <v>1486</v>
      </c>
      <c r="B1985" s="16" t="s">
        <v>427</v>
      </c>
      <c r="C1985" s="16"/>
      <c r="D1985" s="16" t="s">
        <v>530</v>
      </c>
      <c r="E1985" s="17">
        <v>41883</v>
      </c>
      <c r="F1985" s="17">
        <v>42004</v>
      </c>
      <c r="G1985" s="16" t="s">
        <v>410</v>
      </c>
      <c r="H1985" s="16">
        <v>0.1</v>
      </c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  <c r="AC1985" s="16"/>
      <c r="AD1985" s="16"/>
      <c r="AE1985" s="16"/>
      <c r="AF1985" s="16" t="s">
        <v>411</v>
      </c>
    </row>
    <row r="1986" spans="1:32" ht="14.25" customHeight="1" x14ac:dyDescent="0.35">
      <c r="A1986" s="16" t="s">
        <v>1486</v>
      </c>
      <c r="B1986" s="16" t="s">
        <v>427</v>
      </c>
      <c r="C1986" s="16"/>
      <c r="D1986" s="16" t="s">
        <v>530</v>
      </c>
      <c r="E1986" s="17">
        <v>41821</v>
      </c>
      <c r="F1986" s="17">
        <v>41883</v>
      </c>
      <c r="G1986" s="16" t="s">
        <v>410</v>
      </c>
      <c r="H1986" s="16">
        <v>0.1</v>
      </c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6"/>
      <c r="AF1986" s="16" t="s">
        <v>411</v>
      </c>
    </row>
    <row r="1987" spans="1:32" ht="14.25" customHeight="1" x14ac:dyDescent="0.35">
      <c r="A1987" s="16" t="s">
        <v>1486</v>
      </c>
      <c r="B1987" s="16" t="s">
        <v>427</v>
      </c>
      <c r="C1987" s="16"/>
      <c r="D1987" s="16" t="s">
        <v>530</v>
      </c>
      <c r="E1987" s="17">
        <v>41640</v>
      </c>
      <c r="F1987" s="17">
        <v>41820</v>
      </c>
      <c r="G1987" s="16" t="s">
        <v>410</v>
      </c>
      <c r="H1987" s="16">
        <v>0.1</v>
      </c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6"/>
      <c r="AB1987" s="16"/>
      <c r="AC1987" s="16"/>
      <c r="AD1987" s="16"/>
      <c r="AE1987" s="16"/>
      <c r="AF1987" s="16" t="s">
        <v>411</v>
      </c>
    </row>
    <row r="1988" spans="1:32" ht="14.25" customHeight="1" x14ac:dyDescent="0.35">
      <c r="A1988" s="14" t="s">
        <v>1486</v>
      </c>
      <c r="B1988" s="14" t="s">
        <v>427</v>
      </c>
      <c r="C1988" s="14"/>
      <c r="D1988" s="14" t="s">
        <v>418</v>
      </c>
      <c r="E1988" s="15">
        <v>41640</v>
      </c>
      <c r="F1988" s="15">
        <v>42004</v>
      </c>
      <c r="G1988" s="14" t="s">
        <v>410</v>
      </c>
      <c r="H1988" s="14">
        <v>0.1</v>
      </c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 t="s">
        <v>411</v>
      </c>
    </row>
    <row r="1989" spans="1:32" ht="14.25" customHeight="1" x14ac:dyDescent="0.35">
      <c r="A1989" s="14" t="s">
        <v>1487</v>
      </c>
      <c r="B1989" s="14" t="s">
        <v>427</v>
      </c>
      <c r="C1989" s="14"/>
      <c r="D1989" s="14" t="s">
        <v>453</v>
      </c>
      <c r="E1989" s="15">
        <v>41640</v>
      </c>
      <c r="F1989" s="15">
        <v>42004</v>
      </c>
      <c r="G1989" s="14" t="s">
        <v>415</v>
      </c>
      <c r="H1989" s="14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1</v>
      </c>
      <c r="O1989" s="14">
        <v>1</v>
      </c>
      <c r="P1989" s="14">
        <v>1</v>
      </c>
      <c r="Q1989" s="14">
        <v>1</v>
      </c>
      <c r="R1989" s="14">
        <v>1</v>
      </c>
      <c r="S1989" s="14">
        <v>1</v>
      </c>
      <c r="T1989" s="14">
        <v>1</v>
      </c>
      <c r="U1989" s="14">
        <v>1</v>
      </c>
      <c r="V1989" s="14">
        <v>1</v>
      </c>
      <c r="W1989" s="14">
        <v>1</v>
      </c>
      <c r="X1989" s="14">
        <v>1</v>
      </c>
      <c r="Y1989" s="14">
        <v>1</v>
      </c>
      <c r="Z1989" s="14">
        <v>1</v>
      </c>
      <c r="AA1989" s="14">
        <v>1</v>
      </c>
      <c r="AB1989" s="14">
        <v>1</v>
      </c>
      <c r="AC1989" s="14">
        <v>0</v>
      </c>
      <c r="AD1989" s="14">
        <v>0</v>
      </c>
      <c r="AE1989" s="14">
        <v>0</v>
      </c>
      <c r="AF1989" s="14" t="s">
        <v>411</v>
      </c>
    </row>
    <row r="1990" spans="1:32" ht="14.25" customHeight="1" x14ac:dyDescent="0.35">
      <c r="A1990" s="16" t="s">
        <v>1487</v>
      </c>
      <c r="B1990" s="16" t="s">
        <v>427</v>
      </c>
      <c r="C1990" s="16"/>
      <c r="D1990" s="16" t="s">
        <v>1039</v>
      </c>
      <c r="E1990" s="17">
        <v>41640</v>
      </c>
      <c r="F1990" s="17">
        <v>42004</v>
      </c>
      <c r="G1990" s="16" t="s">
        <v>410</v>
      </c>
      <c r="H1990" s="16">
        <v>0</v>
      </c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 t="s">
        <v>411</v>
      </c>
    </row>
    <row r="1991" spans="1:32" ht="14.25" customHeight="1" x14ac:dyDescent="0.35">
      <c r="A1991" s="14" t="s">
        <v>1488</v>
      </c>
      <c r="B1991" s="14" t="s">
        <v>427</v>
      </c>
      <c r="C1991" s="14"/>
      <c r="D1991" s="14" t="s">
        <v>453</v>
      </c>
      <c r="E1991" s="15">
        <v>41640</v>
      </c>
      <c r="F1991" s="15">
        <v>42004</v>
      </c>
      <c r="G1991" s="14" t="s">
        <v>415</v>
      </c>
      <c r="H1991" s="14">
        <v>0.02</v>
      </c>
      <c r="I1991" s="14">
        <v>0.02</v>
      </c>
      <c r="J1991" s="14">
        <v>0.02</v>
      </c>
      <c r="K1991" s="14">
        <v>0.02</v>
      </c>
      <c r="L1991" s="14">
        <v>0.02</v>
      </c>
      <c r="M1991" s="14">
        <v>0.02</v>
      </c>
      <c r="N1991" s="14">
        <v>0.02</v>
      </c>
      <c r="O1991" s="14">
        <v>0.02</v>
      </c>
      <c r="P1991" s="14">
        <v>0.15</v>
      </c>
      <c r="Q1991" s="14">
        <v>0.15</v>
      </c>
      <c r="R1991" s="14">
        <v>0.2</v>
      </c>
      <c r="S1991" s="14">
        <v>0.2</v>
      </c>
      <c r="T1991" s="14">
        <v>0.2</v>
      </c>
      <c r="U1991" s="14">
        <v>0.1</v>
      </c>
      <c r="V1991" s="14">
        <v>0.1</v>
      </c>
      <c r="W1991" s="14">
        <v>0.02</v>
      </c>
      <c r="X1991" s="14">
        <v>0.02</v>
      </c>
      <c r="Y1991" s="14">
        <v>0.02</v>
      </c>
      <c r="Z1991" s="14">
        <v>0.02</v>
      </c>
      <c r="AA1991" s="14">
        <v>0.02</v>
      </c>
      <c r="AB1991" s="14">
        <v>0.02</v>
      </c>
      <c r="AC1991" s="14">
        <v>0.02</v>
      </c>
      <c r="AD1991" s="14">
        <v>0.02</v>
      </c>
      <c r="AE1991" s="14">
        <v>0.02</v>
      </c>
      <c r="AF1991" s="14" t="s">
        <v>411</v>
      </c>
    </row>
    <row r="1992" spans="1:32" ht="14.25" customHeight="1" x14ac:dyDescent="0.35">
      <c r="A1992" s="16" t="s">
        <v>1488</v>
      </c>
      <c r="B1992" s="16" t="s">
        <v>427</v>
      </c>
      <c r="C1992" s="16"/>
      <c r="D1992" s="16" t="s">
        <v>429</v>
      </c>
      <c r="E1992" s="17">
        <v>41883</v>
      </c>
      <c r="F1992" s="17">
        <v>42004</v>
      </c>
      <c r="G1992" s="16" t="s">
        <v>415</v>
      </c>
      <c r="H1992" s="16">
        <v>0.02</v>
      </c>
      <c r="I1992" s="16">
        <v>0.02</v>
      </c>
      <c r="J1992" s="16">
        <v>0.02</v>
      </c>
      <c r="K1992" s="16">
        <v>0.02</v>
      </c>
      <c r="L1992" s="16">
        <v>0.02</v>
      </c>
      <c r="M1992" s="16">
        <v>0.02</v>
      </c>
      <c r="N1992" s="16">
        <v>0.02</v>
      </c>
      <c r="O1992" s="16">
        <v>0.02</v>
      </c>
      <c r="P1992" s="16">
        <v>0.15</v>
      </c>
      <c r="Q1992" s="16">
        <v>0.15</v>
      </c>
      <c r="R1992" s="16">
        <v>0.2</v>
      </c>
      <c r="S1992" s="16">
        <v>0.2</v>
      </c>
      <c r="T1992" s="16">
        <v>0.2</v>
      </c>
      <c r="U1992" s="16">
        <v>0.1</v>
      </c>
      <c r="V1992" s="16">
        <v>0.1</v>
      </c>
      <c r="W1992" s="16">
        <v>0.02</v>
      </c>
      <c r="X1992" s="16">
        <v>0.02</v>
      </c>
      <c r="Y1992" s="16">
        <v>0.02</v>
      </c>
      <c r="Z1992" s="16">
        <v>0.02</v>
      </c>
      <c r="AA1992" s="16">
        <v>0.02</v>
      </c>
      <c r="AB1992" s="16">
        <v>0.02</v>
      </c>
      <c r="AC1992" s="16">
        <v>0.02</v>
      </c>
      <c r="AD1992" s="16">
        <v>0.02</v>
      </c>
      <c r="AE1992" s="16">
        <v>0.02</v>
      </c>
      <c r="AF1992" s="16" t="s">
        <v>411</v>
      </c>
    </row>
    <row r="1993" spans="1:32" ht="14.25" customHeight="1" x14ac:dyDescent="0.35">
      <c r="A1993" s="16" t="s">
        <v>1488</v>
      </c>
      <c r="B1993" s="16" t="s">
        <v>427</v>
      </c>
      <c r="C1993" s="16"/>
      <c r="D1993" s="16" t="s">
        <v>429</v>
      </c>
      <c r="E1993" s="17">
        <v>41821</v>
      </c>
      <c r="F1993" s="17">
        <v>41883</v>
      </c>
      <c r="G1993" s="16" t="s">
        <v>415</v>
      </c>
      <c r="H1993" s="16">
        <v>0.02</v>
      </c>
      <c r="I1993" s="16">
        <v>0.02</v>
      </c>
      <c r="J1993" s="16">
        <v>0.02</v>
      </c>
      <c r="K1993" s="16">
        <v>0.02</v>
      </c>
      <c r="L1993" s="16">
        <v>0.02</v>
      </c>
      <c r="M1993" s="16">
        <v>0.02</v>
      </c>
      <c r="N1993" s="16">
        <v>0.02</v>
      </c>
      <c r="O1993" s="16">
        <v>0.02</v>
      </c>
      <c r="P1993" s="16">
        <v>0.1</v>
      </c>
      <c r="Q1993" s="16">
        <v>0.1</v>
      </c>
      <c r="R1993" s="16">
        <v>0.15</v>
      </c>
      <c r="S1993" s="16">
        <v>0.15</v>
      </c>
      <c r="T1993" s="16">
        <v>0.15</v>
      </c>
      <c r="U1993" s="16">
        <v>0.1</v>
      </c>
      <c r="V1993" s="16">
        <v>0.1</v>
      </c>
      <c r="W1993" s="16">
        <v>0.02</v>
      </c>
      <c r="X1993" s="16">
        <v>0.02</v>
      </c>
      <c r="Y1993" s="16">
        <v>0.02</v>
      </c>
      <c r="Z1993" s="16">
        <v>0.02</v>
      </c>
      <c r="AA1993" s="16">
        <v>0.02</v>
      </c>
      <c r="AB1993" s="16">
        <v>0.02</v>
      </c>
      <c r="AC1993" s="16">
        <v>0.02</v>
      </c>
      <c r="AD1993" s="16">
        <v>0.02</v>
      </c>
      <c r="AE1993" s="16">
        <v>0.02</v>
      </c>
      <c r="AF1993" s="16" t="s">
        <v>411</v>
      </c>
    </row>
    <row r="1994" spans="1:32" ht="14.25" customHeight="1" x14ac:dyDescent="0.35">
      <c r="A1994" s="14" t="s">
        <v>1488</v>
      </c>
      <c r="B1994" s="14" t="s">
        <v>427</v>
      </c>
      <c r="C1994" s="14"/>
      <c r="D1994" s="14" t="s">
        <v>530</v>
      </c>
      <c r="E1994" s="15">
        <v>41883</v>
      </c>
      <c r="F1994" s="15">
        <v>42004</v>
      </c>
      <c r="G1994" s="14" t="s">
        <v>410</v>
      </c>
      <c r="H1994" s="14">
        <v>0.02</v>
      </c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 t="s">
        <v>411</v>
      </c>
    </row>
    <row r="1995" spans="1:32" ht="14.25" customHeight="1" x14ac:dyDescent="0.35">
      <c r="A1995" s="14" t="s">
        <v>1488</v>
      </c>
      <c r="B1995" s="14" t="s">
        <v>427</v>
      </c>
      <c r="C1995" s="14"/>
      <c r="D1995" s="14" t="s">
        <v>530</v>
      </c>
      <c r="E1995" s="15">
        <v>41821</v>
      </c>
      <c r="F1995" s="15">
        <v>41883</v>
      </c>
      <c r="G1995" s="14" t="s">
        <v>410</v>
      </c>
      <c r="H1995" s="14">
        <v>0.02</v>
      </c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 t="s">
        <v>411</v>
      </c>
    </row>
    <row r="1996" spans="1:32" ht="14.25" customHeight="1" x14ac:dyDescent="0.35">
      <c r="A1996" s="14" t="s">
        <v>1488</v>
      </c>
      <c r="B1996" s="14" t="s">
        <v>427</v>
      </c>
      <c r="C1996" s="14"/>
      <c r="D1996" s="14" t="s">
        <v>530</v>
      </c>
      <c r="E1996" s="15">
        <v>41640</v>
      </c>
      <c r="F1996" s="15">
        <v>41820</v>
      </c>
      <c r="G1996" s="14" t="s">
        <v>410</v>
      </c>
      <c r="H1996" s="14">
        <v>0.02</v>
      </c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 t="s">
        <v>411</v>
      </c>
    </row>
    <row r="1997" spans="1:32" ht="14.25" customHeight="1" x14ac:dyDescent="0.35">
      <c r="A1997" s="16" t="s">
        <v>1488</v>
      </c>
      <c r="B1997" s="16" t="s">
        <v>427</v>
      </c>
      <c r="C1997" s="16"/>
      <c r="D1997" s="16" t="s">
        <v>418</v>
      </c>
      <c r="E1997" s="17">
        <v>41640</v>
      </c>
      <c r="F1997" s="17">
        <v>42004</v>
      </c>
      <c r="G1997" s="16" t="s">
        <v>410</v>
      </c>
      <c r="H1997" s="16">
        <v>0.02</v>
      </c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 t="s">
        <v>411</v>
      </c>
    </row>
    <row r="1998" spans="1:32" ht="14.25" customHeight="1" x14ac:dyDescent="0.35">
      <c r="A1998" s="16" t="s">
        <v>1489</v>
      </c>
      <c r="B1998" s="16" t="s">
        <v>448</v>
      </c>
      <c r="C1998" s="16"/>
      <c r="D1998" s="16" t="s">
        <v>453</v>
      </c>
      <c r="E1998" s="17">
        <v>41640</v>
      </c>
      <c r="F1998" s="17">
        <v>42004</v>
      </c>
      <c r="G1998" s="16" t="s">
        <v>415</v>
      </c>
      <c r="H1998" s="16">
        <v>0</v>
      </c>
      <c r="I1998" s="16">
        <v>0</v>
      </c>
      <c r="J1998" s="16">
        <v>0</v>
      </c>
      <c r="K1998" s="16">
        <v>0</v>
      </c>
      <c r="L1998" s="16">
        <v>0</v>
      </c>
      <c r="M1998" s="16">
        <v>0</v>
      </c>
      <c r="N1998" s="16">
        <v>0</v>
      </c>
      <c r="O1998" s="16">
        <v>0</v>
      </c>
      <c r="P1998" s="16">
        <v>0.95</v>
      </c>
      <c r="Q1998" s="16">
        <v>0.95</v>
      </c>
      <c r="R1998" s="16">
        <v>0.95</v>
      </c>
      <c r="S1998" s="16">
        <v>0.95</v>
      </c>
      <c r="T1998" s="16">
        <v>0.95</v>
      </c>
      <c r="U1998" s="16">
        <v>0.95</v>
      </c>
      <c r="V1998" s="16">
        <v>0.95</v>
      </c>
      <c r="W1998" s="16">
        <v>0.95</v>
      </c>
      <c r="X1998" s="16">
        <v>0.95</v>
      </c>
      <c r="Y1998" s="16">
        <v>0.15</v>
      </c>
      <c r="Z1998" s="16">
        <v>0.15</v>
      </c>
      <c r="AA1998" s="16">
        <v>0.15</v>
      </c>
      <c r="AB1998" s="16">
        <v>0.15</v>
      </c>
      <c r="AC1998" s="16">
        <v>0</v>
      </c>
      <c r="AD1998" s="16">
        <v>0</v>
      </c>
      <c r="AE1998" s="16">
        <v>0</v>
      </c>
      <c r="AF1998" s="16" t="s">
        <v>411</v>
      </c>
    </row>
    <row r="1999" spans="1:32" ht="14.25" customHeight="1" x14ac:dyDescent="0.35">
      <c r="A1999" s="14" t="s">
        <v>1489</v>
      </c>
      <c r="B1999" s="14" t="s">
        <v>448</v>
      </c>
      <c r="C1999" s="14"/>
      <c r="D1999" s="14" t="s">
        <v>429</v>
      </c>
      <c r="E1999" s="15">
        <v>41883</v>
      </c>
      <c r="F1999" s="15">
        <v>42004</v>
      </c>
      <c r="G1999" s="14" t="s">
        <v>415</v>
      </c>
      <c r="H1999" s="14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0.95</v>
      </c>
      <c r="Q1999" s="14">
        <v>0.95</v>
      </c>
      <c r="R1999" s="14">
        <v>0.95</v>
      </c>
      <c r="S1999" s="14">
        <v>0.95</v>
      </c>
      <c r="T1999" s="14">
        <v>0.95</v>
      </c>
      <c r="U1999" s="14">
        <v>0.95</v>
      </c>
      <c r="V1999" s="14">
        <v>0.95</v>
      </c>
      <c r="W1999" s="14">
        <v>0.95</v>
      </c>
      <c r="X1999" s="14">
        <v>0.95</v>
      </c>
      <c r="Y1999" s="14">
        <v>0.15</v>
      </c>
      <c r="Z1999" s="14">
        <v>0.15</v>
      </c>
      <c r="AA1999" s="14">
        <v>0.15</v>
      </c>
      <c r="AB1999" s="14">
        <v>0.15</v>
      </c>
      <c r="AC1999" s="14">
        <v>0</v>
      </c>
      <c r="AD1999" s="14">
        <v>0</v>
      </c>
      <c r="AE1999" s="14">
        <v>0</v>
      </c>
      <c r="AF1999" s="14" t="s">
        <v>411</v>
      </c>
    </row>
    <row r="2000" spans="1:32" ht="14.25" customHeight="1" x14ac:dyDescent="0.35">
      <c r="A2000" s="14" t="s">
        <v>1489</v>
      </c>
      <c r="B2000" s="14" t="s">
        <v>448</v>
      </c>
      <c r="C2000" s="14"/>
      <c r="D2000" s="14" t="s">
        <v>429</v>
      </c>
      <c r="E2000" s="15">
        <v>41821</v>
      </c>
      <c r="F2000" s="15">
        <v>41883</v>
      </c>
      <c r="G2000" s="14" t="s">
        <v>415</v>
      </c>
      <c r="H2000" s="14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0.5</v>
      </c>
      <c r="Q2000" s="14">
        <v>0.5</v>
      </c>
      <c r="R2000" s="14">
        <v>0.5</v>
      </c>
      <c r="S2000" s="14">
        <v>0.5</v>
      </c>
      <c r="T2000" s="14">
        <v>0.5</v>
      </c>
      <c r="U2000" s="14">
        <v>0.5</v>
      </c>
      <c r="V2000" s="14">
        <v>0.5</v>
      </c>
      <c r="W2000" s="14">
        <v>0.5</v>
      </c>
      <c r="X2000" s="14">
        <v>0.5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  <c r="AE2000" s="14">
        <v>0</v>
      </c>
      <c r="AF2000" s="14" t="s">
        <v>411</v>
      </c>
    </row>
    <row r="2001" spans="1:32" ht="14.25" customHeight="1" x14ac:dyDescent="0.35">
      <c r="A2001" s="16" t="s">
        <v>1489</v>
      </c>
      <c r="B2001" s="16" t="s">
        <v>448</v>
      </c>
      <c r="C2001" s="16"/>
      <c r="D2001" s="16" t="s">
        <v>530</v>
      </c>
      <c r="E2001" s="17">
        <v>41883</v>
      </c>
      <c r="F2001" s="17">
        <v>42004</v>
      </c>
      <c r="G2001" s="16" t="s">
        <v>410</v>
      </c>
      <c r="H2001" s="16">
        <v>0</v>
      </c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6"/>
      <c r="AF2001" s="16" t="s">
        <v>411</v>
      </c>
    </row>
    <row r="2002" spans="1:32" ht="14.25" customHeight="1" x14ac:dyDescent="0.35">
      <c r="A2002" s="16" t="s">
        <v>1489</v>
      </c>
      <c r="B2002" s="16" t="s">
        <v>448</v>
      </c>
      <c r="C2002" s="16"/>
      <c r="D2002" s="16" t="s">
        <v>530</v>
      </c>
      <c r="E2002" s="17">
        <v>41821</v>
      </c>
      <c r="F2002" s="17">
        <v>41883</v>
      </c>
      <c r="G2002" s="16" t="s">
        <v>410</v>
      </c>
      <c r="H2002" s="16">
        <v>0</v>
      </c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  <c r="AC2002" s="16"/>
      <c r="AD2002" s="16"/>
      <c r="AE2002" s="16"/>
      <c r="AF2002" s="16" t="s">
        <v>411</v>
      </c>
    </row>
    <row r="2003" spans="1:32" ht="14.25" customHeight="1" x14ac:dyDescent="0.35">
      <c r="A2003" s="16" t="s">
        <v>1489</v>
      </c>
      <c r="B2003" s="16" t="s">
        <v>448</v>
      </c>
      <c r="C2003" s="16"/>
      <c r="D2003" s="16" t="s">
        <v>530</v>
      </c>
      <c r="E2003" s="17">
        <v>41640</v>
      </c>
      <c r="F2003" s="17">
        <v>41820</v>
      </c>
      <c r="G2003" s="16" t="s">
        <v>410</v>
      </c>
      <c r="H2003" s="16">
        <v>0</v>
      </c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/>
      <c r="AC2003" s="16"/>
      <c r="AD2003" s="16"/>
      <c r="AE2003" s="16"/>
      <c r="AF2003" s="16" t="s">
        <v>411</v>
      </c>
    </row>
    <row r="2004" spans="1:32" ht="14.25" customHeight="1" x14ac:dyDescent="0.35">
      <c r="A2004" s="14" t="s">
        <v>1489</v>
      </c>
      <c r="B2004" s="14" t="s">
        <v>448</v>
      </c>
      <c r="C2004" s="14"/>
      <c r="D2004" s="14" t="s">
        <v>418</v>
      </c>
      <c r="E2004" s="15">
        <v>41640</v>
      </c>
      <c r="F2004" s="15">
        <v>42004</v>
      </c>
      <c r="G2004" s="14" t="s">
        <v>410</v>
      </c>
      <c r="H2004" s="14">
        <v>0</v>
      </c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 t="s">
        <v>411</v>
      </c>
    </row>
    <row r="2005" spans="1:32" ht="14.25" customHeight="1" x14ac:dyDescent="0.35">
      <c r="A2005" s="16" t="s">
        <v>1490</v>
      </c>
      <c r="B2005" s="16" t="s">
        <v>600</v>
      </c>
      <c r="C2005" s="16" t="s">
        <v>1290</v>
      </c>
      <c r="D2005" s="16" t="s">
        <v>453</v>
      </c>
      <c r="E2005" s="17">
        <v>41640</v>
      </c>
      <c r="F2005" s="17">
        <v>42004</v>
      </c>
      <c r="G2005" s="17" t="s">
        <v>415</v>
      </c>
      <c r="H2005" s="32">
        <v>0</v>
      </c>
      <c r="I2005" s="32">
        <v>0</v>
      </c>
      <c r="J2005" s="32">
        <v>0</v>
      </c>
      <c r="K2005" s="32">
        <v>0</v>
      </c>
      <c r="L2005" s="32">
        <v>0</v>
      </c>
      <c r="M2005" s="32">
        <v>0</v>
      </c>
      <c r="N2005" s="32">
        <v>1</v>
      </c>
      <c r="O2005" s="32">
        <v>1</v>
      </c>
      <c r="P2005" s="32">
        <v>1</v>
      </c>
      <c r="Q2005" s="32">
        <v>1</v>
      </c>
      <c r="R2005" s="32">
        <v>1</v>
      </c>
      <c r="S2005" s="32">
        <v>1</v>
      </c>
      <c r="T2005" s="32">
        <v>1</v>
      </c>
      <c r="U2005" s="32">
        <v>1</v>
      </c>
      <c r="V2005" s="32">
        <v>1</v>
      </c>
      <c r="W2005" s="32">
        <v>1</v>
      </c>
      <c r="X2005" s="32">
        <v>1</v>
      </c>
      <c r="Y2005" s="32">
        <v>1</v>
      </c>
      <c r="Z2005" s="32">
        <v>1</v>
      </c>
      <c r="AA2005" s="27">
        <v>1</v>
      </c>
      <c r="AB2005" s="27">
        <v>0</v>
      </c>
      <c r="AC2005" s="27">
        <v>0</v>
      </c>
      <c r="AD2005" s="27">
        <v>0</v>
      </c>
      <c r="AE2005" s="27">
        <v>0</v>
      </c>
      <c r="AF2005" s="16"/>
    </row>
    <row r="2006" spans="1:32" ht="14.25" customHeight="1" x14ac:dyDescent="0.35">
      <c r="A2006" s="14" t="s">
        <v>1490</v>
      </c>
      <c r="B2006" s="14" t="s">
        <v>600</v>
      </c>
      <c r="C2006" s="14" t="s">
        <v>1290</v>
      </c>
      <c r="D2006" s="14" t="s">
        <v>1291</v>
      </c>
      <c r="E2006" s="15">
        <v>41640</v>
      </c>
      <c r="F2006" s="15">
        <v>42004</v>
      </c>
      <c r="G2006" s="15" t="s">
        <v>410</v>
      </c>
      <c r="H2006" s="33">
        <v>0</v>
      </c>
      <c r="I2006" s="33"/>
      <c r="J2006" s="33"/>
      <c r="K2006" s="33"/>
      <c r="L2006" s="33"/>
      <c r="M2006" s="33"/>
      <c r="N2006" s="33"/>
      <c r="O2006" s="33"/>
      <c r="P2006" s="33"/>
      <c r="Q2006" s="33"/>
      <c r="R2006" s="33"/>
      <c r="S2006" s="33"/>
      <c r="T2006" s="33"/>
      <c r="U2006" s="33"/>
      <c r="V2006" s="33"/>
      <c r="W2006" s="33"/>
      <c r="X2006" s="33"/>
      <c r="Y2006" s="33"/>
      <c r="Z2006" s="33"/>
      <c r="AA2006" s="33"/>
      <c r="AB2006" s="20"/>
      <c r="AC2006" s="20"/>
      <c r="AD2006" s="20"/>
      <c r="AE2006" s="20"/>
      <c r="AF2006" s="14"/>
    </row>
    <row r="2007" spans="1:32" ht="14.25" customHeight="1" x14ac:dyDescent="0.35">
      <c r="A2007" s="16" t="s">
        <v>1491</v>
      </c>
      <c r="B2007" s="16" t="s">
        <v>600</v>
      </c>
      <c r="C2007" s="16" t="s">
        <v>1290</v>
      </c>
      <c r="D2007" s="16" t="s">
        <v>453</v>
      </c>
      <c r="E2007" s="17">
        <v>41640</v>
      </c>
      <c r="F2007" s="17">
        <v>42004</v>
      </c>
      <c r="G2007" s="17" t="s">
        <v>415</v>
      </c>
      <c r="H2007" s="32">
        <v>0</v>
      </c>
      <c r="I2007" s="32">
        <v>0</v>
      </c>
      <c r="J2007" s="32">
        <v>0</v>
      </c>
      <c r="K2007" s="32">
        <v>0</v>
      </c>
      <c r="L2007" s="32">
        <v>0</v>
      </c>
      <c r="M2007" s="32">
        <v>0</v>
      </c>
      <c r="N2007" s="32">
        <v>1</v>
      </c>
      <c r="O2007" s="32">
        <v>1</v>
      </c>
      <c r="P2007" s="32">
        <v>1</v>
      </c>
      <c r="Q2007" s="32">
        <v>1</v>
      </c>
      <c r="R2007" s="32">
        <v>1</v>
      </c>
      <c r="S2007" s="32">
        <v>1</v>
      </c>
      <c r="T2007" s="32">
        <v>1</v>
      </c>
      <c r="U2007" s="32">
        <v>1</v>
      </c>
      <c r="V2007" s="32">
        <v>1</v>
      </c>
      <c r="W2007" s="32">
        <v>1</v>
      </c>
      <c r="X2007" s="32">
        <v>1</v>
      </c>
      <c r="Y2007" s="32">
        <v>1</v>
      </c>
      <c r="Z2007" s="32">
        <v>1</v>
      </c>
      <c r="AA2007" s="27">
        <v>1</v>
      </c>
      <c r="AB2007" s="27">
        <v>0</v>
      </c>
      <c r="AC2007" s="27">
        <v>0</v>
      </c>
      <c r="AD2007" s="27">
        <v>0</v>
      </c>
      <c r="AE2007" s="27">
        <v>0</v>
      </c>
      <c r="AF2007" s="16"/>
    </row>
    <row r="2008" spans="1:32" ht="14.25" customHeight="1" x14ac:dyDescent="0.35">
      <c r="A2008" s="14" t="s">
        <v>1491</v>
      </c>
      <c r="B2008" s="14" t="s">
        <v>600</v>
      </c>
      <c r="C2008" s="14" t="s">
        <v>1290</v>
      </c>
      <c r="D2008" s="14" t="s">
        <v>1291</v>
      </c>
      <c r="E2008" s="15">
        <v>41640</v>
      </c>
      <c r="F2008" s="15">
        <v>42004</v>
      </c>
      <c r="G2008" s="15" t="s">
        <v>410</v>
      </c>
      <c r="H2008" s="33">
        <v>0</v>
      </c>
      <c r="I2008" s="33"/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  <c r="T2008" s="33"/>
      <c r="U2008" s="33"/>
      <c r="V2008" s="33"/>
      <c r="W2008" s="33"/>
      <c r="X2008" s="33"/>
      <c r="Y2008" s="33"/>
      <c r="Z2008" s="33"/>
      <c r="AA2008" s="33"/>
      <c r="AB2008" s="20"/>
      <c r="AC2008" s="20"/>
      <c r="AD2008" s="20"/>
      <c r="AE2008" s="20"/>
      <c r="AF2008" s="14"/>
    </row>
    <row r="2009" spans="1:32" ht="14.25" customHeight="1" x14ac:dyDescent="0.35">
      <c r="A2009" s="16" t="s">
        <v>1492</v>
      </c>
      <c r="B2009" s="16" t="s">
        <v>600</v>
      </c>
      <c r="C2009" s="16" t="s">
        <v>1290</v>
      </c>
      <c r="D2009" s="16" t="s">
        <v>453</v>
      </c>
      <c r="E2009" s="17">
        <v>41640</v>
      </c>
      <c r="F2009" s="17">
        <v>42004</v>
      </c>
      <c r="G2009" s="17" t="s">
        <v>415</v>
      </c>
      <c r="H2009" s="32">
        <v>0</v>
      </c>
      <c r="I2009" s="32">
        <v>0</v>
      </c>
      <c r="J2009" s="32">
        <v>0</v>
      </c>
      <c r="K2009" s="32">
        <v>0</v>
      </c>
      <c r="L2009" s="32">
        <v>0</v>
      </c>
      <c r="M2009" s="32">
        <v>0</v>
      </c>
      <c r="N2009" s="32">
        <v>1</v>
      </c>
      <c r="O2009" s="32">
        <v>1</v>
      </c>
      <c r="P2009" s="32">
        <v>1</v>
      </c>
      <c r="Q2009" s="32">
        <v>1</v>
      </c>
      <c r="R2009" s="32">
        <v>1</v>
      </c>
      <c r="S2009" s="32">
        <v>1</v>
      </c>
      <c r="T2009" s="32">
        <v>1</v>
      </c>
      <c r="U2009" s="32">
        <v>1</v>
      </c>
      <c r="V2009" s="32">
        <v>1</v>
      </c>
      <c r="W2009" s="32">
        <v>1</v>
      </c>
      <c r="X2009" s="32">
        <v>1</v>
      </c>
      <c r="Y2009" s="32">
        <v>1</v>
      </c>
      <c r="Z2009" s="32">
        <v>1</v>
      </c>
      <c r="AA2009" s="27">
        <v>1</v>
      </c>
      <c r="AB2009" s="27">
        <v>0</v>
      </c>
      <c r="AC2009" s="27">
        <v>0</v>
      </c>
      <c r="AD2009" s="27">
        <v>0</v>
      </c>
      <c r="AE2009" s="27">
        <v>0</v>
      </c>
      <c r="AF2009" s="16"/>
    </row>
    <row r="2010" spans="1:32" ht="14.25" customHeight="1" x14ac:dyDescent="0.35">
      <c r="A2010" s="14" t="s">
        <v>1492</v>
      </c>
      <c r="B2010" s="14" t="s">
        <v>600</v>
      </c>
      <c r="C2010" s="14" t="s">
        <v>1290</v>
      </c>
      <c r="D2010" s="14" t="s">
        <v>1291</v>
      </c>
      <c r="E2010" s="15">
        <v>41640</v>
      </c>
      <c r="F2010" s="15">
        <v>42004</v>
      </c>
      <c r="G2010" s="15" t="s">
        <v>410</v>
      </c>
      <c r="H2010" s="33">
        <v>0</v>
      </c>
      <c r="I2010" s="33"/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  <c r="T2010" s="33"/>
      <c r="U2010" s="33"/>
      <c r="V2010" s="33"/>
      <c r="W2010" s="33"/>
      <c r="X2010" s="33"/>
      <c r="Y2010" s="33"/>
      <c r="Z2010" s="33"/>
      <c r="AA2010" s="33"/>
      <c r="AB2010" s="20"/>
      <c r="AC2010" s="20"/>
      <c r="AD2010" s="20"/>
      <c r="AE2010" s="20"/>
      <c r="AF2010" s="14"/>
    </row>
    <row r="2011" spans="1:32" ht="14.25" customHeight="1" x14ac:dyDescent="0.35">
      <c r="A2011" s="16" t="s">
        <v>1493</v>
      </c>
      <c r="B2011" s="16" t="s">
        <v>600</v>
      </c>
      <c r="C2011" s="16" t="s">
        <v>1290</v>
      </c>
      <c r="D2011" s="16" t="s">
        <v>453</v>
      </c>
      <c r="E2011" s="17">
        <v>41640</v>
      </c>
      <c r="F2011" s="17">
        <v>42004</v>
      </c>
      <c r="G2011" s="17" t="s">
        <v>415</v>
      </c>
      <c r="H2011" s="32">
        <v>0</v>
      </c>
      <c r="I2011" s="32">
        <v>0</v>
      </c>
      <c r="J2011" s="32">
        <v>0</v>
      </c>
      <c r="K2011" s="32">
        <v>0</v>
      </c>
      <c r="L2011" s="32">
        <v>0</v>
      </c>
      <c r="M2011" s="32">
        <v>0</v>
      </c>
      <c r="N2011" s="32">
        <v>1</v>
      </c>
      <c r="O2011" s="32">
        <v>1</v>
      </c>
      <c r="P2011" s="32">
        <v>1</v>
      </c>
      <c r="Q2011" s="32">
        <v>1</v>
      </c>
      <c r="R2011" s="32">
        <v>1</v>
      </c>
      <c r="S2011" s="32">
        <v>1</v>
      </c>
      <c r="T2011" s="32">
        <v>1</v>
      </c>
      <c r="U2011" s="32">
        <v>1</v>
      </c>
      <c r="V2011" s="32">
        <v>1</v>
      </c>
      <c r="W2011" s="32">
        <v>1</v>
      </c>
      <c r="X2011" s="32">
        <v>1</v>
      </c>
      <c r="Y2011" s="32">
        <v>1</v>
      </c>
      <c r="Z2011" s="32">
        <v>1</v>
      </c>
      <c r="AA2011" s="27">
        <v>1</v>
      </c>
      <c r="AB2011" s="27">
        <v>0</v>
      </c>
      <c r="AC2011" s="27">
        <v>0</v>
      </c>
      <c r="AD2011" s="27">
        <v>0</v>
      </c>
      <c r="AE2011" s="27">
        <v>0</v>
      </c>
      <c r="AF2011" s="16"/>
    </row>
    <row r="2012" spans="1:32" ht="14.25" customHeight="1" x14ac:dyDescent="0.35">
      <c r="A2012" s="14" t="s">
        <v>1493</v>
      </c>
      <c r="B2012" s="14" t="s">
        <v>600</v>
      </c>
      <c r="C2012" s="14" t="s">
        <v>1290</v>
      </c>
      <c r="D2012" s="14" t="s">
        <v>1291</v>
      </c>
      <c r="E2012" s="15">
        <v>41640</v>
      </c>
      <c r="F2012" s="15">
        <v>42004</v>
      </c>
      <c r="G2012" s="15" t="s">
        <v>410</v>
      </c>
      <c r="H2012" s="33">
        <v>0</v>
      </c>
      <c r="I2012" s="33"/>
      <c r="J2012" s="33"/>
      <c r="K2012" s="33"/>
      <c r="L2012" s="33"/>
      <c r="M2012" s="33"/>
      <c r="N2012" s="33"/>
      <c r="O2012" s="33"/>
      <c r="P2012" s="33"/>
      <c r="Q2012" s="33"/>
      <c r="R2012" s="33"/>
      <c r="S2012" s="33"/>
      <c r="T2012" s="33"/>
      <c r="U2012" s="33"/>
      <c r="V2012" s="33"/>
      <c r="W2012" s="33"/>
      <c r="X2012" s="33"/>
      <c r="Y2012" s="33"/>
      <c r="Z2012" s="33"/>
      <c r="AA2012" s="33"/>
      <c r="AB2012" s="20"/>
      <c r="AC2012" s="20"/>
      <c r="AD2012" s="20"/>
      <c r="AE2012" s="20"/>
      <c r="AF2012" s="14"/>
    </row>
    <row r="2013" spans="1:32" ht="14.25" customHeight="1" x14ac:dyDescent="0.35">
      <c r="A2013" s="14" t="s">
        <v>1494</v>
      </c>
      <c r="B2013" s="14" t="s">
        <v>408</v>
      </c>
      <c r="C2013" s="14"/>
      <c r="D2013" s="14" t="s">
        <v>409</v>
      </c>
      <c r="E2013" s="15">
        <v>41640</v>
      </c>
      <c r="F2013" s="15">
        <v>42004</v>
      </c>
      <c r="G2013" s="14" t="s">
        <v>410</v>
      </c>
      <c r="H2013" s="14">
        <v>0</v>
      </c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 t="s">
        <v>411</v>
      </c>
    </row>
    <row r="2014" spans="1:32" ht="14.25" customHeight="1" x14ac:dyDescent="0.35">
      <c r="A2014" s="14" t="s">
        <v>1495</v>
      </c>
      <c r="B2014" s="14" t="s">
        <v>427</v>
      </c>
      <c r="C2014" s="14"/>
      <c r="D2014" s="14" t="s">
        <v>508</v>
      </c>
      <c r="E2014" s="15">
        <v>41640</v>
      </c>
      <c r="F2014" s="15">
        <v>42004</v>
      </c>
      <c r="G2014" s="14" t="s">
        <v>415</v>
      </c>
      <c r="H2014" s="14">
        <v>0.1</v>
      </c>
      <c r="I2014" s="14">
        <v>0.1</v>
      </c>
      <c r="J2014" s="14">
        <v>0.1</v>
      </c>
      <c r="K2014" s="14">
        <v>0.1</v>
      </c>
      <c r="L2014" s="14">
        <v>0.1</v>
      </c>
      <c r="M2014" s="14">
        <v>0.1</v>
      </c>
      <c r="N2014" s="14">
        <v>0.35</v>
      </c>
      <c r="O2014" s="14">
        <v>0.35</v>
      </c>
      <c r="P2014" s="14">
        <v>0.25</v>
      </c>
      <c r="Q2014" s="14">
        <v>0.25</v>
      </c>
      <c r="R2014" s="14">
        <v>0.35</v>
      </c>
      <c r="S2014" s="14">
        <v>0.35</v>
      </c>
      <c r="T2014" s="14">
        <v>0.35</v>
      </c>
      <c r="U2014" s="14">
        <v>0.35</v>
      </c>
      <c r="V2014" s="14">
        <v>0.25</v>
      </c>
      <c r="W2014" s="14">
        <v>0.25</v>
      </c>
      <c r="X2014" s="14">
        <v>0.25</v>
      </c>
      <c r="Y2014" s="14">
        <v>0.35</v>
      </c>
      <c r="Z2014" s="14">
        <v>0.35</v>
      </c>
      <c r="AA2014" s="14">
        <v>0.35</v>
      </c>
      <c r="AB2014" s="14">
        <v>0.25</v>
      </c>
      <c r="AC2014" s="14">
        <v>0.25</v>
      </c>
      <c r="AD2014" s="14">
        <v>0.25</v>
      </c>
      <c r="AE2014" s="14">
        <v>0.25</v>
      </c>
      <c r="AF2014" s="14" t="s">
        <v>411</v>
      </c>
    </row>
    <row r="2015" spans="1:32" ht="14.25" customHeight="1" x14ac:dyDescent="0.35">
      <c r="A2015" s="14" t="s">
        <v>1495</v>
      </c>
      <c r="B2015" s="14" t="s">
        <v>427</v>
      </c>
      <c r="C2015" s="14"/>
      <c r="D2015" s="14" t="s">
        <v>419</v>
      </c>
      <c r="E2015" s="15">
        <v>41640</v>
      </c>
      <c r="F2015" s="15">
        <v>42004</v>
      </c>
      <c r="G2015" s="14" t="s">
        <v>410</v>
      </c>
      <c r="H2015" s="14">
        <v>0.35</v>
      </c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 t="s">
        <v>411</v>
      </c>
    </row>
    <row r="2016" spans="1:32" ht="14.25" customHeight="1" x14ac:dyDescent="0.35">
      <c r="A2016" s="16" t="s">
        <v>1495</v>
      </c>
      <c r="B2016" s="16" t="s">
        <v>427</v>
      </c>
      <c r="C2016" s="16"/>
      <c r="D2016" s="16" t="s">
        <v>418</v>
      </c>
      <c r="E2016" s="17">
        <v>41640</v>
      </c>
      <c r="F2016" s="17">
        <v>42004</v>
      </c>
      <c r="G2016" s="16" t="s">
        <v>410</v>
      </c>
      <c r="H2016" s="16">
        <v>0</v>
      </c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  <c r="AC2016" s="16"/>
      <c r="AD2016" s="16"/>
      <c r="AE2016" s="16"/>
      <c r="AF2016" s="16" t="s">
        <v>411</v>
      </c>
    </row>
    <row r="2017" spans="1:32" ht="14.25" customHeight="1" x14ac:dyDescent="0.35">
      <c r="A2017" s="16" t="s">
        <v>1496</v>
      </c>
      <c r="B2017" s="16" t="s">
        <v>424</v>
      </c>
      <c r="C2017" s="16"/>
      <c r="D2017" s="16" t="s">
        <v>417</v>
      </c>
      <c r="E2017" s="17">
        <v>41640</v>
      </c>
      <c r="F2017" s="17">
        <v>42004</v>
      </c>
      <c r="G2017" s="16" t="s">
        <v>415</v>
      </c>
      <c r="H2017" s="16">
        <v>0.45</v>
      </c>
      <c r="I2017" s="16">
        <v>0.15</v>
      </c>
      <c r="J2017" s="16">
        <v>0.15</v>
      </c>
      <c r="K2017" s="16">
        <v>0.15</v>
      </c>
      <c r="L2017" s="16">
        <v>0.15</v>
      </c>
      <c r="M2017" s="16">
        <v>0.45</v>
      </c>
      <c r="N2017" s="16">
        <v>0.9</v>
      </c>
      <c r="O2017" s="16">
        <v>0.9</v>
      </c>
      <c r="P2017" s="16">
        <v>0.9</v>
      </c>
      <c r="Q2017" s="16">
        <v>0.9</v>
      </c>
      <c r="R2017" s="16">
        <v>0.9</v>
      </c>
      <c r="S2017" s="16">
        <v>0.9</v>
      </c>
      <c r="T2017" s="16">
        <v>0.9</v>
      </c>
      <c r="U2017" s="16">
        <v>0.9</v>
      </c>
      <c r="V2017" s="16">
        <v>0.9</v>
      </c>
      <c r="W2017" s="16">
        <v>0.9</v>
      </c>
      <c r="X2017" s="16">
        <v>0.9</v>
      </c>
      <c r="Y2017" s="16">
        <v>0.9</v>
      </c>
      <c r="Z2017" s="16">
        <v>0.9</v>
      </c>
      <c r="AA2017" s="16">
        <v>0.9</v>
      </c>
      <c r="AB2017" s="16">
        <v>0.9</v>
      </c>
      <c r="AC2017" s="16">
        <v>0.9</v>
      </c>
      <c r="AD2017" s="16">
        <v>0.9</v>
      </c>
      <c r="AE2017" s="16">
        <v>0.9</v>
      </c>
      <c r="AF2017" s="16" t="s">
        <v>411</v>
      </c>
    </row>
    <row r="2018" spans="1:32" ht="14.25" customHeight="1" x14ac:dyDescent="0.35">
      <c r="A2018" s="16" t="s">
        <v>1496</v>
      </c>
      <c r="B2018" s="16" t="s">
        <v>424</v>
      </c>
      <c r="C2018" s="16"/>
      <c r="D2018" s="16" t="s">
        <v>419</v>
      </c>
      <c r="E2018" s="17">
        <v>41640</v>
      </c>
      <c r="F2018" s="17">
        <v>42004</v>
      </c>
      <c r="G2018" s="16" t="s">
        <v>410</v>
      </c>
      <c r="H2018" s="16">
        <v>1</v>
      </c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6"/>
      <c r="AF2018" s="16" t="s">
        <v>411</v>
      </c>
    </row>
    <row r="2019" spans="1:32" ht="14.25" customHeight="1" x14ac:dyDescent="0.35">
      <c r="A2019" s="14" t="s">
        <v>1496</v>
      </c>
      <c r="B2019" s="14" t="s">
        <v>424</v>
      </c>
      <c r="C2019" s="14"/>
      <c r="D2019" s="14" t="s">
        <v>418</v>
      </c>
      <c r="E2019" s="15">
        <v>41640</v>
      </c>
      <c r="F2019" s="15">
        <v>42004</v>
      </c>
      <c r="G2019" s="14" t="s">
        <v>410</v>
      </c>
      <c r="H2019" s="14">
        <v>0</v>
      </c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 t="s">
        <v>411</v>
      </c>
    </row>
    <row r="2020" spans="1:32" ht="14.25" customHeight="1" x14ac:dyDescent="0.35">
      <c r="A2020" s="14" t="s">
        <v>1497</v>
      </c>
      <c r="B2020" s="14" t="s">
        <v>448</v>
      </c>
      <c r="C2020" s="14"/>
      <c r="D2020" s="14" t="s">
        <v>417</v>
      </c>
      <c r="E2020" s="15">
        <v>41640</v>
      </c>
      <c r="F2020" s="15">
        <v>42004</v>
      </c>
      <c r="G2020" s="14" t="s">
        <v>415</v>
      </c>
      <c r="H2020" s="14">
        <v>0.05</v>
      </c>
      <c r="I2020" s="14">
        <v>0</v>
      </c>
      <c r="J2020" s="14">
        <v>0</v>
      </c>
      <c r="K2020" s="14">
        <v>0</v>
      </c>
      <c r="L2020" s="14">
        <v>0</v>
      </c>
      <c r="M2020" s="14">
        <v>0.05</v>
      </c>
      <c r="N2020" s="14">
        <v>0.1</v>
      </c>
      <c r="O2020" s="14">
        <v>0.4</v>
      </c>
      <c r="P2020" s="14">
        <v>0.4</v>
      </c>
      <c r="Q2020" s="14">
        <v>0.3</v>
      </c>
      <c r="R2020" s="14">
        <v>0.2</v>
      </c>
      <c r="S2020" s="14">
        <v>0.5</v>
      </c>
      <c r="T2020" s="14">
        <v>0.8</v>
      </c>
      <c r="U2020" s="14">
        <v>0.7</v>
      </c>
      <c r="V2020" s="14">
        <v>0.4</v>
      </c>
      <c r="W2020" s="14">
        <v>0.2</v>
      </c>
      <c r="X2020" s="14">
        <v>0.25</v>
      </c>
      <c r="Y2020" s="14">
        <v>0.5</v>
      </c>
      <c r="Z2020" s="14">
        <v>0.55000000000000004</v>
      </c>
      <c r="AA2020" s="14">
        <v>0.55000000000000004</v>
      </c>
      <c r="AB2020" s="14">
        <v>0.55000000000000004</v>
      </c>
      <c r="AC2020" s="14">
        <v>0.5</v>
      </c>
      <c r="AD2020" s="14">
        <v>0.35</v>
      </c>
      <c r="AE2020" s="14">
        <v>0.2</v>
      </c>
      <c r="AF2020" s="14" t="s">
        <v>411</v>
      </c>
    </row>
    <row r="2021" spans="1:32" ht="14.25" customHeight="1" x14ac:dyDescent="0.35">
      <c r="A2021" s="14" t="s">
        <v>1497</v>
      </c>
      <c r="B2021" s="14" t="s">
        <v>448</v>
      </c>
      <c r="C2021" s="14"/>
      <c r="D2021" s="14" t="s">
        <v>419</v>
      </c>
      <c r="E2021" s="15">
        <v>41640</v>
      </c>
      <c r="F2021" s="15">
        <v>42004</v>
      </c>
      <c r="G2021" s="14" t="s">
        <v>410</v>
      </c>
      <c r="H2021" s="14">
        <v>1</v>
      </c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 t="s">
        <v>411</v>
      </c>
    </row>
    <row r="2022" spans="1:32" ht="14.25" customHeight="1" x14ac:dyDescent="0.35">
      <c r="A2022" s="16" t="s">
        <v>1497</v>
      </c>
      <c r="B2022" s="16" t="s">
        <v>448</v>
      </c>
      <c r="C2022" s="16"/>
      <c r="D2022" s="16" t="s">
        <v>530</v>
      </c>
      <c r="E2022" s="17">
        <v>41640</v>
      </c>
      <c r="F2022" s="17">
        <v>42004</v>
      </c>
      <c r="G2022" s="16" t="s">
        <v>415</v>
      </c>
      <c r="H2022" s="16">
        <v>0.05</v>
      </c>
      <c r="I2022" s="16">
        <v>0</v>
      </c>
      <c r="J2022" s="16">
        <v>0</v>
      </c>
      <c r="K2022" s="16">
        <v>0</v>
      </c>
      <c r="L2022" s="16">
        <v>0</v>
      </c>
      <c r="M2022" s="16">
        <v>0.05</v>
      </c>
      <c r="N2022" s="16">
        <v>0.05</v>
      </c>
      <c r="O2022" s="16">
        <v>0.3</v>
      </c>
      <c r="P2022" s="16">
        <v>0.3</v>
      </c>
      <c r="Q2022" s="16">
        <v>0.3</v>
      </c>
      <c r="R2022" s="16">
        <v>0.2</v>
      </c>
      <c r="S2022" s="16">
        <v>0.45</v>
      </c>
      <c r="T2022" s="16">
        <v>0.6</v>
      </c>
      <c r="U2022" s="16">
        <v>0.5</v>
      </c>
      <c r="V2022" s="16">
        <v>0.35</v>
      </c>
      <c r="W2022" s="16">
        <v>0.3</v>
      </c>
      <c r="X2022" s="16">
        <v>0.3</v>
      </c>
      <c r="Y2022" s="16">
        <v>0.3</v>
      </c>
      <c r="Z2022" s="16">
        <v>0.55000000000000004</v>
      </c>
      <c r="AA2022" s="16">
        <v>0.55000000000000004</v>
      </c>
      <c r="AB2022" s="16">
        <v>0.55000000000000004</v>
      </c>
      <c r="AC2022" s="16">
        <v>0.5</v>
      </c>
      <c r="AD2022" s="16">
        <v>0.35</v>
      </c>
      <c r="AE2022" s="16">
        <v>0.2</v>
      </c>
      <c r="AF2022" s="16" t="s">
        <v>411</v>
      </c>
    </row>
    <row r="2023" spans="1:32" ht="14.25" customHeight="1" x14ac:dyDescent="0.35">
      <c r="A2023" s="16" t="s">
        <v>1497</v>
      </c>
      <c r="B2023" s="16" t="s">
        <v>448</v>
      </c>
      <c r="C2023" s="16"/>
      <c r="D2023" s="16" t="s">
        <v>418</v>
      </c>
      <c r="E2023" s="17">
        <v>41640</v>
      </c>
      <c r="F2023" s="17">
        <v>42004</v>
      </c>
      <c r="G2023" s="16" t="s">
        <v>410</v>
      </c>
      <c r="H2023" s="16">
        <v>0</v>
      </c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  <c r="AA2023" s="16"/>
      <c r="AB2023" s="16"/>
      <c r="AC2023" s="16"/>
      <c r="AD2023" s="16"/>
      <c r="AE2023" s="16"/>
      <c r="AF2023" s="16" t="s">
        <v>411</v>
      </c>
    </row>
    <row r="2024" spans="1:32" ht="14.25" customHeight="1" x14ac:dyDescent="0.35">
      <c r="A2024" s="14" t="s">
        <v>1498</v>
      </c>
      <c r="B2024" s="14" t="s">
        <v>460</v>
      </c>
      <c r="C2024" s="14"/>
      <c r="D2024" s="14" t="s">
        <v>453</v>
      </c>
      <c r="E2024" s="15">
        <v>41640</v>
      </c>
      <c r="F2024" s="15">
        <v>42004</v>
      </c>
      <c r="G2024" s="14" t="s">
        <v>415</v>
      </c>
      <c r="H2024" s="14">
        <v>0.2</v>
      </c>
      <c r="I2024" s="14">
        <v>0</v>
      </c>
      <c r="J2024" s="14">
        <v>0</v>
      </c>
      <c r="K2024" s="14">
        <v>0</v>
      </c>
      <c r="L2024" s="14">
        <v>0</v>
      </c>
      <c r="M2024" s="14">
        <v>0</v>
      </c>
      <c r="N2024" s="14">
        <v>0.15</v>
      </c>
      <c r="O2024" s="14">
        <v>0.6</v>
      </c>
      <c r="P2024" s="14">
        <v>0.55000000000000004</v>
      </c>
      <c r="Q2024" s="14">
        <v>0.45</v>
      </c>
      <c r="R2024" s="14">
        <v>0.4</v>
      </c>
      <c r="S2024" s="14">
        <v>0.45</v>
      </c>
      <c r="T2024" s="14">
        <v>0.4</v>
      </c>
      <c r="U2024" s="14">
        <v>0.35</v>
      </c>
      <c r="V2024" s="14">
        <v>0.3</v>
      </c>
      <c r="W2024" s="14">
        <v>0.3</v>
      </c>
      <c r="X2024" s="14">
        <v>0.3</v>
      </c>
      <c r="Y2024" s="14">
        <v>0.4</v>
      </c>
      <c r="Z2024" s="14">
        <v>0.55000000000000004</v>
      </c>
      <c r="AA2024" s="14">
        <v>0.6</v>
      </c>
      <c r="AB2024" s="14">
        <v>0.5</v>
      </c>
      <c r="AC2024" s="14">
        <v>0.55000000000000004</v>
      </c>
      <c r="AD2024" s="14">
        <v>0.45</v>
      </c>
      <c r="AE2024" s="14">
        <v>0.25</v>
      </c>
      <c r="AF2024" s="14" t="s">
        <v>411</v>
      </c>
    </row>
    <row r="2025" spans="1:32" ht="14.25" customHeight="1" x14ac:dyDescent="0.35">
      <c r="A2025" s="14" t="s">
        <v>1498</v>
      </c>
      <c r="B2025" s="14" t="s">
        <v>460</v>
      </c>
      <c r="C2025" s="14"/>
      <c r="D2025" s="14" t="s">
        <v>511</v>
      </c>
      <c r="E2025" s="15">
        <v>41640</v>
      </c>
      <c r="F2025" s="15">
        <v>42004</v>
      </c>
      <c r="G2025" s="14" t="s">
        <v>415</v>
      </c>
      <c r="H2025" s="14">
        <v>0.25</v>
      </c>
      <c r="I2025" s="14">
        <v>0</v>
      </c>
      <c r="J2025" s="14">
        <v>0</v>
      </c>
      <c r="K2025" s="14">
        <v>0</v>
      </c>
      <c r="L2025" s="14">
        <v>0</v>
      </c>
      <c r="M2025" s="14">
        <v>0</v>
      </c>
      <c r="N2025" s="14">
        <v>0.15</v>
      </c>
      <c r="O2025" s="14">
        <v>0.15</v>
      </c>
      <c r="P2025" s="14">
        <v>0.15</v>
      </c>
      <c r="Q2025" s="14">
        <v>0.15</v>
      </c>
      <c r="R2025" s="14">
        <v>0.5</v>
      </c>
      <c r="S2025" s="14">
        <v>0.5</v>
      </c>
      <c r="T2025" s="14">
        <v>0.4</v>
      </c>
      <c r="U2025" s="14">
        <v>0.4</v>
      </c>
      <c r="V2025" s="14">
        <v>0.3</v>
      </c>
      <c r="W2025" s="14">
        <v>0.3</v>
      </c>
      <c r="X2025" s="14">
        <v>0.3</v>
      </c>
      <c r="Y2025" s="14">
        <v>0.4</v>
      </c>
      <c r="Z2025" s="14">
        <v>0.5</v>
      </c>
      <c r="AA2025" s="14">
        <v>0.5</v>
      </c>
      <c r="AB2025" s="14">
        <v>0.4</v>
      </c>
      <c r="AC2025" s="14">
        <v>0.5</v>
      </c>
      <c r="AD2025" s="14">
        <v>0.4</v>
      </c>
      <c r="AE2025" s="14">
        <v>0.2</v>
      </c>
      <c r="AF2025" s="14" t="s">
        <v>411</v>
      </c>
    </row>
    <row r="2026" spans="1:32" ht="14.25" customHeight="1" x14ac:dyDescent="0.35">
      <c r="A2026" s="16" t="s">
        <v>1498</v>
      </c>
      <c r="B2026" s="16" t="s">
        <v>460</v>
      </c>
      <c r="C2026" s="16"/>
      <c r="D2026" s="16" t="s">
        <v>514</v>
      </c>
      <c r="E2026" s="17">
        <v>41640</v>
      </c>
      <c r="F2026" s="17">
        <v>42004</v>
      </c>
      <c r="G2026" s="16" t="s">
        <v>415</v>
      </c>
      <c r="H2026" s="16">
        <v>0.2</v>
      </c>
      <c r="I2026" s="16">
        <v>0</v>
      </c>
      <c r="J2026" s="16">
        <v>0</v>
      </c>
      <c r="K2026" s="16">
        <v>0</v>
      </c>
      <c r="L2026" s="16">
        <v>0</v>
      </c>
      <c r="M2026" s="16">
        <v>0</v>
      </c>
      <c r="N2026" s="16">
        <v>0.15</v>
      </c>
      <c r="O2026" s="16">
        <v>0.15</v>
      </c>
      <c r="P2026" s="16">
        <v>0.15</v>
      </c>
      <c r="Q2026" s="16">
        <v>0.5</v>
      </c>
      <c r="R2026" s="16">
        <v>0.45</v>
      </c>
      <c r="S2026" s="16">
        <v>0.5</v>
      </c>
      <c r="T2026" s="16">
        <v>0.5</v>
      </c>
      <c r="U2026" s="16">
        <v>0.45</v>
      </c>
      <c r="V2026" s="16">
        <v>0.4</v>
      </c>
      <c r="W2026" s="16">
        <v>0.4</v>
      </c>
      <c r="X2026" s="16">
        <v>0.35</v>
      </c>
      <c r="Y2026" s="16">
        <v>0.4</v>
      </c>
      <c r="Z2026" s="16">
        <v>0.55000000000000004</v>
      </c>
      <c r="AA2026" s="16">
        <v>0.55000000000000004</v>
      </c>
      <c r="AB2026" s="16">
        <v>0.5</v>
      </c>
      <c r="AC2026" s="16">
        <v>0.55000000000000004</v>
      </c>
      <c r="AD2026" s="16">
        <v>0.4</v>
      </c>
      <c r="AE2026" s="16">
        <v>0.3</v>
      </c>
      <c r="AF2026" s="16" t="s">
        <v>411</v>
      </c>
    </row>
    <row r="2027" spans="1:32" ht="14.25" customHeight="1" x14ac:dyDescent="0.35">
      <c r="A2027" s="16" t="s">
        <v>1499</v>
      </c>
      <c r="B2027" s="16" t="s">
        <v>420</v>
      </c>
      <c r="C2027" s="16" t="s">
        <v>414</v>
      </c>
      <c r="D2027" s="16" t="s">
        <v>453</v>
      </c>
      <c r="E2027" s="17">
        <v>41640</v>
      </c>
      <c r="F2027" s="17">
        <v>42004</v>
      </c>
      <c r="G2027" s="16" t="s">
        <v>415</v>
      </c>
      <c r="H2027" s="16">
        <v>24</v>
      </c>
      <c r="I2027" s="16">
        <v>30</v>
      </c>
      <c r="J2027" s="16">
        <v>30</v>
      </c>
      <c r="K2027" s="16">
        <v>30</v>
      </c>
      <c r="L2027" s="16">
        <v>30</v>
      </c>
      <c r="M2027" s="16">
        <v>24</v>
      </c>
      <c r="N2027" s="16">
        <v>24</v>
      </c>
      <c r="O2027" s="16">
        <v>24</v>
      </c>
      <c r="P2027" s="16">
        <v>24</v>
      </c>
      <c r="Q2027" s="16">
        <v>24</v>
      </c>
      <c r="R2027" s="16">
        <v>24</v>
      </c>
      <c r="S2027" s="16">
        <v>24</v>
      </c>
      <c r="T2027" s="16">
        <v>24</v>
      </c>
      <c r="U2027" s="16">
        <v>24</v>
      </c>
      <c r="V2027" s="16">
        <v>24</v>
      </c>
      <c r="W2027" s="16">
        <v>24</v>
      </c>
      <c r="X2027" s="16">
        <v>24</v>
      </c>
      <c r="Y2027" s="16">
        <v>24</v>
      </c>
      <c r="Z2027" s="16">
        <v>24</v>
      </c>
      <c r="AA2027" s="16">
        <v>24</v>
      </c>
      <c r="AB2027" s="16">
        <v>24</v>
      </c>
      <c r="AC2027" s="16">
        <v>24</v>
      </c>
      <c r="AD2027" s="16">
        <v>24</v>
      </c>
      <c r="AE2027" s="16">
        <v>24</v>
      </c>
      <c r="AF2027" s="16" t="s">
        <v>411</v>
      </c>
    </row>
    <row r="2028" spans="1:32" ht="14.25" customHeight="1" x14ac:dyDescent="0.35">
      <c r="A2028" s="14" t="s">
        <v>1499</v>
      </c>
      <c r="B2028" s="14" t="s">
        <v>420</v>
      </c>
      <c r="C2028" s="14" t="s">
        <v>414</v>
      </c>
      <c r="D2028" s="14" t="s">
        <v>418</v>
      </c>
      <c r="E2028" s="15">
        <v>41640</v>
      </c>
      <c r="F2028" s="15">
        <v>42004</v>
      </c>
      <c r="G2028" s="14" t="s">
        <v>410</v>
      </c>
      <c r="H2028" s="14">
        <v>30</v>
      </c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 t="s">
        <v>411</v>
      </c>
    </row>
    <row r="2029" spans="1:32" ht="14.25" customHeight="1" x14ac:dyDescent="0.35">
      <c r="A2029" s="16" t="s">
        <v>1500</v>
      </c>
      <c r="B2029" s="16" t="s">
        <v>420</v>
      </c>
      <c r="C2029" s="16" t="s">
        <v>414</v>
      </c>
      <c r="D2029" s="16" t="s">
        <v>453</v>
      </c>
      <c r="E2029" s="17">
        <v>41640</v>
      </c>
      <c r="F2029" s="17">
        <v>42004</v>
      </c>
      <c r="G2029" s="16" t="s">
        <v>415</v>
      </c>
      <c r="H2029" s="16">
        <v>26</v>
      </c>
      <c r="I2029" s="16">
        <v>30</v>
      </c>
      <c r="J2029" s="16">
        <v>30</v>
      </c>
      <c r="K2029" s="16">
        <v>30</v>
      </c>
      <c r="L2029" s="16">
        <v>30</v>
      </c>
      <c r="M2029" s="16">
        <v>26</v>
      </c>
      <c r="N2029" s="16">
        <v>26</v>
      </c>
      <c r="O2029" s="16">
        <v>26</v>
      </c>
      <c r="P2029" s="16">
        <v>26</v>
      </c>
      <c r="Q2029" s="16">
        <v>26</v>
      </c>
      <c r="R2029" s="16">
        <v>26</v>
      </c>
      <c r="S2029" s="16">
        <v>26</v>
      </c>
      <c r="T2029" s="16">
        <v>26</v>
      </c>
      <c r="U2029" s="16">
        <v>26</v>
      </c>
      <c r="V2029" s="16">
        <v>26</v>
      </c>
      <c r="W2029" s="16">
        <v>26</v>
      </c>
      <c r="X2029" s="16">
        <v>26</v>
      </c>
      <c r="Y2029" s="16">
        <v>26</v>
      </c>
      <c r="Z2029" s="16">
        <v>26</v>
      </c>
      <c r="AA2029" s="16">
        <v>26</v>
      </c>
      <c r="AB2029" s="16">
        <v>26</v>
      </c>
      <c r="AC2029" s="16">
        <v>26</v>
      </c>
      <c r="AD2029" s="16">
        <v>26</v>
      </c>
      <c r="AE2029" s="16">
        <v>26</v>
      </c>
      <c r="AF2029" s="16" t="s">
        <v>411</v>
      </c>
    </row>
    <row r="2030" spans="1:32" ht="14.25" customHeight="1" x14ac:dyDescent="0.35">
      <c r="A2030" s="14" t="s">
        <v>1500</v>
      </c>
      <c r="B2030" s="14" t="s">
        <v>420</v>
      </c>
      <c r="C2030" s="14" t="s">
        <v>414</v>
      </c>
      <c r="D2030" s="14" t="s">
        <v>418</v>
      </c>
      <c r="E2030" s="15">
        <v>41640</v>
      </c>
      <c r="F2030" s="15">
        <v>42004</v>
      </c>
      <c r="G2030" s="14" t="s">
        <v>410</v>
      </c>
      <c r="H2030" s="14">
        <v>30</v>
      </c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 t="s">
        <v>411</v>
      </c>
    </row>
    <row r="2031" spans="1:32" ht="14.25" customHeight="1" x14ac:dyDescent="0.35">
      <c r="A2031" s="16" t="s">
        <v>1501</v>
      </c>
      <c r="B2031" s="16" t="s">
        <v>518</v>
      </c>
      <c r="C2031" s="16"/>
      <c r="D2031" s="16" t="s">
        <v>476</v>
      </c>
      <c r="E2031" s="17">
        <v>41640</v>
      </c>
      <c r="F2031" s="17">
        <v>42004</v>
      </c>
      <c r="G2031" s="16" t="s">
        <v>410</v>
      </c>
      <c r="H2031" s="16">
        <v>1</v>
      </c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 t="s">
        <v>411</v>
      </c>
    </row>
    <row r="2032" spans="1:32" ht="14.25" customHeight="1" x14ac:dyDescent="0.35">
      <c r="A2032" s="14" t="s">
        <v>1501</v>
      </c>
      <c r="B2032" s="14" t="s">
        <v>518</v>
      </c>
      <c r="C2032" s="14"/>
      <c r="D2032" s="14" t="s">
        <v>419</v>
      </c>
      <c r="E2032" s="15">
        <v>41640</v>
      </c>
      <c r="F2032" s="15">
        <v>42004</v>
      </c>
      <c r="G2032" s="14" t="s">
        <v>410</v>
      </c>
      <c r="H2032" s="14">
        <v>0.5</v>
      </c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 t="s">
        <v>411</v>
      </c>
    </row>
    <row r="2033" spans="1:32" ht="14.25" customHeight="1" x14ac:dyDescent="0.35">
      <c r="A2033" s="16" t="s">
        <v>1501</v>
      </c>
      <c r="B2033" s="16" t="s">
        <v>518</v>
      </c>
      <c r="C2033" s="16"/>
      <c r="D2033" s="16" t="s">
        <v>454</v>
      </c>
      <c r="E2033" s="17">
        <v>41913</v>
      </c>
      <c r="F2033" s="17">
        <v>42004</v>
      </c>
      <c r="G2033" s="16" t="s">
        <v>410</v>
      </c>
      <c r="H2033" s="16">
        <v>1</v>
      </c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6"/>
      <c r="AF2033" s="16" t="s">
        <v>411</v>
      </c>
    </row>
    <row r="2034" spans="1:32" ht="14.25" customHeight="1" x14ac:dyDescent="0.35">
      <c r="A2034" s="14" t="s">
        <v>1501</v>
      </c>
      <c r="B2034" s="14" t="s">
        <v>518</v>
      </c>
      <c r="C2034" s="14"/>
      <c r="D2034" s="14" t="s">
        <v>454</v>
      </c>
      <c r="E2034" s="15">
        <v>41760</v>
      </c>
      <c r="F2034" s="15">
        <v>41912</v>
      </c>
      <c r="G2034" s="14" t="s">
        <v>410</v>
      </c>
      <c r="H2034" s="14">
        <v>0.5</v>
      </c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 t="s">
        <v>411</v>
      </c>
    </row>
    <row r="2035" spans="1:32" ht="14.25" customHeight="1" x14ac:dyDescent="0.35">
      <c r="A2035" s="16" t="s">
        <v>1502</v>
      </c>
      <c r="B2035" s="16" t="s">
        <v>427</v>
      </c>
      <c r="C2035" s="16"/>
      <c r="D2035" s="16" t="s">
        <v>417</v>
      </c>
      <c r="E2035" s="17">
        <v>41640</v>
      </c>
      <c r="F2035" s="17">
        <v>42004</v>
      </c>
      <c r="G2035" s="16" t="s">
        <v>415</v>
      </c>
      <c r="H2035" s="16">
        <v>0.02</v>
      </c>
      <c r="I2035" s="16">
        <v>0.02</v>
      </c>
      <c r="J2035" s="16">
        <v>0.02</v>
      </c>
      <c r="K2035" s="16">
        <v>0.02</v>
      </c>
      <c r="L2035" s="16">
        <v>0.02</v>
      </c>
      <c r="M2035" s="16">
        <v>0.03</v>
      </c>
      <c r="N2035" s="16">
        <v>0.09</v>
      </c>
      <c r="O2035" s="16">
        <v>0.14000000000000001</v>
      </c>
      <c r="P2035" s="16">
        <v>0.1</v>
      </c>
      <c r="Q2035" s="16">
        <v>0.1</v>
      </c>
      <c r="R2035" s="16">
        <v>0.22</v>
      </c>
      <c r="S2035" s="16">
        <v>0.27</v>
      </c>
      <c r="T2035" s="16">
        <v>0.24</v>
      </c>
      <c r="U2035" s="16">
        <v>0.21</v>
      </c>
      <c r="V2035" s="16">
        <v>0.14000000000000001</v>
      </c>
      <c r="W2035" s="16">
        <v>0.13</v>
      </c>
      <c r="X2035" s="16">
        <v>0.15</v>
      </c>
      <c r="Y2035" s="16">
        <v>0.17</v>
      </c>
      <c r="Z2035" s="16">
        <v>0.17</v>
      </c>
      <c r="AA2035" s="16">
        <v>0.17</v>
      </c>
      <c r="AB2035" s="16">
        <v>0.15</v>
      </c>
      <c r="AC2035" s="16">
        <v>0.14000000000000001</v>
      </c>
      <c r="AD2035" s="16">
        <v>0.12</v>
      </c>
      <c r="AE2035" s="16">
        <v>0.02</v>
      </c>
      <c r="AF2035" s="16" t="s">
        <v>411</v>
      </c>
    </row>
    <row r="2036" spans="1:32" ht="14.25" customHeight="1" x14ac:dyDescent="0.35">
      <c r="A2036" s="16" t="s">
        <v>1502</v>
      </c>
      <c r="B2036" s="16" t="s">
        <v>427</v>
      </c>
      <c r="C2036" s="16"/>
      <c r="D2036" s="16" t="s">
        <v>419</v>
      </c>
      <c r="E2036" s="17">
        <v>41640</v>
      </c>
      <c r="F2036" s="17">
        <v>42004</v>
      </c>
      <c r="G2036" s="16" t="s">
        <v>410</v>
      </c>
      <c r="H2036" s="16">
        <v>0.25</v>
      </c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6"/>
      <c r="AF2036" s="16" t="s">
        <v>411</v>
      </c>
    </row>
    <row r="2037" spans="1:32" ht="14.25" customHeight="1" x14ac:dyDescent="0.35">
      <c r="A2037" s="14" t="s">
        <v>1502</v>
      </c>
      <c r="B2037" s="14" t="s">
        <v>427</v>
      </c>
      <c r="C2037" s="14"/>
      <c r="D2037" s="14" t="s">
        <v>418</v>
      </c>
      <c r="E2037" s="15">
        <v>41640</v>
      </c>
      <c r="F2037" s="15">
        <v>42004</v>
      </c>
      <c r="G2037" s="14" t="s">
        <v>410</v>
      </c>
      <c r="H2037" s="14">
        <v>0</v>
      </c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 t="s">
        <v>411</v>
      </c>
    </row>
    <row r="2038" spans="1:32" ht="14.25" customHeight="1" x14ac:dyDescent="0.35">
      <c r="A2038" s="14" t="s">
        <v>1503</v>
      </c>
      <c r="B2038" s="14" t="s">
        <v>420</v>
      </c>
      <c r="C2038" s="14" t="s">
        <v>414</v>
      </c>
      <c r="D2038" s="14" t="s">
        <v>417</v>
      </c>
      <c r="E2038" s="15">
        <v>41640</v>
      </c>
      <c r="F2038" s="15">
        <v>42004</v>
      </c>
      <c r="G2038" s="14" t="s">
        <v>415</v>
      </c>
      <c r="H2038" s="14">
        <v>21</v>
      </c>
      <c r="I2038" s="14">
        <v>15.6</v>
      </c>
      <c r="J2038" s="14">
        <v>15.6</v>
      </c>
      <c r="K2038" s="14">
        <v>15.6</v>
      </c>
      <c r="L2038" s="14">
        <v>15.6</v>
      </c>
      <c r="M2038" s="14">
        <v>21</v>
      </c>
      <c r="N2038" s="14">
        <v>21</v>
      </c>
      <c r="O2038" s="14">
        <v>21</v>
      </c>
      <c r="P2038" s="14">
        <v>21</v>
      </c>
      <c r="Q2038" s="14">
        <v>21</v>
      </c>
      <c r="R2038" s="14">
        <v>21</v>
      </c>
      <c r="S2038" s="14">
        <v>21</v>
      </c>
      <c r="T2038" s="14">
        <v>21</v>
      </c>
      <c r="U2038" s="14">
        <v>21</v>
      </c>
      <c r="V2038" s="14">
        <v>21</v>
      </c>
      <c r="W2038" s="14">
        <v>21</v>
      </c>
      <c r="X2038" s="14">
        <v>21</v>
      </c>
      <c r="Y2038" s="14">
        <v>21</v>
      </c>
      <c r="Z2038" s="14">
        <v>21</v>
      </c>
      <c r="AA2038" s="14">
        <v>21</v>
      </c>
      <c r="AB2038" s="14">
        <v>21</v>
      </c>
      <c r="AC2038" s="14">
        <v>21</v>
      </c>
      <c r="AD2038" s="14">
        <v>21</v>
      </c>
      <c r="AE2038" s="14">
        <v>21</v>
      </c>
      <c r="AF2038" s="14" t="s">
        <v>411</v>
      </c>
    </row>
    <row r="2039" spans="1:32" ht="14.25" customHeight="1" x14ac:dyDescent="0.35">
      <c r="A2039" s="14" t="s">
        <v>1503</v>
      </c>
      <c r="B2039" s="14" t="s">
        <v>420</v>
      </c>
      <c r="C2039" s="14" t="s">
        <v>414</v>
      </c>
      <c r="D2039" s="14" t="s">
        <v>419</v>
      </c>
      <c r="E2039" s="15">
        <v>41640</v>
      </c>
      <c r="F2039" s="15">
        <v>42004</v>
      </c>
      <c r="G2039" s="14" t="s">
        <v>410</v>
      </c>
      <c r="H2039" s="14">
        <v>15.6</v>
      </c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 t="s">
        <v>411</v>
      </c>
    </row>
    <row r="2040" spans="1:32" ht="14.25" customHeight="1" x14ac:dyDescent="0.35">
      <c r="A2040" s="16" t="s">
        <v>1503</v>
      </c>
      <c r="B2040" s="16" t="s">
        <v>420</v>
      </c>
      <c r="C2040" s="16" t="s">
        <v>414</v>
      </c>
      <c r="D2040" s="16" t="s">
        <v>418</v>
      </c>
      <c r="E2040" s="17">
        <v>41640</v>
      </c>
      <c r="F2040" s="17">
        <v>42004</v>
      </c>
      <c r="G2040" s="16" t="s">
        <v>410</v>
      </c>
      <c r="H2040" s="16">
        <v>21</v>
      </c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  <c r="AA2040" s="16"/>
      <c r="AB2040" s="16"/>
      <c r="AC2040" s="16"/>
      <c r="AD2040" s="16"/>
      <c r="AE2040" s="16"/>
      <c r="AF2040" s="16" t="s">
        <v>411</v>
      </c>
    </row>
    <row r="2041" spans="1:32" ht="14.25" customHeight="1" x14ac:dyDescent="0.35">
      <c r="A2041" s="16" t="s">
        <v>1504</v>
      </c>
      <c r="B2041" s="16" t="s">
        <v>420</v>
      </c>
      <c r="C2041" s="16" t="s">
        <v>414</v>
      </c>
      <c r="D2041" s="16" t="s">
        <v>417</v>
      </c>
      <c r="E2041" s="17">
        <v>41640</v>
      </c>
      <c r="F2041" s="17">
        <v>42004</v>
      </c>
      <c r="G2041" s="16" t="s">
        <v>415</v>
      </c>
      <c r="H2041" s="16">
        <v>19</v>
      </c>
      <c r="I2041" s="16">
        <v>15.6</v>
      </c>
      <c r="J2041" s="16">
        <v>15.6</v>
      </c>
      <c r="K2041" s="16">
        <v>15.6</v>
      </c>
      <c r="L2041" s="16">
        <v>15.6</v>
      </c>
      <c r="M2041" s="16">
        <v>19</v>
      </c>
      <c r="N2041" s="16">
        <v>19</v>
      </c>
      <c r="O2041" s="16">
        <v>19</v>
      </c>
      <c r="P2041" s="16">
        <v>19</v>
      </c>
      <c r="Q2041" s="16">
        <v>19</v>
      </c>
      <c r="R2041" s="16">
        <v>19</v>
      </c>
      <c r="S2041" s="16">
        <v>19</v>
      </c>
      <c r="T2041" s="16">
        <v>19</v>
      </c>
      <c r="U2041" s="16">
        <v>19</v>
      </c>
      <c r="V2041" s="16">
        <v>19</v>
      </c>
      <c r="W2041" s="16">
        <v>19</v>
      </c>
      <c r="X2041" s="16">
        <v>19</v>
      </c>
      <c r="Y2041" s="16">
        <v>19</v>
      </c>
      <c r="Z2041" s="16">
        <v>19</v>
      </c>
      <c r="AA2041" s="16">
        <v>19</v>
      </c>
      <c r="AB2041" s="16">
        <v>19</v>
      </c>
      <c r="AC2041" s="16">
        <v>19</v>
      </c>
      <c r="AD2041" s="16">
        <v>19</v>
      </c>
      <c r="AE2041" s="16">
        <v>19</v>
      </c>
      <c r="AF2041" s="16" t="s">
        <v>411</v>
      </c>
    </row>
    <row r="2042" spans="1:32" ht="14.25" customHeight="1" x14ac:dyDescent="0.35">
      <c r="A2042" s="16" t="s">
        <v>1504</v>
      </c>
      <c r="B2042" s="16" t="s">
        <v>420</v>
      </c>
      <c r="C2042" s="16" t="s">
        <v>414</v>
      </c>
      <c r="D2042" s="16" t="s">
        <v>419</v>
      </c>
      <c r="E2042" s="17">
        <v>41640</v>
      </c>
      <c r="F2042" s="17">
        <v>42004</v>
      </c>
      <c r="G2042" s="16" t="s">
        <v>410</v>
      </c>
      <c r="H2042" s="16">
        <v>15.6</v>
      </c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 t="s">
        <v>411</v>
      </c>
    </row>
    <row r="2043" spans="1:32" ht="14.25" customHeight="1" x14ac:dyDescent="0.35">
      <c r="A2043" s="14" t="s">
        <v>1504</v>
      </c>
      <c r="B2043" s="14" t="s">
        <v>420</v>
      </c>
      <c r="C2043" s="14" t="s">
        <v>414</v>
      </c>
      <c r="D2043" s="14" t="s">
        <v>418</v>
      </c>
      <c r="E2043" s="15">
        <v>41640</v>
      </c>
      <c r="F2043" s="15">
        <v>42004</v>
      </c>
      <c r="G2043" s="14" t="s">
        <v>410</v>
      </c>
      <c r="H2043" s="14">
        <v>19</v>
      </c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 t="s">
        <v>411</v>
      </c>
    </row>
    <row r="2044" spans="1:32" ht="14.25" customHeight="1" x14ac:dyDescent="0.35">
      <c r="A2044" s="14" t="s">
        <v>1505</v>
      </c>
      <c r="B2044" s="14" t="s">
        <v>441</v>
      </c>
      <c r="C2044" s="14"/>
      <c r="D2044" s="14" t="s">
        <v>524</v>
      </c>
      <c r="E2044" s="15">
        <v>41640</v>
      </c>
      <c r="F2044" s="15">
        <v>42004</v>
      </c>
      <c r="G2044" s="14" t="s">
        <v>415</v>
      </c>
      <c r="H2044" s="14">
        <v>1</v>
      </c>
      <c r="I2044" s="14">
        <v>1</v>
      </c>
      <c r="J2044" s="14">
        <v>1</v>
      </c>
      <c r="K2044" s="14">
        <v>1</v>
      </c>
      <c r="L2044" s="14">
        <v>1</v>
      </c>
      <c r="M2044" s="14">
        <v>0.5</v>
      </c>
      <c r="N2044" s="14">
        <v>0.5</v>
      </c>
      <c r="O2044" s="14">
        <v>0.5</v>
      </c>
      <c r="P2044" s="14">
        <v>0.5</v>
      </c>
      <c r="Q2044" s="14">
        <v>0.5</v>
      </c>
      <c r="R2044" s="14">
        <v>0.5</v>
      </c>
      <c r="S2044" s="14">
        <v>0.5</v>
      </c>
      <c r="T2044" s="14">
        <v>0.5</v>
      </c>
      <c r="U2044" s="14">
        <v>0.5</v>
      </c>
      <c r="V2044" s="14">
        <v>0.5</v>
      </c>
      <c r="W2044" s="14">
        <v>0.5</v>
      </c>
      <c r="X2044" s="14">
        <v>0.5</v>
      </c>
      <c r="Y2044" s="14">
        <v>0.5</v>
      </c>
      <c r="Z2044" s="14">
        <v>0.5</v>
      </c>
      <c r="AA2044" s="14">
        <v>0.5</v>
      </c>
      <c r="AB2044" s="14">
        <v>0.5</v>
      </c>
      <c r="AC2044" s="14">
        <v>0.5</v>
      </c>
      <c r="AD2044" s="14">
        <v>0.5</v>
      </c>
      <c r="AE2044" s="14">
        <v>0.5</v>
      </c>
      <c r="AF2044" s="14" t="s">
        <v>411</v>
      </c>
    </row>
    <row r="2045" spans="1:32" ht="14.25" customHeight="1" x14ac:dyDescent="0.35">
      <c r="A2045" s="16" t="s">
        <v>1506</v>
      </c>
      <c r="B2045" s="16" t="s">
        <v>427</v>
      </c>
      <c r="C2045" s="16"/>
      <c r="D2045" s="16" t="s">
        <v>409</v>
      </c>
      <c r="E2045" s="17">
        <v>41640</v>
      </c>
      <c r="F2045" s="17">
        <v>42004</v>
      </c>
      <c r="G2045" s="16" t="s">
        <v>415</v>
      </c>
      <c r="H2045" s="16">
        <v>1</v>
      </c>
      <c r="I2045" s="16">
        <v>0</v>
      </c>
      <c r="J2045" s="16">
        <v>0</v>
      </c>
      <c r="K2045" s="16">
        <v>0</v>
      </c>
      <c r="L2045" s="16">
        <v>0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  <c r="R2045" s="16">
        <v>1</v>
      </c>
      <c r="S2045" s="16">
        <v>1</v>
      </c>
      <c r="T2045" s="16">
        <v>1</v>
      </c>
      <c r="U2045" s="16">
        <v>1</v>
      </c>
      <c r="V2045" s="16">
        <v>1</v>
      </c>
      <c r="W2045" s="16">
        <v>1</v>
      </c>
      <c r="X2045" s="16">
        <v>1</v>
      </c>
      <c r="Y2045" s="16">
        <v>1</v>
      </c>
      <c r="Z2045" s="16">
        <v>1</v>
      </c>
      <c r="AA2045" s="16">
        <v>1</v>
      </c>
      <c r="AB2045" s="16">
        <v>1</v>
      </c>
      <c r="AC2045" s="16">
        <v>1</v>
      </c>
      <c r="AD2045" s="16">
        <v>1</v>
      </c>
      <c r="AE2045" s="16">
        <v>1</v>
      </c>
      <c r="AF2045" s="16" t="s">
        <v>411</v>
      </c>
    </row>
    <row r="2046" spans="1:32" ht="14.25" customHeight="1" x14ac:dyDescent="0.35">
      <c r="A2046" s="14" t="s">
        <v>1507</v>
      </c>
      <c r="B2046" s="14" t="s">
        <v>408</v>
      </c>
      <c r="C2046" s="14"/>
      <c r="D2046" s="14" t="s">
        <v>409</v>
      </c>
      <c r="E2046" s="15">
        <v>41640</v>
      </c>
      <c r="F2046" s="15">
        <v>42004</v>
      </c>
      <c r="G2046" s="14" t="s">
        <v>410</v>
      </c>
      <c r="H2046" s="14">
        <v>0</v>
      </c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 t="s">
        <v>411</v>
      </c>
    </row>
    <row r="2047" spans="1:32" ht="14.25" customHeight="1" x14ac:dyDescent="0.35">
      <c r="A2047" s="14" t="s">
        <v>1508</v>
      </c>
      <c r="B2047" s="14" t="s">
        <v>408</v>
      </c>
      <c r="C2047" s="14" t="s">
        <v>412</v>
      </c>
      <c r="D2047" s="14" t="s">
        <v>409</v>
      </c>
      <c r="E2047" s="15">
        <v>41640</v>
      </c>
      <c r="F2047" s="15">
        <v>42004</v>
      </c>
      <c r="G2047" s="14" t="s">
        <v>410</v>
      </c>
      <c r="H2047" s="14">
        <v>0.2</v>
      </c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 t="s">
        <v>413</v>
      </c>
    </row>
    <row r="2048" spans="1:32" ht="14.25" customHeight="1" x14ac:dyDescent="0.35">
      <c r="A2048" s="16" t="s">
        <v>1509</v>
      </c>
      <c r="B2048" s="16" t="s">
        <v>408</v>
      </c>
      <c r="C2048" s="16"/>
      <c r="D2048" s="16" t="s">
        <v>409</v>
      </c>
      <c r="E2048" s="17">
        <v>41640</v>
      </c>
      <c r="F2048" s="17">
        <v>42004</v>
      </c>
      <c r="G2048" s="16" t="s">
        <v>410</v>
      </c>
      <c r="H2048" s="16">
        <v>0</v>
      </c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16"/>
      <c r="AA2048" s="16"/>
      <c r="AB2048" s="16"/>
      <c r="AC2048" s="16"/>
      <c r="AD2048" s="16"/>
      <c r="AE2048" s="16"/>
      <c r="AF2048" s="16" t="s">
        <v>413</v>
      </c>
    </row>
    <row r="2049" spans="1:32" ht="14.25" customHeight="1" x14ac:dyDescent="0.35">
      <c r="A2049" s="14" t="s">
        <v>1510</v>
      </c>
      <c r="B2049" s="14" t="s">
        <v>408</v>
      </c>
      <c r="C2049" s="14"/>
      <c r="D2049" s="14" t="s">
        <v>409</v>
      </c>
      <c r="E2049" s="15">
        <v>41640</v>
      </c>
      <c r="F2049" s="15">
        <v>42004</v>
      </c>
      <c r="G2049" s="14" t="s">
        <v>410</v>
      </c>
      <c r="H2049" s="14">
        <v>1</v>
      </c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 t="s">
        <v>413</v>
      </c>
    </row>
    <row r="2050" spans="1:32" ht="14.25" customHeight="1" x14ac:dyDescent="0.35">
      <c r="A2050" s="16" t="s">
        <v>347</v>
      </c>
      <c r="B2050" s="16" t="s">
        <v>427</v>
      </c>
      <c r="C2050" s="16"/>
      <c r="D2050" s="16" t="s">
        <v>821</v>
      </c>
      <c r="E2050" s="17">
        <v>41640</v>
      </c>
      <c r="F2050" s="17">
        <v>42004</v>
      </c>
      <c r="G2050" s="16" t="s">
        <v>415</v>
      </c>
      <c r="H2050" s="16">
        <v>0.03</v>
      </c>
      <c r="I2050" s="16">
        <v>0.02</v>
      </c>
      <c r="J2050" s="16">
        <v>0.03</v>
      </c>
      <c r="K2050" s="16">
        <v>0.02</v>
      </c>
      <c r="L2050" s="16">
        <v>0.05</v>
      </c>
      <c r="M2050" s="16">
        <v>0.12</v>
      </c>
      <c r="N2050" s="16">
        <v>0.13</v>
      </c>
      <c r="O2050" s="16">
        <v>0.15</v>
      </c>
      <c r="P2050" s="16">
        <v>0.18</v>
      </c>
      <c r="Q2050" s="16">
        <v>0.21</v>
      </c>
      <c r="R2050" s="16">
        <v>0.26</v>
      </c>
      <c r="S2050" s="16">
        <v>0.28999999999999998</v>
      </c>
      <c r="T2050" s="16">
        <v>0.27</v>
      </c>
      <c r="U2050" s="16">
        <v>0.25</v>
      </c>
      <c r="V2050" s="16">
        <v>0.23</v>
      </c>
      <c r="W2050" s="16">
        <v>0.23</v>
      </c>
      <c r="X2050" s="16">
        <v>0.26</v>
      </c>
      <c r="Y2050" s="16">
        <v>0.26</v>
      </c>
      <c r="Z2050" s="16">
        <v>0.24</v>
      </c>
      <c r="AA2050" s="16">
        <v>0.22</v>
      </c>
      <c r="AB2050" s="16">
        <v>0.2</v>
      </c>
      <c r="AC2050" s="16">
        <v>0.18</v>
      </c>
      <c r="AD2050" s="16">
        <v>0.09</v>
      </c>
      <c r="AE2050" s="16">
        <v>0.03</v>
      </c>
      <c r="AF2050" s="16" t="s">
        <v>413</v>
      </c>
    </row>
    <row r="2051" spans="1:32" ht="14.25" customHeight="1" x14ac:dyDescent="0.35">
      <c r="A2051" s="16" t="s">
        <v>347</v>
      </c>
      <c r="B2051" s="16" t="s">
        <v>427</v>
      </c>
      <c r="C2051" s="16"/>
      <c r="D2051" s="16" t="s">
        <v>419</v>
      </c>
      <c r="E2051" s="17">
        <v>41640</v>
      </c>
      <c r="F2051" s="17">
        <v>42004</v>
      </c>
      <c r="G2051" s="16" t="s">
        <v>410</v>
      </c>
      <c r="H2051" s="16">
        <v>0.28999999999999998</v>
      </c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6"/>
      <c r="AF2051" s="16" t="s">
        <v>413</v>
      </c>
    </row>
    <row r="2052" spans="1:32" ht="14.25" customHeight="1" x14ac:dyDescent="0.35">
      <c r="A2052" s="14" t="s">
        <v>347</v>
      </c>
      <c r="B2052" s="14" t="s">
        <v>427</v>
      </c>
      <c r="C2052" s="14"/>
      <c r="D2052" s="14" t="s">
        <v>418</v>
      </c>
      <c r="E2052" s="15">
        <v>41640</v>
      </c>
      <c r="F2052" s="15">
        <v>42004</v>
      </c>
      <c r="G2052" s="14" t="s">
        <v>410</v>
      </c>
      <c r="H2052" s="14">
        <v>0</v>
      </c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 t="s">
        <v>413</v>
      </c>
    </row>
    <row r="2053" spans="1:32" ht="14.25" customHeight="1" x14ac:dyDescent="0.35">
      <c r="A2053" s="14" t="s">
        <v>1511</v>
      </c>
      <c r="B2053" s="14" t="s">
        <v>424</v>
      </c>
      <c r="C2053" s="14"/>
      <c r="D2053" s="14" t="s">
        <v>417</v>
      </c>
      <c r="E2053" s="15">
        <v>41640</v>
      </c>
      <c r="F2053" s="15">
        <v>42004</v>
      </c>
      <c r="G2053" s="14" t="s">
        <v>415</v>
      </c>
      <c r="H2053" s="14">
        <v>0.2</v>
      </c>
      <c r="I2053" s="16">
        <v>0.15</v>
      </c>
      <c r="J2053" s="16">
        <v>0.15</v>
      </c>
      <c r="K2053" s="16">
        <v>0.15</v>
      </c>
      <c r="L2053" s="16">
        <v>0.15</v>
      </c>
      <c r="M2053" s="16">
        <v>0.15</v>
      </c>
      <c r="N2053" s="16">
        <v>0.3</v>
      </c>
      <c r="O2053" s="16">
        <v>0.3</v>
      </c>
      <c r="P2053" s="16">
        <v>0.5</v>
      </c>
      <c r="Q2053" s="16">
        <v>0.5</v>
      </c>
      <c r="R2053" s="16">
        <v>0.7</v>
      </c>
      <c r="S2053" s="16">
        <v>0.7</v>
      </c>
      <c r="T2053" s="16">
        <v>0.7</v>
      </c>
      <c r="U2053" s="16">
        <v>0.7</v>
      </c>
      <c r="V2053" s="16">
        <v>0.7</v>
      </c>
      <c r="W2053" s="16">
        <v>0.7</v>
      </c>
      <c r="X2053" s="16">
        <v>0.6</v>
      </c>
      <c r="Y2053" s="16">
        <v>0.6</v>
      </c>
      <c r="Z2053" s="16">
        <v>0.6</v>
      </c>
      <c r="AA2053" s="16">
        <v>0.6</v>
      </c>
      <c r="AB2053" s="16">
        <v>0.6</v>
      </c>
      <c r="AC2053" s="16">
        <v>0.6</v>
      </c>
      <c r="AD2053" s="16">
        <v>0.5</v>
      </c>
      <c r="AE2053" s="16">
        <v>0.3</v>
      </c>
      <c r="AF2053" s="14" t="s">
        <v>413</v>
      </c>
    </row>
    <row r="2054" spans="1:32" ht="14.25" customHeight="1" x14ac:dyDescent="0.35">
      <c r="A2054" s="14" t="s">
        <v>1511</v>
      </c>
      <c r="B2054" s="16" t="s">
        <v>424</v>
      </c>
      <c r="C2054" s="16"/>
      <c r="D2054" s="16" t="s">
        <v>512</v>
      </c>
      <c r="E2054" s="17">
        <v>41640</v>
      </c>
      <c r="F2054" s="17">
        <v>42004</v>
      </c>
      <c r="G2054" s="16" t="s">
        <v>415</v>
      </c>
      <c r="H2054" s="16">
        <v>0.2</v>
      </c>
      <c r="I2054" s="34">
        <v>0.15</v>
      </c>
      <c r="J2054" s="34">
        <v>0.15</v>
      </c>
      <c r="K2054" s="34">
        <v>0.15</v>
      </c>
      <c r="L2054" s="34">
        <v>0.15</v>
      </c>
      <c r="M2054" s="34">
        <v>0.15</v>
      </c>
      <c r="N2054" s="34">
        <v>0.3</v>
      </c>
      <c r="O2054" s="34">
        <v>0.3</v>
      </c>
      <c r="P2054" s="34">
        <v>0.6</v>
      </c>
      <c r="Q2054" s="34">
        <v>0.6</v>
      </c>
      <c r="R2054" s="34">
        <v>0.8</v>
      </c>
      <c r="S2054" s="34">
        <v>0.8</v>
      </c>
      <c r="T2054" s="34">
        <v>0.8</v>
      </c>
      <c r="U2054" s="34">
        <v>0.8</v>
      </c>
      <c r="V2054" s="34">
        <v>0.8</v>
      </c>
      <c r="W2054" s="34">
        <v>0.8</v>
      </c>
      <c r="X2054" s="34">
        <v>0.8</v>
      </c>
      <c r="Y2054" s="34">
        <v>0.9</v>
      </c>
      <c r="Z2054" s="34">
        <v>0.9</v>
      </c>
      <c r="AA2054" s="34">
        <v>0.9</v>
      </c>
      <c r="AB2054" s="34">
        <v>0.9</v>
      </c>
      <c r="AC2054" s="34">
        <v>0.9</v>
      </c>
      <c r="AD2054" s="34">
        <v>0.5</v>
      </c>
      <c r="AE2054" s="34">
        <v>0.3</v>
      </c>
      <c r="AF2054" s="16" t="s">
        <v>413</v>
      </c>
    </row>
    <row r="2055" spans="1:32" ht="14.25" customHeight="1" x14ac:dyDescent="0.35">
      <c r="A2055" s="14" t="s">
        <v>1511</v>
      </c>
      <c r="B2055" s="14" t="s">
        <v>424</v>
      </c>
      <c r="C2055" s="14"/>
      <c r="D2055" s="14" t="s">
        <v>419</v>
      </c>
      <c r="E2055" s="15">
        <v>41640</v>
      </c>
      <c r="F2055" s="15">
        <v>42004</v>
      </c>
      <c r="G2055" s="14" t="s">
        <v>410</v>
      </c>
      <c r="H2055" s="14">
        <v>1</v>
      </c>
      <c r="AF2055" s="14" t="s">
        <v>413</v>
      </c>
    </row>
    <row r="2056" spans="1:32" ht="14.25" customHeight="1" x14ac:dyDescent="0.35">
      <c r="A2056" s="14" t="s">
        <v>1511</v>
      </c>
      <c r="B2056" s="14" t="s">
        <v>424</v>
      </c>
      <c r="C2056" s="14"/>
      <c r="D2056" s="24" t="s">
        <v>429</v>
      </c>
      <c r="E2056" s="15">
        <v>41640</v>
      </c>
      <c r="F2056" s="15">
        <v>42004</v>
      </c>
      <c r="G2056" s="14" t="s">
        <v>415</v>
      </c>
      <c r="H2056" s="14">
        <v>0.15</v>
      </c>
      <c r="I2056" s="14">
        <v>0.15</v>
      </c>
      <c r="J2056" s="14">
        <v>0.15</v>
      </c>
      <c r="K2056" s="14">
        <v>0.15</v>
      </c>
      <c r="L2056" s="14">
        <v>0.15</v>
      </c>
      <c r="M2056" s="14">
        <v>0.2</v>
      </c>
      <c r="N2056" s="14">
        <v>0.4</v>
      </c>
      <c r="O2056" s="14">
        <v>0.4</v>
      </c>
      <c r="P2056" s="14">
        <v>0.6</v>
      </c>
      <c r="Q2056" s="14">
        <v>0.6</v>
      </c>
      <c r="R2056" s="14">
        <v>0.9</v>
      </c>
      <c r="S2056" s="14">
        <v>0.9</v>
      </c>
      <c r="T2056" s="14">
        <v>0.9</v>
      </c>
      <c r="U2056" s="14">
        <v>0.9</v>
      </c>
      <c r="V2056" s="14">
        <v>0.9</v>
      </c>
      <c r="W2056" s="14">
        <v>0.9</v>
      </c>
      <c r="X2056" s="14">
        <v>0.9</v>
      </c>
      <c r="Y2056" s="14">
        <v>0.9</v>
      </c>
      <c r="Z2056" s="14">
        <v>0.9</v>
      </c>
      <c r="AA2056" s="14">
        <v>0.9</v>
      </c>
      <c r="AB2056" s="14">
        <v>0.9</v>
      </c>
      <c r="AC2056" s="14">
        <v>0.9</v>
      </c>
      <c r="AD2056" s="14">
        <v>0.5</v>
      </c>
      <c r="AE2056" s="14">
        <v>0.3</v>
      </c>
      <c r="AF2056" s="14" t="s">
        <v>413</v>
      </c>
    </row>
    <row r="2057" spans="1:32" ht="14.25" customHeight="1" x14ac:dyDescent="0.35">
      <c r="A2057" s="14" t="s">
        <v>1511</v>
      </c>
      <c r="B2057" s="16" t="s">
        <v>424</v>
      </c>
      <c r="C2057" s="16"/>
      <c r="D2057" s="16" t="s">
        <v>418</v>
      </c>
      <c r="E2057" s="17">
        <v>41640</v>
      </c>
      <c r="F2057" s="17">
        <v>42004</v>
      </c>
      <c r="G2057" s="16" t="s">
        <v>410</v>
      </c>
      <c r="H2057" s="16">
        <v>0</v>
      </c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 t="s">
        <v>413</v>
      </c>
    </row>
    <row r="2058" spans="1:32" ht="14.25" customHeight="1" x14ac:dyDescent="0.35">
      <c r="A2058" s="14" t="s">
        <v>1512</v>
      </c>
      <c r="B2058" s="14" t="s">
        <v>424</v>
      </c>
      <c r="C2058" s="14"/>
      <c r="D2058" s="14" t="s">
        <v>417</v>
      </c>
      <c r="E2058" s="15">
        <v>41640</v>
      </c>
      <c r="F2058" s="15">
        <v>42004</v>
      </c>
      <c r="G2058" s="14" t="s">
        <v>415</v>
      </c>
      <c r="H2058" s="14">
        <v>0.19034000000000001</v>
      </c>
      <c r="I2058" s="16">
        <v>0.15</v>
      </c>
      <c r="J2058" s="16">
        <v>0.15</v>
      </c>
      <c r="K2058" s="16">
        <v>0.15</v>
      </c>
      <c r="L2058" s="16">
        <v>0.15</v>
      </c>
      <c r="M2058" s="16">
        <v>0.15</v>
      </c>
      <c r="N2058" s="16">
        <v>0.28550999999999999</v>
      </c>
      <c r="O2058" s="16">
        <v>0.28550999999999999</v>
      </c>
      <c r="P2058" s="16">
        <v>0.47585</v>
      </c>
      <c r="Q2058" s="16">
        <v>0.47585</v>
      </c>
      <c r="R2058" s="16">
        <v>0.66618999999999995</v>
      </c>
      <c r="S2058" s="16">
        <v>0.66618999999999995</v>
      </c>
      <c r="T2058" s="16">
        <v>0.66618999999999995</v>
      </c>
      <c r="U2058" s="16">
        <v>0.66618999999999995</v>
      </c>
      <c r="V2058" s="16">
        <v>0.66618999999999995</v>
      </c>
      <c r="W2058" s="16">
        <v>0.66618999999999995</v>
      </c>
      <c r="X2058" s="16">
        <v>0.57101999999999997</v>
      </c>
      <c r="Y2058" s="16">
        <v>0.57101999999999997</v>
      </c>
      <c r="Z2058" s="16">
        <v>0.57101999999999997</v>
      </c>
      <c r="AA2058" s="16">
        <v>0.57101999999999997</v>
      </c>
      <c r="AB2058" s="16">
        <v>0.57101999999999997</v>
      </c>
      <c r="AC2058" s="16">
        <v>0.57101999999999997</v>
      </c>
      <c r="AD2058" s="16">
        <v>0.47585</v>
      </c>
      <c r="AE2058" s="16">
        <v>0.28550999999999999</v>
      </c>
      <c r="AF2058" s="14" t="s">
        <v>413</v>
      </c>
    </row>
    <row r="2059" spans="1:32" ht="14.25" customHeight="1" x14ac:dyDescent="0.35">
      <c r="A2059" s="14" t="s">
        <v>1512</v>
      </c>
      <c r="B2059" s="16" t="s">
        <v>424</v>
      </c>
      <c r="C2059" s="16"/>
      <c r="D2059" s="16" t="s">
        <v>512</v>
      </c>
      <c r="E2059" s="17">
        <v>41640</v>
      </c>
      <c r="F2059" s="17">
        <v>42004</v>
      </c>
      <c r="G2059" s="16" t="s">
        <v>415</v>
      </c>
      <c r="H2059" s="16">
        <v>0.19034000000000001</v>
      </c>
      <c r="I2059" s="34">
        <v>0.15</v>
      </c>
      <c r="J2059" s="34">
        <v>0.15</v>
      </c>
      <c r="K2059" s="34">
        <v>0.15</v>
      </c>
      <c r="L2059" s="34">
        <v>0.15</v>
      </c>
      <c r="M2059" s="34">
        <v>0.15</v>
      </c>
      <c r="N2059" s="34">
        <v>0.28550999999999999</v>
      </c>
      <c r="O2059" s="34">
        <v>0.28550999999999999</v>
      </c>
      <c r="P2059" s="34">
        <v>0.57101999999999997</v>
      </c>
      <c r="Q2059" s="34">
        <v>0.57101999999999997</v>
      </c>
      <c r="R2059" s="34">
        <v>0.76136000000000004</v>
      </c>
      <c r="S2059" s="34">
        <v>0.76136000000000004</v>
      </c>
      <c r="T2059" s="34">
        <v>0.76136000000000004</v>
      </c>
      <c r="U2059" s="34">
        <v>0.76136000000000004</v>
      </c>
      <c r="V2059" s="34">
        <v>0.76136000000000004</v>
      </c>
      <c r="W2059" s="34">
        <v>0.76136000000000004</v>
      </c>
      <c r="X2059" s="34">
        <v>0.76136000000000004</v>
      </c>
      <c r="Y2059" s="34">
        <v>0.85653000000000001</v>
      </c>
      <c r="Z2059" s="34">
        <v>0.85653000000000001</v>
      </c>
      <c r="AA2059" s="34">
        <v>0.85653000000000001</v>
      </c>
      <c r="AB2059" s="34">
        <v>0.85653000000000001</v>
      </c>
      <c r="AC2059" s="34">
        <v>0.85653000000000001</v>
      </c>
      <c r="AD2059" s="34">
        <v>0.47585</v>
      </c>
      <c r="AE2059" s="34">
        <v>0.28550999999999999</v>
      </c>
      <c r="AF2059" s="16" t="s">
        <v>413</v>
      </c>
    </row>
    <row r="2060" spans="1:32" ht="14.25" customHeight="1" x14ac:dyDescent="0.35">
      <c r="A2060" s="14" t="s">
        <v>1512</v>
      </c>
      <c r="B2060" s="14" t="s">
        <v>424</v>
      </c>
      <c r="C2060" s="14"/>
      <c r="D2060" s="14" t="s">
        <v>419</v>
      </c>
      <c r="E2060" s="15">
        <v>41640</v>
      </c>
      <c r="F2060" s="15">
        <v>42004</v>
      </c>
      <c r="G2060" s="14" t="s">
        <v>410</v>
      </c>
      <c r="H2060" s="14">
        <v>1</v>
      </c>
      <c r="AF2060" s="14" t="s">
        <v>413</v>
      </c>
    </row>
    <row r="2061" spans="1:32" ht="14.25" customHeight="1" x14ac:dyDescent="0.35">
      <c r="A2061" s="14" t="s">
        <v>1512</v>
      </c>
      <c r="B2061" s="14" t="s">
        <v>424</v>
      </c>
      <c r="C2061" s="14"/>
      <c r="D2061" s="24" t="s">
        <v>429</v>
      </c>
      <c r="E2061" s="15">
        <v>41640</v>
      </c>
      <c r="F2061" s="15">
        <v>42004</v>
      </c>
      <c r="G2061" s="14" t="s">
        <v>415</v>
      </c>
      <c r="H2061" s="14">
        <v>0.14275499999999999</v>
      </c>
      <c r="I2061" s="14">
        <v>0.15</v>
      </c>
      <c r="J2061" s="14">
        <v>0.15</v>
      </c>
      <c r="K2061" s="14">
        <v>0.15</v>
      </c>
      <c r="L2061" s="14">
        <v>0.15</v>
      </c>
      <c r="M2061" s="14">
        <v>0.19034000000000001</v>
      </c>
      <c r="N2061" s="14">
        <v>0.38068000000000002</v>
      </c>
      <c r="O2061" s="14">
        <v>0.38068000000000002</v>
      </c>
      <c r="P2061" s="14">
        <v>0.57101999999999997</v>
      </c>
      <c r="Q2061" s="14">
        <v>0.57101999999999997</v>
      </c>
      <c r="R2061" s="14">
        <v>0.85653000000000001</v>
      </c>
      <c r="S2061" s="14">
        <v>0.85653000000000001</v>
      </c>
      <c r="T2061" s="14">
        <v>0.85653000000000001</v>
      </c>
      <c r="U2061" s="14">
        <v>0.85653000000000001</v>
      </c>
      <c r="V2061" s="14">
        <v>0.85653000000000001</v>
      </c>
      <c r="W2061" s="14">
        <v>0.85653000000000001</v>
      </c>
      <c r="X2061" s="14">
        <v>0.85653000000000001</v>
      </c>
      <c r="Y2061" s="14">
        <v>0.85653000000000001</v>
      </c>
      <c r="Z2061" s="14">
        <v>0.85653000000000001</v>
      </c>
      <c r="AA2061" s="14">
        <v>0.85653000000000001</v>
      </c>
      <c r="AB2061" s="14">
        <v>0.85653000000000001</v>
      </c>
      <c r="AC2061" s="14">
        <v>0.85653000000000001</v>
      </c>
      <c r="AD2061" s="14">
        <v>0.47585</v>
      </c>
      <c r="AE2061" s="14">
        <v>0.28550999999999999</v>
      </c>
      <c r="AF2061" s="14" t="s">
        <v>413</v>
      </c>
    </row>
    <row r="2062" spans="1:32" ht="14.25" customHeight="1" x14ac:dyDescent="0.35">
      <c r="A2062" s="14" t="s">
        <v>1512</v>
      </c>
      <c r="B2062" s="16" t="s">
        <v>424</v>
      </c>
      <c r="C2062" s="16"/>
      <c r="D2062" s="16" t="s">
        <v>418</v>
      </c>
      <c r="E2062" s="17">
        <v>41640</v>
      </c>
      <c r="F2062" s="17">
        <v>42004</v>
      </c>
      <c r="G2062" s="16" t="s">
        <v>410</v>
      </c>
      <c r="H2062" s="16">
        <v>0</v>
      </c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6"/>
      <c r="AF2062" s="16" t="s">
        <v>413</v>
      </c>
    </row>
    <row r="2063" spans="1:32" ht="14.25" customHeight="1" x14ac:dyDescent="0.35">
      <c r="A2063" s="14" t="s">
        <v>1513</v>
      </c>
      <c r="B2063" s="14" t="s">
        <v>424</v>
      </c>
      <c r="C2063" s="14"/>
      <c r="D2063" s="14" t="s">
        <v>417</v>
      </c>
      <c r="E2063" s="15">
        <v>41640</v>
      </c>
      <c r="F2063" s="15">
        <v>42004</v>
      </c>
      <c r="G2063" s="14" t="s">
        <v>415</v>
      </c>
      <c r="H2063" s="14">
        <v>0.1865</v>
      </c>
      <c r="I2063" s="16">
        <v>0.15</v>
      </c>
      <c r="J2063" s="16">
        <v>0.15</v>
      </c>
      <c r="K2063" s="16">
        <v>0.15</v>
      </c>
      <c r="L2063" s="16">
        <v>0.15</v>
      </c>
      <c r="M2063" s="16">
        <v>0.15</v>
      </c>
      <c r="N2063" s="16">
        <v>0.2797</v>
      </c>
      <c r="O2063" s="16">
        <v>0.2797</v>
      </c>
      <c r="P2063" s="16">
        <v>0.4662</v>
      </c>
      <c r="Q2063" s="16">
        <v>0.4662</v>
      </c>
      <c r="R2063" s="16">
        <v>0.65269999999999995</v>
      </c>
      <c r="S2063" s="16">
        <v>0.65269999999999995</v>
      </c>
      <c r="T2063" s="16">
        <v>0.65269999999999995</v>
      </c>
      <c r="U2063" s="16">
        <v>0.65269999999999995</v>
      </c>
      <c r="V2063" s="16">
        <v>0.65269999999999995</v>
      </c>
      <c r="W2063" s="16">
        <v>0.65269999999999995</v>
      </c>
      <c r="X2063" s="16">
        <v>0.55940000000000001</v>
      </c>
      <c r="Y2063" s="16">
        <v>0.55940000000000001</v>
      </c>
      <c r="Z2063" s="16">
        <v>0.55940000000000001</v>
      </c>
      <c r="AA2063" s="16">
        <v>0.55940000000000001</v>
      </c>
      <c r="AB2063" s="16">
        <v>0.55940000000000001</v>
      </c>
      <c r="AC2063" s="16">
        <v>0.55940000000000001</v>
      </c>
      <c r="AD2063" s="16">
        <v>0.4662</v>
      </c>
      <c r="AE2063" s="16">
        <v>0.2797</v>
      </c>
      <c r="AF2063" s="14" t="s">
        <v>413</v>
      </c>
    </row>
    <row r="2064" spans="1:32" ht="14.25" customHeight="1" x14ac:dyDescent="0.35">
      <c r="A2064" s="14" t="s">
        <v>1513</v>
      </c>
      <c r="B2064" s="16" t="s">
        <v>424</v>
      </c>
      <c r="C2064" s="16"/>
      <c r="D2064" s="16" t="s">
        <v>512</v>
      </c>
      <c r="E2064" s="17">
        <v>41640</v>
      </c>
      <c r="F2064" s="17">
        <v>42004</v>
      </c>
      <c r="G2064" s="16" t="s">
        <v>415</v>
      </c>
      <c r="H2064" s="14">
        <v>0.1865</v>
      </c>
      <c r="I2064" s="34">
        <v>0.15</v>
      </c>
      <c r="J2064" s="34">
        <v>0.15</v>
      </c>
      <c r="K2064" s="34">
        <v>0.15</v>
      </c>
      <c r="L2064" s="34">
        <v>0.15</v>
      </c>
      <c r="M2064" s="34">
        <v>0.15</v>
      </c>
      <c r="N2064" s="16">
        <v>0.2797</v>
      </c>
      <c r="O2064" s="16">
        <v>0.2797</v>
      </c>
      <c r="P2064" s="16">
        <v>0.55940000000000001</v>
      </c>
      <c r="Q2064" s="16">
        <v>0.55940000000000001</v>
      </c>
      <c r="R2064" s="16">
        <v>0.74590000000000001</v>
      </c>
      <c r="S2064" s="16">
        <v>0.74590000000000001</v>
      </c>
      <c r="T2064" s="16">
        <v>0.74590000000000001</v>
      </c>
      <c r="U2064" s="16">
        <v>0.74590000000000001</v>
      </c>
      <c r="V2064" s="16">
        <v>0.74590000000000001</v>
      </c>
      <c r="W2064" s="16">
        <v>0.74590000000000001</v>
      </c>
      <c r="X2064" s="16">
        <v>0.74590000000000001</v>
      </c>
      <c r="Y2064" s="34">
        <v>0.83909999999999996</v>
      </c>
      <c r="Z2064" s="34">
        <v>0.83909999999999996</v>
      </c>
      <c r="AA2064" s="34">
        <v>0.83909999999999996</v>
      </c>
      <c r="AB2064" s="34">
        <v>0.83909999999999996</v>
      </c>
      <c r="AC2064" s="34">
        <v>0.83909999999999996</v>
      </c>
      <c r="AD2064" s="16">
        <v>0.4662</v>
      </c>
      <c r="AE2064" s="16">
        <v>0.2797</v>
      </c>
      <c r="AF2064" s="16" t="s">
        <v>413</v>
      </c>
    </row>
    <row r="2065" spans="1:32" ht="14.25" customHeight="1" x14ac:dyDescent="0.35">
      <c r="A2065" s="14" t="s">
        <v>1513</v>
      </c>
      <c r="B2065" s="14" t="s">
        <v>424</v>
      </c>
      <c r="C2065" s="14"/>
      <c r="D2065" s="14" t="s">
        <v>419</v>
      </c>
      <c r="E2065" s="15">
        <v>41640</v>
      </c>
      <c r="F2065" s="15">
        <v>42004</v>
      </c>
      <c r="G2065" s="14" t="s">
        <v>410</v>
      </c>
      <c r="H2065" s="14">
        <v>1</v>
      </c>
      <c r="AF2065" s="14" t="s">
        <v>413</v>
      </c>
    </row>
    <row r="2066" spans="1:32" ht="14.25" customHeight="1" x14ac:dyDescent="0.35">
      <c r="A2066" s="14" t="s">
        <v>1513</v>
      </c>
      <c r="B2066" s="14" t="s">
        <v>424</v>
      </c>
      <c r="C2066" s="14"/>
      <c r="D2066" s="24" t="s">
        <v>429</v>
      </c>
      <c r="E2066" s="15">
        <v>41640</v>
      </c>
      <c r="F2066" s="15">
        <v>42004</v>
      </c>
      <c r="G2066" s="14" t="s">
        <v>415</v>
      </c>
      <c r="H2066" s="14">
        <v>0.1399</v>
      </c>
      <c r="I2066" s="14">
        <v>0.15</v>
      </c>
      <c r="J2066" s="14">
        <v>0.15</v>
      </c>
      <c r="K2066" s="14">
        <v>0.15</v>
      </c>
      <c r="L2066" s="14">
        <v>0.15</v>
      </c>
      <c r="M2066" s="14">
        <v>0.1865</v>
      </c>
      <c r="N2066" s="14">
        <v>0.373</v>
      </c>
      <c r="O2066" s="14">
        <v>0.373</v>
      </c>
      <c r="P2066" s="14">
        <v>0.55940000000000001</v>
      </c>
      <c r="Q2066" s="14">
        <v>0.55940000000000001</v>
      </c>
      <c r="R2066" s="14">
        <v>0.83909999999999996</v>
      </c>
      <c r="S2066" s="14">
        <v>0.83909999999999996</v>
      </c>
      <c r="T2066" s="14">
        <v>0.83909999999999996</v>
      </c>
      <c r="U2066" s="14">
        <v>0.83909999999999996</v>
      </c>
      <c r="V2066" s="14">
        <v>0.83909999999999996</v>
      </c>
      <c r="W2066" s="14">
        <v>0.83909999999999996</v>
      </c>
      <c r="X2066" s="14">
        <v>0.83909999999999996</v>
      </c>
      <c r="Y2066" s="14">
        <v>0.83909999999999996</v>
      </c>
      <c r="Z2066" s="14">
        <v>0.83909999999999996</v>
      </c>
      <c r="AA2066" s="14">
        <v>0.83909999999999996</v>
      </c>
      <c r="AB2066" s="14">
        <v>0.83909999999999996</v>
      </c>
      <c r="AC2066" s="14">
        <v>0.83909999999999996</v>
      </c>
      <c r="AD2066" s="16">
        <v>0.4662</v>
      </c>
      <c r="AE2066" s="16">
        <v>0.2797</v>
      </c>
      <c r="AF2066" s="14" t="s">
        <v>413</v>
      </c>
    </row>
    <row r="2067" spans="1:32" ht="14.25" customHeight="1" x14ac:dyDescent="0.35">
      <c r="A2067" s="14" t="s">
        <v>1513</v>
      </c>
      <c r="B2067" s="16" t="s">
        <v>424</v>
      </c>
      <c r="C2067" s="16"/>
      <c r="D2067" s="16" t="s">
        <v>418</v>
      </c>
      <c r="E2067" s="17">
        <v>41640</v>
      </c>
      <c r="F2067" s="17">
        <v>42004</v>
      </c>
      <c r="G2067" s="16" t="s">
        <v>410</v>
      </c>
      <c r="H2067" s="16">
        <v>0</v>
      </c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A2067" s="16"/>
      <c r="AB2067" s="16"/>
      <c r="AC2067" s="16"/>
      <c r="AD2067" s="16"/>
      <c r="AE2067" s="16"/>
      <c r="AF2067" s="16" t="s">
        <v>413</v>
      </c>
    </row>
    <row r="2068" spans="1:32" ht="14.25" customHeight="1" x14ac:dyDescent="0.35">
      <c r="A2068" s="14" t="s">
        <v>1514</v>
      </c>
      <c r="B2068" s="14" t="s">
        <v>424</v>
      </c>
      <c r="C2068" s="14"/>
      <c r="D2068" s="14" t="s">
        <v>417</v>
      </c>
      <c r="E2068" s="15">
        <v>41640</v>
      </c>
      <c r="F2068" s="15">
        <v>42004</v>
      </c>
      <c r="G2068" s="14" t="s">
        <v>415</v>
      </c>
      <c r="H2068" s="14">
        <v>0.2</v>
      </c>
      <c r="I2068" s="14">
        <v>0.15</v>
      </c>
      <c r="J2068" s="14">
        <v>0.15</v>
      </c>
      <c r="K2068" s="14">
        <v>0.15</v>
      </c>
      <c r="L2068" s="14">
        <v>0.15</v>
      </c>
      <c r="M2068" s="14">
        <v>0.15</v>
      </c>
      <c r="N2068" s="14">
        <v>0.3</v>
      </c>
      <c r="O2068" s="14">
        <v>0.3</v>
      </c>
      <c r="P2068" s="16">
        <v>0.5</v>
      </c>
      <c r="Q2068" s="16">
        <v>0.5</v>
      </c>
      <c r="R2068" s="16">
        <v>0.7</v>
      </c>
      <c r="S2068" s="16">
        <v>0.7</v>
      </c>
      <c r="T2068" s="16">
        <v>0.7</v>
      </c>
      <c r="U2068" s="16">
        <v>0.7</v>
      </c>
      <c r="V2068" s="16">
        <v>0.7</v>
      </c>
      <c r="W2068" s="16">
        <v>0.7</v>
      </c>
      <c r="X2068" s="16">
        <v>0.6</v>
      </c>
      <c r="Y2068" s="16">
        <v>0.6</v>
      </c>
      <c r="Z2068" s="16">
        <v>0.6</v>
      </c>
      <c r="AA2068" s="16">
        <v>0.6</v>
      </c>
      <c r="AB2068" s="16">
        <v>0.6</v>
      </c>
      <c r="AC2068" s="16">
        <v>0.6</v>
      </c>
      <c r="AD2068" s="16">
        <v>0.5</v>
      </c>
      <c r="AE2068" s="16">
        <v>0.3</v>
      </c>
      <c r="AF2068" s="14" t="s">
        <v>413</v>
      </c>
    </row>
    <row r="2069" spans="1:32" ht="14.25" customHeight="1" x14ac:dyDescent="0.35">
      <c r="A2069" s="14" t="s">
        <v>1514</v>
      </c>
      <c r="B2069" s="16" t="s">
        <v>424</v>
      </c>
      <c r="C2069" s="16"/>
      <c r="D2069" s="16" t="s">
        <v>512</v>
      </c>
      <c r="E2069" s="17">
        <v>41640</v>
      </c>
      <c r="F2069" s="17">
        <v>42004</v>
      </c>
      <c r="G2069" s="16" t="s">
        <v>415</v>
      </c>
      <c r="H2069" s="16">
        <v>0.2</v>
      </c>
      <c r="I2069" s="16">
        <v>0.15</v>
      </c>
      <c r="J2069" s="16">
        <v>0.15</v>
      </c>
      <c r="K2069" s="16">
        <v>0.15</v>
      </c>
      <c r="L2069" s="16">
        <v>0.15</v>
      </c>
      <c r="M2069" s="16">
        <v>0.15</v>
      </c>
      <c r="N2069" s="16">
        <v>0.3</v>
      </c>
      <c r="O2069" s="16">
        <v>0.3</v>
      </c>
      <c r="P2069" s="14">
        <v>0.6</v>
      </c>
      <c r="Q2069" s="14">
        <v>0.6</v>
      </c>
      <c r="R2069" s="14">
        <v>0.8</v>
      </c>
      <c r="S2069" s="14">
        <v>0.8</v>
      </c>
      <c r="T2069" s="14">
        <v>0.8</v>
      </c>
      <c r="U2069" s="14">
        <v>0.8</v>
      </c>
      <c r="V2069" s="14">
        <v>0.8</v>
      </c>
      <c r="W2069" s="14">
        <v>0.8</v>
      </c>
      <c r="X2069" s="14">
        <v>0.8</v>
      </c>
      <c r="Y2069" s="14">
        <v>0.9</v>
      </c>
      <c r="Z2069" s="14">
        <v>0.9</v>
      </c>
      <c r="AA2069" s="14">
        <v>0.9</v>
      </c>
      <c r="AB2069" s="14">
        <v>0.9</v>
      </c>
      <c r="AC2069" s="14">
        <v>0.9</v>
      </c>
      <c r="AD2069" s="14">
        <v>0.5</v>
      </c>
      <c r="AE2069" s="14">
        <v>0.3</v>
      </c>
      <c r="AF2069" s="16" t="s">
        <v>413</v>
      </c>
    </row>
    <row r="2070" spans="1:32" ht="14.25" customHeight="1" x14ac:dyDescent="0.35">
      <c r="A2070" s="14" t="s">
        <v>1514</v>
      </c>
      <c r="B2070" s="14" t="s">
        <v>424</v>
      </c>
      <c r="C2070" s="14"/>
      <c r="D2070" s="14" t="s">
        <v>419</v>
      </c>
      <c r="E2070" s="15">
        <v>41640</v>
      </c>
      <c r="F2070" s="15">
        <v>42004</v>
      </c>
      <c r="G2070" s="14" t="s">
        <v>410</v>
      </c>
      <c r="H2070" s="14">
        <v>1</v>
      </c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 t="s">
        <v>413</v>
      </c>
    </row>
    <row r="2071" spans="1:32" ht="14.25" customHeight="1" x14ac:dyDescent="0.35">
      <c r="A2071" s="14" t="s">
        <v>1514</v>
      </c>
      <c r="B2071" s="16" t="s">
        <v>424</v>
      </c>
      <c r="C2071" s="16"/>
      <c r="D2071" s="16" t="s">
        <v>429</v>
      </c>
      <c r="E2071" s="17">
        <v>41640</v>
      </c>
      <c r="F2071" s="17">
        <v>42004</v>
      </c>
      <c r="G2071" s="16" t="s">
        <v>415</v>
      </c>
      <c r="H2071" s="16">
        <v>0.15</v>
      </c>
      <c r="I2071" s="16">
        <v>0.15</v>
      </c>
      <c r="J2071" s="16">
        <v>0.15</v>
      </c>
      <c r="K2071" s="16">
        <v>0.15</v>
      </c>
      <c r="L2071" s="16">
        <v>0.15</v>
      </c>
      <c r="M2071" s="16">
        <v>0.2</v>
      </c>
      <c r="N2071" s="16">
        <v>0.4</v>
      </c>
      <c r="O2071" s="16">
        <v>0.4</v>
      </c>
      <c r="P2071" s="14">
        <v>0.6</v>
      </c>
      <c r="Q2071" s="14">
        <v>0.6</v>
      </c>
      <c r="R2071" s="14">
        <v>0.9</v>
      </c>
      <c r="S2071" s="14">
        <v>0.9</v>
      </c>
      <c r="T2071" s="14">
        <v>0.9</v>
      </c>
      <c r="U2071" s="14">
        <v>0.9</v>
      </c>
      <c r="V2071" s="14">
        <v>0.9</v>
      </c>
      <c r="W2071" s="14">
        <v>0.9</v>
      </c>
      <c r="X2071" s="14">
        <v>0.9</v>
      </c>
      <c r="Y2071" s="14">
        <v>0.9</v>
      </c>
      <c r="Z2071" s="14">
        <v>0.9</v>
      </c>
      <c r="AA2071" s="14">
        <v>0.9</v>
      </c>
      <c r="AB2071" s="14">
        <v>0.9</v>
      </c>
      <c r="AC2071" s="14">
        <v>0.9</v>
      </c>
      <c r="AD2071" s="14">
        <v>0.5</v>
      </c>
      <c r="AE2071" s="14">
        <v>0.3</v>
      </c>
      <c r="AF2071" s="16" t="s">
        <v>413</v>
      </c>
    </row>
    <row r="2072" spans="1:32" ht="14.25" customHeight="1" x14ac:dyDescent="0.35">
      <c r="A2072" s="14" t="s">
        <v>1514</v>
      </c>
      <c r="B2072" s="16" t="s">
        <v>424</v>
      </c>
      <c r="C2072" s="16"/>
      <c r="D2072" s="16" t="s">
        <v>418</v>
      </c>
      <c r="E2072" s="17">
        <v>41640</v>
      </c>
      <c r="F2072" s="17">
        <v>42004</v>
      </c>
      <c r="G2072" s="16" t="s">
        <v>410</v>
      </c>
      <c r="H2072" s="16">
        <v>0</v>
      </c>
      <c r="I2072" s="16"/>
      <c r="J2072" s="16"/>
      <c r="K2072" s="16"/>
      <c r="L2072" s="16"/>
      <c r="M2072" s="16"/>
      <c r="N2072" s="16"/>
      <c r="O2072" s="16"/>
      <c r="AF2072" s="16" t="s">
        <v>413</v>
      </c>
    </row>
    <row r="2073" spans="1:32" ht="14.25" customHeight="1" x14ac:dyDescent="0.35">
      <c r="A2073" s="9" t="s">
        <v>1515</v>
      </c>
      <c r="B2073" s="14" t="s">
        <v>424</v>
      </c>
      <c r="C2073" s="14"/>
      <c r="D2073" s="14" t="s">
        <v>417</v>
      </c>
      <c r="E2073" s="15">
        <v>41640</v>
      </c>
      <c r="F2073" s="15">
        <v>42004</v>
      </c>
      <c r="G2073" s="14" t="s">
        <v>415</v>
      </c>
      <c r="H2073" s="14">
        <v>0.17776</v>
      </c>
      <c r="I2073" s="14">
        <v>0.15</v>
      </c>
      <c r="J2073" s="14">
        <v>0.15</v>
      </c>
      <c r="K2073" s="14">
        <v>0.15</v>
      </c>
      <c r="L2073" s="14">
        <v>0.15</v>
      </c>
      <c r="M2073" s="14">
        <v>0.15</v>
      </c>
      <c r="N2073" s="14">
        <v>0.26663999999999999</v>
      </c>
      <c r="O2073" s="14">
        <v>0.26663999999999999</v>
      </c>
      <c r="P2073" s="14">
        <v>0.44440000000000002</v>
      </c>
      <c r="Q2073" s="14">
        <v>0.44440000000000002</v>
      </c>
      <c r="R2073" s="14">
        <v>0.62216000000000005</v>
      </c>
      <c r="S2073" s="14">
        <v>0.62216000000000005</v>
      </c>
      <c r="T2073" s="14">
        <v>0.62216000000000005</v>
      </c>
      <c r="U2073" s="14">
        <v>0.62216000000000005</v>
      </c>
      <c r="V2073" s="14">
        <v>0.62216000000000005</v>
      </c>
      <c r="W2073" s="14">
        <v>0.62216000000000005</v>
      </c>
      <c r="X2073" s="14">
        <v>0.53327999999999998</v>
      </c>
      <c r="Y2073" s="14">
        <v>0.53327999999999998</v>
      </c>
      <c r="Z2073" s="14">
        <v>0.53327999999999998</v>
      </c>
      <c r="AA2073" s="14">
        <v>0.53327999999999998</v>
      </c>
      <c r="AB2073" s="14">
        <v>0.53327999999999998</v>
      </c>
      <c r="AC2073" s="14">
        <v>0.53327999999999998</v>
      </c>
      <c r="AD2073" s="14">
        <v>0.44440000000000002</v>
      </c>
      <c r="AE2073" s="14">
        <v>0.26663999999999999</v>
      </c>
      <c r="AF2073" s="14" t="s">
        <v>413</v>
      </c>
    </row>
    <row r="2074" spans="1:32" ht="14.25" customHeight="1" x14ac:dyDescent="0.35">
      <c r="A2074" s="9" t="s">
        <v>1515</v>
      </c>
      <c r="B2074" s="16" t="s">
        <v>424</v>
      </c>
      <c r="C2074" s="16"/>
      <c r="D2074" s="16" t="s">
        <v>512</v>
      </c>
      <c r="E2074" s="17">
        <v>41640</v>
      </c>
      <c r="F2074" s="17">
        <v>42004</v>
      </c>
      <c r="G2074" s="16" t="s">
        <v>415</v>
      </c>
      <c r="H2074" s="14">
        <v>0.17776</v>
      </c>
      <c r="I2074" s="16">
        <v>0.15</v>
      </c>
      <c r="J2074" s="16">
        <v>0.15</v>
      </c>
      <c r="K2074" s="16">
        <v>0.15</v>
      </c>
      <c r="L2074" s="16">
        <v>0.15</v>
      </c>
      <c r="M2074" s="16">
        <v>0.15</v>
      </c>
      <c r="N2074" s="14">
        <v>0.26663999999999999</v>
      </c>
      <c r="O2074" s="14">
        <v>0.26663999999999999</v>
      </c>
      <c r="P2074" s="16">
        <v>0.53327999999999998</v>
      </c>
      <c r="Q2074" s="16">
        <v>0.53327999999999998</v>
      </c>
      <c r="R2074" s="16">
        <v>0.71104000000000001</v>
      </c>
      <c r="S2074" s="16">
        <v>0.71104000000000001</v>
      </c>
      <c r="T2074" s="16">
        <v>0.71104000000000001</v>
      </c>
      <c r="U2074" s="16">
        <v>0.71104000000000001</v>
      </c>
      <c r="V2074" s="16">
        <v>0.71104000000000001</v>
      </c>
      <c r="W2074" s="16">
        <v>0.71104000000000001</v>
      </c>
      <c r="X2074" s="16">
        <v>0.71104000000000001</v>
      </c>
      <c r="Y2074" s="16">
        <v>0.79991999999999996</v>
      </c>
      <c r="Z2074" s="16">
        <v>0.79991999999999996</v>
      </c>
      <c r="AA2074" s="16">
        <v>0.79991999999999996</v>
      </c>
      <c r="AB2074" s="16">
        <v>0.79991999999999996</v>
      </c>
      <c r="AC2074" s="16">
        <v>0.79991999999999996</v>
      </c>
      <c r="AD2074" s="14">
        <v>0.44440000000000002</v>
      </c>
      <c r="AE2074" s="14">
        <v>0.26663999999999999</v>
      </c>
      <c r="AF2074" s="16" t="s">
        <v>413</v>
      </c>
    </row>
    <row r="2075" spans="1:32" ht="14.25" customHeight="1" x14ac:dyDescent="0.35">
      <c r="A2075" s="9" t="s">
        <v>1515</v>
      </c>
      <c r="B2075" s="14" t="s">
        <v>424</v>
      </c>
      <c r="C2075" s="14"/>
      <c r="D2075" s="14" t="s">
        <v>419</v>
      </c>
      <c r="E2075" s="15">
        <v>41640</v>
      </c>
      <c r="F2075" s="15">
        <v>42004</v>
      </c>
      <c r="G2075" s="14" t="s">
        <v>410</v>
      </c>
      <c r="H2075" s="14">
        <v>1</v>
      </c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 t="s">
        <v>413</v>
      </c>
    </row>
    <row r="2076" spans="1:32" ht="14.25" customHeight="1" x14ac:dyDescent="0.35">
      <c r="A2076" s="9" t="s">
        <v>1515</v>
      </c>
      <c r="B2076" s="16" t="s">
        <v>424</v>
      </c>
      <c r="C2076" s="16"/>
      <c r="D2076" s="16" t="s">
        <v>429</v>
      </c>
      <c r="E2076" s="17">
        <v>41640</v>
      </c>
      <c r="F2076" s="17">
        <v>42004</v>
      </c>
      <c r="G2076" s="16" t="s">
        <v>415</v>
      </c>
      <c r="H2076" s="16">
        <v>0.13331999999999999</v>
      </c>
      <c r="I2076" s="16">
        <v>0.15</v>
      </c>
      <c r="J2076" s="16">
        <v>0.15</v>
      </c>
      <c r="K2076" s="16">
        <v>0.15</v>
      </c>
      <c r="L2076" s="16">
        <v>0.15</v>
      </c>
      <c r="M2076" s="16">
        <v>0.17776</v>
      </c>
      <c r="N2076" s="16">
        <v>0.35552</v>
      </c>
      <c r="O2076" s="16">
        <v>0.35552</v>
      </c>
      <c r="P2076" s="16">
        <v>0.53327999999999998</v>
      </c>
      <c r="Q2076" s="16">
        <v>0.53327999999999998</v>
      </c>
      <c r="R2076" s="16">
        <v>0.79991999999999996</v>
      </c>
      <c r="S2076" s="16">
        <v>0.79991999999999996</v>
      </c>
      <c r="T2076" s="16">
        <v>0.79991999999999996</v>
      </c>
      <c r="U2076" s="16">
        <v>0.79991999999999996</v>
      </c>
      <c r="V2076" s="16">
        <v>0.79991999999999996</v>
      </c>
      <c r="W2076" s="16">
        <v>0.79991999999999996</v>
      </c>
      <c r="X2076" s="16">
        <v>0.79991999999999996</v>
      </c>
      <c r="Y2076" s="16">
        <v>0.79991999999999996</v>
      </c>
      <c r="Z2076" s="16">
        <v>0.79991999999999996</v>
      </c>
      <c r="AA2076" s="16">
        <v>0.79991999999999996</v>
      </c>
      <c r="AB2076" s="16">
        <v>0.79991999999999996</v>
      </c>
      <c r="AC2076" s="16">
        <v>0.79991999999999996</v>
      </c>
      <c r="AD2076" s="14">
        <v>0.44440000000000002</v>
      </c>
      <c r="AE2076" s="14">
        <v>0.26663999999999999</v>
      </c>
      <c r="AF2076" s="16" t="s">
        <v>413</v>
      </c>
    </row>
    <row r="2077" spans="1:32" ht="14.25" customHeight="1" x14ac:dyDescent="0.35">
      <c r="A2077" s="9" t="s">
        <v>1515</v>
      </c>
      <c r="B2077" s="16" t="s">
        <v>424</v>
      </c>
      <c r="C2077" s="16"/>
      <c r="D2077" s="16" t="s">
        <v>418</v>
      </c>
      <c r="E2077" s="17">
        <v>41640</v>
      </c>
      <c r="F2077" s="17">
        <v>42004</v>
      </c>
      <c r="G2077" s="16" t="s">
        <v>410</v>
      </c>
      <c r="H2077" s="16">
        <v>0</v>
      </c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 t="s">
        <v>413</v>
      </c>
    </row>
    <row r="2078" spans="1:32" ht="14.25" customHeight="1" x14ac:dyDescent="0.35">
      <c r="A2078" s="14" t="s">
        <v>1516</v>
      </c>
      <c r="B2078" s="14" t="s">
        <v>424</v>
      </c>
      <c r="C2078" s="14"/>
      <c r="D2078" s="14" t="s">
        <v>417</v>
      </c>
      <c r="E2078" s="15">
        <v>41640</v>
      </c>
      <c r="F2078" s="15">
        <v>42004</v>
      </c>
      <c r="G2078" s="14" t="s">
        <v>415</v>
      </c>
      <c r="H2078" s="14">
        <v>0.2</v>
      </c>
      <c r="I2078" s="14">
        <v>0.15</v>
      </c>
      <c r="J2078" s="14">
        <v>0.15</v>
      </c>
      <c r="K2078" s="14">
        <v>0.15</v>
      </c>
      <c r="L2078" s="14">
        <v>0.15</v>
      </c>
      <c r="M2078" s="14">
        <v>0.15</v>
      </c>
      <c r="N2078" s="14">
        <v>0.3</v>
      </c>
      <c r="O2078" s="14">
        <v>0.3</v>
      </c>
      <c r="P2078" s="14">
        <v>0.6</v>
      </c>
      <c r="Q2078" s="14">
        <v>0.6</v>
      </c>
      <c r="R2078" s="14">
        <v>0.8</v>
      </c>
      <c r="S2078" s="14">
        <v>0.8</v>
      </c>
      <c r="T2078" s="14">
        <v>0.8</v>
      </c>
      <c r="U2078" s="14">
        <v>0.8</v>
      </c>
      <c r="V2078" s="14">
        <v>0.8</v>
      </c>
      <c r="W2078" s="14">
        <v>0.8</v>
      </c>
      <c r="X2078" s="14">
        <v>0.8</v>
      </c>
      <c r="Y2078" s="14">
        <v>0.9</v>
      </c>
      <c r="Z2078" s="14">
        <v>0.9</v>
      </c>
      <c r="AA2078" s="14">
        <v>0.9</v>
      </c>
      <c r="AB2078" s="14">
        <v>0.9</v>
      </c>
      <c r="AC2078" s="14">
        <v>0.9</v>
      </c>
      <c r="AD2078" s="14">
        <v>0.5</v>
      </c>
      <c r="AE2078" s="14">
        <v>0.3</v>
      </c>
      <c r="AF2078" s="14" t="s">
        <v>413</v>
      </c>
    </row>
    <row r="2079" spans="1:32" ht="14.25" customHeight="1" x14ac:dyDescent="0.35">
      <c r="A2079" s="14" t="s">
        <v>1516</v>
      </c>
      <c r="B2079" s="14" t="s">
        <v>424</v>
      </c>
      <c r="C2079" s="14"/>
      <c r="D2079" s="14" t="s">
        <v>419</v>
      </c>
      <c r="E2079" s="15">
        <v>41640</v>
      </c>
      <c r="F2079" s="15">
        <v>42004</v>
      </c>
      <c r="G2079" s="14" t="s">
        <v>410</v>
      </c>
      <c r="H2079" s="14">
        <v>1</v>
      </c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 t="s">
        <v>413</v>
      </c>
    </row>
    <row r="2080" spans="1:32" ht="14.25" customHeight="1" x14ac:dyDescent="0.35">
      <c r="A2080" s="16" t="s">
        <v>1516</v>
      </c>
      <c r="B2080" s="16" t="s">
        <v>424</v>
      </c>
      <c r="C2080" s="16"/>
      <c r="D2080" s="16" t="s">
        <v>1517</v>
      </c>
      <c r="E2080" s="17">
        <v>41640</v>
      </c>
      <c r="F2080" s="17">
        <v>42004</v>
      </c>
      <c r="G2080" s="16" t="s">
        <v>415</v>
      </c>
      <c r="H2080" s="16">
        <v>0.2</v>
      </c>
      <c r="I2080" s="16">
        <v>0.15</v>
      </c>
      <c r="J2080" s="16">
        <v>0.15</v>
      </c>
      <c r="K2080" s="16">
        <v>0.15</v>
      </c>
      <c r="L2080" s="16">
        <v>0.15</v>
      </c>
      <c r="M2080" s="16">
        <v>0.15</v>
      </c>
      <c r="N2080" s="16">
        <v>0.3</v>
      </c>
      <c r="O2080" s="16">
        <v>0.3</v>
      </c>
      <c r="P2080" s="16">
        <v>0.5</v>
      </c>
      <c r="Q2080" s="16">
        <v>0.5</v>
      </c>
      <c r="R2080" s="16">
        <v>0.7</v>
      </c>
      <c r="S2080" s="16">
        <v>0.7</v>
      </c>
      <c r="T2080" s="16">
        <v>0.7</v>
      </c>
      <c r="U2080" s="16">
        <v>0.7</v>
      </c>
      <c r="V2080" s="16">
        <v>0.7</v>
      </c>
      <c r="W2080" s="16">
        <v>0.7</v>
      </c>
      <c r="X2080" s="16">
        <v>0.6</v>
      </c>
      <c r="Y2080" s="16">
        <v>0.6</v>
      </c>
      <c r="Z2080" s="16">
        <v>0.6</v>
      </c>
      <c r="AA2080" s="16">
        <v>0.6</v>
      </c>
      <c r="AB2080" s="16">
        <v>0.6</v>
      </c>
      <c r="AC2080" s="16">
        <v>0.6</v>
      </c>
      <c r="AD2080" s="16">
        <v>0.5</v>
      </c>
      <c r="AE2080" s="16">
        <v>0.3</v>
      </c>
      <c r="AF2080" s="16" t="s">
        <v>413</v>
      </c>
    </row>
    <row r="2081" spans="1:32" ht="14.25" customHeight="1" x14ac:dyDescent="0.35">
      <c r="A2081" s="16" t="s">
        <v>1516</v>
      </c>
      <c r="B2081" s="16" t="s">
        <v>424</v>
      </c>
      <c r="C2081" s="16"/>
      <c r="D2081" s="16" t="s">
        <v>418</v>
      </c>
      <c r="E2081" s="17">
        <v>41640</v>
      </c>
      <c r="F2081" s="17">
        <v>42004</v>
      </c>
      <c r="G2081" s="16" t="s">
        <v>410</v>
      </c>
      <c r="H2081" s="16">
        <v>0</v>
      </c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6"/>
      <c r="AF2081" s="16" t="s">
        <v>413</v>
      </c>
    </row>
    <row r="2082" spans="1:32" ht="14.25" customHeight="1" x14ac:dyDescent="0.35">
      <c r="A2082" s="14" t="s">
        <v>1518</v>
      </c>
      <c r="B2082" s="14" t="s">
        <v>448</v>
      </c>
      <c r="C2082" s="14"/>
      <c r="D2082" s="14" t="s">
        <v>417</v>
      </c>
      <c r="E2082" s="15">
        <v>41640</v>
      </c>
      <c r="F2082" s="15">
        <v>42004</v>
      </c>
      <c r="G2082" s="14" t="s">
        <v>415</v>
      </c>
      <c r="H2082" s="14">
        <v>0.05</v>
      </c>
      <c r="I2082" s="14">
        <v>0</v>
      </c>
      <c r="J2082" s="14">
        <v>0</v>
      </c>
      <c r="K2082" s="14">
        <v>0</v>
      </c>
      <c r="L2082" s="14">
        <v>0</v>
      </c>
      <c r="M2082" s="14">
        <v>0</v>
      </c>
      <c r="N2082" s="14">
        <v>0.05</v>
      </c>
      <c r="O2082" s="14">
        <v>0.5</v>
      </c>
      <c r="P2082" s="14">
        <v>0.5</v>
      </c>
      <c r="Q2082" s="14">
        <v>0.2</v>
      </c>
      <c r="R2082" s="14">
        <v>0.2</v>
      </c>
      <c r="S2082" s="14">
        <v>0.3</v>
      </c>
      <c r="T2082" s="14">
        <v>0.5</v>
      </c>
      <c r="U2082" s="14">
        <v>0.5</v>
      </c>
      <c r="V2082" s="14">
        <v>0.3</v>
      </c>
      <c r="W2082" s="14">
        <v>0.2</v>
      </c>
      <c r="X2082" s="14">
        <v>0.25</v>
      </c>
      <c r="Y2082" s="14">
        <v>0.35</v>
      </c>
      <c r="Z2082" s="14">
        <v>0.55000000000000004</v>
      </c>
      <c r="AA2082" s="14">
        <v>0.65</v>
      </c>
      <c r="AB2082" s="14">
        <v>0.7</v>
      </c>
      <c r="AC2082" s="14">
        <v>0.35</v>
      </c>
      <c r="AD2082" s="14">
        <v>0.2</v>
      </c>
      <c r="AE2082" s="14">
        <v>0.2</v>
      </c>
      <c r="AF2082" s="14" t="s">
        <v>413</v>
      </c>
    </row>
    <row r="2083" spans="1:32" ht="14.25" customHeight="1" x14ac:dyDescent="0.35">
      <c r="A2083" s="16" t="s">
        <v>1518</v>
      </c>
      <c r="B2083" s="16" t="s">
        <v>448</v>
      </c>
      <c r="C2083" s="16"/>
      <c r="D2083" s="16" t="s">
        <v>512</v>
      </c>
      <c r="E2083" s="17">
        <v>41640</v>
      </c>
      <c r="F2083" s="17">
        <v>42004</v>
      </c>
      <c r="G2083" s="16" t="s">
        <v>415</v>
      </c>
      <c r="H2083" s="16">
        <v>0.05</v>
      </c>
      <c r="I2083" s="16">
        <v>0</v>
      </c>
      <c r="J2083" s="16">
        <v>0</v>
      </c>
      <c r="K2083" s="16">
        <v>0</v>
      </c>
      <c r="L2083" s="16">
        <v>0</v>
      </c>
      <c r="M2083" s="16">
        <v>0</v>
      </c>
      <c r="N2083" s="16">
        <v>0.05</v>
      </c>
      <c r="O2083" s="16">
        <v>0.5</v>
      </c>
      <c r="P2083" s="16">
        <v>0.5</v>
      </c>
      <c r="Q2083" s="16">
        <v>0.4</v>
      </c>
      <c r="R2083" s="16">
        <v>0.2</v>
      </c>
      <c r="S2083" s="16">
        <v>0.45</v>
      </c>
      <c r="T2083" s="16">
        <v>0.5</v>
      </c>
      <c r="U2083" s="16">
        <v>0.5</v>
      </c>
      <c r="V2083" s="16">
        <v>0.35</v>
      </c>
      <c r="W2083" s="16">
        <v>0.3</v>
      </c>
      <c r="X2083" s="16">
        <v>0.3</v>
      </c>
      <c r="Y2083" s="16">
        <v>0.3</v>
      </c>
      <c r="Z2083" s="16">
        <v>0.7</v>
      </c>
      <c r="AA2083" s="16">
        <v>0.9</v>
      </c>
      <c r="AB2083" s="16">
        <v>0.7</v>
      </c>
      <c r="AC2083" s="16">
        <v>0.65</v>
      </c>
      <c r="AD2083" s="16">
        <v>0.55000000000000004</v>
      </c>
      <c r="AE2083" s="16">
        <v>0.35</v>
      </c>
      <c r="AF2083" s="16" t="s">
        <v>413</v>
      </c>
    </row>
    <row r="2084" spans="1:32" ht="14.25" customHeight="1" x14ac:dyDescent="0.35">
      <c r="A2084" s="14" t="s">
        <v>1518</v>
      </c>
      <c r="B2084" s="14" t="s">
        <v>448</v>
      </c>
      <c r="C2084" s="14"/>
      <c r="D2084" s="14" t="s">
        <v>419</v>
      </c>
      <c r="E2084" s="15">
        <v>41640</v>
      </c>
      <c r="F2084" s="15">
        <v>42004</v>
      </c>
      <c r="G2084" s="14" t="s">
        <v>410</v>
      </c>
      <c r="H2084" s="14">
        <v>1</v>
      </c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 t="s">
        <v>413</v>
      </c>
    </row>
    <row r="2085" spans="1:32" ht="14.25" customHeight="1" x14ac:dyDescent="0.35">
      <c r="A2085" s="14" t="s">
        <v>1518</v>
      </c>
      <c r="B2085" s="14" t="s">
        <v>448</v>
      </c>
      <c r="C2085" s="14"/>
      <c r="D2085" s="14" t="s">
        <v>429</v>
      </c>
      <c r="E2085" s="15">
        <v>41640</v>
      </c>
      <c r="F2085" s="15">
        <v>42004</v>
      </c>
      <c r="G2085" s="14" t="s">
        <v>415</v>
      </c>
      <c r="H2085" s="14">
        <v>0.05</v>
      </c>
      <c r="I2085" s="14">
        <v>0</v>
      </c>
      <c r="J2085" s="14">
        <v>0</v>
      </c>
      <c r="K2085" s="14">
        <v>0</v>
      </c>
      <c r="L2085" s="14">
        <v>0</v>
      </c>
      <c r="M2085" s="14">
        <v>0.05</v>
      </c>
      <c r="N2085" s="14">
        <v>0.1</v>
      </c>
      <c r="O2085" s="14">
        <v>0.4</v>
      </c>
      <c r="P2085" s="14">
        <v>0.4</v>
      </c>
      <c r="Q2085" s="14">
        <v>0.4</v>
      </c>
      <c r="R2085" s="14">
        <v>0.2</v>
      </c>
      <c r="S2085" s="14">
        <v>0.5</v>
      </c>
      <c r="T2085" s="14">
        <v>0.8</v>
      </c>
      <c r="U2085" s="14">
        <v>0.7</v>
      </c>
      <c r="V2085" s="14">
        <v>0.4</v>
      </c>
      <c r="W2085" s="14">
        <v>0.2</v>
      </c>
      <c r="X2085" s="14">
        <v>0.25</v>
      </c>
      <c r="Y2085" s="14">
        <v>0.5</v>
      </c>
      <c r="Z2085" s="14">
        <v>0.8</v>
      </c>
      <c r="AA2085" s="14">
        <v>0.8</v>
      </c>
      <c r="AB2085" s="14">
        <v>0.8</v>
      </c>
      <c r="AC2085" s="14">
        <v>0.5</v>
      </c>
      <c r="AD2085" s="14">
        <v>0.35</v>
      </c>
      <c r="AE2085" s="14">
        <v>0.2</v>
      </c>
      <c r="AF2085" s="14" t="s">
        <v>413</v>
      </c>
    </row>
    <row r="2086" spans="1:32" ht="14.25" customHeight="1" x14ac:dyDescent="0.35">
      <c r="A2086" s="16" t="s">
        <v>1518</v>
      </c>
      <c r="B2086" s="16" t="s">
        <v>448</v>
      </c>
      <c r="C2086" s="16"/>
      <c r="D2086" s="16" t="s">
        <v>418</v>
      </c>
      <c r="E2086" s="17">
        <v>41640</v>
      </c>
      <c r="F2086" s="17">
        <v>42004</v>
      </c>
      <c r="G2086" s="16" t="s">
        <v>410</v>
      </c>
      <c r="H2086" s="16">
        <v>0</v>
      </c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 t="s">
        <v>413</v>
      </c>
    </row>
    <row r="2087" spans="1:32" ht="14.25" customHeight="1" x14ac:dyDescent="0.35">
      <c r="A2087" s="16" t="s">
        <v>1519</v>
      </c>
      <c r="B2087" s="16" t="s">
        <v>460</v>
      </c>
      <c r="C2087" s="16"/>
      <c r="D2087" s="16" t="s">
        <v>417</v>
      </c>
      <c r="E2087" s="17">
        <v>41640</v>
      </c>
      <c r="F2087" s="17">
        <v>42004</v>
      </c>
      <c r="G2087" s="16" t="s">
        <v>415</v>
      </c>
      <c r="H2087" s="16">
        <v>0</v>
      </c>
      <c r="I2087" s="16">
        <v>0</v>
      </c>
      <c r="J2087" s="16">
        <v>0</v>
      </c>
      <c r="K2087" s="16">
        <v>0</v>
      </c>
      <c r="L2087" s="16">
        <v>0</v>
      </c>
      <c r="M2087" s="16">
        <v>0</v>
      </c>
      <c r="N2087" s="16">
        <v>0</v>
      </c>
      <c r="O2087" s="16">
        <v>0.15</v>
      </c>
      <c r="P2087" s="16">
        <v>0.15</v>
      </c>
      <c r="Q2087" s="16">
        <v>0.15</v>
      </c>
      <c r="R2087" s="16">
        <v>0.1</v>
      </c>
      <c r="S2087" s="16">
        <v>0.72</v>
      </c>
      <c r="T2087" s="16">
        <v>0.6</v>
      </c>
      <c r="U2087" s="16">
        <v>0.98</v>
      </c>
      <c r="V2087" s="16">
        <v>0.92</v>
      </c>
      <c r="W2087" s="16">
        <v>0.25</v>
      </c>
      <c r="X2087" s="16">
        <v>0.25</v>
      </c>
      <c r="Y2087" s="16">
        <v>0.23</v>
      </c>
      <c r="Z2087" s="16">
        <v>0.16</v>
      </c>
      <c r="AA2087" s="16">
        <v>0.1</v>
      </c>
      <c r="AB2087" s="16">
        <v>0.4</v>
      </c>
      <c r="AC2087" s="16">
        <v>0.42</v>
      </c>
      <c r="AD2087" s="16">
        <v>0.43</v>
      </c>
      <c r="AE2087" s="16">
        <v>0</v>
      </c>
      <c r="AF2087" s="16" t="s">
        <v>413</v>
      </c>
    </row>
    <row r="2088" spans="1:32" ht="14.25" customHeight="1" x14ac:dyDescent="0.35">
      <c r="A2088" s="16" t="s">
        <v>1519</v>
      </c>
      <c r="B2088" s="16" t="s">
        <v>460</v>
      </c>
      <c r="C2088" s="16"/>
      <c r="D2088" s="16" t="s">
        <v>429</v>
      </c>
      <c r="E2088" s="17">
        <v>41640</v>
      </c>
      <c r="F2088" s="17">
        <v>42004</v>
      </c>
      <c r="G2088" s="16" t="s">
        <v>415</v>
      </c>
      <c r="H2088" s="16">
        <v>0</v>
      </c>
      <c r="I2088" s="16">
        <v>0</v>
      </c>
      <c r="J2088" s="16">
        <v>0</v>
      </c>
      <c r="K2088" s="16">
        <v>0</v>
      </c>
      <c r="L2088" s="16">
        <v>0</v>
      </c>
      <c r="M2088" s="16">
        <v>0</v>
      </c>
      <c r="N2088" s="16">
        <v>0.15</v>
      </c>
      <c r="O2088" s="16">
        <v>0.15</v>
      </c>
      <c r="P2088" s="16">
        <v>0.33</v>
      </c>
      <c r="Q2088" s="16">
        <v>0.13</v>
      </c>
      <c r="R2088" s="16">
        <v>0.1</v>
      </c>
      <c r="S2088" s="16">
        <v>0.72</v>
      </c>
      <c r="T2088" s="16">
        <v>0.31</v>
      </c>
      <c r="U2088" s="16">
        <v>0.98</v>
      </c>
      <c r="V2088" s="16">
        <v>0.92</v>
      </c>
      <c r="W2088" s="16">
        <v>0.22</v>
      </c>
      <c r="X2088" s="16">
        <v>0.31</v>
      </c>
      <c r="Y2088" s="16">
        <v>0.23</v>
      </c>
      <c r="Z2088" s="16">
        <v>0.16</v>
      </c>
      <c r="AA2088" s="16">
        <v>0.1</v>
      </c>
      <c r="AB2088" s="16">
        <v>0.4</v>
      </c>
      <c r="AC2088" s="16">
        <v>0.42</v>
      </c>
      <c r="AD2088" s="16">
        <v>0.43</v>
      </c>
      <c r="AE2088" s="16">
        <v>0.15</v>
      </c>
      <c r="AF2088" s="16" t="s">
        <v>413</v>
      </c>
    </row>
    <row r="2089" spans="1:32" ht="14.25" customHeight="1" x14ac:dyDescent="0.35">
      <c r="A2089" s="14" t="s">
        <v>1519</v>
      </c>
      <c r="B2089" s="14" t="s">
        <v>460</v>
      </c>
      <c r="C2089" s="14"/>
      <c r="D2089" s="14" t="s">
        <v>421</v>
      </c>
      <c r="E2089" s="15">
        <v>41640</v>
      </c>
      <c r="F2089" s="15">
        <v>42004</v>
      </c>
      <c r="G2089" s="14" t="s">
        <v>415</v>
      </c>
      <c r="H2089" s="14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0.15</v>
      </c>
      <c r="P2089" s="14">
        <v>0.15</v>
      </c>
      <c r="Q2089" s="14">
        <v>0.15</v>
      </c>
      <c r="R2089" s="14">
        <v>0.1</v>
      </c>
      <c r="S2089" s="14">
        <v>0.72</v>
      </c>
      <c r="T2089" s="14">
        <v>0.6</v>
      </c>
      <c r="U2089" s="14">
        <v>0.98</v>
      </c>
      <c r="V2089" s="14">
        <v>0.92</v>
      </c>
      <c r="W2089" s="14">
        <v>0.25</v>
      </c>
      <c r="X2089" s="14">
        <v>0.25</v>
      </c>
      <c r="Y2089" s="14">
        <v>0.23</v>
      </c>
      <c r="Z2089" s="14">
        <v>0.16</v>
      </c>
      <c r="AA2089" s="14">
        <v>0.1</v>
      </c>
      <c r="AB2089" s="14">
        <v>0.4</v>
      </c>
      <c r="AC2089" s="14">
        <v>0.42</v>
      </c>
      <c r="AD2089" s="14">
        <v>0.43</v>
      </c>
      <c r="AE2089" s="14">
        <v>0.15</v>
      </c>
      <c r="AF2089" s="14" t="s">
        <v>413</v>
      </c>
    </row>
    <row r="2090" spans="1:32" ht="14.25" customHeight="1" x14ac:dyDescent="0.35">
      <c r="A2090" s="14" t="s">
        <v>1520</v>
      </c>
      <c r="B2090" s="14" t="s">
        <v>420</v>
      </c>
      <c r="C2090" s="14" t="s">
        <v>414</v>
      </c>
      <c r="D2090" s="14" t="s">
        <v>821</v>
      </c>
      <c r="E2090" s="15">
        <v>41640</v>
      </c>
      <c r="F2090" s="15">
        <v>42004</v>
      </c>
      <c r="G2090" s="14" t="s">
        <v>415</v>
      </c>
      <c r="H2090" s="14">
        <v>30</v>
      </c>
      <c r="I2090" s="14">
        <v>30</v>
      </c>
      <c r="J2090" s="14">
        <v>30</v>
      </c>
      <c r="K2090" s="14">
        <v>26.11</v>
      </c>
      <c r="L2090" s="14">
        <v>26.11</v>
      </c>
      <c r="M2090" s="14">
        <v>26.11</v>
      </c>
      <c r="N2090" s="14">
        <v>26.11</v>
      </c>
      <c r="O2090" s="14">
        <v>26.11</v>
      </c>
      <c r="P2090" s="14">
        <v>26.11</v>
      </c>
      <c r="Q2090" s="14">
        <v>26.11</v>
      </c>
      <c r="R2090" s="14">
        <v>26.11</v>
      </c>
      <c r="S2090" s="14">
        <v>26.11</v>
      </c>
      <c r="T2090" s="14">
        <v>26.11</v>
      </c>
      <c r="U2090" s="14">
        <v>26.11</v>
      </c>
      <c r="V2090" s="14">
        <v>26.11</v>
      </c>
      <c r="W2090" s="14">
        <v>26.11</v>
      </c>
      <c r="X2090" s="14">
        <v>26.11</v>
      </c>
      <c r="Y2090" s="14">
        <v>26.11</v>
      </c>
      <c r="Z2090" s="14">
        <v>26.11</v>
      </c>
      <c r="AA2090" s="14">
        <v>26.11</v>
      </c>
      <c r="AB2090" s="14">
        <v>26.11</v>
      </c>
      <c r="AC2090" s="14">
        <v>26.11</v>
      </c>
      <c r="AD2090" s="14">
        <v>26.11</v>
      </c>
      <c r="AE2090" s="14">
        <v>26.11</v>
      </c>
      <c r="AF2090" s="14" t="s">
        <v>413</v>
      </c>
    </row>
    <row r="2091" spans="1:32" ht="14.25" customHeight="1" x14ac:dyDescent="0.35">
      <c r="A2091" s="14" t="s">
        <v>1520</v>
      </c>
      <c r="B2091" s="14" t="s">
        <v>420</v>
      </c>
      <c r="C2091" s="14" t="s">
        <v>414</v>
      </c>
      <c r="D2091" s="14" t="s">
        <v>419</v>
      </c>
      <c r="E2091" s="15">
        <v>41640</v>
      </c>
      <c r="F2091" s="15">
        <v>42004</v>
      </c>
      <c r="G2091" s="14" t="s">
        <v>415</v>
      </c>
      <c r="H2091" s="14">
        <v>30</v>
      </c>
      <c r="I2091" s="14">
        <v>30</v>
      </c>
      <c r="J2091" s="14">
        <v>30</v>
      </c>
      <c r="K2091" s="14">
        <v>30</v>
      </c>
      <c r="L2091" s="14">
        <v>30</v>
      </c>
      <c r="M2091" s="14">
        <v>28.33</v>
      </c>
      <c r="N2091" s="14">
        <v>26.11</v>
      </c>
      <c r="O2091" s="14">
        <v>26.11</v>
      </c>
      <c r="P2091" s="14">
        <v>26.11</v>
      </c>
      <c r="Q2091" s="14">
        <v>26.11</v>
      </c>
      <c r="R2091" s="14">
        <v>26.11</v>
      </c>
      <c r="S2091" s="14">
        <v>26.11</v>
      </c>
      <c r="T2091" s="14">
        <v>26.11</v>
      </c>
      <c r="U2091" s="14">
        <v>26.11</v>
      </c>
      <c r="V2091" s="14">
        <v>26.11</v>
      </c>
      <c r="W2091" s="14">
        <v>26.11</v>
      </c>
      <c r="X2091" s="14">
        <v>26.11</v>
      </c>
      <c r="Y2091" s="14">
        <v>26.11</v>
      </c>
      <c r="Z2091" s="14">
        <v>26.11</v>
      </c>
      <c r="AA2091" s="14">
        <v>26.11</v>
      </c>
      <c r="AB2091" s="14">
        <v>26.11</v>
      </c>
      <c r="AC2091" s="14">
        <v>26.11</v>
      </c>
      <c r="AD2091" s="14">
        <v>26.11</v>
      </c>
      <c r="AE2091" s="14">
        <v>26.11</v>
      </c>
      <c r="AF2091" s="14" t="s">
        <v>413</v>
      </c>
    </row>
    <row r="2092" spans="1:32" ht="14.25" customHeight="1" x14ac:dyDescent="0.35">
      <c r="A2092" s="16" t="s">
        <v>1520</v>
      </c>
      <c r="B2092" s="16" t="s">
        <v>420</v>
      </c>
      <c r="C2092" s="16" t="s">
        <v>414</v>
      </c>
      <c r="D2092" s="16" t="s">
        <v>418</v>
      </c>
      <c r="E2092" s="17">
        <v>41640</v>
      </c>
      <c r="F2092" s="17">
        <v>42004</v>
      </c>
      <c r="G2092" s="16" t="s">
        <v>410</v>
      </c>
      <c r="H2092" s="16">
        <v>30</v>
      </c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6"/>
      <c r="AB2092" s="16"/>
      <c r="AC2092" s="16"/>
      <c r="AD2092" s="16"/>
      <c r="AE2092" s="16"/>
      <c r="AF2092" s="16" t="s">
        <v>413</v>
      </c>
    </row>
    <row r="2093" spans="1:32" ht="14.25" customHeight="1" x14ac:dyDescent="0.35">
      <c r="A2093" s="16" t="s">
        <v>1521</v>
      </c>
      <c r="B2093" s="16" t="s">
        <v>420</v>
      </c>
      <c r="C2093" s="16" t="s">
        <v>414</v>
      </c>
      <c r="D2093" s="16" t="s">
        <v>821</v>
      </c>
      <c r="E2093" s="17">
        <v>41640</v>
      </c>
      <c r="F2093" s="17">
        <v>42004</v>
      </c>
      <c r="G2093" s="16" t="s">
        <v>410</v>
      </c>
      <c r="H2093" s="16">
        <v>26.11</v>
      </c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/>
      <c r="AF2093" s="16" t="s">
        <v>413</v>
      </c>
    </row>
    <row r="2094" spans="1:32" ht="14.25" customHeight="1" x14ac:dyDescent="0.35">
      <c r="A2094" s="16" t="s">
        <v>1521</v>
      </c>
      <c r="B2094" s="16" t="s">
        <v>420</v>
      </c>
      <c r="C2094" s="16" t="s">
        <v>414</v>
      </c>
      <c r="D2094" s="16" t="s">
        <v>419</v>
      </c>
      <c r="E2094" s="17">
        <v>41640</v>
      </c>
      <c r="F2094" s="17">
        <v>42004</v>
      </c>
      <c r="G2094" s="16" t="s">
        <v>415</v>
      </c>
      <c r="H2094" s="16">
        <v>30</v>
      </c>
      <c r="I2094" s="16">
        <v>30</v>
      </c>
      <c r="J2094" s="16">
        <v>30</v>
      </c>
      <c r="K2094" s="16">
        <v>30</v>
      </c>
      <c r="L2094" s="16">
        <v>30</v>
      </c>
      <c r="M2094" s="16">
        <v>28.33</v>
      </c>
      <c r="N2094" s="16">
        <v>26.11</v>
      </c>
      <c r="O2094" s="16">
        <v>26.11</v>
      </c>
      <c r="P2094" s="16">
        <v>26.11</v>
      </c>
      <c r="Q2094" s="16">
        <v>26.11</v>
      </c>
      <c r="R2094" s="16">
        <v>26.11</v>
      </c>
      <c r="S2094" s="16">
        <v>26.11</v>
      </c>
      <c r="T2094" s="16">
        <v>26.11</v>
      </c>
      <c r="U2094" s="16">
        <v>26.11</v>
      </c>
      <c r="V2094" s="16">
        <v>26.11</v>
      </c>
      <c r="W2094" s="16">
        <v>26.11</v>
      </c>
      <c r="X2094" s="16">
        <v>26.11</v>
      </c>
      <c r="Y2094" s="16">
        <v>26.11</v>
      </c>
      <c r="Z2094" s="16">
        <v>26.11</v>
      </c>
      <c r="AA2094" s="16">
        <v>26.11</v>
      </c>
      <c r="AB2094" s="16">
        <v>26.11</v>
      </c>
      <c r="AC2094" s="16">
        <v>26.11</v>
      </c>
      <c r="AD2094" s="16">
        <v>26.11</v>
      </c>
      <c r="AE2094" s="16">
        <v>26.11</v>
      </c>
      <c r="AF2094" s="16" t="s">
        <v>413</v>
      </c>
    </row>
    <row r="2095" spans="1:32" ht="14.25" customHeight="1" x14ac:dyDescent="0.35">
      <c r="A2095" s="14" t="s">
        <v>1521</v>
      </c>
      <c r="B2095" s="14" t="s">
        <v>420</v>
      </c>
      <c r="C2095" s="14" t="s">
        <v>414</v>
      </c>
      <c r="D2095" s="14" t="s">
        <v>418</v>
      </c>
      <c r="E2095" s="15">
        <v>41640</v>
      </c>
      <c r="F2095" s="15">
        <v>42004</v>
      </c>
      <c r="G2095" s="14" t="s">
        <v>410</v>
      </c>
      <c r="H2095" s="14">
        <v>30</v>
      </c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 t="s">
        <v>413</v>
      </c>
    </row>
    <row r="2096" spans="1:32" ht="14.25" customHeight="1" x14ac:dyDescent="0.35">
      <c r="A2096" s="14" t="s">
        <v>1522</v>
      </c>
      <c r="B2096" s="14" t="s">
        <v>420</v>
      </c>
      <c r="C2096" s="14" t="s">
        <v>414</v>
      </c>
      <c r="D2096" s="14" t="s">
        <v>821</v>
      </c>
      <c r="E2096" s="15">
        <v>41640</v>
      </c>
      <c r="F2096" s="15">
        <v>42004</v>
      </c>
      <c r="G2096" s="14" t="s">
        <v>415</v>
      </c>
      <c r="H2096" s="14">
        <v>30</v>
      </c>
      <c r="I2096" s="14">
        <v>30</v>
      </c>
      <c r="J2096" s="14">
        <v>30</v>
      </c>
      <c r="K2096" s="14">
        <v>28.9</v>
      </c>
      <c r="L2096" s="14">
        <v>27.8</v>
      </c>
      <c r="M2096" s="14">
        <v>26.11</v>
      </c>
      <c r="N2096" s="14">
        <v>26.11</v>
      </c>
      <c r="O2096" s="14">
        <v>26.11</v>
      </c>
      <c r="P2096" s="14">
        <v>26.11</v>
      </c>
      <c r="Q2096" s="14">
        <v>26.11</v>
      </c>
      <c r="R2096" s="14">
        <v>26.11</v>
      </c>
      <c r="S2096" s="14">
        <v>26.11</v>
      </c>
      <c r="T2096" s="14">
        <v>26.11</v>
      </c>
      <c r="U2096" s="14">
        <v>26.11</v>
      </c>
      <c r="V2096" s="14">
        <v>26.11</v>
      </c>
      <c r="W2096" s="14">
        <v>26.11</v>
      </c>
      <c r="X2096" s="14">
        <v>26.11</v>
      </c>
      <c r="Y2096" s="14">
        <v>26.11</v>
      </c>
      <c r="Z2096" s="14">
        <v>26.11</v>
      </c>
      <c r="AA2096" s="14">
        <v>26.11</v>
      </c>
      <c r="AB2096" s="14">
        <v>26.11</v>
      </c>
      <c r="AC2096" s="14">
        <v>26.11</v>
      </c>
      <c r="AD2096" s="14">
        <v>26.11</v>
      </c>
      <c r="AE2096" s="14">
        <v>26.11</v>
      </c>
      <c r="AF2096" s="14" t="s">
        <v>413</v>
      </c>
    </row>
    <row r="2097" spans="1:32" ht="14.25" customHeight="1" x14ac:dyDescent="0.35">
      <c r="A2097" s="14" t="s">
        <v>1522</v>
      </c>
      <c r="B2097" s="14" t="s">
        <v>420</v>
      </c>
      <c r="C2097" s="14" t="s">
        <v>414</v>
      </c>
      <c r="D2097" s="14" t="s">
        <v>419</v>
      </c>
      <c r="E2097" s="15">
        <v>41640</v>
      </c>
      <c r="F2097" s="15">
        <v>42004</v>
      </c>
      <c r="G2097" s="14" t="s">
        <v>415</v>
      </c>
      <c r="H2097" s="14">
        <v>30</v>
      </c>
      <c r="I2097" s="14">
        <v>30</v>
      </c>
      <c r="J2097" s="14">
        <v>30</v>
      </c>
      <c r="K2097" s="14">
        <v>30</v>
      </c>
      <c r="L2097" s="14">
        <v>30</v>
      </c>
      <c r="M2097" s="14">
        <v>28.33</v>
      </c>
      <c r="N2097" s="14">
        <v>26.11</v>
      </c>
      <c r="O2097" s="14">
        <v>26.11</v>
      </c>
      <c r="P2097" s="14">
        <v>26.11</v>
      </c>
      <c r="Q2097" s="14">
        <v>26.11</v>
      </c>
      <c r="R2097" s="14">
        <v>26.11</v>
      </c>
      <c r="S2097" s="14">
        <v>26.11</v>
      </c>
      <c r="T2097" s="14">
        <v>26.11</v>
      </c>
      <c r="U2097" s="14">
        <v>26.11</v>
      </c>
      <c r="V2097" s="14">
        <v>26.11</v>
      </c>
      <c r="W2097" s="14">
        <v>26.11</v>
      </c>
      <c r="X2097" s="14">
        <v>26.11</v>
      </c>
      <c r="Y2097" s="14">
        <v>26.11</v>
      </c>
      <c r="Z2097" s="14">
        <v>26.11</v>
      </c>
      <c r="AA2097" s="14">
        <v>26.11</v>
      </c>
      <c r="AB2097" s="14">
        <v>26.11</v>
      </c>
      <c r="AC2097" s="14">
        <v>26.11</v>
      </c>
      <c r="AD2097" s="14">
        <v>26.11</v>
      </c>
      <c r="AE2097" s="14">
        <v>26.11</v>
      </c>
      <c r="AF2097" s="14" t="s">
        <v>413</v>
      </c>
    </row>
    <row r="2098" spans="1:32" ht="14.25" customHeight="1" x14ac:dyDescent="0.35">
      <c r="A2098" s="16" t="s">
        <v>1522</v>
      </c>
      <c r="B2098" s="16" t="s">
        <v>420</v>
      </c>
      <c r="C2098" s="16" t="s">
        <v>414</v>
      </c>
      <c r="D2098" s="16" t="s">
        <v>418</v>
      </c>
      <c r="E2098" s="17">
        <v>41640</v>
      </c>
      <c r="F2098" s="17">
        <v>42004</v>
      </c>
      <c r="G2098" s="16" t="s">
        <v>410</v>
      </c>
      <c r="H2098" s="16">
        <v>30</v>
      </c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6"/>
      <c r="AA2098" s="16"/>
      <c r="AB2098" s="16"/>
      <c r="AC2098" s="16"/>
      <c r="AD2098" s="16"/>
      <c r="AE2098" s="16"/>
      <c r="AF2098" s="16" t="s">
        <v>413</v>
      </c>
    </row>
    <row r="2099" spans="1:32" ht="14.25" customHeight="1" x14ac:dyDescent="0.35">
      <c r="A2099" s="16" t="s">
        <v>1523</v>
      </c>
      <c r="B2099" s="16" t="s">
        <v>420</v>
      </c>
      <c r="C2099" s="16" t="s">
        <v>414</v>
      </c>
      <c r="D2099" s="16" t="s">
        <v>821</v>
      </c>
      <c r="E2099" s="17">
        <v>41640</v>
      </c>
      <c r="F2099" s="17">
        <v>42004</v>
      </c>
      <c r="G2099" s="16" t="s">
        <v>415</v>
      </c>
      <c r="H2099" s="16">
        <v>30</v>
      </c>
      <c r="I2099" s="16">
        <v>30</v>
      </c>
      <c r="J2099" s="16">
        <v>30</v>
      </c>
      <c r="K2099" s="16">
        <v>23.89</v>
      </c>
      <c r="L2099" s="16">
        <v>23.89</v>
      </c>
      <c r="M2099" s="16">
        <v>23.89</v>
      </c>
      <c r="N2099" s="16">
        <v>23.89</v>
      </c>
      <c r="O2099" s="16">
        <v>23.89</v>
      </c>
      <c r="P2099" s="16">
        <v>23.89</v>
      </c>
      <c r="Q2099" s="16">
        <v>23.89</v>
      </c>
      <c r="R2099" s="16">
        <v>23.89</v>
      </c>
      <c r="S2099" s="16">
        <v>23.89</v>
      </c>
      <c r="T2099" s="16">
        <v>23.89</v>
      </c>
      <c r="U2099" s="16">
        <v>23.89</v>
      </c>
      <c r="V2099" s="16">
        <v>23.89</v>
      </c>
      <c r="W2099" s="16">
        <v>23.89</v>
      </c>
      <c r="X2099" s="16">
        <v>23.89</v>
      </c>
      <c r="Y2099" s="16">
        <v>23.89</v>
      </c>
      <c r="Z2099" s="16">
        <v>23.89</v>
      </c>
      <c r="AA2099" s="16">
        <v>23.89</v>
      </c>
      <c r="AB2099" s="16">
        <v>23.89</v>
      </c>
      <c r="AC2099" s="16">
        <v>23.89</v>
      </c>
      <c r="AD2099" s="16">
        <v>23.89</v>
      </c>
      <c r="AE2099" s="16">
        <v>23.89</v>
      </c>
      <c r="AF2099" s="16" t="s">
        <v>413</v>
      </c>
    </row>
    <row r="2100" spans="1:32" ht="14.25" customHeight="1" x14ac:dyDescent="0.35">
      <c r="A2100" s="16" t="s">
        <v>1523</v>
      </c>
      <c r="B2100" s="16" t="s">
        <v>420</v>
      </c>
      <c r="C2100" s="16" t="s">
        <v>414</v>
      </c>
      <c r="D2100" s="16" t="s">
        <v>419</v>
      </c>
      <c r="E2100" s="17">
        <v>41640</v>
      </c>
      <c r="F2100" s="17">
        <v>42004</v>
      </c>
      <c r="G2100" s="16" t="s">
        <v>415</v>
      </c>
      <c r="H2100" s="16">
        <v>30</v>
      </c>
      <c r="I2100" s="16">
        <v>30</v>
      </c>
      <c r="J2100" s="16">
        <v>30</v>
      </c>
      <c r="K2100" s="16">
        <v>30</v>
      </c>
      <c r="L2100" s="16">
        <v>30</v>
      </c>
      <c r="M2100" s="16">
        <v>26.67</v>
      </c>
      <c r="N2100" s="16">
        <v>23.89</v>
      </c>
      <c r="O2100" s="16">
        <v>23.89</v>
      </c>
      <c r="P2100" s="16">
        <v>23.89</v>
      </c>
      <c r="Q2100" s="16">
        <v>23.89</v>
      </c>
      <c r="R2100" s="16">
        <v>23.89</v>
      </c>
      <c r="S2100" s="16">
        <v>23.89</v>
      </c>
      <c r="T2100" s="16">
        <v>23.89</v>
      </c>
      <c r="U2100" s="16">
        <v>23.89</v>
      </c>
      <c r="V2100" s="16">
        <v>23.89</v>
      </c>
      <c r="W2100" s="16">
        <v>23.89</v>
      </c>
      <c r="X2100" s="16">
        <v>23.89</v>
      </c>
      <c r="Y2100" s="16">
        <v>23.89</v>
      </c>
      <c r="Z2100" s="16">
        <v>23.89</v>
      </c>
      <c r="AA2100" s="16">
        <v>23.89</v>
      </c>
      <c r="AB2100" s="16">
        <v>23.89</v>
      </c>
      <c r="AC2100" s="16">
        <v>23.89</v>
      </c>
      <c r="AD2100" s="16">
        <v>23.89</v>
      </c>
      <c r="AE2100" s="16">
        <v>23.89</v>
      </c>
      <c r="AF2100" s="16" t="s">
        <v>413</v>
      </c>
    </row>
    <row r="2101" spans="1:32" ht="14.25" customHeight="1" x14ac:dyDescent="0.35">
      <c r="A2101" s="14" t="s">
        <v>1523</v>
      </c>
      <c r="B2101" s="14" t="s">
        <v>420</v>
      </c>
      <c r="C2101" s="14" t="s">
        <v>414</v>
      </c>
      <c r="D2101" s="14" t="s">
        <v>418</v>
      </c>
      <c r="E2101" s="15">
        <v>41640</v>
      </c>
      <c r="F2101" s="15">
        <v>42004</v>
      </c>
      <c r="G2101" s="14" t="s">
        <v>410</v>
      </c>
      <c r="H2101" s="14">
        <v>30</v>
      </c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 t="s">
        <v>413</v>
      </c>
    </row>
    <row r="2102" spans="1:32" ht="14.25" customHeight="1" x14ac:dyDescent="0.35">
      <c r="A2102" s="14" t="s">
        <v>1524</v>
      </c>
      <c r="B2102" s="14" t="s">
        <v>420</v>
      </c>
      <c r="C2102" s="14" t="s">
        <v>414</v>
      </c>
      <c r="D2102" s="14" t="s">
        <v>821</v>
      </c>
      <c r="E2102" s="15">
        <v>41640</v>
      </c>
      <c r="F2102" s="15">
        <v>42004</v>
      </c>
      <c r="G2102" s="14" t="s">
        <v>410</v>
      </c>
      <c r="H2102" s="14">
        <v>23.89</v>
      </c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 t="s">
        <v>413</v>
      </c>
    </row>
    <row r="2103" spans="1:32" ht="14.25" customHeight="1" x14ac:dyDescent="0.35">
      <c r="A2103" s="14" t="s">
        <v>1524</v>
      </c>
      <c r="B2103" s="14" t="s">
        <v>420</v>
      </c>
      <c r="C2103" s="14" t="s">
        <v>414</v>
      </c>
      <c r="D2103" s="14" t="s">
        <v>419</v>
      </c>
      <c r="E2103" s="15">
        <v>41640</v>
      </c>
      <c r="F2103" s="15">
        <v>42004</v>
      </c>
      <c r="G2103" s="14" t="s">
        <v>415</v>
      </c>
      <c r="H2103" s="14">
        <v>30</v>
      </c>
      <c r="I2103" s="14">
        <v>30</v>
      </c>
      <c r="J2103" s="14">
        <v>30</v>
      </c>
      <c r="K2103" s="14">
        <v>30</v>
      </c>
      <c r="L2103" s="14">
        <v>30</v>
      </c>
      <c r="M2103" s="14">
        <v>26.67</v>
      </c>
      <c r="N2103" s="14">
        <v>23.89</v>
      </c>
      <c r="O2103" s="14">
        <v>23.89</v>
      </c>
      <c r="P2103" s="14">
        <v>23.89</v>
      </c>
      <c r="Q2103" s="14">
        <v>23.89</v>
      </c>
      <c r="R2103" s="14">
        <v>23.89</v>
      </c>
      <c r="S2103" s="14">
        <v>23.89</v>
      </c>
      <c r="T2103" s="14">
        <v>23.89</v>
      </c>
      <c r="U2103" s="14">
        <v>23.89</v>
      </c>
      <c r="V2103" s="14">
        <v>23.89</v>
      </c>
      <c r="W2103" s="14">
        <v>23.89</v>
      </c>
      <c r="X2103" s="14">
        <v>23.89</v>
      </c>
      <c r="Y2103" s="14">
        <v>23.89</v>
      </c>
      <c r="Z2103" s="14">
        <v>23.89</v>
      </c>
      <c r="AA2103" s="14">
        <v>23.89</v>
      </c>
      <c r="AB2103" s="14">
        <v>23.89</v>
      </c>
      <c r="AC2103" s="14">
        <v>23.89</v>
      </c>
      <c r="AD2103" s="14">
        <v>23.89</v>
      </c>
      <c r="AE2103" s="14">
        <v>23.89</v>
      </c>
      <c r="AF2103" s="14" t="s">
        <v>413</v>
      </c>
    </row>
    <row r="2104" spans="1:32" ht="14.25" customHeight="1" x14ac:dyDescent="0.35">
      <c r="A2104" s="16" t="s">
        <v>1524</v>
      </c>
      <c r="B2104" s="16" t="s">
        <v>420</v>
      </c>
      <c r="C2104" s="16" t="s">
        <v>414</v>
      </c>
      <c r="D2104" s="16" t="s">
        <v>418</v>
      </c>
      <c r="E2104" s="17">
        <v>41640</v>
      </c>
      <c r="F2104" s="17">
        <v>42004</v>
      </c>
      <c r="G2104" s="16" t="s">
        <v>410</v>
      </c>
      <c r="H2104" s="16">
        <v>30</v>
      </c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6"/>
      <c r="AA2104" s="16"/>
      <c r="AB2104" s="16"/>
      <c r="AC2104" s="16"/>
      <c r="AD2104" s="16"/>
      <c r="AE2104" s="16"/>
      <c r="AF2104" s="16" t="s">
        <v>413</v>
      </c>
    </row>
    <row r="2105" spans="1:32" ht="14.25" customHeight="1" x14ac:dyDescent="0.35">
      <c r="A2105" s="16" t="s">
        <v>1525</v>
      </c>
      <c r="B2105" s="16" t="s">
        <v>420</v>
      </c>
      <c r="C2105" s="16" t="s">
        <v>414</v>
      </c>
      <c r="D2105" s="16" t="s">
        <v>821</v>
      </c>
      <c r="E2105" s="17">
        <v>41640</v>
      </c>
      <c r="F2105" s="17">
        <v>42004</v>
      </c>
      <c r="G2105" s="16" t="s">
        <v>415</v>
      </c>
      <c r="H2105" s="16">
        <v>30</v>
      </c>
      <c r="I2105" s="16">
        <v>30</v>
      </c>
      <c r="J2105" s="16">
        <v>30</v>
      </c>
      <c r="K2105" s="16">
        <v>27.8</v>
      </c>
      <c r="L2105" s="16">
        <v>25.6</v>
      </c>
      <c r="M2105" s="16">
        <v>23.89</v>
      </c>
      <c r="N2105" s="16">
        <v>23.89</v>
      </c>
      <c r="O2105" s="16">
        <v>23.89</v>
      </c>
      <c r="P2105" s="16">
        <v>23.89</v>
      </c>
      <c r="Q2105" s="16">
        <v>23.89</v>
      </c>
      <c r="R2105" s="16">
        <v>23.89</v>
      </c>
      <c r="S2105" s="16">
        <v>23.89</v>
      </c>
      <c r="T2105" s="16">
        <v>23.89</v>
      </c>
      <c r="U2105" s="16">
        <v>23.89</v>
      </c>
      <c r="V2105" s="16">
        <v>23.89</v>
      </c>
      <c r="W2105" s="16">
        <v>23.89</v>
      </c>
      <c r="X2105" s="16">
        <v>23.89</v>
      </c>
      <c r="Y2105" s="16">
        <v>23.89</v>
      </c>
      <c r="Z2105" s="16">
        <v>23.89</v>
      </c>
      <c r="AA2105" s="16">
        <v>23.89</v>
      </c>
      <c r="AB2105" s="16">
        <v>23.89</v>
      </c>
      <c r="AC2105" s="16">
        <v>23.89</v>
      </c>
      <c r="AD2105" s="16">
        <v>23.89</v>
      </c>
      <c r="AE2105" s="16">
        <v>23.89</v>
      </c>
      <c r="AF2105" s="16" t="s">
        <v>413</v>
      </c>
    </row>
    <row r="2106" spans="1:32" ht="14.25" customHeight="1" x14ac:dyDescent="0.35">
      <c r="A2106" s="16" t="s">
        <v>1525</v>
      </c>
      <c r="B2106" s="16" t="s">
        <v>420</v>
      </c>
      <c r="C2106" s="16" t="s">
        <v>414</v>
      </c>
      <c r="D2106" s="16" t="s">
        <v>419</v>
      </c>
      <c r="E2106" s="17">
        <v>41640</v>
      </c>
      <c r="F2106" s="17">
        <v>42004</v>
      </c>
      <c r="G2106" s="16" t="s">
        <v>415</v>
      </c>
      <c r="H2106" s="16">
        <v>30</v>
      </c>
      <c r="I2106" s="16">
        <v>30</v>
      </c>
      <c r="J2106" s="16">
        <v>30</v>
      </c>
      <c r="K2106" s="16">
        <v>30</v>
      </c>
      <c r="L2106" s="16">
        <v>30</v>
      </c>
      <c r="M2106" s="16">
        <v>26.67</v>
      </c>
      <c r="N2106" s="16">
        <v>23.89</v>
      </c>
      <c r="O2106" s="16">
        <v>23.89</v>
      </c>
      <c r="P2106" s="16">
        <v>23.89</v>
      </c>
      <c r="Q2106" s="16">
        <v>23.89</v>
      </c>
      <c r="R2106" s="16">
        <v>23.89</v>
      </c>
      <c r="S2106" s="16">
        <v>23.89</v>
      </c>
      <c r="T2106" s="16">
        <v>23.89</v>
      </c>
      <c r="U2106" s="16">
        <v>23.89</v>
      </c>
      <c r="V2106" s="16">
        <v>23.89</v>
      </c>
      <c r="W2106" s="16">
        <v>23.89</v>
      </c>
      <c r="X2106" s="16">
        <v>23.89</v>
      </c>
      <c r="Y2106" s="16">
        <v>23.89</v>
      </c>
      <c r="Z2106" s="16">
        <v>23.89</v>
      </c>
      <c r="AA2106" s="16">
        <v>23.89</v>
      </c>
      <c r="AB2106" s="16">
        <v>23.89</v>
      </c>
      <c r="AC2106" s="16">
        <v>23.89</v>
      </c>
      <c r="AD2106" s="16">
        <v>23.89</v>
      </c>
      <c r="AE2106" s="16">
        <v>23.89</v>
      </c>
      <c r="AF2106" s="16" t="s">
        <v>413</v>
      </c>
    </row>
    <row r="2107" spans="1:32" ht="14.25" customHeight="1" x14ac:dyDescent="0.35">
      <c r="A2107" s="14" t="s">
        <v>1525</v>
      </c>
      <c r="B2107" s="14" t="s">
        <v>420</v>
      </c>
      <c r="C2107" s="14" t="s">
        <v>414</v>
      </c>
      <c r="D2107" s="14" t="s">
        <v>418</v>
      </c>
      <c r="E2107" s="15">
        <v>41640</v>
      </c>
      <c r="F2107" s="15">
        <v>42004</v>
      </c>
      <c r="G2107" s="14" t="s">
        <v>410</v>
      </c>
      <c r="H2107" s="14">
        <v>30</v>
      </c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 t="s">
        <v>413</v>
      </c>
    </row>
    <row r="2108" spans="1:32" ht="14.25" customHeight="1" x14ac:dyDescent="0.35">
      <c r="A2108" s="14" t="s">
        <v>1526</v>
      </c>
      <c r="B2108" s="14" t="s">
        <v>518</v>
      </c>
      <c r="C2108" s="14" t="s">
        <v>412</v>
      </c>
      <c r="D2108" s="14" t="s">
        <v>453</v>
      </c>
      <c r="E2108" s="15">
        <v>41640</v>
      </c>
      <c r="F2108" s="15">
        <v>42004</v>
      </c>
      <c r="G2108" s="14" t="s">
        <v>410</v>
      </c>
      <c r="H2108" s="14">
        <v>0.5</v>
      </c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 t="s">
        <v>413</v>
      </c>
    </row>
    <row r="2109" spans="1:32" ht="14.25" customHeight="1" x14ac:dyDescent="0.35">
      <c r="A2109" s="14" t="s">
        <v>1526</v>
      </c>
      <c r="B2109" s="14" t="s">
        <v>518</v>
      </c>
      <c r="C2109" s="14" t="s">
        <v>412</v>
      </c>
      <c r="D2109" s="14" t="s">
        <v>454</v>
      </c>
      <c r="E2109" s="15">
        <v>41913</v>
      </c>
      <c r="F2109" s="15">
        <v>42004</v>
      </c>
      <c r="G2109" s="14" t="s">
        <v>410</v>
      </c>
      <c r="H2109" s="14">
        <v>1</v>
      </c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 t="s">
        <v>413</v>
      </c>
    </row>
    <row r="2110" spans="1:32" ht="14.25" customHeight="1" x14ac:dyDescent="0.35">
      <c r="A2110" s="16" t="s">
        <v>1526</v>
      </c>
      <c r="B2110" s="16" t="s">
        <v>518</v>
      </c>
      <c r="C2110" s="16" t="s">
        <v>412</v>
      </c>
      <c r="D2110" s="16" t="s">
        <v>454</v>
      </c>
      <c r="E2110" s="17">
        <v>41640</v>
      </c>
      <c r="F2110" s="17">
        <v>41759</v>
      </c>
      <c r="G2110" s="16" t="s">
        <v>410</v>
      </c>
      <c r="H2110" s="16">
        <v>1</v>
      </c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6"/>
      <c r="AD2110" s="16"/>
      <c r="AE2110" s="16"/>
      <c r="AF2110" s="16" t="s">
        <v>413</v>
      </c>
    </row>
    <row r="2111" spans="1:32" ht="14.25" customHeight="1" x14ac:dyDescent="0.35">
      <c r="A2111" s="16" t="s">
        <v>1526</v>
      </c>
      <c r="B2111" s="16" t="s">
        <v>518</v>
      </c>
      <c r="C2111" s="16" t="s">
        <v>412</v>
      </c>
      <c r="D2111" s="16" t="s">
        <v>418</v>
      </c>
      <c r="E2111" s="17">
        <v>41640</v>
      </c>
      <c r="F2111" s="17">
        <v>42004</v>
      </c>
      <c r="G2111" s="16" t="s">
        <v>410</v>
      </c>
      <c r="H2111" s="16">
        <v>1</v>
      </c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6"/>
      <c r="AF2111" s="16" t="s">
        <v>413</v>
      </c>
    </row>
    <row r="2112" spans="1:32" ht="14.25" customHeight="1" x14ac:dyDescent="0.35">
      <c r="A2112" s="14" t="s">
        <v>1527</v>
      </c>
      <c r="B2112" s="14" t="s">
        <v>441</v>
      </c>
      <c r="C2112" s="14"/>
      <c r="D2112" s="14" t="s">
        <v>417</v>
      </c>
      <c r="E2112" s="15">
        <v>41640</v>
      </c>
      <c r="F2112" s="15">
        <v>42004</v>
      </c>
      <c r="G2112" s="14" t="s">
        <v>415</v>
      </c>
      <c r="H2112" s="14">
        <v>0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0.14399999999999999</v>
      </c>
      <c r="O2112" s="14">
        <v>0.55800000000000005</v>
      </c>
      <c r="P2112" s="14">
        <v>0.55800000000000005</v>
      </c>
      <c r="Q2112" s="14">
        <v>0.25800000000000001</v>
      </c>
      <c r="R2112" s="14">
        <v>0.25800000000000001</v>
      </c>
      <c r="S2112" s="14">
        <v>0.36299999999999999</v>
      </c>
      <c r="T2112" s="14">
        <v>0.55800000000000005</v>
      </c>
      <c r="U2112" s="14">
        <v>0.55800000000000005</v>
      </c>
      <c r="V2112" s="14">
        <v>0.36299999999999999</v>
      </c>
      <c r="W2112" s="14">
        <v>0.25800000000000001</v>
      </c>
      <c r="X2112" s="14">
        <v>0.36299999999999999</v>
      </c>
      <c r="Y2112" s="14">
        <v>0.46200000000000002</v>
      </c>
      <c r="Z2112" s="14">
        <v>0.55800000000000005</v>
      </c>
      <c r="AA2112" s="14">
        <v>0.65</v>
      </c>
      <c r="AB2112" s="14">
        <v>0.74</v>
      </c>
      <c r="AC2112" s="14">
        <v>0.46200000000000002</v>
      </c>
      <c r="AD2112" s="14">
        <v>0.25800000000000001</v>
      </c>
      <c r="AE2112" s="14">
        <v>0.25800000000000001</v>
      </c>
      <c r="AF2112" s="14" t="s">
        <v>413</v>
      </c>
    </row>
    <row r="2113" spans="1:32" ht="14.25" customHeight="1" x14ac:dyDescent="0.35">
      <c r="A2113" s="16" t="s">
        <v>1527</v>
      </c>
      <c r="B2113" s="16" t="s">
        <v>441</v>
      </c>
      <c r="C2113" s="16"/>
      <c r="D2113" s="16" t="s">
        <v>512</v>
      </c>
      <c r="E2113" s="17">
        <v>41640</v>
      </c>
      <c r="F2113" s="17">
        <v>42004</v>
      </c>
      <c r="G2113" s="16" t="s">
        <v>415</v>
      </c>
      <c r="H2113" s="16">
        <v>0</v>
      </c>
      <c r="I2113" s="16">
        <v>0</v>
      </c>
      <c r="J2113" s="16">
        <v>0</v>
      </c>
      <c r="K2113" s="16">
        <v>0</v>
      </c>
      <c r="L2113" s="16">
        <v>0</v>
      </c>
      <c r="M2113" s="16">
        <v>0</v>
      </c>
      <c r="N2113" s="16">
        <v>0.14399999999999999</v>
      </c>
      <c r="O2113" s="16">
        <v>0.55800000000000005</v>
      </c>
      <c r="P2113" s="16">
        <v>0.55800000000000005</v>
      </c>
      <c r="Q2113" s="16">
        <v>0.46200000000000002</v>
      </c>
      <c r="R2113" s="16">
        <v>0.25800000000000001</v>
      </c>
      <c r="S2113" s="16">
        <v>0.46200000000000002</v>
      </c>
      <c r="T2113" s="16">
        <v>0.55800000000000005</v>
      </c>
      <c r="U2113" s="16">
        <v>0.55800000000000005</v>
      </c>
      <c r="V2113" s="16">
        <v>0.46200000000000002</v>
      </c>
      <c r="W2113" s="16">
        <v>0.36299999999999999</v>
      </c>
      <c r="X2113" s="16">
        <v>0.36299999999999999</v>
      </c>
      <c r="Y2113" s="16">
        <v>0.36299999999999999</v>
      </c>
      <c r="Z2113" s="16">
        <v>0.74</v>
      </c>
      <c r="AA2113" s="16">
        <v>0.91500000000000004</v>
      </c>
      <c r="AB2113" s="16">
        <v>0.74</v>
      </c>
      <c r="AC2113" s="16">
        <v>0.65</v>
      </c>
      <c r="AD2113" s="16">
        <v>0.55800000000000005</v>
      </c>
      <c r="AE2113" s="16">
        <v>0.36299999999999999</v>
      </c>
      <c r="AF2113" s="16" t="s">
        <v>413</v>
      </c>
    </row>
    <row r="2114" spans="1:32" ht="14.25" customHeight="1" x14ac:dyDescent="0.35">
      <c r="A2114" s="14" t="s">
        <v>1527</v>
      </c>
      <c r="B2114" s="14" t="s">
        <v>441</v>
      </c>
      <c r="C2114" s="14"/>
      <c r="D2114" s="14" t="s">
        <v>419</v>
      </c>
      <c r="E2114" s="15">
        <v>41640</v>
      </c>
      <c r="F2114" s="15">
        <v>42004</v>
      </c>
      <c r="G2114" s="14" t="s">
        <v>410</v>
      </c>
      <c r="H2114" s="14">
        <v>1</v>
      </c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 t="s">
        <v>413</v>
      </c>
    </row>
    <row r="2115" spans="1:32" ht="14.25" customHeight="1" x14ac:dyDescent="0.35">
      <c r="A2115" s="14" t="s">
        <v>1527</v>
      </c>
      <c r="B2115" s="14" t="s">
        <v>441</v>
      </c>
      <c r="C2115" s="14"/>
      <c r="D2115" s="14" t="s">
        <v>429</v>
      </c>
      <c r="E2115" s="15">
        <v>41640</v>
      </c>
      <c r="F2115" s="15">
        <v>42004</v>
      </c>
      <c r="G2115" s="14" t="s">
        <v>415</v>
      </c>
      <c r="H2115" s="14">
        <v>0</v>
      </c>
      <c r="I2115" s="14">
        <v>0</v>
      </c>
      <c r="J2115" s="14">
        <v>0</v>
      </c>
      <c r="K2115" s="14">
        <v>0</v>
      </c>
      <c r="L2115" s="14">
        <v>0</v>
      </c>
      <c r="M2115" s="14">
        <v>0</v>
      </c>
      <c r="N2115" s="14">
        <v>0.14399999999999999</v>
      </c>
      <c r="O2115" s="14">
        <v>0.46200000000000002</v>
      </c>
      <c r="P2115" s="14">
        <v>0.46200000000000002</v>
      </c>
      <c r="Q2115" s="14">
        <v>0.46200000000000002</v>
      </c>
      <c r="R2115" s="14">
        <v>0.25800000000000001</v>
      </c>
      <c r="S2115" s="14">
        <v>0.55800000000000005</v>
      </c>
      <c r="T2115" s="14">
        <v>0.82899999999999996</v>
      </c>
      <c r="U2115" s="14">
        <v>0.74</v>
      </c>
      <c r="V2115" s="14">
        <v>0.46200000000000002</v>
      </c>
      <c r="W2115" s="14">
        <v>0.25800000000000001</v>
      </c>
      <c r="X2115" s="14">
        <v>0.36299999999999999</v>
      </c>
      <c r="Y2115" s="14">
        <v>0.55800000000000005</v>
      </c>
      <c r="Z2115" s="14">
        <v>0.82899999999999996</v>
      </c>
      <c r="AA2115" s="14">
        <v>0.82899999999999996</v>
      </c>
      <c r="AB2115" s="14">
        <v>0.82899999999999996</v>
      </c>
      <c r="AC2115" s="14">
        <v>0.55800000000000005</v>
      </c>
      <c r="AD2115" s="14">
        <v>0.36299999999999999</v>
      </c>
      <c r="AE2115" s="14">
        <v>0.25800000000000001</v>
      </c>
      <c r="AF2115" s="14" t="s">
        <v>413</v>
      </c>
    </row>
    <row r="2116" spans="1:32" ht="14.25" customHeight="1" x14ac:dyDescent="0.35">
      <c r="A2116" s="16" t="s">
        <v>1527</v>
      </c>
      <c r="B2116" s="16" t="s">
        <v>441</v>
      </c>
      <c r="C2116" s="16"/>
      <c r="D2116" s="16" t="s">
        <v>418</v>
      </c>
      <c r="E2116" s="17">
        <v>41640</v>
      </c>
      <c r="F2116" s="17">
        <v>42004</v>
      </c>
      <c r="G2116" s="16" t="s">
        <v>410</v>
      </c>
      <c r="H2116" s="16">
        <v>0</v>
      </c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6"/>
      <c r="AF2116" s="16" t="s">
        <v>413</v>
      </c>
    </row>
    <row r="2117" spans="1:32" ht="14.25" customHeight="1" x14ac:dyDescent="0.35">
      <c r="A2117" s="16" t="s">
        <v>1528</v>
      </c>
      <c r="B2117" s="16" t="s">
        <v>408</v>
      </c>
      <c r="C2117" s="16"/>
      <c r="D2117" s="16" t="s">
        <v>409</v>
      </c>
      <c r="E2117" s="17">
        <v>41640</v>
      </c>
      <c r="F2117" s="17">
        <v>42004</v>
      </c>
      <c r="G2117" s="16" t="s">
        <v>410</v>
      </c>
      <c r="H2117" s="16">
        <v>4</v>
      </c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/>
      <c r="AC2117" s="16"/>
      <c r="AD2117" s="16"/>
      <c r="AE2117" s="16"/>
      <c r="AF2117" s="16" t="s">
        <v>413</v>
      </c>
    </row>
    <row r="2118" spans="1:32" ht="14.25" customHeight="1" x14ac:dyDescent="0.35">
      <c r="A2118" s="14" t="s">
        <v>1529</v>
      </c>
      <c r="B2118" s="14" t="s">
        <v>408</v>
      </c>
      <c r="C2118" s="14"/>
      <c r="D2118" s="14" t="s">
        <v>409</v>
      </c>
      <c r="E2118" s="15">
        <v>41640</v>
      </c>
      <c r="F2118" s="15">
        <v>42004</v>
      </c>
      <c r="G2118" s="14" t="s">
        <v>415</v>
      </c>
      <c r="H2118" s="14">
        <v>1</v>
      </c>
      <c r="I2118" s="14">
        <v>0.5</v>
      </c>
      <c r="J2118" s="14">
        <v>0.5</v>
      </c>
      <c r="K2118" s="14">
        <v>0.5</v>
      </c>
      <c r="L2118" s="14">
        <v>0.5</v>
      </c>
      <c r="M2118" s="14">
        <v>0.5</v>
      </c>
      <c r="N2118" s="14">
        <v>0.5</v>
      </c>
      <c r="O2118" s="14">
        <v>0.5</v>
      </c>
      <c r="P2118" s="14">
        <v>0.5</v>
      </c>
      <c r="Q2118" s="14">
        <v>1</v>
      </c>
      <c r="R2118" s="14">
        <v>1</v>
      </c>
      <c r="S2118" s="14">
        <v>1</v>
      </c>
      <c r="T2118" s="14">
        <v>1</v>
      </c>
      <c r="U2118" s="14">
        <v>1</v>
      </c>
      <c r="V2118" s="14">
        <v>1</v>
      </c>
      <c r="W2118" s="14">
        <v>1</v>
      </c>
      <c r="X2118" s="14">
        <v>1</v>
      </c>
      <c r="Y2118" s="14">
        <v>1</v>
      </c>
      <c r="Z2118" s="14">
        <v>1</v>
      </c>
      <c r="AA2118" s="14">
        <v>1</v>
      </c>
      <c r="AB2118" s="14">
        <v>1</v>
      </c>
      <c r="AC2118" s="14">
        <v>1</v>
      </c>
      <c r="AD2118" s="14">
        <v>1</v>
      </c>
      <c r="AE2118" s="14">
        <v>1</v>
      </c>
      <c r="AF2118" s="14" t="s">
        <v>413</v>
      </c>
    </row>
    <row r="2119" spans="1:32" ht="14.25" customHeight="1" x14ac:dyDescent="0.35">
      <c r="A2119" s="16" t="s">
        <v>1530</v>
      </c>
      <c r="B2119" s="16" t="s">
        <v>408</v>
      </c>
      <c r="C2119" s="16"/>
      <c r="D2119" s="16" t="s">
        <v>409</v>
      </c>
      <c r="E2119" s="17">
        <v>41640</v>
      </c>
      <c r="F2119" s="17">
        <v>42004</v>
      </c>
      <c r="G2119" s="16" t="s">
        <v>410</v>
      </c>
      <c r="H2119" s="16">
        <v>1</v>
      </c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 t="s">
        <v>413</v>
      </c>
    </row>
    <row r="2120" spans="1:32" ht="14.25" customHeight="1" x14ac:dyDescent="0.35">
      <c r="A2120" s="14" t="s">
        <v>1531</v>
      </c>
      <c r="B2120" s="14" t="s">
        <v>424</v>
      </c>
      <c r="C2120" s="14"/>
      <c r="D2120" s="14" t="s">
        <v>409</v>
      </c>
      <c r="E2120" s="15">
        <v>41640</v>
      </c>
      <c r="F2120" s="15">
        <v>42004</v>
      </c>
      <c r="G2120" s="14" t="s">
        <v>415</v>
      </c>
      <c r="H2120" s="14">
        <v>0</v>
      </c>
      <c r="I2120" s="14">
        <v>0</v>
      </c>
      <c r="J2120" s="14">
        <v>0</v>
      </c>
      <c r="K2120" s="14">
        <v>0</v>
      </c>
      <c r="L2120" s="14">
        <v>0</v>
      </c>
      <c r="M2120" s="14">
        <v>0</v>
      </c>
      <c r="N2120" s="14">
        <v>1</v>
      </c>
      <c r="O2120" s="14">
        <v>1</v>
      </c>
      <c r="P2120" s="14">
        <v>1</v>
      </c>
      <c r="Q2120" s="14">
        <v>1</v>
      </c>
      <c r="R2120" s="14">
        <v>1</v>
      </c>
      <c r="S2120" s="14">
        <v>1</v>
      </c>
      <c r="T2120" s="14">
        <v>1</v>
      </c>
      <c r="U2120" s="14">
        <v>1</v>
      </c>
      <c r="V2120" s="14">
        <v>1</v>
      </c>
      <c r="W2120" s="14">
        <v>1</v>
      </c>
      <c r="X2120" s="14">
        <v>1</v>
      </c>
      <c r="Y2120" s="14">
        <v>1</v>
      </c>
      <c r="Z2120" s="14">
        <v>1</v>
      </c>
      <c r="AA2120" s="14">
        <v>1</v>
      </c>
      <c r="AB2120" s="14">
        <v>1</v>
      </c>
      <c r="AC2120" s="14">
        <v>1</v>
      </c>
      <c r="AD2120" s="14">
        <v>1</v>
      </c>
      <c r="AE2120" s="14">
        <v>1</v>
      </c>
      <c r="AF2120" s="14" t="s">
        <v>413</v>
      </c>
    </row>
    <row r="2121" spans="1:32" ht="14.25" customHeight="1" x14ac:dyDescent="0.35">
      <c r="A2121" s="16" t="s">
        <v>1532</v>
      </c>
      <c r="B2121" s="16" t="s">
        <v>424</v>
      </c>
      <c r="C2121" s="16"/>
      <c r="D2121" s="16" t="s">
        <v>409</v>
      </c>
      <c r="E2121" s="17">
        <v>41640</v>
      </c>
      <c r="F2121" s="17">
        <v>42004</v>
      </c>
      <c r="G2121" s="16" t="s">
        <v>415</v>
      </c>
      <c r="H2121" s="16">
        <v>0.7</v>
      </c>
      <c r="I2121" s="16">
        <v>0.7</v>
      </c>
      <c r="J2121" s="16">
        <v>0.7</v>
      </c>
      <c r="K2121" s="16">
        <v>0.7</v>
      </c>
      <c r="L2121" s="16">
        <v>0.7</v>
      </c>
      <c r="M2121" s="16">
        <v>0.7</v>
      </c>
      <c r="N2121" s="16">
        <v>1</v>
      </c>
      <c r="O2121" s="16">
        <v>1</v>
      </c>
      <c r="P2121" s="16">
        <v>1</v>
      </c>
      <c r="Q2121" s="16">
        <v>1</v>
      </c>
      <c r="R2121" s="16">
        <v>1</v>
      </c>
      <c r="S2121" s="16">
        <v>1</v>
      </c>
      <c r="T2121" s="16">
        <v>1</v>
      </c>
      <c r="U2121" s="16">
        <v>1</v>
      </c>
      <c r="V2121" s="16">
        <v>1</v>
      </c>
      <c r="W2121" s="16">
        <v>1</v>
      </c>
      <c r="X2121" s="16">
        <v>1</v>
      </c>
      <c r="Y2121" s="16">
        <v>1</v>
      </c>
      <c r="Z2121" s="16">
        <v>1</v>
      </c>
      <c r="AA2121" s="16">
        <v>1</v>
      </c>
      <c r="AB2121" s="16">
        <v>1</v>
      </c>
      <c r="AC2121" s="16">
        <v>1</v>
      </c>
      <c r="AD2121" s="16">
        <v>1</v>
      </c>
      <c r="AE2121" s="16">
        <v>1</v>
      </c>
      <c r="AF2121" s="16" t="s">
        <v>413</v>
      </c>
    </row>
    <row r="2122" spans="1:32" ht="14.25" customHeight="1" x14ac:dyDescent="0.35">
      <c r="A2122" s="14" t="s">
        <v>1533</v>
      </c>
      <c r="B2122" s="14" t="s">
        <v>408</v>
      </c>
      <c r="C2122" s="14"/>
      <c r="D2122" s="14" t="s">
        <v>409</v>
      </c>
      <c r="E2122" s="15">
        <v>41640</v>
      </c>
      <c r="F2122" s="15">
        <v>42004</v>
      </c>
      <c r="G2122" s="14" t="s">
        <v>410</v>
      </c>
      <c r="H2122" s="14">
        <v>1</v>
      </c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 t="s">
        <v>413</v>
      </c>
    </row>
    <row r="2123" spans="1:32" ht="14.25" customHeight="1" x14ac:dyDescent="0.35">
      <c r="A2123" s="16" t="s">
        <v>326</v>
      </c>
      <c r="B2123" s="16" t="s">
        <v>427</v>
      </c>
      <c r="C2123" s="16"/>
      <c r="D2123" s="16" t="s">
        <v>821</v>
      </c>
      <c r="E2123" s="17">
        <v>41640</v>
      </c>
      <c r="F2123" s="17">
        <v>42004</v>
      </c>
      <c r="G2123" s="16" t="s">
        <v>415</v>
      </c>
      <c r="H2123" s="16">
        <v>0.03</v>
      </c>
      <c r="I2123" s="16">
        <v>0.02</v>
      </c>
      <c r="J2123" s="16">
        <v>0.03</v>
      </c>
      <c r="K2123" s="16">
        <v>0.02</v>
      </c>
      <c r="L2123" s="16">
        <v>0.05</v>
      </c>
      <c r="M2123" s="16">
        <v>0.12</v>
      </c>
      <c r="N2123" s="16">
        <v>0.13</v>
      </c>
      <c r="O2123" s="16">
        <v>0.15</v>
      </c>
      <c r="P2123" s="16">
        <v>0.18</v>
      </c>
      <c r="Q2123" s="16">
        <v>0.21</v>
      </c>
      <c r="R2123" s="16">
        <v>0.26</v>
      </c>
      <c r="S2123" s="16">
        <v>0.28999999999999998</v>
      </c>
      <c r="T2123" s="16">
        <v>0.27</v>
      </c>
      <c r="U2123" s="16">
        <v>0.25</v>
      </c>
      <c r="V2123" s="16">
        <v>0.23</v>
      </c>
      <c r="W2123" s="16">
        <v>0.23</v>
      </c>
      <c r="X2123" s="16">
        <v>0.26</v>
      </c>
      <c r="Y2123" s="16">
        <v>0.26</v>
      </c>
      <c r="Z2123" s="16">
        <v>0.24</v>
      </c>
      <c r="AA2123" s="16">
        <v>0.22</v>
      </c>
      <c r="AB2123" s="16">
        <v>0.2</v>
      </c>
      <c r="AC2123" s="16">
        <v>0.18</v>
      </c>
      <c r="AD2123" s="16">
        <v>0.09</v>
      </c>
      <c r="AE2123" s="16">
        <v>0.03</v>
      </c>
      <c r="AF2123" s="16" t="s">
        <v>413</v>
      </c>
    </row>
    <row r="2124" spans="1:32" ht="14.25" customHeight="1" x14ac:dyDescent="0.35">
      <c r="A2124" s="16" t="s">
        <v>326</v>
      </c>
      <c r="B2124" s="16" t="s">
        <v>427</v>
      </c>
      <c r="C2124" s="16"/>
      <c r="D2124" s="16" t="s">
        <v>419</v>
      </c>
      <c r="E2124" s="17">
        <v>41640</v>
      </c>
      <c r="F2124" s="17">
        <v>42004</v>
      </c>
      <c r="G2124" s="16" t="s">
        <v>410</v>
      </c>
      <c r="H2124" s="16">
        <v>0.28999999999999998</v>
      </c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  <c r="AA2124" s="16"/>
      <c r="AB2124" s="16"/>
      <c r="AC2124" s="16"/>
      <c r="AD2124" s="16"/>
      <c r="AE2124" s="16"/>
      <c r="AF2124" s="16" t="s">
        <v>413</v>
      </c>
    </row>
    <row r="2125" spans="1:32" ht="14.25" customHeight="1" x14ac:dyDescent="0.35">
      <c r="A2125" s="14" t="s">
        <v>326</v>
      </c>
      <c r="B2125" s="14" t="s">
        <v>427</v>
      </c>
      <c r="C2125" s="14"/>
      <c r="D2125" s="14" t="s">
        <v>418</v>
      </c>
      <c r="E2125" s="15">
        <v>41640</v>
      </c>
      <c r="F2125" s="15">
        <v>42004</v>
      </c>
      <c r="G2125" s="14" t="s">
        <v>410</v>
      </c>
      <c r="H2125" s="14">
        <v>0</v>
      </c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 t="s">
        <v>413</v>
      </c>
    </row>
    <row r="2126" spans="1:32" ht="14.25" customHeight="1" x14ac:dyDescent="0.35">
      <c r="A2126" s="14" t="s">
        <v>1534</v>
      </c>
      <c r="B2126" s="14" t="s">
        <v>600</v>
      </c>
      <c r="C2126" s="14"/>
      <c r="D2126" s="14" t="s">
        <v>1535</v>
      </c>
      <c r="E2126" s="15">
        <v>41640</v>
      </c>
      <c r="F2126" s="15">
        <v>42004</v>
      </c>
      <c r="G2126" s="14" t="s">
        <v>415</v>
      </c>
      <c r="H2126" s="14">
        <v>1</v>
      </c>
      <c r="I2126" s="14">
        <v>0</v>
      </c>
      <c r="J2126" s="14">
        <v>0</v>
      </c>
      <c r="K2126" s="14">
        <v>0</v>
      </c>
      <c r="L2126" s="14">
        <v>0</v>
      </c>
      <c r="M2126" s="14">
        <v>1</v>
      </c>
      <c r="N2126" s="14">
        <v>1</v>
      </c>
      <c r="O2126" s="14">
        <v>1</v>
      </c>
      <c r="P2126" s="14">
        <v>1</v>
      </c>
      <c r="Q2126" s="14">
        <v>1</v>
      </c>
      <c r="R2126" s="14">
        <v>1</v>
      </c>
      <c r="S2126" s="14">
        <v>1</v>
      </c>
      <c r="T2126" s="14">
        <v>1</v>
      </c>
      <c r="U2126" s="14">
        <v>1</v>
      </c>
      <c r="V2126" s="14">
        <v>1</v>
      </c>
      <c r="W2126" s="14">
        <v>1</v>
      </c>
      <c r="X2126" s="14">
        <v>1</v>
      </c>
      <c r="Y2126" s="14">
        <v>1</v>
      </c>
      <c r="Z2126" s="14">
        <v>1</v>
      </c>
      <c r="AA2126" s="14">
        <v>1</v>
      </c>
      <c r="AB2126" s="14">
        <v>1</v>
      </c>
      <c r="AC2126" s="14">
        <v>1</v>
      </c>
      <c r="AD2126" s="14">
        <v>1</v>
      </c>
      <c r="AE2126" s="14">
        <v>1</v>
      </c>
      <c r="AF2126" s="14" t="s">
        <v>413</v>
      </c>
    </row>
    <row r="2127" spans="1:32" ht="14.25" customHeight="1" x14ac:dyDescent="0.35">
      <c r="A2127" s="16" t="s">
        <v>1536</v>
      </c>
      <c r="B2127" s="16" t="s">
        <v>420</v>
      </c>
      <c r="C2127" s="16" t="s">
        <v>414</v>
      </c>
      <c r="D2127" s="16" t="s">
        <v>821</v>
      </c>
      <c r="E2127" s="17">
        <v>41640</v>
      </c>
      <c r="F2127" s="17">
        <v>42004</v>
      </c>
      <c r="G2127" s="16" t="s">
        <v>415</v>
      </c>
      <c r="H2127" s="16">
        <v>15.56</v>
      </c>
      <c r="I2127" s="16">
        <v>15.56</v>
      </c>
      <c r="J2127" s="16">
        <v>15.56</v>
      </c>
      <c r="K2127" s="16">
        <v>18.89</v>
      </c>
      <c r="L2127" s="16">
        <v>18.89</v>
      </c>
      <c r="M2127" s="16">
        <v>18.89</v>
      </c>
      <c r="N2127" s="16">
        <v>18.89</v>
      </c>
      <c r="O2127" s="16">
        <v>18.89</v>
      </c>
      <c r="P2127" s="16">
        <v>18.89</v>
      </c>
      <c r="Q2127" s="16">
        <v>18.89</v>
      </c>
      <c r="R2127" s="16">
        <v>18.89</v>
      </c>
      <c r="S2127" s="16">
        <v>18.89</v>
      </c>
      <c r="T2127" s="16">
        <v>18.89</v>
      </c>
      <c r="U2127" s="16">
        <v>18.89</v>
      </c>
      <c r="V2127" s="16">
        <v>18.89</v>
      </c>
      <c r="W2127" s="16">
        <v>18.89</v>
      </c>
      <c r="X2127" s="16">
        <v>18.89</v>
      </c>
      <c r="Y2127" s="16">
        <v>18.89</v>
      </c>
      <c r="Z2127" s="16">
        <v>18.89</v>
      </c>
      <c r="AA2127" s="16">
        <v>18.89</v>
      </c>
      <c r="AB2127" s="16">
        <v>18.89</v>
      </c>
      <c r="AC2127" s="16">
        <v>18.89</v>
      </c>
      <c r="AD2127" s="16">
        <v>18.89</v>
      </c>
      <c r="AE2127" s="16">
        <v>18.89</v>
      </c>
      <c r="AF2127" s="16" t="s">
        <v>413</v>
      </c>
    </row>
    <row r="2128" spans="1:32" ht="14.25" customHeight="1" x14ac:dyDescent="0.35">
      <c r="A2128" s="16" t="s">
        <v>1536</v>
      </c>
      <c r="B2128" s="16" t="s">
        <v>420</v>
      </c>
      <c r="C2128" s="16" t="s">
        <v>414</v>
      </c>
      <c r="D2128" s="16" t="s">
        <v>419</v>
      </c>
      <c r="E2128" s="17">
        <v>41640</v>
      </c>
      <c r="F2128" s="17">
        <v>42004</v>
      </c>
      <c r="G2128" s="16" t="s">
        <v>410</v>
      </c>
      <c r="H2128" s="16">
        <v>15.56</v>
      </c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6"/>
      <c r="AA2128" s="16"/>
      <c r="AB2128" s="16"/>
      <c r="AC2128" s="16"/>
      <c r="AD2128" s="16"/>
      <c r="AE2128" s="16"/>
      <c r="AF2128" s="16" t="s">
        <v>413</v>
      </c>
    </row>
    <row r="2129" spans="1:32" ht="14.25" customHeight="1" x14ac:dyDescent="0.35">
      <c r="A2129" s="14" t="s">
        <v>1536</v>
      </c>
      <c r="B2129" s="14" t="s">
        <v>420</v>
      </c>
      <c r="C2129" s="14" t="s">
        <v>414</v>
      </c>
      <c r="D2129" s="14" t="s">
        <v>418</v>
      </c>
      <c r="E2129" s="15">
        <v>41640</v>
      </c>
      <c r="F2129" s="15">
        <v>42004</v>
      </c>
      <c r="G2129" s="14" t="s">
        <v>415</v>
      </c>
      <c r="H2129" s="14">
        <v>15.56</v>
      </c>
      <c r="I2129" s="14">
        <v>15.56</v>
      </c>
      <c r="J2129" s="14">
        <v>15.56</v>
      </c>
      <c r="K2129" s="14">
        <v>15.56</v>
      </c>
      <c r="L2129" s="14">
        <v>15.56</v>
      </c>
      <c r="M2129" s="14">
        <v>17.22</v>
      </c>
      <c r="N2129" s="14">
        <v>18.89</v>
      </c>
      <c r="O2129" s="14">
        <v>18.89</v>
      </c>
      <c r="P2129" s="14">
        <v>18.89</v>
      </c>
      <c r="Q2129" s="14">
        <v>18.89</v>
      </c>
      <c r="R2129" s="14">
        <v>18.89</v>
      </c>
      <c r="S2129" s="14">
        <v>18.89</v>
      </c>
      <c r="T2129" s="14">
        <v>18.89</v>
      </c>
      <c r="U2129" s="14">
        <v>18.89</v>
      </c>
      <c r="V2129" s="14">
        <v>18.89</v>
      </c>
      <c r="W2129" s="14">
        <v>18.89</v>
      </c>
      <c r="X2129" s="14">
        <v>18.89</v>
      </c>
      <c r="Y2129" s="14">
        <v>18.89</v>
      </c>
      <c r="Z2129" s="14">
        <v>18.89</v>
      </c>
      <c r="AA2129" s="14">
        <v>18.89</v>
      </c>
      <c r="AB2129" s="14">
        <v>18.89</v>
      </c>
      <c r="AC2129" s="14">
        <v>18.89</v>
      </c>
      <c r="AD2129" s="14">
        <v>18.89</v>
      </c>
      <c r="AE2129" s="14">
        <v>18.89</v>
      </c>
      <c r="AF2129" s="14" t="s">
        <v>413</v>
      </c>
    </row>
    <row r="2130" spans="1:32" ht="14.25" customHeight="1" x14ac:dyDescent="0.35">
      <c r="A2130" s="14" t="s">
        <v>1537</v>
      </c>
      <c r="B2130" s="14" t="s">
        <v>420</v>
      </c>
      <c r="C2130" s="14" t="s">
        <v>414</v>
      </c>
      <c r="D2130" s="14" t="s">
        <v>821</v>
      </c>
      <c r="E2130" s="15">
        <v>41640</v>
      </c>
      <c r="F2130" s="15">
        <v>42004</v>
      </c>
      <c r="G2130" s="14" t="s">
        <v>415</v>
      </c>
      <c r="H2130" s="14">
        <v>15.56</v>
      </c>
      <c r="I2130" s="14">
        <v>15.56</v>
      </c>
      <c r="J2130" s="14">
        <v>15.56</v>
      </c>
      <c r="K2130" s="14">
        <v>16.7</v>
      </c>
      <c r="L2130" s="14">
        <v>17.8</v>
      </c>
      <c r="M2130" s="14">
        <v>18.89</v>
      </c>
      <c r="N2130" s="14">
        <v>18.89</v>
      </c>
      <c r="O2130" s="14">
        <v>18.89</v>
      </c>
      <c r="P2130" s="14">
        <v>18.89</v>
      </c>
      <c r="Q2130" s="14">
        <v>18.89</v>
      </c>
      <c r="R2130" s="14">
        <v>18.89</v>
      </c>
      <c r="S2130" s="14">
        <v>18.89</v>
      </c>
      <c r="T2130" s="14">
        <v>18.89</v>
      </c>
      <c r="U2130" s="14">
        <v>18.89</v>
      </c>
      <c r="V2130" s="14">
        <v>18.89</v>
      </c>
      <c r="W2130" s="14">
        <v>18.89</v>
      </c>
      <c r="X2130" s="14">
        <v>18.89</v>
      </c>
      <c r="Y2130" s="14">
        <v>18.89</v>
      </c>
      <c r="Z2130" s="14">
        <v>18.89</v>
      </c>
      <c r="AA2130" s="14">
        <v>18.89</v>
      </c>
      <c r="AB2130" s="14">
        <v>18.89</v>
      </c>
      <c r="AC2130" s="14">
        <v>18.89</v>
      </c>
      <c r="AD2130" s="14">
        <v>18.89</v>
      </c>
      <c r="AE2130" s="14">
        <v>18.89</v>
      </c>
      <c r="AF2130" s="14" t="s">
        <v>413</v>
      </c>
    </row>
    <row r="2131" spans="1:32" ht="14.25" customHeight="1" x14ac:dyDescent="0.35">
      <c r="A2131" s="14" t="s">
        <v>1537</v>
      </c>
      <c r="B2131" s="14" t="s">
        <v>420</v>
      </c>
      <c r="C2131" s="14" t="s">
        <v>414</v>
      </c>
      <c r="D2131" s="14" t="s">
        <v>419</v>
      </c>
      <c r="E2131" s="15">
        <v>41640</v>
      </c>
      <c r="F2131" s="15">
        <v>42004</v>
      </c>
      <c r="G2131" s="14" t="s">
        <v>410</v>
      </c>
      <c r="H2131" s="14">
        <v>15.56</v>
      </c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 t="s">
        <v>413</v>
      </c>
    </row>
    <row r="2132" spans="1:32" ht="14.25" customHeight="1" x14ac:dyDescent="0.35">
      <c r="A2132" s="16" t="s">
        <v>1537</v>
      </c>
      <c r="B2132" s="16" t="s">
        <v>420</v>
      </c>
      <c r="C2132" s="16" t="s">
        <v>414</v>
      </c>
      <c r="D2132" s="16" t="s">
        <v>418</v>
      </c>
      <c r="E2132" s="17">
        <v>41640</v>
      </c>
      <c r="F2132" s="17">
        <v>42004</v>
      </c>
      <c r="G2132" s="16" t="s">
        <v>415</v>
      </c>
      <c r="H2132" s="16">
        <v>15.56</v>
      </c>
      <c r="I2132" s="16">
        <v>15.56</v>
      </c>
      <c r="J2132" s="16">
        <v>15.56</v>
      </c>
      <c r="K2132" s="16">
        <v>15.56</v>
      </c>
      <c r="L2132" s="16">
        <v>15.56</v>
      </c>
      <c r="M2132" s="16">
        <v>17.22</v>
      </c>
      <c r="N2132" s="16">
        <v>18.89</v>
      </c>
      <c r="O2132" s="16">
        <v>18.89</v>
      </c>
      <c r="P2132" s="16">
        <v>18.89</v>
      </c>
      <c r="Q2132" s="16">
        <v>18.89</v>
      </c>
      <c r="R2132" s="16">
        <v>18.89</v>
      </c>
      <c r="S2132" s="16">
        <v>18.89</v>
      </c>
      <c r="T2132" s="16">
        <v>18.89</v>
      </c>
      <c r="U2132" s="16">
        <v>18.89</v>
      </c>
      <c r="V2132" s="16">
        <v>18.89</v>
      </c>
      <c r="W2132" s="16">
        <v>18.89</v>
      </c>
      <c r="X2132" s="16">
        <v>18.89</v>
      </c>
      <c r="Y2132" s="16">
        <v>18.89</v>
      </c>
      <c r="Z2132" s="16">
        <v>18.89</v>
      </c>
      <c r="AA2132" s="16">
        <v>18.89</v>
      </c>
      <c r="AB2132" s="16">
        <v>18.89</v>
      </c>
      <c r="AC2132" s="16">
        <v>18.89</v>
      </c>
      <c r="AD2132" s="16">
        <v>18.89</v>
      </c>
      <c r="AE2132" s="16">
        <v>18.89</v>
      </c>
      <c r="AF2132" s="16" t="s">
        <v>413</v>
      </c>
    </row>
    <row r="2133" spans="1:32" ht="14.25" customHeight="1" x14ac:dyDescent="0.35">
      <c r="A2133" s="16" t="s">
        <v>1538</v>
      </c>
      <c r="B2133" s="16" t="s">
        <v>420</v>
      </c>
      <c r="C2133" s="16" t="s">
        <v>414</v>
      </c>
      <c r="D2133" s="16" t="s">
        <v>821</v>
      </c>
      <c r="E2133" s="17">
        <v>41640</v>
      </c>
      <c r="F2133" s="17">
        <v>42004</v>
      </c>
      <c r="G2133" s="16" t="s">
        <v>415</v>
      </c>
      <c r="H2133" s="16">
        <v>15.56</v>
      </c>
      <c r="I2133" s="16">
        <v>15.56</v>
      </c>
      <c r="J2133" s="16">
        <v>15.56</v>
      </c>
      <c r="K2133" s="16">
        <v>21.11</v>
      </c>
      <c r="L2133" s="16">
        <v>21.11</v>
      </c>
      <c r="M2133" s="16">
        <v>21.11</v>
      </c>
      <c r="N2133" s="16">
        <v>21.11</v>
      </c>
      <c r="O2133" s="16">
        <v>21.11</v>
      </c>
      <c r="P2133" s="16">
        <v>21.11</v>
      </c>
      <c r="Q2133" s="16">
        <v>21.11</v>
      </c>
      <c r="R2133" s="16">
        <v>21.11</v>
      </c>
      <c r="S2133" s="16">
        <v>21.11</v>
      </c>
      <c r="T2133" s="16">
        <v>21.11</v>
      </c>
      <c r="U2133" s="16">
        <v>21.11</v>
      </c>
      <c r="V2133" s="16">
        <v>21.11</v>
      </c>
      <c r="W2133" s="16">
        <v>21.11</v>
      </c>
      <c r="X2133" s="16">
        <v>21.11</v>
      </c>
      <c r="Y2133" s="16">
        <v>21.11</v>
      </c>
      <c r="Z2133" s="16">
        <v>21.11</v>
      </c>
      <c r="AA2133" s="16">
        <v>21.11</v>
      </c>
      <c r="AB2133" s="16">
        <v>21.11</v>
      </c>
      <c r="AC2133" s="16">
        <v>21.11</v>
      </c>
      <c r="AD2133" s="16">
        <v>21.11</v>
      </c>
      <c r="AE2133" s="16">
        <v>21.11</v>
      </c>
      <c r="AF2133" s="16" t="s">
        <v>413</v>
      </c>
    </row>
    <row r="2134" spans="1:32" ht="14.25" customHeight="1" x14ac:dyDescent="0.35">
      <c r="A2134" s="16" t="s">
        <v>1538</v>
      </c>
      <c r="B2134" s="16" t="s">
        <v>420</v>
      </c>
      <c r="C2134" s="16" t="s">
        <v>414</v>
      </c>
      <c r="D2134" s="16" t="s">
        <v>419</v>
      </c>
      <c r="E2134" s="17">
        <v>41640</v>
      </c>
      <c r="F2134" s="17">
        <v>42004</v>
      </c>
      <c r="G2134" s="16" t="s">
        <v>410</v>
      </c>
      <c r="H2134" s="16">
        <v>15.56</v>
      </c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  <c r="AB2134" s="16"/>
      <c r="AC2134" s="16"/>
      <c r="AD2134" s="16"/>
      <c r="AE2134" s="16"/>
      <c r="AF2134" s="16" t="s">
        <v>413</v>
      </c>
    </row>
    <row r="2135" spans="1:32" ht="14.25" customHeight="1" x14ac:dyDescent="0.35">
      <c r="A2135" s="14" t="s">
        <v>1538</v>
      </c>
      <c r="B2135" s="14" t="s">
        <v>420</v>
      </c>
      <c r="C2135" s="14" t="s">
        <v>414</v>
      </c>
      <c r="D2135" s="14" t="s">
        <v>418</v>
      </c>
      <c r="E2135" s="15">
        <v>41640</v>
      </c>
      <c r="F2135" s="15">
        <v>42004</v>
      </c>
      <c r="G2135" s="14" t="s">
        <v>415</v>
      </c>
      <c r="H2135" s="14">
        <v>15.56</v>
      </c>
      <c r="I2135" s="14">
        <v>15.56</v>
      </c>
      <c r="J2135" s="14">
        <v>15.56</v>
      </c>
      <c r="K2135" s="14">
        <v>15.56</v>
      </c>
      <c r="L2135" s="14">
        <v>15.56</v>
      </c>
      <c r="M2135" s="14">
        <v>18.329999999999998</v>
      </c>
      <c r="N2135" s="14">
        <v>21.11</v>
      </c>
      <c r="O2135" s="14">
        <v>21.11</v>
      </c>
      <c r="P2135" s="14">
        <v>21.11</v>
      </c>
      <c r="Q2135" s="14">
        <v>21.11</v>
      </c>
      <c r="R2135" s="14">
        <v>21.11</v>
      </c>
      <c r="S2135" s="14">
        <v>21.11</v>
      </c>
      <c r="T2135" s="14">
        <v>21.11</v>
      </c>
      <c r="U2135" s="14">
        <v>21.11</v>
      </c>
      <c r="V2135" s="14">
        <v>21.11</v>
      </c>
      <c r="W2135" s="14">
        <v>21.11</v>
      </c>
      <c r="X2135" s="14">
        <v>21.11</v>
      </c>
      <c r="Y2135" s="14">
        <v>21.11</v>
      </c>
      <c r="Z2135" s="14">
        <v>21.11</v>
      </c>
      <c r="AA2135" s="14">
        <v>21.11</v>
      </c>
      <c r="AB2135" s="14">
        <v>21.11</v>
      </c>
      <c r="AC2135" s="14">
        <v>21.11</v>
      </c>
      <c r="AD2135" s="14">
        <v>21.11</v>
      </c>
      <c r="AE2135" s="14">
        <v>21.11</v>
      </c>
      <c r="AF2135" s="14" t="s">
        <v>413</v>
      </c>
    </row>
    <row r="2136" spans="1:32" ht="14.25" customHeight="1" x14ac:dyDescent="0.35">
      <c r="A2136" s="14" t="s">
        <v>1539</v>
      </c>
      <c r="B2136" s="14" t="s">
        <v>420</v>
      </c>
      <c r="C2136" s="14" t="s">
        <v>414</v>
      </c>
      <c r="D2136" s="14" t="s">
        <v>821</v>
      </c>
      <c r="E2136" s="15">
        <v>41640</v>
      </c>
      <c r="F2136" s="15">
        <v>42004</v>
      </c>
      <c r="G2136" s="14" t="s">
        <v>415</v>
      </c>
      <c r="H2136" s="14">
        <v>15.56</v>
      </c>
      <c r="I2136" s="14">
        <v>15.56</v>
      </c>
      <c r="J2136" s="14">
        <v>15.56</v>
      </c>
      <c r="K2136" s="14">
        <v>17.8</v>
      </c>
      <c r="L2136" s="14">
        <v>20</v>
      </c>
      <c r="M2136" s="14">
        <v>21.11</v>
      </c>
      <c r="N2136" s="14">
        <v>21.11</v>
      </c>
      <c r="O2136" s="14">
        <v>21.11</v>
      </c>
      <c r="P2136" s="14">
        <v>21.11</v>
      </c>
      <c r="Q2136" s="14">
        <v>21.11</v>
      </c>
      <c r="R2136" s="14">
        <v>21.11</v>
      </c>
      <c r="S2136" s="14">
        <v>21.11</v>
      </c>
      <c r="T2136" s="14">
        <v>21.11</v>
      </c>
      <c r="U2136" s="14">
        <v>21.11</v>
      </c>
      <c r="V2136" s="14">
        <v>21.11</v>
      </c>
      <c r="W2136" s="14">
        <v>21.11</v>
      </c>
      <c r="X2136" s="14">
        <v>21.11</v>
      </c>
      <c r="Y2136" s="14">
        <v>21.11</v>
      </c>
      <c r="Z2136" s="14">
        <v>21.11</v>
      </c>
      <c r="AA2136" s="14">
        <v>21.11</v>
      </c>
      <c r="AB2136" s="14">
        <v>21.11</v>
      </c>
      <c r="AC2136" s="14">
        <v>21.11</v>
      </c>
      <c r="AD2136" s="14">
        <v>21.11</v>
      </c>
      <c r="AE2136" s="14">
        <v>21.11</v>
      </c>
      <c r="AF2136" s="14" t="s">
        <v>413</v>
      </c>
    </row>
    <row r="2137" spans="1:32" ht="14.25" customHeight="1" x14ac:dyDescent="0.35">
      <c r="A2137" s="14" t="s">
        <v>1539</v>
      </c>
      <c r="B2137" s="14" t="s">
        <v>420</v>
      </c>
      <c r="C2137" s="14" t="s">
        <v>414</v>
      </c>
      <c r="D2137" s="14" t="s">
        <v>419</v>
      </c>
      <c r="E2137" s="15">
        <v>41640</v>
      </c>
      <c r="F2137" s="15">
        <v>42004</v>
      </c>
      <c r="G2137" s="14" t="s">
        <v>410</v>
      </c>
      <c r="H2137" s="14">
        <v>15.56</v>
      </c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 t="s">
        <v>413</v>
      </c>
    </row>
    <row r="2138" spans="1:32" ht="14.25" customHeight="1" x14ac:dyDescent="0.35">
      <c r="A2138" s="16" t="s">
        <v>1539</v>
      </c>
      <c r="B2138" s="16" t="s">
        <v>420</v>
      </c>
      <c r="C2138" s="16" t="s">
        <v>414</v>
      </c>
      <c r="D2138" s="16" t="s">
        <v>418</v>
      </c>
      <c r="E2138" s="17">
        <v>41640</v>
      </c>
      <c r="F2138" s="17">
        <v>42004</v>
      </c>
      <c r="G2138" s="16" t="s">
        <v>415</v>
      </c>
      <c r="H2138" s="16">
        <v>15.56</v>
      </c>
      <c r="I2138" s="16">
        <v>15.56</v>
      </c>
      <c r="J2138" s="16">
        <v>15.56</v>
      </c>
      <c r="K2138" s="16">
        <v>15.56</v>
      </c>
      <c r="L2138" s="16">
        <v>15.56</v>
      </c>
      <c r="M2138" s="16">
        <v>18.329999999999998</v>
      </c>
      <c r="N2138" s="16">
        <v>21.11</v>
      </c>
      <c r="O2138" s="16">
        <v>21.11</v>
      </c>
      <c r="P2138" s="16">
        <v>21.11</v>
      </c>
      <c r="Q2138" s="16">
        <v>21.11</v>
      </c>
      <c r="R2138" s="16">
        <v>21.11</v>
      </c>
      <c r="S2138" s="16">
        <v>21.11</v>
      </c>
      <c r="T2138" s="16">
        <v>21.11</v>
      </c>
      <c r="U2138" s="16">
        <v>21.11</v>
      </c>
      <c r="V2138" s="16">
        <v>21.11</v>
      </c>
      <c r="W2138" s="16">
        <v>21.11</v>
      </c>
      <c r="X2138" s="16">
        <v>21.11</v>
      </c>
      <c r="Y2138" s="16">
        <v>21.11</v>
      </c>
      <c r="Z2138" s="16">
        <v>21.11</v>
      </c>
      <c r="AA2138" s="16">
        <v>21.11</v>
      </c>
      <c r="AB2138" s="16">
        <v>21.11</v>
      </c>
      <c r="AC2138" s="16">
        <v>21.11</v>
      </c>
      <c r="AD2138" s="16">
        <v>21.11</v>
      </c>
      <c r="AE2138" s="16">
        <v>21.11</v>
      </c>
      <c r="AF2138" s="16" t="s">
        <v>413</v>
      </c>
    </row>
    <row r="2139" spans="1:32" ht="14.25" customHeight="1" x14ac:dyDescent="0.35">
      <c r="A2139" s="16" t="s">
        <v>1540</v>
      </c>
      <c r="B2139" s="16" t="s">
        <v>600</v>
      </c>
      <c r="C2139" s="16"/>
      <c r="D2139" s="16" t="s">
        <v>1535</v>
      </c>
      <c r="E2139" s="17">
        <v>41640</v>
      </c>
      <c r="F2139" s="17">
        <v>42004</v>
      </c>
      <c r="G2139" s="16" t="s">
        <v>415</v>
      </c>
      <c r="H2139" s="16">
        <v>1</v>
      </c>
      <c r="I2139" s="16">
        <v>0</v>
      </c>
      <c r="J2139" s="16">
        <v>0</v>
      </c>
      <c r="K2139" s="16">
        <v>0</v>
      </c>
      <c r="L2139" s="16">
        <v>0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  <c r="R2139" s="16">
        <v>1</v>
      </c>
      <c r="S2139" s="16">
        <v>1</v>
      </c>
      <c r="T2139" s="16">
        <v>1</v>
      </c>
      <c r="U2139" s="16">
        <v>1</v>
      </c>
      <c r="V2139" s="16">
        <v>1</v>
      </c>
      <c r="W2139" s="16">
        <v>1</v>
      </c>
      <c r="X2139" s="16">
        <v>1</v>
      </c>
      <c r="Y2139" s="16">
        <v>1</v>
      </c>
      <c r="Z2139" s="16">
        <v>1</v>
      </c>
      <c r="AA2139" s="16">
        <v>1</v>
      </c>
      <c r="AB2139" s="16">
        <v>1</v>
      </c>
      <c r="AC2139" s="16">
        <v>1</v>
      </c>
      <c r="AD2139" s="16">
        <v>1</v>
      </c>
      <c r="AE2139" s="16">
        <v>1</v>
      </c>
      <c r="AF2139" s="16" t="s">
        <v>413</v>
      </c>
    </row>
    <row r="2140" spans="1:32" ht="14.25" customHeight="1" x14ac:dyDescent="0.35">
      <c r="A2140" s="14" t="s">
        <v>1541</v>
      </c>
      <c r="B2140" s="14" t="s">
        <v>441</v>
      </c>
      <c r="C2140" s="14"/>
      <c r="D2140" s="14" t="s">
        <v>603</v>
      </c>
      <c r="E2140" s="15">
        <v>41640</v>
      </c>
      <c r="F2140" s="15">
        <v>42004</v>
      </c>
      <c r="G2140" s="14" t="s">
        <v>415</v>
      </c>
      <c r="H2140" s="14">
        <v>0.25</v>
      </c>
      <c r="I2140" s="14">
        <v>1</v>
      </c>
      <c r="J2140" s="14">
        <v>1</v>
      </c>
      <c r="K2140" s="14">
        <v>1</v>
      </c>
      <c r="L2140" s="14">
        <v>1</v>
      </c>
      <c r="M2140" s="14">
        <v>0.25</v>
      </c>
      <c r="N2140" s="14">
        <v>0.25</v>
      </c>
      <c r="O2140" s="14">
        <v>0.25</v>
      </c>
      <c r="P2140" s="14">
        <v>0.25</v>
      </c>
      <c r="Q2140" s="14">
        <v>0.25</v>
      </c>
      <c r="R2140" s="14">
        <v>0.25</v>
      </c>
      <c r="S2140" s="14">
        <v>0.25</v>
      </c>
      <c r="T2140" s="14">
        <v>0.25</v>
      </c>
      <c r="U2140" s="14">
        <v>0.25</v>
      </c>
      <c r="V2140" s="14">
        <v>0.25</v>
      </c>
      <c r="W2140" s="14">
        <v>0.25</v>
      </c>
      <c r="X2140" s="14">
        <v>0.25</v>
      </c>
      <c r="Y2140" s="14">
        <v>0.25</v>
      </c>
      <c r="Z2140" s="14">
        <v>0.25</v>
      </c>
      <c r="AA2140" s="14">
        <v>0.25</v>
      </c>
      <c r="AB2140" s="14">
        <v>0.25</v>
      </c>
      <c r="AC2140" s="14">
        <v>0.25</v>
      </c>
      <c r="AD2140" s="14">
        <v>0.25</v>
      </c>
      <c r="AE2140" s="14">
        <v>0.25</v>
      </c>
      <c r="AF2140" s="14" t="s">
        <v>413</v>
      </c>
    </row>
    <row r="2141" spans="1:32" ht="14.25" customHeight="1" x14ac:dyDescent="0.35">
      <c r="A2141" s="16" t="s">
        <v>1542</v>
      </c>
      <c r="B2141" s="16" t="s">
        <v>427</v>
      </c>
      <c r="C2141" s="16"/>
      <c r="D2141" s="16" t="s">
        <v>1535</v>
      </c>
      <c r="E2141" s="17">
        <v>41640</v>
      </c>
      <c r="F2141" s="17">
        <v>42004</v>
      </c>
      <c r="G2141" s="16" t="s">
        <v>415</v>
      </c>
      <c r="H2141" s="16">
        <v>0.53051147038679902</v>
      </c>
      <c r="I2141" s="16">
        <v>0</v>
      </c>
      <c r="J2141" s="16">
        <v>0</v>
      </c>
      <c r="K2141" s="16">
        <v>0</v>
      </c>
      <c r="L2141" s="16">
        <v>0</v>
      </c>
      <c r="M2141" s="16">
        <v>0.53051147038679902</v>
      </c>
      <c r="N2141" s="16">
        <v>0.53051147038679902</v>
      </c>
      <c r="O2141" s="16">
        <v>0.53051147038679902</v>
      </c>
      <c r="P2141" s="16">
        <v>0.53051147038679902</v>
      </c>
      <c r="Q2141" s="16">
        <v>0.53051147038679902</v>
      </c>
      <c r="R2141" s="16">
        <v>0.53051147038679902</v>
      </c>
      <c r="S2141" s="16">
        <v>0.53051147038679902</v>
      </c>
      <c r="T2141" s="16">
        <v>0.53051147038679902</v>
      </c>
      <c r="U2141" s="16">
        <v>0.53051147038679902</v>
      </c>
      <c r="V2141" s="16">
        <v>0.53051147038679902</v>
      </c>
      <c r="W2141" s="16">
        <v>0.53051147038679902</v>
      </c>
      <c r="X2141" s="16">
        <v>0.53051147038679902</v>
      </c>
      <c r="Y2141" s="16">
        <v>0.53051147038679902</v>
      </c>
      <c r="Z2141" s="16">
        <v>0.53051147038679902</v>
      </c>
      <c r="AA2141" s="16">
        <v>0.53051147038679902</v>
      </c>
      <c r="AB2141" s="16">
        <v>0.53051147038679902</v>
      </c>
      <c r="AC2141" s="16">
        <v>0.53051147038679902</v>
      </c>
      <c r="AD2141" s="16">
        <v>0.53051147038679902</v>
      </c>
      <c r="AE2141" s="16">
        <v>0.53051147038679902</v>
      </c>
      <c r="AF2141" s="16" t="s">
        <v>413</v>
      </c>
    </row>
    <row r="2142" spans="1:32" ht="14.25" customHeight="1" x14ac:dyDescent="0.35">
      <c r="A2142" s="16" t="s">
        <v>1543</v>
      </c>
      <c r="B2142" s="16" t="s">
        <v>427</v>
      </c>
      <c r="C2142" s="16"/>
      <c r="D2142" s="16" t="s">
        <v>1535</v>
      </c>
      <c r="E2142" s="17">
        <v>41640</v>
      </c>
      <c r="F2142" s="17">
        <v>42004</v>
      </c>
      <c r="G2142" s="16" t="s">
        <v>415</v>
      </c>
      <c r="H2142" s="16">
        <v>0.53051147038679902</v>
      </c>
      <c r="I2142" s="16">
        <v>0</v>
      </c>
      <c r="J2142" s="16">
        <v>0</v>
      </c>
      <c r="K2142" s="16">
        <v>0</v>
      </c>
      <c r="L2142" s="16">
        <v>0</v>
      </c>
      <c r="M2142" s="16">
        <v>0.53051147038679902</v>
      </c>
      <c r="N2142" s="16">
        <v>0.53051147038679902</v>
      </c>
      <c r="O2142" s="16">
        <v>0.53051147038679902</v>
      </c>
      <c r="P2142" s="16">
        <v>0.53051147038679902</v>
      </c>
      <c r="Q2142" s="16">
        <v>0.53051147038679902</v>
      </c>
      <c r="R2142" s="16">
        <v>0.53051147038679902</v>
      </c>
      <c r="S2142" s="16">
        <v>0.53051147038679902</v>
      </c>
      <c r="T2142" s="16">
        <v>0.53051147038679902</v>
      </c>
      <c r="U2142" s="16">
        <v>0.53051147038679902</v>
      </c>
      <c r="V2142" s="16">
        <v>0.53051147038679902</v>
      </c>
      <c r="W2142" s="16">
        <v>0.53051147038679902</v>
      </c>
      <c r="X2142" s="16">
        <v>0.53051147038679902</v>
      </c>
      <c r="Y2142" s="16">
        <v>0.53051147038679902</v>
      </c>
      <c r="Z2142" s="16">
        <v>0.53051147038679902</v>
      </c>
      <c r="AA2142" s="16">
        <v>0.53051147038679902</v>
      </c>
      <c r="AB2142" s="16">
        <v>0.53051147038679902</v>
      </c>
      <c r="AC2142" s="16">
        <v>0.53051147038679902</v>
      </c>
      <c r="AD2142" s="16">
        <v>0.53051147038679902</v>
      </c>
      <c r="AE2142" s="16">
        <v>0.53051147038679902</v>
      </c>
      <c r="AF2142" s="16" t="s">
        <v>413</v>
      </c>
    </row>
    <row r="2143" spans="1:32" ht="14.25" customHeight="1" x14ac:dyDescent="0.35">
      <c r="A2143" s="14" t="s">
        <v>1544</v>
      </c>
      <c r="B2143" s="14" t="s">
        <v>427</v>
      </c>
      <c r="C2143" s="14" t="s">
        <v>414</v>
      </c>
      <c r="D2143" s="14" t="s">
        <v>409</v>
      </c>
      <c r="E2143" s="15">
        <v>41640</v>
      </c>
      <c r="F2143" s="15">
        <v>42004</v>
      </c>
      <c r="G2143" s="14" t="s">
        <v>410</v>
      </c>
      <c r="H2143" s="14">
        <v>55</v>
      </c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 t="s">
        <v>413</v>
      </c>
    </row>
    <row r="2144" spans="1:32" ht="14.25" customHeight="1" x14ac:dyDescent="0.35">
      <c r="A2144" s="16" t="s">
        <v>1545</v>
      </c>
      <c r="B2144" s="16" t="s">
        <v>427</v>
      </c>
      <c r="C2144" s="16"/>
      <c r="D2144" s="16" t="s">
        <v>409</v>
      </c>
      <c r="E2144" s="17">
        <v>41640</v>
      </c>
      <c r="F2144" s="17">
        <v>42004</v>
      </c>
      <c r="G2144" s="16" t="s">
        <v>410</v>
      </c>
      <c r="H2144" s="16">
        <v>0.05</v>
      </c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16"/>
      <c r="AA2144" s="16"/>
      <c r="AB2144" s="16"/>
      <c r="AC2144" s="16"/>
      <c r="AD2144" s="16"/>
      <c r="AE2144" s="16"/>
      <c r="AF2144" s="16" t="s">
        <v>413</v>
      </c>
    </row>
    <row r="2145" spans="1:32" ht="14.25" customHeight="1" x14ac:dyDescent="0.35">
      <c r="A2145" s="14" t="s">
        <v>1546</v>
      </c>
      <c r="B2145" s="14" t="s">
        <v>427</v>
      </c>
      <c r="C2145" s="14"/>
      <c r="D2145" s="14" t="s">
        <v>409</v>
      </c>
      <c r="E2145" s="15">
        <v>41640</v>
      </c>
      <c r="F2145" s="15">
        <v>42004</v>
      </c>
      <c r="G2145" s="14" t="s">
        <v>410</v>
      </c>
      <c r="H2145" s="14">
        <v>0.2</v>
      </c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 t="s">
        <v>413</v>
      </c>
    </row>
    <row r="2146" spans="1:32" ht="14.25" customHeight="1" x14ac:dyDescent="0.35">
      <c r="A2146" s="16" t="s">
        <v>1547</v>
      </c>
      <c r="B2146" s="16" t="s">
        <v>427</v>
      </c>
      <c r="C2146" s="16" t="s">
        <v>414</v>
      </c>
      <c r="D2146" s="16" t="s">
        <v>409</v>
      </c>
      <c r="E2146" s="17">
        <v>41640</v>
      </c>
      <c r="F2146" s="17">
        <v>42004</v>
      </c>
      <c r="G2146" s="16" t="s">
        <v>410</v>
      </c>
      <c r="H2146" s="16">
        <v>60</v>
      </c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  <c r="AA2146" s="16"/>
      <c r="AB2146" s="16"/>
      <c r="AC2146" s="16"/>
      <c r="AD2146" s="16"/>
      <c r="AE2146" s="16"/>
      <c r="AF2146" s="16" t="s">
        <v>413</v>
      </c>
    </row>
    <row r="2147" spans="1:32" ht="14.25" customHeight="1" x14ac:dyDescent="0.35">
      <c r="A2147" s="14" t="s">
        <v>1548</v>
      </c>
      <c r="B2147" s="14" t="s">
        <v>427</v>
      </c>
      <c r="C2147" s="14" t="s">
        <v>412</v>
      </c>
      <c r="D2147" s="14" t="s">
        <v>417</v>
      </c>
      <c r="E2147" s="15">
        <v>41640</v>
      </c>
      <c r="F2147" s="15">
        <v>42004</v>
      </c>
      <c r="G2147" s="14" t="s">
        <v>415</v>
      </c>
      <c r="H2147" s="14">
        <v>0</v>
      </c>
      <c r="I2147" s="14">
        <v>0</v>
      </c>
      <c r="J2147" s="14">
        <v>0</v>
      </c>
      <c r="K2147" s="14">
        <v>0</v>
      </c>
      <c r="L2147" s="14">
        <v>725</v>
      </c>
      <c r="M2147" s="14">
        <v>417</v>
      </c>
      <c r="N2147" s="14">
        <v>290</v>
      </c>
      <c r="O2147" s="14">
        <v>0</v>
      </c>
      <c r="P2147" s="14">
        <v>0</v>
      </c>
      <c r="Q2147" s="14">
        <v>0</v>
      </c>
      <c r="R2147" s="14">
        <v>0</v>
      </c>
      <c r="S2147" s="14">
        <v>0</v>
      </c>
      <c r="T2147" s="14">
        <v>0</v>
      </c>
      <c r="U2147" s="14">
        <v>0</v>
      </c>
      <c r="V2147" s="14">
        <v>0</v>
      </c>
      <c r="W2147" s="14">
        <v>0</v>
      </c>
      <c r="X2147" s="14">
        <v>0</v>
      </c>
      <c r="Y2147" s="14">
        <v>0</v>
      </c>
      <c r="Z2147" s="14">
        <v>0</v>
      </c>
      <c r="AA2147" s="14">
        <v>0</v>
      </c>
      <c r="AB2147" s="14">
        <v>0</v>
      </c>
      <c r="AC2147" s="14">
        <v>0</v>
      </c>
      <c r="AD2147" s="14">
        <v>0</v>
      </c>
      <c r="AE2147" s="14">
        <v>0</v>
      </c>
      <c r="AF2147" s="14" t="s">
        <v>413</v>
      </c>
    </row>
    <row r="2148" spans="1:32" ht="14.25" customHeight="1" x14ac:dyDescent="0.35">
      <c r="A2148" s="16" t="s">
        <v>1548</v>
      </c>
      <c r="B2148" s="16" t="s">
        <v>427</v>
      </c>
      <c r="C2148" s="16" t="s">
        <v>412</v>
      </c>
      <c r="D2148" s="16" t="s">
        <v>622</v>
      </c>
      <c r="E2148" s="17">
        <v>41640</v>
      </c>
      <c r="F2148" s="17">
        <v>42004</v>
      </c>
      <c r="G2148" s="16" t="s">
        <v>415</v>
      </c>
      <c r="H2148" s="16">
        <v>0</v>
      </c>
      <c r="I2148" s="16">
        <v>0</v>
      </c>
      <c r="J2148" s="16">
        <v>0</v>
      </c>
      <c r="K2148" s="16">
        <v>0</v>
      </c>
      <c r="L2148" s="16">
        <v>125</v>
      </c>
      <c r="M2148" s="16">
        <v>117</v>
      </c>
      <c r="N2148" s="16">
        <v>90</v>
      </c>
      <c r="O2148" s="16">
        <v>0</v>
      </c>
      <c r="P2148" s="16">
        <v>0</v>
      </c>
      <c r="Q2148" s="16">
        <v>0</v>
      </c>
      <c r="R2148" s="16">
        <v>0</v>
      </c>
      <c r="S2148" s="16">
        <v>0</v>
      </c>
      <c r="T2148" s="16">
        <v>0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125</v>
      </c>
      <c r="AB2148" s="16">
        <v>117</v>
      </c>
      <c r="AC2148" s="16">
        <v>90</v>
      </c>
      <c r="AD2148" s="16">
        <v>0</v>
      </c>
      <c r="AE2148" s="16">
        <v>0</v>
      </c>
      <c r="AF2148" s="16" t="s">
        <v>413</v>
      </c>
    </row>
    <row r="2149" spans="1:32" ht="14.25" customHeight="1" x14ac:dyDescent="0.35">
      <c r="A2149" s="14" t="s">
        <v>1549</v>
      </c>
      <c r="B2149" s="14" t="s">
        <v>427</v>
      </c>
      <c r="C2149" s="14" t="s">
        <v>412</v>
      </c>
      <c r="D2149" s="14" t="s">
        <v>409</v>
      </c>
      <c r="E2149" s="15">
        <v>41640</v>
      </c>
      <c r="F2149" s="15">
        <v>42004</v>
      </c>
      <c r="G2149" s="14" t="s">
        <v>415</v>
      </c>
      <c r="H2149" s="14">
        <v>0</v>
      </c>
      <c r="I2149" s="14">
        <v>0</v>
      </c>
      <c r="J2149" s="14">
        <v>0</v>
      </c>
      <c r="K2149" s="14">
        <v>0</v>
      </c>
      <c r="L2149" s="14">
        <v>0</v>
      </c>
      <c r="M2149" s="14">
        <v>0</v>
      </c>
      <c r="N2149" s="14">
        <v>50</v>
      </c>
      <c r="O2149" s="14">
        <v>70</v>
      </c>
      <c r="P2149" s="14">
        <v>70</v>
      </c>
      <c r="Q2149" s="14">
        <v>80</v>
      </c>
      <c r="R2149" s="14">
        <v>70</v>
      </c>
      <c r="S2149" s="14">
        <v>50</v>
      </c>
      <c r="T2149" s="14">
        <v>50</v>
      </c>
      <c r="U2149" s="14">
        <v>80</v>
      </c>
      <c r="V2149" s="14">
        <v>90</v>
      </c>
      <c r="W2149" s="14">
        <v>80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  <c r="AC2149" s="14">
        <v>0</v>
      </c>
      <c r="AD2149" s="14">
        <v>0</v>
      </c>
      <c r="AE2149" s="14">
        <v>0</v>
      </c>
      <c r="AF2149" s="14" t="s">
        <v>413</v>
      </c>
    </row>
    <row r="2150" spans="1:32" ht="14.25" customHeight="1" x14ac:dyDescent="0.35">
      <c r="A2150" s="16" t="s">
        <v>1550</v>
      </c>
      <c r="B2150" s="16" t="s">
        <v>427</v>
      </c>
      <c r="C2150" s="16"/>
      <c r="D2150" s="16" t="s">
        <v>1535</v>
      </c>
      <c r="E2150" s="17">
        <v>41640</v>
      </c>
      <c r="F2150" s="17">
        <v>42004</v>
      </c>
      <c r="G2150" s="16" t="s">
        <v>415</v>
      </c>
      <c r="H2150" s="16">
        <v>1</v>
      </c>
      <c r="I2150" s="16">
        <v>0</v>
      </c>
      <c r="J2150" s="16">
        <v>0</v>
      </c>
      <c r="K2150" s="16">
        <v>0</v>
      </c>
      <c r="L2150" s="16">
        <v>0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  <c r="R2150" s="16">
        <v>1</v>
      </c>
      <c r="S2150" s="16">
        <v>1</v>
      </c>
      <c r="T2150" s="16">
        <v>1</v>
      </c>
      <c r="U2150" s="16">
        <v>1</v>
      </c>
      <c r="V2150" s="16">
        <v>1</v>
      </c>
      <c r="W2150" s="16">
        <v>1</v>
      </c>
      <c r="X2150" s="16">
        <v>1</v>
      </c>
      <c r="Y2150" s="16">
        <v>1</v>
      </c>
      <c r="Z2150" s="16">
        <v>1</v>
      </c>
      <c r="AA2150" s="16">
        <v>1</v>
      </c>
      <c r="AB2150" s="16">
        <v>1</v>
      </c>
      <c r="AC2150" s="16">
        <v>1</v>
      </c>
      <c r="AD2150" s="16">
        <v>1</v>
      </c>
      <c r="AE2150" s="16">
        <v>1</v>
      </c>
      <c r="AF2150" s="16" t="s">
        <v>413</v>
      </c>
    </row>
    <row r="2151" spans="1:32" ht="14.25" customHeight="1" x14ac:dyDescent="0.35">
      <c r="A2151" s="14" t="s">
        <v>1551</v>
      </c>
      <c r="B2151" s="14" t="s">
        <v>550</v>
      </c>
      <c r="C2151" s="14"/>
      <c r="D2151" s="14" t="s">
        <v>1552</v>
      </c>
      <c r="E2151" s="15">
        <v>41640</v>
      </c>
      <c r="F2151" s="15">
        <v>42004</v>
      </c>
      <c r="G2151" s="14" t="s">
        <v>415</v>
      </c>
      <c r="H2151" s="14">
        <v>0</v>
      </c>
      <c r="I2151" s="14">
        <v>0</v>
      </c>
      <c r="J2151" s="14">
        <v>0</v>
      </c>
      <c r="K2151" s="14">
        <v>0</v>
      </c>
      <c r="L2151" s="14">
        <v>0</v>
      </c>
      <c r="M2151" s="14">
        <v>0</v>
      </c>
      <c r="N2151" s="14">
        <v>1</v>
      </c>
      <c r="O2151" s="14">
        <v>1</v>
      </c>
      <c r="P2151" s="14">
        <v>1</v>
      </c>
      <c r="Q2151" s="14">
        <v>1</v>
      </c>
      <c r="R2151" s="14">
        <v>1</v>
      </c>
      <c r="S2151" s="14">
        <v>1</v>
      </c>
      <c r="T2151" s="14">
        <v>1</v>
      </c>
      <c r="U2151" s="14">
        <v>1</v>
      </c>
      <c r="V2151" s="14">
        <v>1</v>
      </c>
      <c r="W2151" s="14">
        <v>1</v>
      </c>
      <c r="X2151" s="14">
        <v>1</v>
      </c>
      <c r="Y2151" s="14">
        <v>1</v>
      </c>
      <c r="Z2151" s="14">
        <v>1</v>
      </c>
      <c r="AA2151" s="14">
        <v>1</v>
      </c>
      <c r="AB2151" s="14">
        <v>1</v>
      </c>
      <c r="AC2151" s="14">
        <v>1</v>
      </c>
      <c r="AD2151" s="14">
        <v>1</v>
      </c>
      <c r="AE2151" s="14">
        <v>1</v>
      </c>
      <c r="AF2151" s="14" t="s">
        <v>413</v>
      </c>
    </row>
    <row r="2152" spans="1:32" ht="14.25" customHeight="1" x14ac:dyDescent="0.35">
      <c r="A2152" s="16" t="s">
        <v>1551</v>
      </c>
      <c r="B2152" s="16" t="s">
        <v>550</v>
      </c>
      <c r="C2152" s="16"/>
      <c r="D2152" s="16" t="s">
        <v>418</v>
      </c>
      <c r="E2152" s="17">
        <v>41640</v>
      </c>
      <c r="F2152" s="17">
        <v>42004</v>
      </c>
      <c r="G2152" s="16" t="s">
        <v>410</v>
      </c>
      <c r="H2152" s="16">
        <v>1</v>
      </c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  <c r="AA2152" s="16"/>
      <c r="AB2152" s="16"/>
      <c r="AC2152" s="16"/>
      <c r="AD2152" s="16"/>
      <c r="AE2152" s="16"/>
      <c r="AF2152" s="16" t="s">
        <v>413</v>
      </c>
    </row>
    <row r="2153" spans="1:32" ht="14.25" customHeight="1" x14ac:dyDescent="0.35">
      <c r="A2153" s="14" t="s">
        <v>1553</v>
      </c>
      <c r="B2153" s="14" t="s">
        <v>550</v>
      </c>
      <c r="C2153" s="14"/>
      <c r="D2153" s="14" t="s">
        <v>1535</v>
      </c>
      <c r="E2153" s="15">
        <v>41640</v>
      </c>
      <c r="F2153" s="15">
        <v>42004</v>
      </c>
      <c r="G2153" s="14" t="s">
        <v>415</v>
      </c>
      <c r="H2153" s="14">
        <v>1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1</v>
      </c>
      <c r="O2153" s="14">
        <v>1</v>
      </c>
      <c r="P2153" s="14">
        <v>1</v>
      </c>
      <c r="Q2153" s="14">
        <v>1</v>
      </c>
      <c r="R2153" s="14">
        <v>1</v>
      </c>
      <c r="S2153" s="14">
        <v>1</v>
      </c>
      <c r="T2153" s="14">
        <v>1</v>
      </c>
      <c r="U2153" s="14">
        <v>1</v>
      </c>
      <c r="V2153" s="14">
        <v>1</v>
      </c>
      <c r="W2153" s="14">
        <v>1</v>
      </c>
      <c r="X2153" s="14">
        <v>1</v>
      </c>
      <c r="Y2153" s="14">
        <v>1</v>
      </c>
      <c r="Z2153" s="14">
        <v>1</v>
      </c>
      <c r="AA2153" s="14">
        <v>1</v>
      </c>
      <c r="AB2153" s="14">
        <v>1</v>
      </c>
      <c r="AC2153" s="14">
        <v>1</v>
      </c>
      <c r="AD2153" s="14">
        <v>1</v>
      </c>
      <c r="AE2153" s="14">
        <v>1</v>
      </c>
      <c r="AF2153" s="14" t="s">
        <v>413</v>
      </c>
    </row>
    <row r="2154" spans="1:32" ht="14.25" customHeight="1" x14ac:dyDescent="0.35">
      <c r="A2154" s="16" t="s">
        <v>1554</v>
      </c>
      <c r="B2154" s="16" t="s">
        <v>550</v>
      </c>
      <c r="C2154" s="16"/>
      <c r="D2154" s="16" t="s">
        <v>409</v>
      </c>
      <c r="E2154" s="17">
        <v>41640</v>
      </c>
      <c r="F2154" s="17">
        <v>42004</v>
      </c>
      <c r="G2154" s="16" t="s">
        <v>410</v>
      </c>
      <c r="H2154" s="16">
        <v>1</v>
      </c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6"/>
      <c r="AA2154" s="16"/>
      <c r="AB2154" s="16"/>
      <c r="AC2154" s="16"/>
      <c r="AD2154" s="16"/>
      <c r="AE2154" s="16"/>
      <c r="AF2154" s="16" t="s">
        <v>413</v>
      </c>
    </row>
    <row r="2155" spans="1:32" ht="14.25" customHeight="1" x14ac:dyDescent="0.35">
      <c r="A2155" s="14" t="s">
        <v>1555</v>
      </c>
      <c r="B2155" s="14" t="s">
        <v>408</v>
      </c>
      <c r="C2155" s="14"/>
      <c r="D2155" s="14" t="s">
        <v>409</v>
      </c>
      <c r="E2155" s="15">
        <v>41640</v>
      </c>
      <c r="F2155" s="15">
        <v>42004</v>
      </c>
      <c r="G2155" s="14" t="s">
        <v>410</v>
      </c>
      <c r="H2155" s="14">
        <v>1</v>
      </c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 t="s">
        <v>413</v>
      </c>
    </row>
    <row r="2156" spans="1:32" ht="14.25" customHeight="1" x14ac:dyDescent="0.35">
      <c r="A2156" s="16" t="s">
        <v>1556</v>
      </c>
      <c r="B2156" s="16" t="s">
        <v>408</v>
      </c>
      <c r="C2156" s="16" t="s">
        <v>412</v>
      </c>
      <c r="D2156" s="16" t="s">
        <v>409</v>
      </c>
      <c r="E2156" s="17">
        <v>41640</v>
      </c>
      <c r="F2156" s="17">
        <v>42004</v>
      </c>
      <c r="G2156" s="16" t="s">
        <v>410</v>
      </c>
      <c r="H2156" s="16">
        <v>0</v>
      </c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 t="s">
        <v>413</v>
      </c>
    </row>
    <row r="2157" spans="1:32" ht="14.25" customHeight="1" x14ac:dyDescent="0.35">
      <c r="A2157" s="14" t="s">
        <v>1557</v>
      </c>
      <c r="B2157" s="14" t="s">
        <v>460</v>
      </c>
      <c r="C2157" s="14" t="s">
        <v>414</v>
      </c>
      <c r="D2157" s="14" t="s">
        <v>409</v>
      </c>
      <c r="E2157" s="15">
        <v>41640</v>
      </c>
      <c r="F2157" s="15">
        <v>42004</v>
      </c>
      <c r="G2157" s="14" t="s">
        <v>410</v>
      </c>
      <c r="H2157" s="14">
        <v>22</v>
      </c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 t="s">
        <v>413</v>
      </c>
    </row>
    <row r="2158" spans="1:32" ht="14.25" customHeight="1" x14ac:dyDescent="0.35">
      <c r="A2158" s="16" t="s">
        <v>1558</v>
      </c>
      <c r="B2158" s="16" t="s">
        <v>460</v>
      </c>
      <c r="C2158" s="16" t="s">
        <v>414</v>
      </c>
      <c r="D2158" s="16" t="s">
        <v>409</v>
      </c>
      <c r="E2158" s="17">
        <v>41640</v>
      </c>
      <c r="F2158" s="17">
        <v>42004</v>
      </c>
      <c r="G2158" s="16" t="s">
        <v>410</v>
      </c>
      <c r="H2158" s="16">
        <v>60</v>
      </c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/>
      <c r="AB2158" s="16"/>
      <c r="AC2158" s="16"/>
      <c r="AD2158" s="16"/>
      <c r="AE2158" s="16"/>
      <c r="AF2158" s="16" t="s">
        <v>413</v>
      </c>
    </row>
    <row r="2159" spans="1:32" ht="14.25" customHeight="1" x14ac:dyDescent="0.35">
      <c r="A2159" s="14" t="s">
        <v>1559</v>
      </c>
      <c r="B2159" s="14" t="s">
        <v>460</v>
      </c>
      <c r="C2159" s="14" t="s">
        <v>414</v>
      </c>
      <c r="D2159" s="14" t="s">
        <v>409</v>
      </c>
      <c r="E2159" s="15">
        <v>41640</v>
      </c>
      <c r="F2159" s="15">
        <v>42004</v>
      </c>
      <c r="G2159" s="14" t="s">
        <v>410</v>
      </c>
      <c r="H2159" s="14">
        <v>60</v>
      </c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 t="s">
        <v>413</v>
      </c>
    </row>
    <row r="2160" spans="1:32" ht="14.25" customHeight="1" x14ac:dyDescent="0.35">
      <c r="A2160" s="16" t="s">
        <v>1560</v>
      </c>
      <c r="B2160" s="16" t="s">
        <v>441</v>
      </c>
      <c r="C2160" s="16"/>
      <c r="D2160" s="16" t="s">
        <v>417</v>
      </c>
      <c r="E2160" s="17">
        <v>41640</v>
      </c>
      <c r="F2160" s="17">
        <v>42004</v>
      </c>
      <c r="G2160" s="16" t="s">
        <v>415</v>
      </c>
      <c r="H2160" s="16">
        <v>0</v>
      </c>
      <c r="I2160" s="16">
        <v>0</v>
      </c>
      <c r="J2160" s="16">
        <v>0</v>
      </c>
      <c r="K2160" s="16">
        <v>0</v>
      </c>
      <c r="L2160" s="16">
        <v>0</v>
      </c>
      <c r="M2160" s="16">
        <v>0</v>
      </c>
      <c r="N2160" s="16">
        <v>0.13100000000000001</v>
      </c>
      <c r="O2160" s="16">
        <v>0.54200000000000004</v>
      </c>
      <c r="P2160" s="16">
        <v>0.54200000000000004</v>
      </c>
      <c r="Q2160" s="16">
        <v>0.24099999999999999</v>
      </c>
      <c r="R2160" s="16">
        <v>0.24099999999999999</v>
      </c>
      <c r="S2160" s="16">
        <v>0.34499999999999997</v>
      </c>
      <c r="T2160" s="16">
        <v>0.54200000000000004</v>
      </c>
      <c r="U2160" s="16">
        <v>0.54200000000000004</v>
      </c>
      <c r="V2160" s="16">
        <v>0.34499999999999997</v>
      </c>
      <c r="W2160" s="16">
        <v>0.24099999999999999</v>
      </c>
      <c r="X2160" s="16">
        <v>0.34499999999999997</v>
      </c>
      <c r="Y2160" s="16">
        <v>0.44500000000000001</v>
      </c>
      <c r="Z2160" s="16">
        <v>0.54200000000000004</v>
      </c>
      <c r="AA2160" s="16">
        <v>0.63700000000000001</v>
      </c>
      <c r="AB2160" s="16">
        <v>0.73</v>
      </c>
      <c r="AC2160" s="16">
        <v>0.44500000000000001</v>
      </c>
      <c r="AD2160" s="16">
        <v>0.24099999999999999</v>
      </c>
      <c r="AE2160" s="16">
        <v>0.24099999999999999</v>
      </c>
      <c r="AF2160" s="16" t="s">
        <v>413</v>
      </c>
    </row>
    <row r="2161" spans="1:32" ht="14.25" customHeight="1" x14ac:dyDescent="0.35">
      <c r="A2161" s="14" t="s">
        <v>1560</v>
      </c>
      <c r="B2161" s="14" t="s">
        <v>441</v>
      </c>
      <c r="C2161" s="14"/>
      <c r="D2161" s="14" t="s">
        <v>512</v>
      </c>
      <c r="E2161" s="15">
        <v>41640</v>
      </c>
      <c r="F2161" s="15">
        <v>42004</v>
      </c>
      <c r="G2161" s="14" t="s">
        <v>415</v>
      </c>
      <c r="H2161" s="14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0.13100000000000001</v>
      </c>
      <c r="O2161" s="14">
        <v>0.54200000000000004</v>
      </c>
      <c r="P2161" s="14">
        <v>0.54200000000000004</v>
      </c>
      <c r="Q2161" s="14">
        <v>0.44500000000000001</v>
      </c>
      <c r="R2161" s="14">
        <v>0.24099999999999999</v>
      </c>
      <c r="S2161" s="14">
        <v>0.44500000000000001</v>
      </c>
      <c r="T2161" s="14">
        <v>0.54200000000000004</v>
      </c>
      <c r="U2161" s="14">
        <v>0.54200000000000004</v>
      </c>
      <c r="V2161" s="14">
        <v>0.44500000000000001</v>
      </c>
      <c r="W2161" s="14">
        <v>0.34499999999999997</v>
      </c>
      <c r="X2161" s="14">
        <v>0.34499999999999997</v>
      </c>
      <c r="Y2161" s="14">
        <v>0.34499999999999997</v>
      </c>
      <c r="Z2161" s="14">
        <v>0.73</v>
      </c>
      <c r="AA2161" s="14">
        <v>0.91100000000000003</v>
      </c>
      <c r="AB2161" s="14">
        <v>0.73</v>
      </c>
      <c r="AC2161" s="14">
        <v>0.63700000000000001</v>
      </c>
      <c r="AD2161" s="14">
        <v>0.54200000000000004</v>
      </c>
      <c r="AE2161" s="14">
        <v>0.34499999999999997</v>
      </c>
      <c r="AF2161" s="14" t="s">
        <v>413</v>
      </c>
    </row>
    <row r="2162" spans="1:32" ht="14.25" customHeight="1" x14ac:dyDescent="0.35">
      <c r="A2162" s="16" t="s">
        <v>1560</v>
      </c>
      <c r="B2162" s="16" t="s">
        <v>441</v>
      </c>
      <c r="C2162" s="16"/>
      <c r="D2162" s="16" t="s">
        <v>419</v>
      </c>
      <c r="E2162" s="17">
        <v>41640</v>
      </c>
      <c r="F2162" s="17">
        <v>42004</v>
      </c>
      <c r="G2162" s="16" t="s">
        <v>410</v>
      </c>
      <c r="H2162" s="16">
        <v>1</v>
      </c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  <c r="AA2162" s="16"/>
      <c r="AB2162" s="16"/>
      <c r="AC2162" s="16"/>
      <c r="AD2162" s="16"/>
      <c r="AE2162" s="16"/>
      <c r="AF2162" s="16" t="s">
        <v>413</v>
      </c>
    </row>
    <row r="2163" spans="1:32" ht="14.25" customHeight="1" x14ac:dyDescent="0.35">
      <c r="A2163" s="16" t="s">
        <v>1560</v>
      </c>
      <c r="B2163" s="16" t="s">
        <v>441</v>
      </c>
      <c r="C2163" s="16"/>
      <c r="D2163" s="16" t="s">
        <v>429</v>
      </c>
      <c r="E2163" s="17">
        <v>41640</v>
      </c>
      <c r="F2163" s="17">
        <v>42004</v>
      </c>
      <c r="G2163" s="16" t="s">
        <v>415</v>
      </c>
      <c r="H2163" s="16">
        <v>0</v>
      </c>
      <c r="I2163" s="16">
        <v>0</v>
      </c>
      <c r="J2163" s="16">
        <v>0</v>
      </c>
      <c r="K2163" s="16">
        <v>0</v>
      </c>
      <c r="L2163" s="16">
        <v>0</v>
      </c>
      <c r="M2163" s="16">
        <v>0</v>
      </c>
      <c r="N2163" s="16">
        <v>0.13100000000000001</v>
      </c>
      <c r="O2163" s="16">
        <v>0.44500000000000001</v>
      </c>
      <c r="P2163" s="16">
        <v>0.44500000000000001</v>
      </c>
      <c r="Q2163" s="16">
        <v>0.44500000000000001</v>
      </c>
      <c r="R2163" s="16">
        <v>0.24099999999999999</v>
      </c>
      <c r="S2163" s="16">
        <v>0.54200000000000004</v>
      </c>
      <c r="T2163" s="16">
        <v>0.82099999999999995</v>
      </c>
      <c r="U2163" s="16">
        <v>0.73</v>
      </c>
      <c r="V2163" s="16">
        <v>0.44500000000000001</v>
      </c>
      <c r="W2163" s="16">
        <v>0.24099999999999999</v>
      </c>
      <c r="X2163" s="16">
        <v>0.34499999999999997</v>
      </c>
      <c r="Y2163" s="16">
        <v>0.54200000000000004</v>
      </c>
      <c r="Z2163" s="16">
        <v>0.82099999999999995</v>
      </c>
      <c r="AA2163" s="16">
        <v>0.82099999999999995</v>
      </c>
      <c r="AB2163" s="16">
        <v>0.82099999999999995</v>
      </c>
      <c r="AC2163" s="16">
        <v>0.54200000000000004</v>
      </c>
      <c r="AD2163" s="16">
        <v>0.34499999999999997</v>
      </c>
      <c r="AE2163" s="16">
        <v>0.24099999999999999</v>
      </c>
      <c r="AF2163" s="16" t="s">
        <v>413</v>
      </c>
    </row>
    <row r="2164" spans="1:32" ht="14.25" customHeight="1" x14ac:dyDescent="0.35">
      <c r="A2164" s="14" t="s">
        <v>1560</v>
      </c>
      <c r="B2164" s="14" t="s">
        <v>441</v>
      </c>
      <c r="C2164" s="14"/>
      <c r="D2164" s="14" t="s">
        <v>418</v>
      </c>
      <c r="E2164" s="15">
        <v>41640</v>
      </c>
      <c r="F2164" s="15">
        <v>42004</v>
      </c>
      <c r="G2164" s="14" t="s">
        <v>410</v>
      </c>
      <c r="H2164" s="14">
        <v>0</v>
      </c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 t="s">
        <v>413</v>
      </c>
    </row>
    <row r="2165" spans="1:32" ht="14.25" customHeight="1" x14ac:dyDescent="0.35">
      <c r="A2165" s="16" t="s">
        <v>1561</v>
      </c>
      <c r="B2165" s="16" t="s">
        <v>448</v>
      </c>
      <c r="C2165" s="16"/>
      <c r="D2165" s="24" t="s">
        <v>417</v>
      </c>
      <c r="E2165" s="17">
        <v>41640</v>
      </c>
      <c r="F2165" s="17">
        <v>42004</v>
      </c>
      <c r="G2165" s="16" t="s">
        <v>415</v>
      </c>
      <c r="H2165" s="16">
        <v>0.2</v>
      </c>
      <c r="I2165" s="16">
        <v>0.15</v>
      </c>
      <c r="J2165" s="16">
        <v>0.15</v>
      </c>
      <c r="K2165" s="16">
        <v>0.15</v>
      </c>
      <c r="L2165" s="16">
        <v>0.15</v>
      </c>
      <c r="M2165" s="16">
        <v>0.15</v>
      </c>
      <c r="N2165" s="16">
        <v>0.156</v>
      </c>
      <c r="O2165" s="16">
        <v>0.156</v>
      </c>
      <c r="P2165" s="16">
        <v>0.26</v>
      </c>
      <c r="Q2165" s="16">
        <v>0.26</v>
      </c>
      <c r="R2165" s="16">
        <v>0.36399999999999999</v>
      </c>
      <c r="S2165" s="16">
        <v>0.36399999999999999</v>
      </c>
      <c r="T2165" s="16">
        <v>0.36399999999999999</v>
      </c>
      <c r="U2165" s="16">
        <v>0.36399999999999999</v>
      </c>
      <c r="V2165" s="16">
        <v>0.36399999999999999</v>
      </c>
      <c r="W2165" s="16">
        <v>0.36399999999999999</v>
      </c>
      <c r="X2165" s="16">
        <v>0.312</v>
      </c>
      <c r="Y2165" s="16">
        <v>0.312</v>
      </c>
      <c r="Z2165" s="16">
        <v>0.312</v>
      </c>
      <c r="AA2165" s="16">
        <v>0.312</v>
      </c>
      <c r="AB2165" s="16">
        <v>0.312</v>
      </c>
      <c r="AC2165" s="16">
        <v>0.312</v>
      </c>
      <c r="AD2165" s="16">
        <v>0.26</v>
      </c>
      <c r="AE2165" s="16">
        <v>0.156</v>
      </c>
      <c r="AF2165" s="16" t="s">
        <v>413</v>
      </c>
    </row>
    <row r="2166" spans="1:32" ht="14.25" customHeight="1" x14ac:dyDescent="0.35">
      <c r="A2166" s="14" t="s">
        <v>1561</v>
      </c>
      <c r="B2166" s="14" t="s">
        <v>448</v>
      </c>
      <c r="C2166" s="14"/>
      <c r="D2166" s="14" t="s">
        <v>512</v>
      </c>
      <c r="E2166" s="15">
        <v>41640</v>
      </c>
      <c r="F2166" s="15">
        <v>42004</v>
      </c>
      <c r="G2166" s="14" t="s">
        <v>415</v>
      </c>
      <c r="H2166" s="14">
        <v>0.2</v>
      </c>
      <c r="I2166" s="14">
        <v>0.15</v>
      </c>
      <c r="J2166" s="14">
        <v>0.15</v>
      </c>
      <c r="K2166" s="14">
        <v>0.15</v>
      </c>
      <c r="L2166" s="14">
        <v>0.15</v>
      </c>
      <c r="M2166" s="14">
        <v>0.15</v>
      </c>
      <c r="N2166" s="14">
        <v>0.156</v>
      </c>
      <c r="O2166" s="14">
        <v>0.156</v>
      </c>
      <c r="P2166" s="14">
        <v>0.312</v>
      </c>
      <c r="Q2166" s="14">
        <v>0.312</v>
      </c>
      <c r="R2166" s="14">
        <v>0.41599999999999998</v>
      </c>
      <c r="S2166" s="14">
        <v>0.41599999999999998</v>
      </c>
      <c r="T2166" s="14">
        <v>0.41599999999999998</v>
      </c>
      <c r="U2166" s="14">
        <v>0.41599999999999998</v>
      </c>
      <c r="V2166" s="14">
        <v>0.41599999999999998</v>
      </c>
      <c r="W2166" s="14">
        <v>0.41599999999999998</v>
      </c>
      <c r="X2166" s="14">
        <v>0.41599999999999998</v>
      </c>
      <c r="Y2166" s="14">
        <v>0.46800000000000003</v>
      </c>
      <c r="Z2166" s="14">
        <v>0.46800000000000003</v>
      </c>
      <c r="AA2166" s="14">
        <v>0.46800000000000003</v>
      </c>
      <c r="AB2166" s="14">
        <v>0.46800000000000003</v>
      </c>
      <c r="AC2166" s="14">
        <v>0.46800000000000003</v>
      </c>
      <c r="AD2166" s="14">
        <v>0.26</v>
      </c>
      <c r="AE2166" s="14">
        <v>0.156</v>
      </c>
      <c r="AF2166" s="14" t="s">
        <v>413</v>
      </c>
    </row>
    <row r="2167" spans="1:32" ht="14.25" customHeight="1" x14ac:dyDescent="0.35">
      <c r="A2167" s="14" t="s">
        <v>1561</v>
      </c>
      <c r="B2167" s="14" t="s">
        <v>448</v>
      </c>
      <c r="C2167" s="14"/>
      <c r="D2167" s="14" t="s">
        <v>419</v>
      </c>
      <c r="E2167" s="15">
        <v>41640</v>
      </c>
      <c r="F2167" s="15">
        <v>42004</v>
      </c>
      <c r="G2167" s="14" t="s">
        <v>410</v>
      </c>
      <c r="H2167" s="14">
        <v>1</v>
      </c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 t="s">
        <v>413</v>
      </c>
    </row>
    <row r="2168" spans="1:32" ht="14.25" customHeight="1" x14ac:dyDescent="0.35">
      <c r="A2168" s="16" t="s">
        <v>1561</v>
      </c>
      <c r="B2168" s="16" t="s">
        <v>448</v>
      </c>
      <c r="C2168" s="16"/>
      <c r="D2168" s="24" t="s">
        <v>429</v>
      </c>
      <c r="E2168" s="17">
        <v>41640</v>
      </c>
      <c r="F2168" s="17">
        <v>42004</v>
      </c>
      <c r="G2168" s="16" t="s">
        <v>415</v>
      </c>
      <c r="H2168" s="16">
        <v>0.15</v>
      </c>
      <c r="I2168" s="16">
        <v>0.15</v>
      </c>
      <c r="J2168" s="16">
        <v>0.15</v>
      </c>
      <c r="K2168" s="16">
        <v>0.15</v>
      </c>
      <c r="L2168" s="16">
        <v>0.15</v>
      </c>
      <c r="M2168" s="16">
        <v>0.104</v>
      </c>
      <c r="N2168" s="16">
        <v>0.20799999999999999</v>
      </c>
      <c r="O2168" s="16">
        <v>0.20799999999999999</v>
      </c>
      <c r="P2168" s="16">
        <v>0.312</v>
      </c>
      <c r="Q2168" s="16">
        <v>0.312</v>
      </c>
      <c r="R2168" s="16">
        <v>0.46800000000000003</v>
      </c>
      <c r="S2168" s="16">
        <v>0.46800000000000003</v>
      </c>
      <c r="T2168" s="16">
        <v>0.46800000000000003</v>
      </c>
      <c r="U2168" s="16">
        <v>0.46800000000000003</v>
      </c>
      <c r="V2168" s="16">
        <v>0.46800000000000003</v>
      </c>
      <c r="W2168" s="16">
        <v>0.46800000000000003</v>
      </c>
      <c r="X2168" s="16">
        <v>0.46800000000000003</v>
      </c>
      <c r="Y2168" s="16">
        <v>0.46800000000000003</v>
      </c>
      <c r="Z2168" s="16">
        <v>0.46800000000000003</v>
      </c>
      <c r="AA2168" s="16">
        <v>0.46800000000000003</v>
      </c>
      <c r="AB2168" s="16">
        <v>0.46800000000000003</v>
      </c>
      <c r="AC2168" s="16">
        <v>0.46800000000000003</v>
      </c>
      <c r="AD2168" s="16">
        <v>0.26</v>
      </c>
      <c r="AE2168" s="16">
        <v>0.156</v>
      </c>
      <c r="AF2168" s="16" t="s">
        <v>413</v>
      </c>
    </row>
    <row r="2169" spans="1:32" ht="14.25" customHeight="1" x14ac:dyDescent="0.35">
      <c r="A2169" s="16" t="s">
        <v>1561</v>
      </c>
      <c r="B2169" s="16" t="s">
        <v>448</v>
      </c>
      <c r="C2169" s="16"/>
      <c r="D2169" s="16" t="s">
        <v>418</v>
      </c>
      <c r="E2169" s="17">
        <v>41640</v>
      </c>
      <c r="F2169" s="17">
        <v>42004</v>
      </c>
      <c r="G2169" s="16" t="s">
        <v>410</v>
      </c>
      <c r="H2169" s="16">
        <v>0</v>
      </c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  <c r="AA2169" s="16"/>
      <c r="AB2169" s="16"/>
      <c r="AC2169" s="16"/>
      <c r="AD2169" s="16"/>
      <c r="AE2169" s="16"/>
      <c r="AF2169" s="16" t="s">
        <v>413</v>
      </c>
    </row>
    <row r="2170" spans="1:32" ht="14.25" customHeight="1" x14ac:dyDescent="0.35">
      <c r="A2170" s="14" t="s">
        <v>1562</v>
      </c>
      <c r="B2170" s="14" t="s">
        <v>408</v>
      </c>
      <c r="C2170" s="14"/>
      <c r="D2170" s="14" t="s">
        <v>409</v>
      </c>
      <c r="E2170" s="15">
        <v>41640</v>
      </c>
      <c r="F2170" s="15">
        <v>42004</v>
      </c>
      <c r="G2170" s="14" t="s">
        <v>410</v>
      </c>
      <c r="H2170" s="14">
        <v>0</v>
      </c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 t="s">
        <v>413</v>
      </c>
    </row>
    <row r="2171" spans="1:32" ht="14.25" customHeight="1" x14ac:dyDescent="0.35">
      <c r="A2171" s="14" t="s">
        <v>1563</v>
      </c>
      <c r="B2171" s="14" t="s">
        <v>408</v>
      </c>
      <c r="C2171" s="14" t="s">
        <v>412</v>
      </c>
      <c r="D2171" s="14" t="s">
        <v>409</v>
      </c>
      <c r="E2171" s="15">
        <v>41640</v>
      </c>
      <c r="F2171" s="15">
        <v>42004</v>
      </c>
      <c r="G2171" s="14" t="s">
        <v>410</v>
      </c>
      <c r="H2171" s="14">
        <v>0.2</v>
      </c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 t="s">
        <v>413</v>
      </c>
    </row>
    <row r="2172" spans="1:32" ht="14.25" customHeight="1" x14ac:dyDescent="0.35">
      <c r="A2172" s="16" t="s">
        <v>1564</v>
      </c>
      <c r="B2172" s="16" t="s">
        <v>408</v>
      </c>
      <c r="C2172" s="16"/>
      <c r="D2172" s="16" t="s">
        <v>409</v>
      </c>
      <c r="E2172" s="17">
        <v>41640</v>
      </c>
      <c r="F2172" s="17">
        <v>42004</v>
      </c>
      <c r="G2172" s="16" t="s">
        <v>410</v>
      </c>
      <c r="H2172" s="16">
        <v>0</v>
      </c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6"/>
      <c r="AB2172" s="16"/>
      <c r="AC2172" s="16"/>
      <c r="AD2172" s="16"/>
      <c r="AE2172" s="16"/>
      <c r="AF2172" s="16" t="s">
        <v>413</v>
      </c>
    </row>
    <row r="2173" spans="1:32" ht="14.25" customHeight="1" x14ac:dyDescent="0.35">
      <c r="A2173" s="14" t="s">
        <v>1565</v>
      </c>
      <c r="B2173" s="14" t="s">
        <v>408</v>
      </c>
      <c r="C2173" s="14"/>
      <c r="D2173" s="14" t="s">
        <v>409</v>
      </c>
      <c r="E2173" s="15">
        <v>41640</v>
      </c>
      <c r="F2173" s="15">
        <v>42004</v>
      </c>
      <c r="G2173" s="14" t="s">
        <v>410</v>
      </c>
      <c r="H2173" s="14">
        <v>1</v>
      </c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 t="s">
        <v>413</v>
      </c>
    </row>
    <row r="2174" spans="1:32" ht="14.25" customHeight="1" x14ac:dyDescent="0.35">
      <c r="A2174" s="16" t="s">
        <v>348</v>
      </c>
      <c r="B2174" s="16" t="s">
        <v>427</v>
      </c>
      <c r="C2174" s="16"/>
      <c r="D2174" s="16" t="s">
        <v>821</v>
      </c>
      <c r="E2174" s="17">
        <v>41640</v>
      </c>
      <c r="F2174" s="17">
        <v>42004</v>
      </c>
      <c r="G2174" s="16" t="s">
        <v>415</v>
      </c>
      <c r="H2174" s="16">
        <v>0.03</v>
      </c>
      <c r="I2174" s="16">
        <v>0.02</v>
      </c>
      <c r="J2174" s="16">
        <v>0.03</v>
      </c>
      <c r="K2174" s="16">
        <v>0.02</v>
      </c>
      <c r="L2174" s="16">
        <v>0.05</v>
      </c>
      <c r="M2174" s="16">
        <v>0.12</v>
      </c>
      <c r="N2174" s="16">
        <v>0.13</v>
      </c>
      <c r="O2174" s="16">
        <v>0.15</v>
      </c>
      <c r="P2174" s="16">
        <v>0.18</v>
      </c>
      <c r="Q2174" s="16">
        <v>0.21</v>
      </c>
      <c r="R2174" s="16">
        <v>0.26</v>
      </c>
      <c r="S2174" s="16">
        <v>0.28999999999999998</v>
      </c>
      <c r="T2174" s="16">
        <v>0.27</v>
      </c>
      <c r="U2174" s="16">
        <v>0.25</v>
      </c>
      <c r="V2174" s="16">
        <v>0.23</v>
      </c>
      <c r="W2174" s="16">
        <v>0.23</v>
      </c>
      <c r="X2174" s="16">
        <v>0.26</v>
      </c>
      <c r="Y2174" s="16">
        <v>0.26</v>
      </c>
      <c r="Z2174" s="16">
        <v>0.24</v>
      </c>
      <c r="AA2174" s="16">
        <v>0.22</v>
      </c>
      <c r="AB2174" s="16">
        <v>0.2</v>
      </c>
      <c r="AC2174" s="16">
        <v>0.18</v>
      </c>
      <c r="AD2174" s="16">
        <v>0.09</v>
      </c>
      <c r="AE2174" s="16">
        <v>0.03</v>
      </c>
      <c r="AF2174" s="16" t="s">
        <v>413</v>
      </c>
    </row>
    <row r="2175" spans="1:32" ht="14.25" customHeight="1" x14ac:dyDescent="0.35">
      <c r="A2175" s="16" t="s">
        <v>348</v>
      </c>
      <c r="B2175" s="16" t="s">
        <v>427</v>
      </c>
      <c r="C2175" s="16"/>
      <c r="D2175" s="16" t="s">
        <v>419</v>
      </c>
      <c r="E2175" s="17">
        <v>41640</v>
      </c>
      <c r="F2175" s="17">
        <v>42004</v>
      </c>
      <c r="G2175" s="16" t="s">
        <v>410</v>
      </c>
      <c r="H2175" s="16">
        <v>0.28999999999999998</v>
      </c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A2175" s="16"/>
      <c r="AB2175" s="16"/>
      <c r="AC2175" s="16"/>
      <c r="AD2175" s="16"/>
      <c r="AE2175" s="16"/>
      <c r="AF2175" s="16" t="s">
        <v>413</v>
      </c>
    </row>
    <row r="2176" spans="1:32" ht="14.25" customHeight="1" x14ac:dyDescent="0.35">
      <c r="A2176" s="14" t="s">
        <v>348</v>
      </c>
      <c r="B2176" s="14" t="s">
        <v>427</v>
      </c>
      <c r="C2176" s="14"/>
      <c r="D2176" s="14" t="s">
        <v>418</v>
      </c>
      <c r="E2176" s="15">
        <v>41640</v>
      </c>
      <c r="F2176" s="15">
        <v>42004</v>
      </c>
      <c r="G2176" s="14" t="s">
        <v>410</v>
      </c>
      <c r="H2176" s="14">
        <v>0</v>
      </c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 t="s">
        <v>413</v>
      </c>
    </row>
    <row r="2177" spans="1:32" ht="14.25" customHeight="1" x14ac:dyDescent="0.35">
      <c r="A2177" s="14" t="s">
        <v>1566</v>
      </c>
      <c r="B2177" s="14" t="s">
        <v>424</v>
      </c>
      <c r="C2177" s="14"/>
      <c r="D2177" s="14" t="s">
        <v>417</v>
      </c>
      <c r="E2177" s="15">
        <v>41640</v>
      </c>
      <c r="F2177" s="15">
        <v>42004</v>
      </c>
      <c r="G2177" s="14" t="s">
        <v>415</v>
      </c>
      <c r="H2177" s="14">
        <v>0.2</v>
      </c>
      <c r="I2177" s="14">
        <v>0.15</v>
      </c>
      <c r="J2177" s="14">
        <v>0.15</v>
      </c>
      <c r="K2177" s="14">
        <v>0.15</v>
      </c>
      <c r="L2177" s="14">
        <v>0.15</v>
      </c>
      <c r="M2177" s="14">
        <v>0.15</v>
      </c>
      <c r="N2177" s="14">
        <v>0.3</v>
      </c>
      <c r="O2177" s="14">
        <v>0.3</v>
      </c>
      <c r="P2177" s="14">
        <v>0.6</v>
      </c>
      <c r="Q2177" s="14">
        <v>0.6</v>
      </c>
      <c r="R2177" s="14">
        <v>0.8</v>
      </c>
      <c r="S2177" s="14">
        <v>0.8</v>
      </c>
      <c r="T2177" s="14">
        <v>0.8</v>
      </c>
      <c r="U2177" s="14">
        <v>0.8</v>
      </c>
      <c r="V2177" s="14">
        <v>0.8</v>
      </c>
      <c r="W2177" s="14">
        <v>0.8</v>
      </c>
      <c r="X2177" s="14">
        <v>0.8</v>
      </c>
      <c r="Y2177" s="14">
        <v>0.9</v>
      </c>
      <c r="Z2177" s="14">
        <v>0.9</v>
      </c>
      <c r="AA2177" s="14">
        <v>0.9</v>
      </c>
      <c r="AB2177" s="14">
        <v>0.9</v>
      </c>
      <c r="AC2177" s="14">
        <v>0.9</v>
      </c>
      <c r="AD2177" s="14">
        <v>0.5</v>
      </c>
      <c r="AE2177" s="14">
        <v>0.3</v>
      </c>
      <c r="AF2177" s="14" t="s">
        <v>413</v>
      </c>
    </row>
    <row r="2178" spans="1:32" ht="14.25" customHeight="1" x14ac:dyDescent="0.35">
      <c r="A2178" s="14" t="s">
        <v>1566</v>
      </c>
      <c r="B2178" s="14" t="s">
        <v>424</v>
      </c>
      <c r="C2178" s="14"/>
      <c r="D2178" s="14" t="s">
        <v>419</v>
      </c>
      <c r="E2178" s="15">
        <v>41640</v>
      </c>
      <c r="F2178" s="15">
        <v>42004</v>
      </c>
      <c r="G2178" s="14" t="s">
        <v>410</v>
      </c>
      <c r="H2178" s="14">
        <v>1</v>
      </c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 t="s">
        <v>413</v>
      </c>
    </row>
    <row r="2179" spans="1:32" ht="14.25" customHeight="1" x14ac:dyDescent="0.35">
      <c r="A2179" s="16" t="s">
        <v>1566</v>
      </c>
      <c r="B2179" s="16" t="s">
        <v>424</v>
      </c>
      <c r="C2179" s="16"/>
      <c r="D2179" s="16" t="s">
        <v>1517</v>
      </c>
      <c r="E2179" s="17">
        <v>41640</v>
      </c>
      <c r="F2179" s="17">
        <v>42004</v>
      </c>
      <c r="G2179" s="16" t="s">
        <v>415</v>
      </c>
      <c r="H2179" s="16">
        <v>0.2</v>
      </c>
      <c r="I2179" s="16">
        <v>0.15</v>
      </c>
      <c r="J2179" s="16">
        <v>0.15</v>
      </c>
      <c r="K2179" s="16">
        <v>0.15</v>
      </c>
      <c r="L2179" s="16">
        <v>0.15</v>
      </c>
      <c r="M2179" s="16">
        <v>0.15</v>
      </c>
      <c r="N2179" s="16">
        <v>0.3</v>
      </c>
      <c r="O2179" s="16">
        <v>0.3</v>
      </c>
      <c r="P2179" s="16">
        <v>0.5</v>
      </c>
      <c r="Q2179" s="16">
        <v>0.5</v>
      </c>
      <c r="R2179" s="16">
        <v>0.7</v>
      </c>
      <c r="S2179" s="16">
        <v>0.7</v>
      </c>
      <c r="T2179" s="16">
        <v>0.7</v>
      </c>
      <c r="U2179" s="16">
        <v>0.7</v>
      </c>
      <c r="V2179" s="16">
        <v>0.7</v>
      </c>
      <c r="W2179" s="16">
        <v>0.7</v>
      </c>
      <c r="X2179" s="16">
        <v>0.6</v>
      </c>
      <c r="Y2179" s="16">
        <v>0.6</v>
      </c>
      <c r="Z2179" s="16">
        <v>0.6</v>
      </c>
      <c r="AA2179" s="16">
        <v>0.6</v>
      </c>
      <c r="AB2179" s="16">
        <v>0.6</v>
      </c>
      <c r="AC2179" s="16">
        <v>0.6</v>
      </c>
      <c r="AD2179" s="16">
        <v>0.5</v>
      </c>
      <c r="AE2179" s="16">
        <v>0.3</v>
      </c>
      <c r="AF2179" s="16" t="s">
        <v>413</v>
      </c>
    </row>
    <row r="2180" spans="1:32" ht="14.25" customHeight="1" x14ac:dyDescent="0.35">
      <c r="A2180" s="16" t="s">
        <v>1566</v>
      </c>
      <c r="B2180" s="16" t="s">
        <v>424</v>
      </c>
      <c r="C2180" s="16"/>
      <c r="D2180" s="16" t="s">
        <v>418</v>
      </c>
      <c r="E2180" s="17">
        <v>41640</v>
      </c>
      <c r="F2180" s="17">
        <v>42004</v>
      </c>
      <c r="G2180" s="16" t="s">
        <v>410</v>
      </c>
      <c r="H2180" s="16">
        <v>0</v>
      </c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  <c r="AA2180" s="16"/>
      <c r="AB2180" s="16"/>
      <c r="AC2180" s="16"/>
      <c r="AD2180" s="16"/>
      <c r="AE2180" s="16"/>
      <c r="AF2180" s="16" t="s">
        <v>413</v>
      </c>
    </row>
    <row r="2181" spans="1:32" ht="14.25" customHeight="1" x14ac:dyDescent="0.35">
      <c r="A2181" s="14" t="s">
        <v>1567</v>
      </c>
      <c r="B2181" s="14" t="s">
        <v>424</v>
      </c>
      <c r="C2181" s="14"/>
      <c r="D2181" s="14" t="s">
        <v>417</v>
      </c>
      <c r="E2181" s="15">
        <v>41640</v>
      </c>
      <c r="F2181" s="15">
        <v>42004</v>
      </c>
      <c r="G2181" s="14" t="s">
        <v>415</v>
      </c>
      <c r="H2181" s="14">
        <v>0.2</v>
      </c>
      <c r="I2181" s="14">
        <v>0.15</v>
      </c>
      <c r="J2181" s="14">
        <v>0.15</v>
      </c>
      <c r="K2181" s="14">
        <v>0.15</v>
      </c>
      <c r="L2181" s="14">
        <v>0.15</v>
      </c>
      <c r="M2181" s="14">
        <v>0.15</v>
      </c>
      <c r="N2181" s="14">
        <v>0.3</v>
      </c>
      <c r="O2181" s="14">
        <v>0.3</v>
      </c>
      <c r="P2181" s="14">
        <v>0.6</v>
      </c>
      <c r="Q2181" s="14">
        <v>0.6</v>
      </c>
      <c r="R2181" s="14">
        <v>0.8</v>
      </c>
      <c r="S2181" s="14">
        <v>0.8</v>
      </c>
      <c r="T2181" s="14">
        <v>0.8</v>
      </c>
      <c r="U2181" s="14">
        <v>0.8</v>
      </c>
      <c r="V2181" s="14">
        <v>0.8</v>
      </c>
      <c r="W2181" s="14">
        <v>0.8</v>
      </c>
      <c r="X2181" s="14">
        <v>0.8</v>
      </c>
      <c r="Y2181" s="14">
        <v>0.9</v>
      </c>
      <c r="Z2181" s="14">
        <v>0.9</v>
      </c>
      <c r="AA2181" s="14">
        <v>0.9</v>
      </c>
      <c r="AB2181" s="14">
        <v>0.9</v>
      </c>
      <c r="AC2181" s="14">
        <v>0.9</v>
      </c>
      <c r="AD2181" s="14">
        <v>0.5</v>
      </c>
      <c r="AE2181" s="14">
        <v>0.3</v>
      </c>
      <c r="AF2181" s="14" t="s">
        <v>413</v>
      </c>
    </row>
    <row r="2182" spans="1:32" ht="14.25" customHeight="1" x14ac:dyDescent="0.35">
      <c r="A2182" s="14" t="s">
        <v>1567</v>
      </c>
      <c r="B2182" s="14" t="s">
        <v>424</v>
      </c>
      <c r="C2182" s="14"/>
      <c r="D2182" s="14" t="s">
        <v>419</v>
      </c>
      <c r="E2182" s="15">
        <v>41640</v>
      </c>
      <c r="F2182" s="15">
        <v>42004</v>
      </c>
      <c r="G2182" s="14" t="s">
        <v>410</v>
      </c>
      <c r="H2182" s="14">
        <v>1</v>
      </c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 t="s">
        <v>413</v>
      </c>
    </row>
    <row r="2183" spans="1:32" ht="14.25" customHeight="1" x14ac:dyDescent="0.35">
      <c r="A2183" s="16" t="s">
        <v>1567</v>
      </c>
      <c r="B2183" s="16" t="s">
        <v>424</v>
      </c>
      <c r="C2183" s="16"/>
      <c r="D2183" s="16" t="s">
        <v>1517</v>
      </c>
      <c r="E2183" s="17">
        <v>41640</v>
      </c>
      <c r="F2183" s="17">
        <v>42004</v>
      </c>
      <c r="G2183" s="16" t="s">
        <v>415</v>
      </c>
      <c r="H2183" s="16">
        <v>0.2</v>
      </c>
      <c r="I2183" s="16">
        <v>0.15</v>
      </c>
      <c r="J2183" s="16">
        <v>0.15</v>
      </c>
      <c r="K2183" s="16">
        <v>0.15</v>
      </c>
      <c r="L2183" s="16">
        <v>0.15</v>
      </c>
      <c r="M2183" s="16">
        <v>0.15</v>
      </c>
      <c r="N2183" s="16">
        <v>0.3</v>
      </c>
      <c r="O2183" s="16">
        <v>0.3</v>
      </c>
      <c r="P2183" s="16">
        <v>0.5</v>
      </c>
      <c r="Q2183" s="16">
        <v>0.5</v>
      </c>
      <c r="R2183" s="16">
        <v>0.7</v>
      </c>
      <c r="S2183" s="16">
        <v>0.7</v>
      </c>
      <c r="T2183" s="16">
        <v>0.7</v>
      </c>
      <c r="U2183" s="16">
        <v>0.7</v>
      </c>
      <c r="V2183" s="16">
        <v>0.7</v>
      </c>
      <c r="W2183" s="16">
        <v>0.7</v>
      </c>
      <c r="X2183" s="16">
        <v>0.6</v>
      </c>
      <c r="Y2183" s="16">
        <v>0.6</v>
      </c>
      <c r="Z2183" s="16">
        <v>0.6</v>
      </c>
      <c r="AA2183" s="16">
        <v>0.6</v>
      </c>
      <c r="AB2183" s="16">
        <v>0.6</v>
      </c>
      <c r="AC2183" s="16">
        <v>0.6</v>
      </c>
      <c r="AD2183" s="16">
        <v>0.5</v>
      </c>
      <c r="AE2183" s="16">
        <v>0.3</v>
      </c>
      <c r="AF2183" s="16" t="s">
        <v>413</v>
      </c>
    </row>
    <row r="2184" spans="1:32" ht="14.25" customHeight="1" x14ac:dyDescent="0.35">
      <c r="A2184" s="16" t="s">
        <v>1567</v>
      </c>
      <c r="B2184" s="16" t="s">
        <v>424</v>
      </c>
      <c r="C2184" s="16"/>
      <c r="D2184" s="16" t="s">
        <v>418</v>
      </c>
      <c r="E2184" s="17">
        <v>41640</v>
      </c>
      <c r="F2184" s="17">
        <v>42004</v>
      </c>
      <c r="G2184" s="16" t="s">
        <v>410</v>
      </c>
      <c r="H2184" s="16">
        <v>0</v>
      </c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6"/>
      <c r="AA2184" s="16"/>
      <c r="AB2184" s="16"/>
      <c r="AC2184" s="16"/>
      <c r="AD2184" s="16"/>
      <c r="AE2184" s="16"/>
      <c r="AF2184" s="16" t="s">
        <v>413</v>
      </c>
    </row>
    <row r="2185" spans="1:32" ht="14.25" customHeight="1" x14ac:dyDescent="0.35">
      <c r="A2185" s="14" t="s">
        <v>1568</v>
      </c>
      <c r="B2185" s="14" t="s">
        <v>424</v>
      </c>
      <c r="C2185" s="14"/>
      <c r="D2185" s="14" t="s">
        <v>417</v>
      </c>
      <c r="E2185" s="15">
        <v>41640</v>
      </c>
      <c r="F2185" s="15">
        <v>42004</v>
      </c>
      <c r="G2185" s="14" t="s">
        <v>415</v>
      </c>
      <c r="H2185" s="14">
        <v>0.2</v>
      </c>
      <c r="I2185" s="14">
        <v>0.15</v>
      </c>
      <c r="J2185" s="14">
        <v>0.15</v>
      </c>
      <c r="K2185" s="14">
        <v>0.15</v>
      </c>
      <c r="L2185" s="14">
        <v>0.15</v>
      </c>
      <c r="M2185" s="14">
        <v>0.15</v>
      </c>
      <c r="N2185" s="14">
        <v>0.3</v>
      </c>
      <c r="O2185" s="14">
        <v>0.3</v>
      </c>
      <c r="P2185" s="14">
        <v>0.6</v>
      </c>
      <c r="Q2185" s="14">
        <v>0.6</v>
      </c>
      <c r="R2185" s="14">
        <v>0.8</v>
      </c>
      <c r="S2185" s="14">
        <v>0.8</v>
      </c>
      <c r="T2185" s="14">
        <v>0.8</v>
      </c>
      <c r="U2185" s="14">
        <v>0.8</v>
      </c>
      <c r="V2185" s="14">
        <v>0.8</v>
      </c>
      <c r="W2185" s="14">
        <v>0.8</v>
      </c>
      <c r="X2185" s="14">
        <v>0.8</v>
      </c>
      <c r="Y2185" s="14">
        <v>0.9</v>
      </c>
      <c r="Z2185" s="14">
        <v>0.9</v>
      </c>
      <c r="AA2185" s="14">
        <v>0.9</v>
      </c>
      <c r="AB2185" s="14">
        <v>0.9</v>
      </c>
      <c r="AC2185" s="14">
        <v>0.9</v>
      </c>
      <c r="AD2185" s="14">
        <v>0.5</v>
      </c>
      <c r="AE2185" s="14">
        <v>0.3</v>
      </c>
      <c r="AF2185" s="14" t="s">
        <v>413</v>
      </c>
    </row>
    <row r="2186" spans="1:32" ht="14.25" customHeight="1" x14ac:dyDescent="0.35">
      <c r="A2186" s="14" t="s">
        <v>1568</v>
      </c>
      <c r="B2186" s="14" t="s">
        <v>424</v>
      </c>
      <c r="C2186" s="14"/>
      <c r="D2186" s="14" t="s">
        <v>419</v>
      </c>
      <c r="E2186" s="15">
        <v>41640</v>
      </c>
      <c r="F2186" s="15">
        <v>42004</v>
      </c>
      <c r="G2186" s="14" t="s">
        <v>410</v>
      </c>
      <c r="H2186" s="14">
        <v>1</v>
      </c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 t="s">
        <v>413</v>
      </c>
    </row>
    <row r="2187" spans="1:32" ht="14.25" customHeight="1" x14ac:dyDescent="0.35">
      <c r="A2187" s="16" t="s">
        <v>1568</v>
      </c>
      <c r="B2187" s="16" t="s">
        <v>424</v>
      </c>
      <c r="C2187" s="16"/>
      <c r="D2187" s="16" t="s">
        <v>1517</v>
      </c>
      <c r="E2187" s="17">
        <v>41640</v>
      </c>
      <c r="F2187" s="17">
        <v>42004</v>
      </c>
      <c r="G2187" s="16" t="s">
        <v>415</v>
      </c>
      <c r="H2187" s="16">
        <v>0.2</v>
      </c>
      <c r="I2187" s="16">
        <v>0.15</v>
      </c>
      <c r="J2187" s="16">
        <v>0.15</v>
      </c>
      <c r="K2187" s="16">
        <v>0.15</v>
      </c>
      <c r="L2187" s="16">
        <v>0.15</v>
      </c>
      <c r="M2187" s="16">
        <v>0.15</v>
      </c>
      <c r="N2187" s="16">
        <v>0.3</v>
      </c>
      <c r="O2187" s="16">
        <v>0.3</v>
      </c>
      <c r="P2187" s="16">
        <v>0.5</v>
      </c>
      <c r="Q2187" s="16">
        <v>0.5</v>
      </c>
      <c r="R2187" s="16">
        <v>0.7</v>
      </c>
      <c r="S2187" s="16">
        <v>0.7</v>
      </c>
      <c r="T2187" s="16">
        <v>0.7</v>
      </c>
      <c r="U2187" s="16">
        <v>0.7</v>
      </c>
      <c r="V2187" s="16">
        <v>0.7</v>
      </c>
      <c r="W2187" s="16">
        <v>0.7</v>
      </c>
      <c r="X2187" s="16">
        <v>0.6</v>
      </c>
      <c r="Y2187" s="16">
        <v>0.6</v>
      </c>
      <c r="Z2187" s="16">
        <v>0.6</v>
      </c>
      <c r="AA2187" s="16">
        <v>0.6</v>
      </c>
      <c r="AB2187" s="16">
        <v>0.6</v>
      </c>
      <c r="AC2187" s="16">
        <v>0.6</v>
      </c>
      <c r="AD2187" s="16">
        <v>0.5</v>
      </c>
      <c r="AE2187" s="16">
        <v>0.3</v>
      </c>
      <c r="AF2187" s="16" t="s">
        <v>413</v>
      </c>
    </row>
    <row r="2188" spans="1:32" ht="14.25" customHeight="1" x14ac:dyDescent="0.35">
      <c r="A2188" s="16" t="s">
        <v>1568</v>
      </c>
      <c r="B2188" s="16" t="s">
        <v>424</v>
      </c>
      <c r="C2188" s="16"/>
      <c r="D2188" s="16" t="s">
        <v>418</v>
      </c>
      <c r="E2188" s="17">
        <v>41640</v>
      </c>
      <c r="F2188" s="17">
        <v>42004</v>
      </c>
      <c r="G2188" s="16" t="s">
        <v>410</v>
      </c>
      <c r="H2188" s="16">
        <v>0</v>
      </c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  <c r="AC2188" s="16"/>
      <c r="AD2188" s="16"/>
      <c r="AE2188" s="16"/>
      <c r="AF2188" s="16" t="s">
        <v>413</v>
      </c>
    </row>
    <row r="2189" spans="1:32" ht="14.25" customHeight="1" x14ac:dyDescent="0.35">
      <c r="A2189" s="14" t="s">
        <v>1569</v>
      </c>
      <c r="B2189" s="14" t="s">
        <v>448</v>
      </c>
      <c r="C2189" s="14"/>
      <c r="D2189" s="14" t="s">
        <v>417</v>
      </c>
      <c r="E2189" s="15">
        <v>41640</v>
      </c>
      <c r="F2189" s="15">
        <v>42004</v>
      </c>
      <c r="G2189" s="14" t="s">
        <v>415</v>
      </c>
      <c r="H2189" s="14">
        <v>0.05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0.05</v>
      </c>
      <c r="O2189" s="14">
        <v>0.5</v>
      </c>
      <c r="P2189" s="14">
        <v>0.5</v>
      </c>
      <c r="Q2189" s="14">
        <v>0.2</v>
      </c>
      <c r="R2189" s="14">
        <v>0.2</v>
      </c>
      <c r="S2189" s="14">
        <v>0.3</v>
      </c>
      <c r="T2189" s="14">
        <v>0.5</v>
      </c>
      <c r="U2189" s="14">
        <v>0.5</v>
      </c>
      <c r="V2189" s="14">
        <v>0.3</v>
      </c>
      <c r="W2189" s="14">
        <v>0.2</v>
      </c>
      <c r="X2189" s="14">
        <v>0.25</v>
      </c>
      <c r="Y2189" s="14">
        <v>0.35</v>
      </c>
      <c r="Z2189" s="14">
        <v>0.55000000000000004</v>
      </c>
      <c r="AA2189" s="14">
        <v>0.65</v>
      </c>
      <c r="AB2189" s="14">
        <v>0.7</v>
      </c>
      <c r="AC2189" s="14">
        <v>0.35</v>
      </c>
      <c r="AD2189" s="14">
        <v>0.2</v>
      </c>
      <c r="AE2189" s="14">
        <v>0.2</v>
      </c>
      <c r="AF2189" s="14" t="s">
        <v>413</v>
      </c>
    </row>
    <row r="2190" spans="1:32" ht="14.25" customHeight="1" x14ac:dyDescent="0.35">
      <c r="A2190" s="16" t="s">
        <v>1569</v>
      </c>
      <c r="B2190" s="16" t="s">
        <v>448</v>
      </c>
      <c r="C2190" s="16"/>
      <c r="D2190" s="16" t="s">
        <v>512</v>
      </c>
      <c r="E2190" s="17">
        <v>41640</v>
      </c>
      <c r="F2190" s="17">
        <v>42004</v>
      </c>
      <c r="G2190" s="16" t="s">
        <v>415</v>
      </c>
      <c r="H2190" s="16">
        <v>0.05</v>
      </c>
      <c r="I2190" s="16">
        <v>0</v>
      </c>
      <c r="J2190" s="16">
        <v>0</v>
      </c>
      <c r="K2190" s="16">
        <v>0</v>
      </c>
      <c r="L2190" s="16">
        <v>0</v>
      </c>
      <c r="M2190" s="16">
        <v>0</v>
      </c>
      <c r="N2190" s="16">
        <v>0.05</v>
      </c>
      <c r="O2190" s="16">
        <v>0.5</v>
      </c>
      <c r="P2190" s="16">
        <v>0.5</v>
      </c>
      <c r="Q2190" s="16">
        <v>0.4</v>
      </c>
      <c r="R2190" s="16">
        <v>0.2</v>
      </c>
      <c r="S2190" s="16">
        <v>0.45</v>
      </c>
      <c r="T2190" s="16">
        <v>0.5</v>
      </c>
      <c r="U2190" s="16">
        <v>0.5</v>
      </c>
      <c r="V2190" s="16">
        <v>0.35</v>
      </c>
      <c r="W2190" s="16">
        <v>0.3</v>
      </c>
      <c r="X2190" s="16">
        <v>0.3</v>
      </c>
      <c r="Y2190" s="16">
        <v>0.3</v>
      </c>
      <c r="Z2190" s="16">
        <v>0.7</v>
      </c>
      <c r="AA2190" s="16">
        <v>0.9</v>
      </c>
      <c r="AB2190" s="16">
        <v>0.7</v>
      </c>
      <c r="AC2190" s="16">
        <v>0.65</v>
      </c>
      <c r="AD2190" s="16">
        <v>0.55000000000000004</v>
      </c>
      <c r="AE2190" s="16">
        <v>0.35</v>
      </c>
      <c r="AF2190" s="16" t="s">
        <v>413</v>
      </c>
    </row>
    <row r="2191" spans="1:32" ht="14.25" customHeight="1" x14ac:dyDescent="0.35">
      <c r="A2191" s="14" t="s">
        <v>1569</v>
      </c>
      <c r="B2191" s="14" t="s">
        <v>448</v>
      </c>
      <c r="C2191" s="14"/>
      <c r="D2191" s="14" t="s">
        <v>419</v>
      </c>
      <c r="E2191" s="15">
        <v>41640</v>
      </c>
      <c r="F2191" s="15">
        <v>42004</v>
      </c>
      <c r="G2191" s="14" t="s">
        <v>410</v>
      </c>
      <c r="H2191" s="14">
        <v>1</v>
      </c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 t="s">
        <v>413</v>
      </c>
    </row>
    <row r="2192" spans="1:32" ht="14.25" customHeight="1" x14ac:dyDescent="0.35">
      <c r="A2192" s="14" t="s">
        <v>1569</v>
      </c>
      <c r="B2192" s="14" t="s">
        <v>448</v>
      </c>
      <c r="C2192" s="14"/>
      <c r="D2192" s="14" t="s">
        <v>429</v>
      </c>
      <c r="E2192" s="15">
        <v>41640</v>
      </c>
      <c r="F2192" s="15">
        <v>42004</v>
      </c>
      <c r="G2192" s="14" t="s">
        <v>415</v>
      </c>
      <c r="H2192" s="14">
        <v>0.05</v>
      </c>
      <c r="I2192" s="14">
        <v>0</v>
      </c>
      <c r="J2192" s="14">
        <v>0</v>
      </c>
      <c r="K2192" s="14">
        <v>0</v>
      </c>
      <c r="L2192" s="14">
        <v>0</v>
      </c>
      <c r="M2192" s="14">
        <v>0.05</v>
      </c>
      <c r="N2192" s="14">
        <v>0.1</v>
      </c>
      <c r="O2192" s="14">
        <v>0.4</v>
      </c>
      <c r="P2192" s="14">
        <v>0.4</v>
      </c>
      <c r="Q2192" s="14">
        <v>0.4</v>
      </c>
      <c r="R2192" s="14">
        <v>0.2</v>
      </c>
      <c r="S2192" s="14">
        <v>0.5</v>
      </c>
      <c r="T2192" s="14">
        <v>0.8</v>
      </c>
      <c r="U2192" s="14">
        <v>0.7</v>
      </c>
      <c r="V2192" s="14">
        <v>0.4</v>
      </c>
      <c r="W2192" s="14">
        <v>0.2</v>
      </c>
      <c r="X2192" s="14">
        <v>0.25</v>
      </c>
      <c r="Y2192" s="14">
        <v>0.5</v>
      </c>
      <c r="Z2192" s="14">
        <v>0.8</v>
      </c>
      <c r="AA2192" s="14">
        <v>0.8</v>
      </c>
      <c r="AB2192" s="14">
        <v>0.8</v>
      </c>
      <c r="AC2192" s="14">
        <v>0.5</v>
      </c>
      <c r="AD2192" s="14">
        <v>0.35</v>
      </c>
      <c r="AE2192" s="14">
        <v>0.2</v>
      </c>
      <c r="AF2192" s="14" t="s">
        <v>413</v>
      </c>
    </row>
    <row r="2193" spans="1:32" ht="14.25" customHeight="1" x14ac:dyDescent="0.35">
      <c r="A2193" s="16" t="s">
        <v>1569</v>
      </c>
      <c r="B2193" s="16" t="s">
        <v>448</v>
      </c>
      <c r="C2193" s="16"/>
      <c r="D2193" s="16" t="s">
        <v>418</v>
      </c>
      <c r="E2193" s="17">
        <v>41640</v>
      </c>
      <c r="F2193" s="17">
        <v>42004</v>
      </c>
      <c r="G2193" s="16" t="s">
        <v>410</v>
      </c>
      <c r="H2193" s="16">
        <v>0</v>
      </c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 t="s">
        <v>413</v>
      </c>
    </row>
    <row r="2194" spans="1:32" ht="14.25" customHeight="1" x14ac:dyDescent="0.35">
      <c r="A2194" s="16" t="s">
        <v>1570</v>
      </c>
      <c r="B2194" s="16" t="s">
        <v>460</v>
      </c>
      <c r="C2194" s="16"/>
      <c r="D2194" s="16" t="s">
        <v>417</v>
      </c>
      <c r="E2194" s="17">
        <v>41640</v>
      </c>
      <c r="F2194" s="17">
        <v>42004</v>
      </c>
      <c r="G2194" s="16" t="s">
        <v>415</v>
      </c>
      <c r="H2194" s="16">
        <v>0.25</v>
      </c>
      <c r="I2194" s="16">
        <v>0</v>
      </c>
      <c r="J2194" s="16">
        <v>0</v>
      </c>
      <c r="K2194" s="16">
        <v>0</v>
      </c>
      <c r="L2194" s="16">
        <v>0</v>
      </c>
      <c r="M2194" s="16">
        <v>0</v>
      </c>
      <c r="N2194" s="16">
        <v>0.15</v>
      </c>
      <c r="O2194" s="16">
        <v>0.15</v>
      </c>
      <c r="P2194" s="16">
        <v>0.15</v>
      </c>
      <c r="Q2194" s="16">
        <v>0.15</v>
      </c>
      <c r="R2194" s="16">
        <v>0.5</v>
      </c>
      <c r="S2194" s="16">
        <v>0.5</v>
      </c>
      <c r="T2194" s="16">
        <v>0.4</v>
      </c>
      <c r="U2194" s="16">
        <v>0.4</v>
      </c>
      <c r="V2194" s="16">
        <v>0.3</v>
      </c>
      <c r="W2194" s="16">
        <v>0.3</v>
      </c>
      <c r="X2194" s="16">
        <v>0.3</v>
      </c>
      <c r="Y2194" s="16">
        <v>0.4</v>
      </c>
      <c r="Z2194" s="16">
        <v>0.5</v>
      </c>
      <c r="AA2194" s="16">
        <v>0.5</v>
      </c>
      <c r="AB2194" s="16">
        <v>0.4</v>
      </c>
      <c r="AC2194" s="16">
        <v>0.5</v>
      </c>
      <c r="AD2194" s="16">
        <v>0.4</v>
      </c>
      <c r="AE2194" s="16">
        <v>0.2</v>
      </c>
      <c r="AF2194" s="16" t="s">
        <v>413</v>
      </c>
    </row>
    <row r="2195" spans="1:32" ht="14.25" customHeight="1" x14ac:dyDescent="0.35">
      <c r="A2195" s="16" t="s">
        <v>1570</v>
      </c>
      <c r="B2195" s="16" t="s">
        <v>460</v>
      </c>
      <c r="C2195" s="16"/>
      <c r="D2195" s="16" t="s">
        <v>556</v>
      </c>
      <c r="E2195" s="17">
        <v>41640</v>
      </c>
      <c r="F2195" s="17">
        <v>42004</v>
      </c>
      <c r="G2195" s="16" t="s">
        <v>415</v>
      </c>
      <c r="H2195" s="16">
        <v>0.2</v>
      </c>
      <c r="I2195" s="16">
        <v>0</v>
      </c>
      <c r="J2195" s="16">
        <v>0</v>
      </c>
      <c r="K2195" s="16">
        <v>0</v>
      </c>
      <c r="L2195" s="16">
        <v>0</v>
      </c>
      <c r="M2195" s="16">
        <v>0</v>
      </c>
      <c r="N2195" s="16">
        <v>0.15</v>
      </c>
      <c r="O2195" s="16">
        <v>0.6</v>
      </c>
      <c r="P2195" s="16">
        <v>0.55000000000000004</v>
      </c>
      <c r="Q2195" s="16">
        <v>0.45</v>
      </c>
      <c r="R2195" s="16">
        <v>0.4</v>
      </c>
      <c r="S2195" s="16">
        <v>0.45</v>
      </c>
      <c r="T2195" s="16">
        <v>0.4</v>
      </c>
      <c r="U2195" s="16">
        <v>0.35</v>
      </c>
      <c r="V2195" s="16">
        <v>0.3</v>
      </c>
      <c r="W2195" s="16">
        <v>0.3</v>
      </c>
      <c r="X2195" s="16">
        <v>0.3</v>
      </c>
      <c r="Y2195" s="16">
        <v>0.4</v>
      </c>
      <c r="Z2195" s="16">
        <v>0.55000000000000004</v>
      </c>
      <c r="AA2195" s="16">
        <v>0.6</v>
      </c>
      <c r="AB2195" s="16">
        <v>0.5</v>
      </c>
      <c r="AC2195" s="16">
        <v>0.55000000000000004</v>
      </c>
      <c r="AD2195" s="16">
        <v>0.45</v>
      </c>
      <c r="AE2195" s="16">
        <v>0.25</v>
      </c>
      <c r="AF2195" s="16" t="s">
        <v>413</v>
      </c>
    </row>
    <row r="2196" spans="1:32" ht="14.25" customHeight="1" x14ac:dyDescent="0.35">
      <c r="A2196" s="14" t="s">
        <v>1570</v>
      </c>
      <c r="B2196" s="14" t="s">
        <v>460</v>
      </c>
      <c r="C2196" s="14"/>
      <c r="D2196" s="14" t="s">
        <v>514</v>
      </c>
      <c r="E2196" s="15">
        <v>41640</v>
      </c>
      <c r="F2196" s="15">
        <v>42004</v>
      </c>
      <c r="G2196" s="14" t="s">
        <v>415</v>
      </c>
      <c r="H2196" s="14">
        <v>0.2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0.15</v>
      </c>
      <c r="O2196" s="14">
        <v>0.15</v>
      </c>
      <c r="P2196" s="14">
        <v>0.15</v>
      </c>
      <c r="Q2196" s="14">
        <v>0.5</v>
      </c>
      <c r="R2196" s="14">
        <v>0.45</v>
      </c>
      <c r="S2196" s="14">
        <v>0.5</v>
      </c>
      <c r="T2196" s="14">
        <v>0.5</v>
      </c>
      <c r="U2196" s="14">
        <v>0.45</v>
      </c>
      <c r="V2196" s="14">
        <v>0.4</v>
      </c>
      <c r="W2196" s="14">
        <v>0.4</v>
      </c>
      <c r="X2196" s="14">
        <v>0.35</v>
      </c>
      <c r="Y2196" s="14">
        <v>0.4</v>
      </c>
      <c r="Z2196" s="14">
        <v>0.55000000000000004</v>
      </c>
      <c r="AA2196" s="14">
        <v>0.55000000000000004</v>
      </c>
      <c r="AB2196" s="14">
        <v>0.5</v>
      </c>
      <c r="AC2196" s="14">
        <v>0.55000000000000004</v>
      </c>
      <c r="AD2196" s="14">
        <v>0.4</v>
      </c>
      <c r="AE2196" s="14">
        <v>0.3</v>
      </c>
      <c r="AF2196" s="14" t="s">
        <v>413</v>
      </c>
    </row>
    <row r="2197" spans="1:32" ht="14.25" customHeight="1" x14ac:dyDescent="0.35">
      <c r="A2197" s="14" t="s">
        <v>1571</v>
      </c>
      <c r="B2197" s="14" t="s">
        <v>408</v>
      </c>
      <c r="C2197" s="14" t="s">
        <v>412</v>
      </c>
      <c r="D2197" s="14" t="s">
        <v>409</v>
      </c>
      <c r="E2197" s="15">
        <v>41640</v>
      </c>
      <c r="F2197" s="15">
        <v>42004</v>
      </c>
      <c r="G2197" s="14" t="s">
        <v>410</v>
      </c>
      <c r="H2197" s="14">
        <v>60</v>
      </c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 t="s">
        <v>413</v>
      </c>
    </row>
    <row r="2198" spans="1:32" ht="14.25" customHeight="1" x14ac:dyDescent="0.35">
      <c r="A2198" s="16" t="s">
        <v>1572</v>
      </c>
      <c r="B2198" s="16" t="s">
        <v>408</v>
      </c>
      <c r="C2198" s="16" t="s">
        <v>412</v>
      </c>
      <c r="D2198" s="16" t="s">
        <v>409</v>
      </c>
      <c r="E2198" s="17">
        <v>41640</v>
      </c>
      <c r="F2198" s="17">
        <v>42004</v>
      </c>
      <c r="G2198" s="16" t="s">
        <v>410</v>
      </c>
      <c r="H2198" s="16">
        <v>82.22</v>
      </c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16"/>
      <c r="AA2198" s="16"/>
      <c r="AB2198" s="16"/>
      <c r="AC2198" s="16"/>
      <c r="AD2198" s="16"/>
      <c r="AE2198" s="16"/>
      <c r="AF2198" s="16" t="s">
        <v>413</v>
      </c>
    </row>
    <row r="2199" spans="1:32" ht="14.25" customHeight="1" x14ac:dyDescent="0.35">
      <c r="A2199" s="14" t="s">
        <v>1573</v>
      </c>
      <c r="B2199" s="14" t="s">
        <v>420</v>
      </c>
      <c r="C2199" s="14" t="s">
        <v>414</v>
      </c>
      <c r="D2199" s="14" t="s">
        <v>821</v>
      </c>
      <c r="E2199" s="15">
        <v>41640</v>
      </c>
      <c r="F2199" s="15">
        <v>42004</v>
      </c>
      <c r="G2199" s="14" t="s">
        <v>415</v>
      </c>
      <c r="H2199" s="14">
        <v>26</v>
      </c>
      <c r="I2199" s="14">
        <v>30</v>
      </c>
      <c r="J2199" s="14">
        <v>30</v>
      </c>
      <c r="K2199" s="14">
        <v>30</v>
      </c>
      <c r="L2199" s="14">
        <v>26</v>
      </c>
      <c r="M2199" s="14">
        <v>26</v>
      </c>
      <c r="N2199" s="14">
        <v>26</v>
      </c>
      <c r="O2199" s="14">
        <v>26</v>
      </c>
      <c r="P2199" s="14">
        <v>26</v>
      </c>
      <c r="Q2199" s="14">
        <v>26</v>
      </c>
      <c r="R2199" s="14">
        <v>26</v>
      </c>
      <c r="S2199" s="14">
        <v>26</v>
      </c>
      <c r="T2199" s="14">
        <v>26</v>
      </c>
      <c r="U2199" s="14">
        <v>26</v>
      </c>
      <c r="V2199" s="14">
        <v>26</v>
      </c>
      <c r="W2199" s="14">
        <v>26</v>
      </c>
      <c r="X2199" s="14">
        <v>26</v>
      </c>
      <c r="Y2199" s="14">
        <v>26</v>
      </c>
      <c r="Z2199" s="14">
        <v>26</v>
      </c>
      <c r="AA2199" s="14">
        <v>26</v>
      </c>
      <c r="AB2199" s="14">
        <v>26</v>
      </c>
      <c r="AC2199" s="14">
        <v>26</v>
      </c>
      <c r="AD2199" s="14">
        <v>26</v>
      </c>
      <c r="AE2199" s="14">
        <v>26</v>
      </c>
      <c r="AF2199" s="14" t="s">
        <v>413</v>
      </c>
    </row>
    <row r="2200" spans="1:32" ht="14.25" customHeight="1" x14ac:dyDescent="0.35">
      <c r="A2200" s="14" t="s">
        <v>1573</v>
      </c>
      <c r="B2200" s="14" t="s">
        <v>420</v>
      </c>
      <c r="C2200" s="14" t="s">
        <v>414</v>
      </c>
      <c r="D2200" s="14" t="s">
        <v>419</v>
      </c>
      <c r="E2200" s="15">
        <v>41640</v>
      </c>
      <c r="F2200" s="15">
        <v>42004</v>
      </c>
      <c r="G2200" s="14" t="s">
        <v>415</v>
      </c>
      <c r="H2200" s="14">
        <v>26</v>
      </c>
      <c r="I2200" s="14">
        <v>30</v>
      </c>
      <c r="J2200" s="14">
        <v>30</v>
      </c>
      <c r="K2200" s="14">
        <v>30</v>
      </c>
      <c r="L2200" s="14">
        <v>30</v>
      </c>
      <c r="M2200" s="14">
        <v>28</v>
      </c>
      <c r="N2200" s="14">
        <v>26</v>
      </c>
      <c r="O2200" s="14">
        <v>26</v>
      </c>
      <c r="P2200" s="14">
        <v>26</v>
      </c>
      <c r="Q2200" s="14">
        <v>26</v>
      </c>
      <c r="R2200" s="14">
        <v>26</v>
      </c>
      <c r="S2200" s="14">
        <v>26</v>
      </c>
      <c r="T2200" s="14">
        <v>26</v>
      </c>
      <c r="U2200" s="14">
        <v>26</v>
      </c>
      <c r="V2200" s="14">
        <v>26</v>
      </c>
      <c r="W2200" s="14">
        <v>26</v>
      </c>
      <c r="X2200" s="14">
        <v>26</v>
      </c>
      <c r="Y2200" s="14">
        <v>26</v>
      </c>
      <c r="Z2200" s="14">
        <v>26</v>
      </c>
      <c r="AA2200" s="14">
        <v>26</v>
      </c>
      <c r="AB2200" s="14">
        <v>26</v>
      </c>
      <c r="AC2200" s="14">
        <v>26</v>
      </c>
      <c r="AD2200" s="14">
        <v>26</v>
      </c>
      <c r="AE2200" s="14">
        <v>26</v>
      </c>
      <c r="AF2200" s="14" t="s">
        <v>413</v>
      </c>
    </row>
    <row r="2201" spans="1:32" ht="14.25" customHeight="1" x14ac:dyDescent="0.35">
      <c r="A2201" s="16" t="s">
        <v>1573</v>
      </c>
      <c r="B2201" s="16" t="s">
        <v>420</v>
      </c>
      <c r="C2201" s="16" t="s">
        <v>414</v>
      </c>
      <c r="D2201" s="16" t="s">
        <v>418</v>
      </c>
      <c r="E2201" s="17">
        <v>41640</v>
      </c>
      <c r="F2201" s="17">
        <v>42004</v>
      </c>
      <c r="G2201" s="16" t="s">
        <v>410</v>
      </c>
      <c r="H2201" s="16">
        <v>30</v>
      </c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 t="s">
        <v>413</v>
      </c>
    </row>
    <row r="2202" spans="1:32" ht="14.25" customHeight="1" x14ac:dyDescent="0.35">
      <c r="A2202" s="16" t="s">
        <v>1574</v>
      </c>
      <c r="B2202" s="16" t="s">
        <v>420</v>
      </c>
      <c r="C2202" s="16" t="s">
        <v>414</v>
      </c>
      <c r="D2202" s="16" t="s">
        <v>821</v>
      </c>
      <c r="E2202" s="17">
        <v>41640</v>
      </c>
      <c r="F2202" s="17">
        <v>42004</v>
      </c>
      <c r="G2202" s="16" t="s">
        <v>410</v>
      </c>
      <c r="H2202" s="16">
        <v>26</v>
      </c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 t="s">
        <v>413</v>
      </c>
    </row>
    <row r="2203" spans="1:32" ht="14.25" customHeight="1" x14ac:dyDescent="0.35">
      <c r="A2203" s="16" t="s">
        <v>1574</v>
      </c>
      <c r="B2203" s="16" t="s">
        <v>420</v>
      </c>
      <c r="C2203" s="16" t="s">
        <v>414</v>
      </c>
      <c r="D2203" s="16" t="s">
        <v>419</v>
      </c>
      <c r="E2203" s="17">
        <v>41640</v>
      </c>
      <c r="F2203" s="17">
        <v>42004</v>
      </c>
      <c r="G2203" s="16" t="s">
        <v>415</v>
      </c>
      <c r="H2203" s="16">
        <v>26</v>
      </c>
      <c r="I2203" s="16">
        <v>30</v>
      </c>
      <c r="J2203" s="16">
        <v>30</v>
      </c>
      <c r="K2203" s="16">
        <v>30</v>
      </c>
      <c r="L2203" s="16">
        <v>30</v>
      </c>
      <c r="M2203" s="16">
        <v>28</v>
      </c>
      <c r="N2203" s="16">
        <v>26</v>
      </c>
      <c r="O2203" s="16">
        <v>26</v>
      </c>
      <c r="P2203" s="16">
        <v>26</v>
      </c>
      <c r="Q2203" s="16">
        <v>26</v>
      </c>
      <c r="R2203" s="16">
        <v>26</v>
      </c>
      <c r="S2203" s="16">
        <v>26</v>
      </c>
      <c r="T2203" s="16">
        <v>26</v>
      </c>
      <c r="U2203" s="16">
        <v>26</v>
      </c>
      <c r="V2203" s="16">
        <v>26</v>
      </c>
      <c r="W2203" s="16">
        <v>26</v>
      </c>
      <c r="X2203" s="16">
        <v>26</v>
      </c>
      <c r="Y2203" s="16">
        <v>26</v>
      </c>
      <c r="Z2203" s="16">
        <v>26</v>
      </c>
      <c r="AA2203" s="16">
        <v>26</v>
      </c>
      <c r="AB2203" s="16">
        <v>26</v>
      </c>
      <c r="AC2203" s="16">
        <v>26</v>
      </c>
      <c r="AD2203" s="16">
        <v>26</v>
      </c>
      <c r="AE2203" s="16">
        <v>26</v>
      </c>
      <c r="AF2203" s="16" t="s">
        <v>413</v>
      </c>
    </row>
    <row r="2204" spans="1:32" ht="14.25" customHeight="1" x14ac:dyDescent="0.35">
      <c r="A2204" s="14" t="s">
        <v>1574</v>
      </c>
      <c r="B2204" s="14" t="s">
        <v>420</v>
      </c>
      <c r="C2204" s="14" t="s">
        <v>414</v>
      </c>
      <c r="D2204" s="14" t="s">
        <v>418</v>
      </c>
      <c r="E2204" s="15">
        <v>41640</v>
      </c>
      <c r="F2204" s="15">
        <v>42004</v>
      </c>
      <c r="G2204" s="14" t="s">
        <v>410</v>
      </c>
      <c r="H2204" s="14">
        <v>30</v>
      </c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 t="s">
        <v>413</v>
      </c>
    </row>
    <row r="2205" spans="1:32" ht="14.25" customHeight="1" x14ac:dyDescent="0.35">
      <c r="A2205" s="14" t="s">
        <v>1575</v>
      </c>
      <c r="B2205" s="14" t="s">
        <v>420</v>
      </c>
      <c r="C2205" s="14" t="s">
        <v>414</v>
      </c>
      <c r="D2205" s="14" t="s">
        <v>821</v>
      </c>
      <c r="E2205" s="15">
        <v>41640</v>
      </c>
      <c r="F2205" s="15">
        <v>42004</v>
      </c>
      <c r="G2205" s="14" t="s">
        <v>415</v>
      </c>
      <c r="H2205" s="14">
        <v>26</v>
      </c>
      <c r="I2205" s="14">
        <v>30</v>
      </c>
      <c r="J2205" s="14">
        <v>30</v>
      </c>
      <c r="K2205" s="14">
        <v>30</v>
      </c>
      <c r="L2205" s="14">
        <v>28.9</v>
      </c>
      <c r="M2205" s="14">
        <v>27.8</v>
      </c>
      <c r="N2205" s="14">
        <v>26</v>
      </c>
      <c r="O2205" s="14">
        <v>26</v>
      </c>
      <c r="P2205" s="14">
        <v>26</v>
      </c>
      <c r="Q2205" s="14">
        <v>26</v>
      </c>
      <c r="R2205" s="14">
        <v>26</v>
      </c>
      <c r="S2205" s="14">
        <v>26</v>
      </c>
      <c r="T2205" s="14">
        <v>26</v>
      </c>
      <c r="U2205" s="14">
        <v>26</v>
      </c>
      <c r="V2205" s="14">
        <v>26</v>
      </c>
      <c r="W2205" s="14">
        <v>26</v>
      </c>
      <c r="X2205" s="14">
        <v>26</v>
      </c>
      <c r="Y2205" s="14">
        <v>26</v>
      </c>
      <c r="Z2205" s="14">
        <v>26</v>
      </c>
      <c r="AA2205" s="14">
        <v>26</v>
      </c>
      <c r="AB2205" s="14">
        <v>26</v>
      </c>
      <c r="AC2205" s="14">
        <v>26</v>
      </c>
      <c r="AD2205" s="14">
        <v>26</v>
      </c>
      <c r="AE2205" s="14">
        <v>26</v>
      </c>
      <c r="AF2205" s="14" t="s">
        <v>413</v>
      </c>
    </row>
    <row r="2206" spans="1:32" ht="14.25" customHeight="1" x14ac:dyDescent="0.35">
      <c r="A2206" s="14" t="s">
        <v>1575</v>
      </c>
      <c r="B2206" s="14" t="s">
        <v>420</v>
      </c>
      <c r="C2206" s="14" t="s">
        <v>414</v>
      </c>
      <c r="D2206" s="14" t="s">
        <v>419</v>
      </c>
      <c r="E2206" s="15">
        <v>41640</v>
      </c>
      <c r="F2206" s="15">
        <v>42004</v>
      </c>
      <c r="G2206" s="14" t="s">
        <v>415</v>
      </c>
      <c r="H2206" s="14">
        <v>26</v>
      </c>
      <c r="I2206" s="14">
        <v>30</v>
      </c>
      <c r="J2206" s="14">
        <v>30</v>
      </c>
      <c r="K2206" s="14">
        <v>30</v>
      </c>
      <c r="L2206" s="14">
        <v>30</v>
      </c>
      <c r="M2206" s="14">
        <v>28</v>
      </c>
      <c r="N2206" s="14">
        <v>26</v>
      </c>
      <c r="O2206" s="14">
        <v>26</v>
      </c>
      <c r="P2206" s="14">
        <v>26</v>
      </c>
      <c r="Q2206" s="14">
        <v>26</v>
      </c>
      <c r="R2206" s="14">
        <v>26</v>
      </c>
      <c r="S2206" s="14">
        <v>26</v>
      </c>
      <c r="T2206" s="14">
        <v>26</v>
      </c>
      <c r="U2206" s="14">
        <v>26</v>
      </c>
      <c r="V2206" s="14">
        <v>26</v>
      </c>
      <c r="W2206" s="14">
        <v>26</v>
      </c>
      <c r="X2206" s="14">
        <v>26</v>
      </c>
      <c r="Y2206" s="14">
        <v>26</v>
      </c>
      <c r="Z2206" s="14">
        <v>26</v>
      </c>
      <c r="AA2206" s="14">
        <v>26</v>
      </c>
      <c r="AB2206" s="14">
        <v>26</v>
      </c>
      <c r="AC2206" s="14">
        <v>26</v>
      </c>
      <c r="AD2206" s="14">
        <v>26</v>
      </c>
      <c r="AE2206" s="14">
        <v>26</v>
      </c>
      <c r="AF2206" s="14" t="s">
        <v>413</v>
      </c>
    </row>
    <row r="2207" spans="1:32" ht="14.25" customHeight="1" x14ac:dyDescent="0.35">
      <c r="A2207" s="16" t="s">
        <v>1575</v>
      </c>
      <c r="B2207" s="16" t="s">
        <v>420</v>
      </c>
      <c r="C2207" s="16" t="s">
        <v>414</v>
      </c>
      <c r="D2207" s="16" t="s">
        <v>418</v>
      </c>
      <c r="E2207" s="17">
        <v>41640</v>
      </c>
      <c r="F2207" s="17">
        <v>42004</v>
      </c>
      <c r="G2207" s="16" t="s">
        <v>410</v>
      </c>
      <c r="H2207" s="16">
        <v>30</v>
      </c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  <c r="AA2207" s="16"/>
      <c r="AB2207" s="16"/>
      <c r="AC2207" s="16"/>
      <c r="AD2207" s="16"/>
      <c r="AE2207" s="16"/>
      <c r="AF2207" s="16" t="s">
        <v>413</v>
      </c>
    </row>
    <row r="2208" spans="1:32" ht="14.25" customHeight="1" x14ac:dyDescent="0.35">
      <c r="A2208" s="16" t="s">
        <v>1576</v>
      </c>
      <c r="B2208" s="16" t="s">
        <v>420</v>
      </c>
      <c r="C2208" s="16" t="s">
        <v>414</v>
      </c>
      <c r="D2208" s="16" t="s">
        <v>821</v>
      </c>
      <c r="E2208" s="17">
        <v>41640</v>
      </c>
      <c r="F2208" s="17">
        <v>42004</v>
      </c>
      <c r="G2208" s="16" t="s">
        <v>415</v>
      </c>
      <c r="H2208" s="16">
        <v>30</v>
      </c>
      <c r="I2208" s="16">
        <v>30</v>
      </c>
      <c r="J2208" s="16">
        <v>30</v>
      </c>
      <c r="K2208" s="16">
        <v>30</v>
      </c>
      <c r="L2208" s="16">
        <v>24</v>
      </c>
      <c r="M2208" s="16">
        <v>24</v>
      </c>
      <c r="N2208" s="16">
        <v>24</v>
      </c>
      <c r="O2208" s="16">
        <v>24</v>
      </c>
      <c r="P2208" s="16">
        <v>24</v>
      </c>
      <c r="Q2208" s="16">
        <v>24</v>
      </c>
      <c r="R2208" s="16">
        <v>24</v>
      </c>
      <c r="S2208" s="16">
        <v>24</v>
      </c>
      <c r="T2208" s="16">
        <v>24</v>
      </c>
      <c r="U2208" s="16">
        <v>24</v>
      </c>
      <c r="V2208" s="16">
        <v>24</v>
      </c>
      <c r="W2208" s="16">
        <v>24</v>
      </c>
      <c r="X2208" s="16">
        <v>24</v>
      </c>
      <c r="Y2208" s="16">
        <v>24</v>
      </c>
      <c r="Z2208" s="16">
        <v>24</v>
      </c>
      <c r="AA2208" s="16">
        <v>24</v>
      </c>
      <c r="AB2208" s="16">
        <v>24</v>
      </c>
      <c r="AC2208" s="16">
        <v>24</v>
      </c>
      <c r="AD2208" s="16">
        <v>24</v>
      </c>
      <c r="AE2208" s="16">
        <v>24</v>
      </c>
      <c r="AF2208" s="16" t="s">
        <v>413</v>
      </c>
    </row>
    <row r="2209" spans="1:32" ht="14.25" customHeight="1" x14ac:dyDescent="0.35">
      <c r="A2209" s="16" t="s">
        <v>1576</v>
      </c>
      <c r="B2209" s="16" t="s">
        <v>420</v>
      </c>
      <c r="C2209" s="16" t="s">
        <v>414</v>
      </c>
      <c r="D2209" s="16" t="s">
        <v>419</v>
      </c>
      <c r="E2209" s="17">
        <v>41640</v>
      </c>
      <c r="F2209" s="17">
        <v>42004</v>
      </c>
      <c r="G2209" s="16" t="s">
        <v>415</v>
      </c>
      <c r="H2209" s="16">
        <v>30</v>
      </c>
      <c r="I2209" s="16">
        <v>30</v>
      </c>
      <c r="J2209" s="16">
        <v>30</v>
      </c>
      <c r="K2209" s="16">
        <v>30</v>
      </c>
      <c r="L2209" s="16">
        <v>30</v>
      </c>
      <c r="M2209" s="16">
        <v>26</v>
      </c>
      <c r="N2209" s="16">
        <v>24</v>
      </c>
      <c r="O2209" s="16">
        <v>24</v>
      </c>
      <c r="P2209" s="16">
        <v>24</v>
      </c>
      <c r="Q2209" s="16">
        <v>24</v>
      </c>
      <c r="R2209" s="16">
        <v>24</v>
      </c>
      <c r="S2209" s="16">
        <v>24</v>
      </c>
      <c r="T2209" s="16">
        <v>24</v>
      </c>
      <c r="U2209" s="16">
        <v>24</v>
      </c>
      <c r="V2209" s="16">
        <v>24</v>
      </c>
      <c r="W2209" s="16">
        <v>24</v>
      </c>
      <c r="X2209" s="16">
        <v>24</v>
      </c>
      <c r="Y2209" s="16">
        <v>24</v>
      </c>
      <c r="Z2209" s="16">
        <v>24</v>
      </c>
      <c r="AA2209" s="16">
        <v>24</v>
      </c>
      <c r="AB2209" s="16">
        <v>24</v>
      </c>
      <c r="AC2209" s="16">
        <v>24</v>
      </c>
      <c r="AD2209" s="16">
        <v>24</v>
      </c>
      <c r="AE2209" s="16">
        <v>24</v>
      </c>
      <c r="AF2209" s="16" t="s">
        <v>413</v>
      </c>
    </row>
    <row r="2210" spans="1:32" ht="14.25" customHeight="1" x14ac:dyDescent="0.35">
      <c r="A2210" s="14" t="s">
        <v>1576</v>
      </c>
      <c r="B2210" s="14" t="s">
        <v>420</v>
      </c>
      <c r="C2210" s="14" t="s">
        <v>414</v>
      </c>
      <c r="D2210" s="14" t="s">
        <v>418</v>
      </c>
      <c r="E2210" s="15">
        <v>41640</v>
      </c>
      <c r="F2210" s="15">
        <v>42004</v>
      </c>
      <c r="G2210" s="14" t="s">
        <v>410</v>
      </c>
      <c r="H2210" s="14">
        <v>30</v>
      </c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 t="s">
        <v>413</v>
      </c>
    </row>
    <row r="2211" spans="1:32" ht="14.25" customHeight="1" x14ac:dyDescent="0.35">
      <c r="A2211" s="14" t="s">
        <v>1577</v>
      </c>
      <c r="B2211" s="14" t="s">
        <v>420</v>
      </c>
      <c r="C2211" s="14" t="s">
        <v>414</v>
      </c>
      <c r="D2211" s="14" t="s">
        <v>821</v>
      </c>
      <c r="E2211" s="15">
        <v>41640</v>
      </c>
      <c r="F2211" s="15">
        <v>42004</v>
      </c>
      <c r="G2211" s="14" t="s">
        <v>410</v>
      </c>
      <c r="H2211" s="14">
        <v>24</v>
      </c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 t="s">
        <v>413</v>
      </c>
    </row>
    <row r="2212" spans="1:32" ht="14.25" customHeight="1" x14ac:dyDescent="0.35">
      <c r="A2212" s="14" t="s">
        <v>1577</v>
      </c>
      <c r="B2212" s="14" t="s">
        <v>420</v>
      </c>
      <c r="C2212" s="14" t="s">
        <v>414</v>
      </c>
      <c r="D2212" s="14" t="s">
        <v>419</v>
      </c>
      <c r="E2212" s="15">
        <v>41640</v>
      </c>
      <c r="F2212" s="15">
        <v>42004</v>
      </c>
      <c r="G2212" s="14" t="s">
        <v>415</v>
      </c>
      <c r="H2212" s="14">
        <v>30</v>
      </c>
      <c r="I2212" s="14">
        <v>30</v>
      </c>
      <c r="J2212" s="14">
        <v>30</v>
      </c>
      <c r="K2212" s="14">
        <v>30</v>
      </c>
      <c r="L2212" s="14">
        <v>30</v>
      </c>
      <c r="M2212" s="14">
        <v>26</v>
      </c>
      <c r="N2212" s="14">
        <v>24</v>
      </c>
      <c r="O2212" s="14">
        <v>24</v>
      </c>
      <c r="P2212" s="14">
        <v>24</v>
      </c>
      <c r="Q2212" s="14">
        <v>24</v>
      </c>
      <c r="R2212" s="14">
        <v>24</v>
      </c>
      <c r="S2212" s="14">
        <v>24</v>
      </c>
      <c r="T2212" s="14">
        <v>24</v>
      </c>
      <c r="U2212" s="14">
        <v>24</v>
      </c>
      <c r="V2212" s="14">
        <v>24</v>
      </c>
      <c r="W2212" s="14">
        <v>24</v>
      </c>
      <c r="X2212" s="14">
        <v>24</v>
      </c>
      <c r="Y2212" s="14">
        <v>24</v>
      </c>
      <c r="Z2212" s="14">
        <v>24</v>
      </c>
      <c r="AA2212" s="14">
        <v>24</v>
      </c>
      <c r="AB2212" s="14">
        <v>24</v>
      </c>
      <c r="AC2212" s="14">
        <v>24</v>
      </c>
      <c r="AD2212" s="14">
        <v>24</v>
      </c>
      <c r="AE2212" s="14">
        <v>24</v>
      </c>
      <c r="AF2212" s="14" t="s">
        <v>413</v>
      </c>
    </row>
    <row r="2213" spans="1:32" ht="14.25" customHeight="1" x14ac:dyDescent="0.35">
      <c r="A2213" s="16" t="s">
        <v>1577</v>
      </c>
      <c r="B2213" s="16" t="s">
        <v>420</v>
      </c>
      <c r="C2213" s="16" t="s">
        <v>414</v>
      </c>
      <c r="D2213" s="16" t="s">
        <v>418</v>
      </c>
      <c r="E2213" s="17">
        <v>41640</v>
      </c>
      <c r="F2213" s="17">
        <v>42004</v>
      </c>
      <c r="G2213" s="16" t="s">
        <v>410</v>
      </c>
      <c r="H2213" s="16">
        <v>30</v>
      </c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6"/>
      <c r="AA2213" s="16"/>
      <c r="AB2213" s="16"/>
      <c r="AC2213" s="16"/>
      <c r="AD2213" s="16"/>
      <c r="AE2213" s="16"/>
      <c r="AF2213" s="16" t="s">
        <v>413</v>
      </c>
    </row>
    <row r="2214" spans="1:32" ht="14.25" customHeight="1" x14ac:dyDescent="0.35">
      <c r="A2214" s="16" t="s">
        <v>1578</v>
      </c>
      <c r="B2214" s="16" t="s">
        <v>420</v>
      </c>
      <c r="C2214" s="16" t="s">
        <v>414</v>
      </c>
      <c r="D2214" s="16" t="s">
        <v>821</v>
      </c>
      <c r="E2214" s="17">
        <v>41640</v>
      </c>
      <c r="F2214" s="17">
        <v>42004</v>
      </c>
      <c r="G2214" s="16" t="s">
        <v>415</v>
      </c>
      <c r="H2214" s="16">
        <v>30</v>
      </c>
      <c r="I2214" s="16">
        <v>30</v>
      </c>
      <c r="J2214" s="16">
        <v>30</v>
      </c>
      <c r="K2214" s="16">
        <v>30</v>
      </c>
      <c r="L2214" s="16">
        <v>27.8</v>
      </c>
      <c r="M2214" s="16">
        <v>25.6</v>
      </c>
      <c r="N2214" s="16">
        <v>24</v>
      </c>
      <c r="O2214" s="16">
        <v>24</v>
      </c>
      <c r="P2214" s="16">
        <v>24</v>
      </c>
      <c r="Q2214" s="16">
        <v>24</v>
      </c>
      <c r="R2214" s="16">
        <v>24</v>
      </c>
      <c r="S2214" s="16">
        <v>24</v>
      </c>
      <c r="T2214" s="16">
        <v>24</v>
      </c>
      <c r="U2214" s="16">
        <v>24</v>
      </c>
      <c r="V2214" s="16">
        <v>24</v>
      </c>
      <c r="W2214" s="16">
        <v>24</v>
      </c>
      <c r="X2214" s="16">
        <v>24</v>
      </c>
      <c r="Y2214" s="16">
        <v>24</v>
      </c>
      <c r="Z2214" s="16">
        <v>24</v>
      </c>
      <c r="AA2214" s="16">
        <v>24</v>
      </c>
      <c r="AB2214" s="16">
        <v>24</v>
      </c>
      <c r="AC2214" s="16">
        <v>24</v>
      </c>
      <c r="AD2214" s="16">
        <v>24</v>
      </c>
      <c r="AE2214" s="16">
        <v>24</v>
      </c>
      <c r="AF2214" s="16" t="s">
        <v>413</v>
      </c>
    </row>
    <row r="2215" spans="1:32" ht="14.25" customHeight="1" x14ac:dyDescent="0.35">
      <c r="A2215" s="16" t="s">
        <v>1578</v>
      </c>
      <c r="B2215" s="16" t="s">
        <v>420</v>
      </c>
      <c r="C2215" s="16" t="s">
        <v>414</v>
      </c>
      <c r="D2215" s="16" t="s">
        <v>419</v>
      </c>
      <c r="E2215" s="17">
        <v>41640</v>
      </c>
      <c r="F2215" s="17">
        <v>42004</v>
      </c>
      <c r="G2215" s="16" t="s">
        <v>415</v>
      </c>
      <c r="H2215" s="16">
        <v>30</v>
      </c>
      <c r="I2215" s="16">
        <v>30</v>
      </c>
      <c r="J2215" s="16">
        <v>30</v>
      </c>
      <c r="K2215" s="16">
        <v>30</v>
      </c>
      <c r="L2215" s="16">
        <v>30</v>
      </c>
      <c r="M2215" s="16">
        <v>26</v>
      </c>
      <c r="N2215" s="16">
        <v>24</v>
      </c>
      <c r="O2215" s="16">
        <v>24</v>
      </c>
      <c r="P2215" s="16">
        <v>24</v>
      </c>
      <c r="Q2215" s="16">
        <v>24</v>
      </c>
      <c r="R2215" s="16">
        <v>24</v>
      </c>
      <c r="S2215" s="16">
        <v>24</v>
      </c>
      <c r="T2215" s="16">
        <v>24</v>
      </c>
      <c r="U2215" s="16">
        <v>24</v>
      </c>
      <c r="V2215" s="16">
        <v>24</v>
      </c>
      <c r="W2215" s="16">
        <v>24</v>
      </c>
      <c r="X2215" s="16">
        <v>24</v>
      </c>
      <c r="Y2215" s="16">
        <v>24</v>
      </c>
      <c r="Z2215" s="16">
        <v>24</v>
      </c>
      <c r="AA2215" s="16">
        <v>24</v>
      </c>
      <c r="AB2215" s="16">
        <v>24</v>
      </c>
      <c r="AC2215" s="16">
        <v>24</v>
      </c>
      <c r="AD2215" s="16">
        <v>24</v>
      </c>
      <c r="AE2215" s="16">
        <v>24</v>
      </c>
      <c r="AF2215" s="16" t="s">
        <v>413</v>
      </c>
    </row>
    <row r="2216" spans="1:32" ht="14.25" customHeight="1" x14ac:dyDescent="0.35">
      <c r="A2216" s="14" t="s">
        <v>1578</v>
      </c>
      <c r="B2216" s="14" t="s">
        <v>420</v>
      </c>
      <c r="C2216" s="14" t="s">
        <v>414</v>
      </c>
      <c r="D2216" s="14" t="s">
        <v>418</v>
      </c>
      <c r="E2216" s="15">
        <v>41640</v>
      </c>
      <c r="F2216" s="15">
        <v>42004</v>
      </c>
      <c r="G2216" s="14" t="s">
        <v>410</v>
      </c>
      <c r="H2216" s="14">
        <v>30</v>
      </c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 t="s">
        <v>413</v>
      </c>
    </row>
    <row r="2217" spans="1:32" ht="14.25" customHeight="1" x14ac:dyDescent="0.35">
      <c r="A2217" s="14" t="s">
        <v>1579</v>
      </c>
      <c r="B2217" s="14" t="s">
        <v>518</v>
      </c>
      <c r="C2217" s="14" t="s">
        <v>412</v>
      </c>
      <c r="D2217" s="14" t="s">
        <v>453</v>
      </c>
      <c r="E2217" s="15">
        <v>41640</v>
      </c>
      <c r="F2217" s="15">
        <v>42004</v>
      </c>
      <c r="G2217" s="14" t="s">
        <v>410</v>
      </c>
      <c r="H2217" s="14">
        <v>0.5</v>
      </c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 t="s">
        <v>413</v>
      </c>
    </row>
    <row r="2218" spans="1:32" ht="14.25" customHeight="1" x14ac:dyDescent="0.35">
      <c r="A2218" s="14" t="s">
        <v>1579</v>
      </c>
      <c r="B2218" s="14" t="s">
        <v>518</v>
      </c>
      <c r="C2218" s="14" t="s">
        <v>412</v>
      </c>
      <c r="D2218" s="14" t="s">
        <v>454</v>
      </c>
      <c r="E2218" s="15">
        <v>41913</v>
      </c>
      <c r="F2218" s="15">
        <v>42004</v>
      </c>
      <c r="G2218" s="14" t="s">
        <v>410</v>
      </c>
      <c r="H2218" s="14">
        <v>1</v>
      </c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 t="s">
        <v>413</v>
      </c>
    </row>
    <row r="2219" spans="1:32" ht="14.25" customHeight="1" x14ac:dyDescent="0.35">
      <c r="A2219" s="16" t="s">
        <v>1579</v>
      </c>
      <c r="B2219" s="16" t="s">
        <v>518</v>
      </c>
      <c r="C2219" s="16" t="s">
        <v>412</v>
      </c>
      <c r="D2219" s="16" t="s">
        <v>454</v>
      </c>
      <c r="E2219" s="17">
        <v>41640</v>
      </c>
      <c r="F2219" s="17">
        <v>41759</v>
      </c>
      <c r="G2219" s="16" t="s">
        <v>410</v>
      </c>
      <c r="H2219" s="16">
        <v>1</v>
      </c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 t="s">
        <v>413</v>
      </c>
    </row>
    <row r="2220" spans="1:32" ht="14.25" customHeight="1" x14ac:dyDescent="0.35">
      <c r="A2220" s="16" t="s">
        <v>1579</v>
      </c>
      <c r="B2220" s="16" t="s">
        <v>518</v>
      </c>
      <c r="C2220" s="16" t="s">
        <v>412</v>
      </c>
      <c r="D2220" s="16" t="s">
        <v>418</v>
      </c>
      <c r="E2220" s="17">
        <v>41640</v>
      </c>
      <c r="F2220" s="17">
        <v>42004</v>
      </c>
      <c r="G2220" s="16" t="s">
        <v>410</v>
      </c>
      <c r="H2220" s="16">
        <v>1</v>
      </c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  <c r="AA2220" s="16"/>
      <c r="AB2220" s="16"/>
      <c r="AC2220" s="16"/>
      <c r="AD2220" s="16"/>
      <c r="AE2220" s="16"/>
      <c r="AF2220" s="16" t="s">
        <v>413</v>
      </c>
    </row>
    <row r="2221" spans="1:32" ht="14.25" customHeight="1" x14ac:dyDescent="0.35">
      <c r="A2221" s="14" t="s">
        <v>1580</v>
      </c>
      <c r="B2221" s="14" t="s">
        <v>408</v>
      </c>
      <c r="C2221" s="14"/>
      <c r="D2221" s="14" t="s">
        <v>409</v>
      </c>
      <c r="E2221" s="15">
        <v>41640</v>
      </c>
      <c r="F2221" s="15">
        <v>42004</v>
      </c>
      <c r="G2221" s="14" t="s">
        <v>410</v>
      </c>
      <c r="H2221" s="14">
        <v>1</v>
      </c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 t="s">
        <v>413</v>
      </c>
    </row>
    <row r="2222" spans="1:32" ht="14.25" customHeight="1" x14ac:dyDescent="0.35">
      <c r="A2222" s="16" t="s">
        <v>1581</v>
      </c>
      <c r="B2222" s="16" t="s">
        <v>441</v>
      </c>
      <c r="C2222" s="16"/>
      <c r="D2222" s="16" t="s">
        <v>417</v>
      </c>
      <c r="E2222" s="17">
        <v>41640</v>
      </c>
      <c r="F2222" s="17">
        <v>42004</v>
      </c>
      <c r="G2222" s="16" t="s">
        <v>415</v>
      </c>
      <c r="H2222" s="16">
        <v>0</v>
      </c>
      <c r="I2222" s="16">
        <v>0</v>
      </c>
      <c r="J2222" s="16">
        <v>0</v>
      </c>
      <c r="K2222" s="16">
        <v>0</v>
      </c>
      <c r="L2222" s="16">
        <v>0</v>
      </c>
      <c r="M2222" s="16">
        <v>0</v>
      </c>
      <c r="N2222" s="16">
        <v>0.14399999999999999</v>
      </c>
      <c r="O2222" s="16">
        <v>0.55800000000000005</v>
      </c>
      <c r="P2222" s="16">
        <v>0.55800000000000005</v>
      </c>
      <c r="Q2222" s="16">
        <v>0.25800000000000001</v>
      </c>
      <c r="R2222" s="16">
        <v>0.25800000000000001</v>
      </c>
      <c r="S2222" s="16">
        <v>0.36299999999999999</v>
      </c>
      <c r="T2222" s="16">
        <v>0.55800000000000005</v>
      </c>
      <c r="U2222" s="16">
        <v>0.55800000000000005</v>
      </c>
      <c r="V2222" s="16">
        <v>0.36299999999999999</v>
      </c>
      <c r="W2222" s="16">
        <v>0.25800000000000001</v>
      </c>
      <c r="X2222" s="16">
        <v>0.36299999999999999</v>
      </c>
      <c r="Y2222" s="16">
        <v>0.46200000000000002</v>
      </c>
      <c r="Z2222" s="16">
        <v>0.55800000000000005</v>
      </c>
      <c r="AA2222" s="16">
        <v>0.65</v>
      </c>
      <c r="AB2222" s="16">
        <v>0.74</v>
      </c>
      <c r="AC2222" s="16">
        <v>0.46200000000000002</v>
      </c>
      <c r="AD2222" s="16">
        <v>0.25800000000000001</v>
      </c>
      <c r="AE2222" s="16">
        <v>0.25800000000000001</v>
      </c>
      <c r="AF2222" s="16" t="s">
        <v>413</v>
      </c>
    </row>
    <row r="2223" spans="1:32" ht="14.25" customHeight="1" x14ac:dyDescent="0.35">
      <c r="A2223" s="14" t="s">
        <v>1581</v>
      </c>
      <c r="B2223" s="14" t="s">
        <v>441</v>
      </c>
      <c r="C2223" s="14"/>
      <c r="D2223" s="14" t="s">
        <v>512</v>
      </c>
      <c r="E2223" s="15">
        <v>41640</v>
      </c>
      <c r="F2223" s="15">
        <v>42004</v>
      </c>
      <c r="G2223" s="14" t="s">
        <v>415</v>
      </c>
      <c r="H2223" s="14">
        <v>0</v>
      </c>
      <c r="I2223" s="14">
        <v>0</v>
      </c>
      <c r="J2223" s="14">
        <v>0</v>
      </c>
      <c r="K2223" s="14">
        <v>0</v>
      </c>
      <c r="L2223" s="14">
        <v>0</v>
      </c>
      <c r="M2223" s="14">
        <v>0</v>
      </c>
      <c r="N2223" s="14">
        <v>0.14399999999999999</v>
      </c>
      <c r="O2223" s="14">
        <v>0.55800000000000005</v>
      </c>
      <c r="P2223" s="14">
        <v>0.55800000000000005</v>
      </c>
      <c r="Q2223" s="14">
        <v>0.46200000000000002</v>
      </c>
      <c r="R2223" s="14">
        <v>0.25800000000000001</v>
      </c>
      <c r="S2223" s="14">
        <v>0.46200000000000002</v>
      </c>
      <c r="T2223" s="14">
        <v>0.55800000000000005</v>
      </c>
      <c r="U2223" s="14">
        <v>0.55800000000000005</v>
      </c>
      <c r="V2223" s="14">
        <v>0.46200000000000002</v>
      </c>
      <c r="W2223" s="14">
        <v>0.36299999999999999</v>
      </c>
      <c r="X2223" s="14">
        <v>0.36299999999999999</v>
      </c>
      <c r="Y2223" s="14">
        <v>0.36299999999999999</v>
      </c>
      <c r="Z2223" s="14">
        <v>0.74</v>
      </c>
      <c r="AA2223" s="14">
        <v>0.91500000000000004</v>
      </c>
      <c r="AB2223" s="14">
        <v>0.74</v>
      </c>
      <c r="AC2223" s="14">
        <v>0.65</v>
      </c>
      <c r="AD2223" s="14">
        <v>0.55800000000000005</v>
      </c>
      <c r="AE2223" s="14">
        <v>0.36299999999999999</v>
      </c>
      <c r="AF2223" s="14" t="s">
        <v>413</v>
      </c>
    </row>
    <row r="2224" spans="1:32" ht="14.25" customHeight="1" x14ac:dyDescent="0.35">
      <c r="A2224" s="16" t="s">
        <v>1581</v>
      </c>
      <c r="B2224" s="16" t="s">
        <v>441</v>
      </c>
      <c r="C2224" s="16"/>
      <c r="D2224" s="16" t="s">
        <v>419</v>
      </c>
      <c r="E2224" s="17">
        <v>41640</v>
      </c>
      <c r="F2224" s="17">
        <v>42004</v>
      </c>
      <c r="G2224" s="16" t="s">
        <v>410</v>
      </c>
      <c r="H2224" s="16">
        <v>1</v>
      </c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16"/>
      <c r="AF2224" s="16" t="s">
        <v>413</v>
      </c>
    </row>
    <row r="2225" spans="1:32" ht="14.25" customHeight="1" x14ac:dyDescent="0.35">
      <c r="A2225" s="16" t="s">
        <v>1581</v>
      </c>
      <c r="B2225" s="16" t="s">
        <v>441</v>
      </c>
      <c r="C2225" s="16"/>
      <c r="D2225" s="16" t="s">
        <v>429</v>
      </c>
      <c r="E2225" s="17">
        <v>41640</v>
      </c>
      <c r="F2225" s="17">
        <v>42004</v>
      </c>
      <c r="G2225" s="16" t="s">
        <v>415</v>
      </c>
      <c r="H2225" s="16">
        <v>0</v>
      </c>
      <c r="I2225" s="16">
        <v>0</v>
      </c>
      <c r="J2225" s="16">
        <v>0</v>
      </c>
      <c r="K2225" s="16">
        <v>0</v>
      </c>
      <c r="L2225" s="16">
        <v>0</v>
      </c>
      <c r="M2225" s="16">
        <v>0</v>
      </c>
      <c r="N2225" s="16">
        <v>0.14399999999999999</v>
      </c>
      <c r="O2225" s="16">
        <v>0.46200000000000002</v>
      </c>
      <c r="P2225" s="16">
        <v>0.46200000000000002</v>
      </c>
      <c r="Q2225" s="16">
        <v>0.46200000000000002</v>
      </c>
      <c r="R2225" s="16">
        <v>0.25800000000000001</v>
      </c>
      <c r="S2225" s="16">
        <v>0.55800000000000005</v>
      </c>
      <c r="T2225" s="16">
        <v>0.82899999999999996</v>
      </c>
      <c r="U2225" s="16">
        <v>0.74</v>
      </c>
      <c r="V2225" s="16">
        <v>0.46200000000000002</v>
      </c>
      <c r="W2225" s="16">
        <v>0.25800000000000001</v>
      </c>
      <c r="X2225" s="16">
        <v>0.36299999999999999</v>
      </c>
      <c r="Y2225" s="16">
        <v>0.55800000000000005</v>
      </c>
      <c r="Z2225" s="16">
        <v>0.82899999999999996</v>
      </c>
      <c r="AA2225" s="16">
        <v>0.82899999999999996</v>
      </c>
      <c r="AB2225" s="16">
        <v>0.82899999999999996</v>
      </c>
      <c r="AC2225" s="16">
        <v>0.55800000000000005</v>
      </c>
      <c r="AD2225" s="16">
        <v>0.36299999999999999</v>
      </c>
      <c r="AE2225" s="16">
        <v>0.25800000000000001</v>
      </c>
      <c r="AF2225" s="16" t="s">
        <v>413</v>
      </c>
    </row>
    <row r="2226" spans="1:32" ht="14.25" customHeight="1" x14ac:dyDescent="0.35">
      <c r="A2226" s="14" t="s">
        <v>1581</v>
      </c>
      <c r="B2226" s="14" t="s">
        <v>441</v>
      </c>
      <c r="C2226" s="14"/>
      <c r="D2226" s="14" t="s">
        <v>418</v>
      </c>
      <c r="E2226" s="15">
        <v>41640</v>
      </c>
      <c r="F2226" s="15">
        <v>42004</v>
      </c>
      <c r="G2226" s="14" t="s">
        <v>410</v>
      </c>
      <c r="H2226" s="14">
        <v>0</v>
      </c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 t="s">
        <v>413</v>
      </c>
    </row>
    <row r="2227" spans="1:32" ht="14.25" customHeight="1" x14ac:dyDescent="0.35">
      <c r="A2227" s="14" t="s">
        <v>1582</v>
      </c>
      <c r="B2227" s="14" t="s">
        <v>408</v>
      </c>
      <c r="C2227" s="14"/>
      <c r="D2227" s="14" t="s">
        <v>409</v>
      </c>
      <c r="E2227" s="15">
        <v>41640</v>
      </c>
      <c r="F2227" s="15">
        <v>42004</v>
      </c>
      <c r="G2227" s="14" t="s">
        <v>410</v>
      </c>
      <c r="H2227" s="14">
        <v>4</v>
      </c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 t="s">
        <v>413</v>
      </c>
    </row>
    <row r="2228" spans="1:32" ht="14.25" customHeight="1" x14ac:dyDescent="0.35">
      <c r="A2228" s="16" t="s">
        <v>1583</v>
      </c>
      <c r="B2228" s="16" t="s">
        <v>408</v>
      </c>
      <c r="C2228" s="16"/>
      <c r="D2228" s="16" t="s">
        <v>409</v>
      </c>
      <c r="E2228" s="17">
        <v>41640</v>
      </c>
      <c r="F2228" s="17">
        <v>42004</v>
      </c>
      <c r="G2228" s="16" t="s">
        <v>415</v>
      </c>
      <c r="H2228" s="16">
        <v>1</v>
      </c>
      <c r="I2228" s="16">
        <v>0.5</v>
      </c>
      <c r="J2228" s="16">
        <v>0.5</v>
      </c>
      <c r="K2228" s="16">
        <v>0.5</v>
      </c>
      <c r="L2228" s="16">
        <v>0.5</v>
      </c>
      <c r="M2228" s="16">
        <v>0.5</v>
      </c>
      <c r="N2228" s="16">
        <v>0.5</v>
      </c>
      <c r="O2228" s="16">
        <v>0.5</v>
      </c>
      <c r="P2228" s="16">
        <v>0.5</v>
      </c>
      <c r="Q2228" s="16">
        <v>1</v>
      </c>
      <c r="R2228" s="16">
        <v>1</v>
      </c>
      <c r="S2228" s="16">
        <v>1</v>
      </c>
      <c r="T2228" s="16">
        <v>1</v>
      </c>
      <c r="U2228" s="16">
        <v>1</v>
      </c>
      <c r="V2228" s="16">
        <v>1</v>
      </c>
      <c r="W2228" s="16">
        <v>1</v>
      </c>
      <c r="X2228" s="16">
        <v>1</v>
      </c>
      <c r="Y2228" s="16">
        <v>1</v>
      </c>
      <c r="Z2228" s="16">
        <v>1</v>
      </c>
      <c r="AA2228" s="16">
        <v>1</v>
      </c>
      <c r="AB2228" s="16">
        <v>1</v>
      </c>
      <c r="AC2228" s="16">
        <v>1</v>
      </c>
      <c r="AD2228" s="16">
        <v>1</v>
      </c>
      <c r="AE2228" s="16">
        <v>1</v>
      </c>
      <c r="AF2228" s="16" t="s">
        <v>413</v>
      </c>
    </row>
    <row r="2229" spans="1:32" ht="14.25" customHeight="1" x14ac:dyDescent="0.35">
      <c r="A2229" s="14" t="s">
        <v>1584</v>
      </c>
      <c r="B2229" s="14" t="s">
        <v>408</v>
      </c>
      <c r="C2229" s="14"/>
      <c r="D2229" s="14" t="s">
        <v>409</v>
      </c>
      <c r="E2229" s="15">
        <v>41640</v>
      </c>
      <c r="F2229" s="15">
        <v>42004</v>
      </c>
      <c r="G2229" s="14" t="s">
        <v>410</v>
      </c>
      <c r="H2229" s="14">
        <v>1</v>
      </c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 t="s">
        <v>413</v>
      </c>
    </row>
    <row r="2230" spans="1:32" ht="14.25" customHeight="1" x14ac:dyDescent="0.35">
      <c r="A2230" s="16" t="s">
        <v>1585</v>
      </c>
      <c r="B2230" s="16" t="s">
        <v>424</v>
      </c>
      <c r="C2230" s="16"/>
      <c r="D2230" s="16" t="s">
        <v>409</v>
      </c>
      <c r="E2230" s="17">
        <v>41640</v>
      </c>
      <c r="F2230" s="17">
        <v>42004</v>
      </c>
      <c r="G2230" s="16" t="s">
        <v>415</v>
      </c>
      <c r="H2230" s="16">
        <v>0</v>
      </c>
      <c r="I2230" s="16">
        <v>0</v>
      </c>
      <c r="J2230" s="16">
        <v>0</v>
      </c>
      <c r="K2230" s="16">
        <v>0</v>
      </c>
      <c r="L2230" s="16">
        <v>0</v>
      </c>
      <c r="M2230" s="16">
        <v>0</v>
      </c>
      <c r="N2230" s="16">
        <v>1</v>
      </c>
      <c r="O2230" s="16">
        <v>1</v>
      </c>
      <c r="P2230" s="16">
        <v>1</v>
      </c>
      <c r="Q2230" s="16">
        <v>1</v>
      </c>
      <c r="R2230" s="16">
        <v>1</v>
      </c>
      <c r="S2230" s="16">
        <v>1</v>
      </c>
      <c r="T2230" s="16">
        <v>1</v>
      </c>
      <c r="U2230" s="16">
        <v>1</v>
      </c>
      <c r="V2230" s="16">
        <v>1</v>
      </c>
      <c r="W2230" s="16">
        <v>1</v>
      </c>
      <c r="X2230" s="16">
        <v>1</v>
      </c>
      <c r="Y2230" s="16">
        <v>1</v>
      </c>
      <c r="Z2230" s="16">
        <v>1</v>
      </c>
      <c r="AA2230" s="16">
        <v>1</v>
      </c>
      <c r="AB2230" s="16">
        <v>1</v>
      </c>
      <c r="AC2230" s="16">
        <v>1</v>
      </c>
      <c r="AD2230" s="16">
        <v>1</v>
      </c>
      <c r="AE2230" s="16">
        <v>1</v>
      </c>
      <c r="AF2230" s="16" t="s">
        <v>413</v>
      </c>
    </row>
    <row r="2231" spans="1:32" ht="14.25" customHeight="1" x14ac:dyDescent="0.35">
      <c r="A2231" s="14" t="s">
        <v>1586</v>
      </c>
      <c r="B2231" s="14" t="s">
        <v>424</v>
      </c>
      <c r="C2231" s="14"/>
      <c r="D2231" s="14" t="s">
        <v>409</v>
      </c>
      <c r="E2231" s="15">
        <v>41640</v>
      </c>
      <c r="F2231" s="15">
        <v>42004</v>
      </c>
      <c r="G2231" s="14" t="s">
        <v>415</v>
      </c>
      <c r="H2231" s="14">
        <v>0.7</v>
      </c>
      <c r="I2231" s="14">
        <v>0.7</v>
      </c>
      <c r="J2231" s="14">
        <v>0.7</v>
      </c>
      <c r="K2231" s="14">
        <v>0.7</v>
      </c>
      <c r="L2231" s="14">
        <v>0.7</v>
      </c>
      <c r="M2231" s="14">
        <v>0.7</v>
      </c>
      <c r="N2231" s="14">
        <v>1</v>
      </c>
      <c r="O2231" s="14">
        <v>1</v>
      </c>
      <c r="P2231" s="14">
        <v>1</v>
      </c>
      <c r="Q2231" s="14">
        <v>1</v>
      </c>
      <c r="R2231" s="14">
        <v>1</v>
      </c>
      <c r="S2231" s="14">
        <v>1</v>
      </c>
      <c r="T2231" s="14">
        <v>1</v>
      </c>
      <c r="U2231" s="14">
        <v>1</v>
      </c>
      <c r="V2231" s="14">
        <v>1</v>
      </c>
      <c r="W2231" s="14">
        <v>1</v>
      </c>
      <c r="X2231" s="14">
        <v>1</v>
      </c>
      <c r="Y2231" s="14">
        <v>1</v>
      </c>
      <c r="Z2231" s="14">
        <v>1</v>
      </c>
      <c r="AA2231" s="14">
        <v>1</v>
      </c>
      <c r="AB2231" s="14">
        <v>1</v>
      </c>
      <c r="AC2231" s="14">
        <v>1</v>
      </c>
      <c r="AD2231" s="14">
        <v>1</v>
      </c>
      <c r="AE2231" s="14">
        <v>1</v>
      </c>
      <c r="AF2231" s="14" t="s">
        <v>413</v>
      </c>
    </row>
    <row r="2232" spans="1:32" ht="14.25" customHeight="1" x14ac:dyDescent="0.35">
      <c r="A2232" s="16" t="s">
        <v>1587</v>
      </c>
      <c r="B2232" s="16" t="s">
        <v>408</v>
      </c>
      <c r="C2232" s="16"/>
      <c r="D2232" s="16" t="s">
        <v>409</v>
      </c>
      <c r="E2232" s="17">
        <v>41640</v>
      </c>
      <c r="F2232" s="17">
        <v>42004</v>
      </c>
      <c r="G2232" s="16" t="s">
        <v>410</v>
      </c>
      <c r="H2232" s="16">
        <v>1</v>
      </c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6"/>
      <c r="AB2232" s="16"/>
      <c r="AC2232" s="16"/>
      <c r="AD2232" s="16"/>
      <c r="AE2232" s="16"/>
      <c r="AF2232" s="16" t="s">
        <v>413</v>
      </c>
    </row>
    <row r="2233" spans="1:32" ht="14.25" customHeight="1" x14ac:dyDescent="0.35">
      <c r="A2233" s="14" t="s">
        <v>1588</v>
      </c>
      <c r="B2233" s="14" t="s">
        <v>408</v>
      </c>
      <c r="C2233" s="14" t="s">
        <v>414</v>
      </c>
      <c r="D2233" s="14" t="s">
        <v>409</v>
      </c>
      <c r="E2233" s="15">
        <v>41640</v>
      </c>
      <c r="F2233" s="15">
        <v>42004</v>
      </c>
      <c r="G2233" s="14" t="s">
        <v>410</v>
      </c>
      <c r="H2233" s="14">
        <v>16</v>
      </c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 t="s">
        <v>413</v>
      </c>
    </row>
    <row r="2234" spans="1:32" ht="14.25" customHeight="1" x14ac:dyDescent="0.35">
      <c r="A2234" s="16" t="s">
        <v>1589</v>
      </c>
      <c r="B2234" s="16" t="s">
        <v>600</v>
      </c>
      <c r="C2234" s="16"/>
      <c r="D2234" s="16" t="s">
        <v>1535</v>
      </c>
      <c r="E2234" s="17">
        <v>41640</v>
      </c>
      <c r="F2234" s="17">
        <v>42004</v>
      </c>
      <c r="G2234" s="16" t="s">
        <v>415</v>
      </c>
      <c r="H2234" s="16">
        <v>1</v>
      </c>
      <c r="I2234" s="16">
        <v>0</v>
      </c>
      <c r="J2234" s="16">
        <v>0</v>
      </c>
      <c r="K2234" s="16">
        <v>0</v>
      </c>
      <c r="L2234" s="16">
        <v>0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  <c r="R2234" s="16">
        <v>1</v>
      </c>
      <c r="S2234" s="16">
        <v>1</v>
      </c>
      <c r="T2234" s="16">
        <v>1</v>
      </c>
      <c r="U2234" s="16">
        <v>1</v>
      </c>
      <c r="V2234" s="16">
        <v>1</v>
      </c>
      <c r="W2234" s="16">
        <v>1</v>
      </c>
      <c r="X2234" s="16">
        <v>1</v>
      </c>
      <c r="Y2234" s="16">
        <v>1</v>
      </c>
      <c r="Z2234" s="16">
        <v>1</v>
      </c>
      <c r="AA2234" s="16">
        <v>1</v>
      </c>
      <c r="AB2234" s="16">
        <v>1</v>
      </c>
      <c r="AC2234" s="16">
        <v>1</v>
      </c>
      <c r="AD2234" s="16">
        <v>1</v>
      </c>
      <c r="AE2234" s="16">
        <v>1</v>
      </c>
      <c r="AF2234" s="16" t="s">
        <v>413</v>
      </c>
    </row>
    <row r="2235" spans="1:32" ht="14.25" customHeight="1" x14ac:dyDescent="0.35">
      <c r="A2235" s="14" t="s">
        <v>1590</v>
      </c>
      <c r="B2235" s="14" t="s">
        <v>420</v>
      </c>
      <c r="C2235" s="14" t="s">
        <v>414</v>
      </c>
      <c r="D2235" s="14" t="s">
        <v>821</v>
      </c>
      <c r="E2235" s="15">
        <v>41640</v>
      </c>
      <c r="F2235" s="15">
        <v>42004</v>
      </c>
      <c r="G2235" s="14" t="s">
        <v>415</v>
      </c>
      <c r="H2235" s="14">
        <v>19</v>
      </c>
      <c r="I2235" s="14">
        <v>15.6</v>
      </c>
      <c r="J2235" s="14">
        <v>15.6</v>
      </c>
      <c r="K2235" s="14">
        <v>15.6</v>
      </c>
      <c r="L2235" s="14">
        <v>19</v>
      </c>
      <c r="M2235" s="14">
        <v>19</v>
      </c>
      <c r="N2235" s="14">
        <v>19</v>
      </c>
      <c r="O2235" s="14">
        <v>19</v>
      </c>
      <c r="P2235" s="14">
        <v>19</v>
      </c>
      <c r="Q2235" s="14">
        <v>19</v>
      </c>
      <c r="R2235" s="14">
        <v>19</v>
      </c>
      <c r="S2235" s="14">
        <v>19</v>
      </c>
      <c r="T2235" s="14">
        <v>19</v>
      </c>
      <c r="U2235" s="14">
        <v>19</v>
      </c>
      <c r="V2235" s="14">
        <v>19</v>
      </c>
      <c r="W2235" s="14">
        <v>19</v>
      </c>
      <c r="X2235" s="14">
        <v>19</v>
      </c>
      <c r="Y2235" s="14">
        <v>19</v>
      </c>
      <c r="Z2235" s="14">
        <v>19</v>
      </c>
      <c r="AA2235" s="14">
        <v>19</v>
      </c>
      <c r="AB2235" s="14">
        <v>19</v>
      </c>
      <c r="AC2235" s="14">
        <v>19</v>
      </c>
      <c r="AD2235" s="14">
        <v>19</v>
      </c>
      <c r="AE2235" s="14">
        <v>19</v>
      </c>
      <c r="AF2235" s="14" t="s">
        <v>413</v>
      </c>
    </row>
    <row r="2236" spans="1:32" ht="14.25" customHeight="1" x14ac:dyDescent="0.35">
      <c r="A2236" s="14" t="s">
        <v>1590</v>
      </c>
      <c r="B2236" s="14" t="s">
        <v>420</v>
      </c>
      <c r="C2236" s="14" t="s">
        <v>414</v>
      </c>
      <c r="D2236" s="14" t="s">
        <v>419</v>
      </c>
      <c r="E2236" s="15">
        <v>41640</v>
      </c>
      <c r="F2236" s="15">
        <v>42004</v>
      </c>
      <c r="G2236" s="14" t="s">
        <v>410</v>
      </c>
      <c r="H2236" s="14">
        <v>15.6</v>
      </c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 t="s">
        <v>413</v>
      </c>
    </row>
    <row r="2237" spans="1:32" ht="14.25" customHeight="1" x14ac:dyDescent="0.35">
      <c r="A2237" s="16" t="s">
        <v>1590</v>
      </c>
      <c r="B2237" s="16" t="s">
        <v>420</v>
      </c>
      <c r="C2237" s="16" t="s">
        <v>414</v>
      </c>
      <c r="D2237" s="16" t="s">
        <v>418</v>
      </c>
      <c r="E2237" s="17">
        <v>41640</v>
      </c>
      <c r="F2237" s="17">
        <v>42004</v>
      </c>
      <c r="G2237" s="16" t="s">
        <v>410</v>
      </c>
      <c r="H2237" s="16">
        <v>19</v>
      </c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  <c r="AB2237" s="16"/>
      <c r="AC2237" s="16"/>
      <c r="AD2237" s="16"/>
      <c r="AE2237" s="16"/>
      <c r="AF2237" s="16" t="s">
        <v>413</v>
      </c>
    </row>
    <row r="2238" spans="1:32" ht="14.25" customHeight="1" x14ac:dyDescent="0.35">
      <c r="A2238" s="16" t="s">
        <v>1591</v>
      </c>
      <c r="B2238" s="16" t="s">
        <v>420</v>
      </c>
      <c r="C2238" s="16" t="s">
        <v>414</v>
      </c>
      <c r="D2238" s="16" t="s">
        <v>821</v>
      </c>
      <c r="E2238" s="17">
        <v>41640</v>
      </c>
      <c r="F2238" s="17">
        <v>42004</v>
      </c>
      <c r="G2238" s="16" t="s">
        <v>415</v>
      </c>
      <c r="H2238" s="16">
        <v>19</v>
      </c>
      <c r="I2238" s="16">
        <v>15.6</v>
      </c>
      <c r="J2238" s="16">
        <v>15.6</v>
      </c>
      <c r="K2238" s="16">
        <v>15.6</v>
      </c>
      <c r="L2238" s="16">
        <v>16.7</v>
      </c>
      <c r="M2238" s="16">
        <v>17.8</v>
      </c>
      <c r="N2238" s="16">
        <v>19</v>
      </c>
      <c r="O2238" s="16">
        <v>19</v>
      </c>
      <c r="P2238" s="16">
        <v>19</v>
      </c>
      <c r="Q2238" s="16">
        <v>19</v>
      </c>
      <c r="R2238" s="16">
        <v>19</v>
      </c>
      <c r="S2238" s="16">
        <v>19</v>
      </c>
      <c r="T2238" s="16">
        <v>19</v>
      </c>
      <c r="U2238" s="16">
        <v>19</v>
      </c>
      <c r="V2238" s="16">
        <v>19</v>
      </c>
      <c r="W2238" s="16">
        <v>19</v>
      </c>
      <c r="X2238" s="16">
        <v>19</v>
      </c>
      <c r="Y2238" s="16">
        <v>19</v>
      </c>
      <c r="Z2238" s="16">
        <v>19</v>
      </c>
      <c r="AA2238" s="16">
        <v>19</v>
      </c>
      <c r="AB2238" s="16">
        <v>19</v>
      </c>
      <c r="AC2238" s="16">
        <v>19</v>
      </c>
      <c r="AD2238" s="16">
        <v>19</v>
      </c>
      <c r="AE2238" s="16">
        <v>19</v>
      </c>
      <c r="AF2238" s="16" t="s">
        <v>413</v>
      </c>
    </row>
    <row r="2239" spans="1:32" ht="14.25" customHeight="1" x14ac:dyDescent="0.35">
      <c r="A2239" s="16" t="s">
        <v>1591</v>
      </c>
      <c r="B2239" s="16" t="s">
        <v>420</v>
      </c>
      <c r="C2239" s="16" t="s">
        <v>414</v>
      </c>
      <c r="D2239" s="16" t="s">
        <v>419</v>
      </c>
      <c r="E2239" s="17">
        <v>41640</v>
      </c>
      <c r="F2239" s="17">
        <v>42004</v>
      </c>
      <c r="G2239" s="16" t="s">
        <v>410</v>
      </c>
      <c r="H2239" s="16">
        <v>15.6</v>
      </c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6"/>
      <c r="AA2239" s="16"/>
      <c r="AB2239" s="16"/>
      <c r="AC2239" s="16"/>
      <c r="AD2239" s="16"/>
      <c r="AE2239" s="16"/>
      <c r="AF2239" s="16" t="s">
        <v>413</v>
      </c>
    </row>
    <row r="2240" spans="1:32" ht="14.25" customHeight="1" x14ac:dyDescent="0.35">
      <c r="A2240" s="14" t="s">
        <v>1591</v>
      </c>
      <c r="B2240" s="14" t="s">
        <v>420</v>
      </c>
      <c r="C2240" s="14" t="s">
        <v>414</v>
      </c>
      <c r="D2240" s="14" t="s">
        <v>418</v>
      </c>
      <c r="E2240" s="15">
        <v>41640</v>
      </c>
      <c r="F2240" s="15">
        <v>42004</v>
      </c>
      <c r="G2240" s="14" t="s">
        <v>410</v>
      </c>
      <c r="H2240" s="14">
        <v>19</v>
      </c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 t="s">
        <v>413</v>
      </c>
    </row>
    <row r="2241" spans="1:32" ht="14.25" customHeight="1" x14ac:dyDescent="0.35">
      <c r="A2241" s="14" t="s">
        <v>1592</v>
      </c>
      <c r="B2241" s="14" t="s">
        <v>420</v>
      </c>
      <c r="C2241" s="14" t="s">
        <v>414</v>
      </c>
      <c r="D2241" s="14" t="s">
        <v>821</v>
      </c>
      <c r="E2241" s="15">
        <v>41640</v>
      </c>
      <c r="F2241" s="15">
        <v>42004</v>
      </c>
      <c r="G2241" s="14" t="s">
        <v>415</v>
      </c>
      <c r="H2241" s="14">
        <v>15.6</v>
      </c>
      <c r="I2241" s="14">
        <v>15.6</v>
      </c>
      <c r="J2241" s="14">
        <v>15.6</v>
      </c>
      <c r="K2241" s="14">
        <v>15.6</v>
      </c>
      <c r="L2241" s="14">
        <v>21</v>
      </c>
      <c r="M2241" s="14">
        <v>21</v>
      </c>
      <c r="N2241" s="14">
        <v>21</v>
      </c>
      <c r="O2241" s="14">
        <v>21</v>
      </c>
      <c r="P2241" s="14">
        <v>21</v>
      </c>
      <c r="Q2241" s="14">
        <v>21</v>
      </c>
      <c r="R2241" s="14">
        <v>21</v>
      </c>
      <c r="S2241" s="14">
        <v>21</v>
      </c>
      <c r="T2241" s="14">
        <v>21</v>
      </c>
      <c r="U2241" s="14">
        <v>21</v>
      </c>
      <c r="V2241" s="14">
        <v>21</v>
      </c>
      <c r="W2241" s="14">
        <v>21</v>
      </c>
      <c r="X2241" s="14">
        <v>21</v>
      </c>
      <c r="Y2241" s="14">
        <v>21</v>
      </c>
      <c r="Z2241" s="14">
        <v>21</v>
      </c>
      <c r="AA2241" s="14">
        <v>21</v>
      </c>
      <c r="AB2241" s="14">
        <v>21</v>
      </c>
      <c r="AC2241" s="14">
        <v>21</v>
      </c>
      <c r="AD2241" s="14">
        <v>21</v>
      </c>
      <c r="AE2241" s="14">
        <v>21</v>
      </c>
      <c r="AF2241" s="14" t="s">
        <v>413</v>
      </c>
    </row>
    <row r="2242" spans="1:32" ht="14.25" customHeight="1" x14ac:dyDescent="0.35">
      <c r="A2242" s="14" t="s">
        <v>1592</v>
      </c>
      <c r="B2242" s="14" t="s">
        <v>420</v>
      </c>
      <c r="C2242" s="14" t="s">
        <v>414</v>
      </c>
      <c r="D2242" s="14" t="s">
        <v>419</v>
      </c>
      <c r="E2242" s="15">
        <v>41640</v>
      </c>
      <c r="F2242" s="15">
        <v>42004</v>
      </c>
      <c r="G2242" s="14" t="s">
        <v>410</v>
      </c>
      <c r="H2242" s="14">
        <v>15.6</v>
      </c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 t="s">
        <v>413</v>
      </c>
    </row>
    <row r="2243" spans="1:32" ht="14.25" customHeight="1" x14ac:dyDescent="0.35">
      <c r="A2243" s="16" t="s">
        <v>1592</v>
      </c>
      <c r="B2243" s="16" t="s">
        <v>420</v>
      </c>
      <c r="C2243" s="16" t="s">
        <v>414</v>
      </c>
      <c r="D2243" s="16" t="s">
        <v>418</v>
      </c>
      <c r="E2243" s="17">
        <v>41640</v>
      </c>
      <c r="F2243" s="17">
        <v>42004</v>
      </c>
      <c r="G2243" s="16" t="s">
        <v>410</v>
      </c>
      <c r="H2243" s="16">
        <v>21</v>
      </c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/>
      <c r="AC2243" s="16"/>
      <c r="AD2243" s="16"/>
      <c r="AE2243" s="16"/>
      <c r="AF2243" s="16" t="s">
        <v>413</v>
      </c>
    </row>
    <row r="2244" spans="1:32" ht="14.25" customHeight="1" x14ac:dyDescent="0.35">
      <c r="A2244" s="16" t="s">
        <v>1593</v>
      </c>
      <c r="B2244" s="16" t="s">
        <v>420</v>
      </c>
      <c r="C2244" s="16" t="s">
        <v>414</v>
      </c>
      <c r="D2244" s="16" t="s">
        <v>821</v>
      </c>
      <c r="E2244" s="17">
        <v>41640</v>
      </c>
      <c r="F2244" s="17">
        <v>42004</v>
      </c>
      <c r="G2244" s="16" t="s">
        <v>415</v>
      </c>
      <c r="H2244" s="16">
        <v>15.6</v>
      </c>
      <c r="I2244" s="16">
        <v>15.6</v>
      </c>
      <c r="J2244" s="16">
        <v>15.6</v>
      </c>
      <c r="K2244" s="16">
        <v>15.6</v>
      </c>
      <c r="L2244" s="16">
        <v>17.8</v>
      </c>
      <c r="M2244" s="16">
        <v>20</v>
      </c>
      <c r="N2244" s="16">
        <v>21</v>
      </c>
      <c r="O2244" s="16">
        <v>21</v>
      </c>
      <c r="P2244" s="16">
        <v>21</v>
      </c>
      <c r="Q2244" s="16">
        <v>21</v>
      </c>
      <c r="R2244" s="16">
        <v>21</v>
      </c>
      <c r="S2244" s="16">
        <v>21</v>
      </c>
      <c r="T2244" s="16">
        <v>21</v>
      </c>
      <c r="U2244" s="16">
        <v>21</v>
      </c>
      <c r="V2244" s="16">
        <v>21</v>
      </c>
      <c r="W2244" s="16">
        <v>21</v>
      </c>
      <c r="X2244" s="16">
        <v>21</v>
      </c>
      <c r="Y2244" s="16">
        <v>21</v>
      </c>
      <c r="Z2244" s="16">
        <v>21</v>
      </c>
      <c r="AA2244" s="16">
        <v>21</v>
      </c>
      <c r="AB2244" s="16">
        <v>21</v>
      </c>
      <c r="AC2244" s="16">
        <v>21</v>
      </c>
      <c r="AD2244" s="16">
        <v>21</v>
      </c>
      <c r="AE2244" s="16">
        <v>21</v>
      </c>
      <c r="AF2244" s="16" t="s">
        <v>413</v>
      </c>
    </row>
    <row r="2245" spans="1:32" ht="14.25" customHeight="1" x14ac:dyDescent="0.35">
      <c r="A2245" s="16" t="s">
        <v>1593</v>
      </c>
      <c r="B2245" s="16" t="s">
        <v>420</v>
      </c>
      <c r="C2245" s="16" t="s">
        <v>414</v>
      </c>
      <c r="D2245" s="16" t="s">
        <v>419</v>
      </c>
      <c r="E2245" s="17">
        <v>41640</v>
      </c>
      <c r="F2245" s="17">
        <v>42004</v>
      </c>
      <c r="G2245" s="16" t="s">
        <v>410</v>
      </c>
      <c r="H2245" s="16">
        <v>15.6</v>
      </c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A2245" s="16"/>
      <c r="AB2245" s="16"/>
      <c r="AC2245" s="16"/>
      <c r="AD2245" s="16"/>
      <c r="AE2245" s="16"/>
      <c r="AF2245" s="16" t="s">
        <v>413</v>
      </c>
    </row>
    <row r="2246" spans="1:32" ht="14.25" customHeight="1" x14ac:dyDescent="0.35">
      <c r="A2246" s="14" t="s">
        <v>1593</v>
      </c>
      <c r="B2246" s="14" t="s">
        <v>420</v>
      </c>
      <c r="C2246" s="14" t="s">
        <v>414</v>
      </c>
      <c r="D2246" s="14" t="s">
        <v>418</v>
      </c>
      <c r="E2246" s="15">
        <v>41640</v>
      </c>
      <c r="F2246" s="15">
        <v>42004</v>
      </c>
      <c r="G2246" s="14" t="s">
        <v>410</v>
      </c>
      <c r="H2246" s="14">
        <v>21</v>
      </c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 t="s">
        <v>413</v>
      </c>
    </row>
    <row r="2247" spans="1:32" ht="14.25" customHeight="1" x14ac:dyDescent="0.35">
      <c r="A2247" s="14" t="s">
        <v>1594</v>
      </c>
      <c r="B2247" s="14" t="s">
        <v>408</v>
      </c>
      <c r="C2247" s="14"/>
      <c r="D2247" s="14" t="s">
        <v>603</v>
      </c>
      <c r="E2247" s="15">
        <v>41640</v>
      </c>
      <c r="F2247" s="15">
        <v>42004</v>
      </c>
      <c r="G2247" s="14" t="s">
        <v>410</v>
      </c>
      <c r="H2247" s="14">
        <v>50</v>
      </c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 t="s">
        <v>413</v>
      </c>
    </row>
    <row r="2248" spans="1:32" ht="14.25" customHeight="1" x14ac:dyDescent="0.35">
      <c r="A2248" s="16" t="s">
        <v>1595</v>
      </c>
      <c r="B2248" s="16" t="s">
        <v>600</v>
      </c>
      <c r="C2248" s="16"/>
      <c r="D2248" s="16" t="s">
        <v>1535</v>
      </c>
      <c r="E2248" s="17">
        <v>41640</v>
      </c>
      <c r="F2248" s="17">
        <v>42004</v>
      </c>
      <c r="G2248" s="16" t="s">
        <v>415</v>
      </c>
      <c r="H2248" s="16">
        <v>1</v>
      </c>
      <c r="I2248" s="16">
        <v>0</v>
      </c>
      <c r="J2248" s="16">
        <v>0</v>
      </c>
      <c r="K2248" s="16">
        <v>0</v>
      </c>
      <c r="L2248" s="16">
        <v>0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  <c r="R2248" s="16">
        <v>1</v>
      </c>
      <c r="S2248" s="16">
        <v>1</v>
      </c>
      <c r="T2248" s="16">
        <v>1</v>
      </c>
      <c r="U2248" s="16">
        <v>1</v>
      </c>
      <c r="V2248" s="16">
        <v>1</v>
      </c>
      <c r="W2248" s="16">
        <v>1</v>
      </c>
      <c r="X2248" s="16">
        <v>1</v>
      </c>
      <c r="Y2248" s="16">
        <v>1</v>
      </c>
      <c r="Z2248" s="16">
        <v>1</v>
      </c>
      <c r="AA2248" s="16">
        <v>1</v>
      </c>
      <c r="AB2248" s="16">
        <v>1</v>
      </c>
      <c r="AC2248" s="16">
        <v>1</v>
      </c>
      <c r="AD2248" s="16">
        <v>1</v>
      </c>
      <c r="AE2248" s="16">
        <v>1</v>
      </c>
      <c r="AF2248" s="16" t="s">
        <v>413</v>
      </c>
    </row>
    <row r="2249" spans="1:32" ht="14.25" customHeight="1" x14ac:dyDescent="0.35">
      <c r="A2249" s="14" t="s">
        <v>1596</v>
      </c>
      <c r="B2249" s="14" t="s">
        <v>441</v>
      </c>
      <c r="C2249" s="14"/>
      <c r="D2249" s="14" t="s">
        <v>603</v>
      </c>
      <c r="E2249" s="15">
        <v>41640</v>
      </c>
      <c r="F2249" s="15">
        <v>42004</v>
      </c>
      <c r="G2249" s="14" t="s">
        <v>415</v>
      </c>
      <c r="H2249" s="14">
        <v>1</v>
      </c>
      <c r="I2249" s="14">
        <v>1</v>
      </c>
      <c r="J2249" s="14">
        <v>1</v>
      </c>
      <c r="K2249" s="14">
        <v>1</v>
      </c>
      <c r="L2249" s="14">
        <v>1</v>
      </c>
      <c r="M2249" s="14">
        <v>0.5</v>
      </c>
      <c r="N2249" s="14">
        <v>0.5</v>
      </c>
      <c r="O2249" s="14">
        <v>0.5</v>
      </c>
      <c r="P2249" s="14">
        <v>0.5</v>
      </c>
      <c r="Q2249" s="14">
        <v>0.5</v>
      </c>
      <c r="R2249" s="14">
        <v>0.5</v>
      </c>
      <c r="S2249" s="14">
        <v>0.5</v>
      </c>
      <c r="T2249" s="14">
        <v>0.5</v>
      </c>
      <c r="U2249" s="14">
        <v>0.5</v>
      </c>
      <c r="V2249" s="14">
        <v>0.5</v>
      </c>
      <c r="W2249" s="14">
        <v>0.5</v>
      </c>
      <c r="X2249" s="14">
        <v>0.5</v>
      </c>
      <c r="Y2249" s="14">
        <v>0.5</v>
      </c>
      <c r="Z2249" s="14">
        <v>0.5</v>
      </c>
      <c r="AA2249" s="14">
        <v>0.5</v>
      </c>
      <c r="AB2249" s="14">
        <v>0.5</v>
      </c>
      <c r="AC2249" s="14">
        <v>0.5</v>
      </c>
      <c r="AD2249" s="14">
        <v>0.5</v>
      </c>
      <c r="AE2249" s="14">
        <v>0.5</v>
      </c>
      <c r="AF2249" s="14" t="s">
        <v>413</v>
      </c>
    </row>
    <row r="2250" spans="1:32" ht="14.25" customHeight="1" x14ac:dyDescent="0.35">
      <c r="A2250" s="16" t="s">
        <v>1597</v>
      </c>
      <c r="B2250" s="16" t="s">
        <v>441</v>
      </c>
      <c r="C2250" s="16"/>
      <c r="D2250" s="16" t="s">
        <v>603</v>
      </c>
      <c r="E2250" s="17">
        <v>41640</v>
      </c>
      <c r="F2250" s="17">
        <v>42004</v>
      </c>
      <c r="G2250" s="16" t="s">
        <v>415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0.25</v>
      </c>
      <c r="N2250" s="16">
        <v>0.25</v>
      </c>
      <c r="O2250" s="16">
        <v>0.25</v>
      </c>
      <c r="P2250" s="16">
        <v>0.25</v>
      </c>
      <c r="Q2250" s="16">
        <v>0.25</v>
      </c>
      <c r="R2250" s="16">
        <v>0.25</v>
      </c>
      <c r="S2250" s="16">
        <v>0.25</v>
      </c>
      <c r="T2250" s="16">
        <v>0.25</v>
      </c>
      <c r="U2250" s="16">
        <v>0.25</v>
      </c>
      <c r="V2250" s="16">
        <v>0.25</v>
      </c>
      <c r="W2250" s="16">
        <v>0.25</v>
      </c>
      <c r="X2250" s="16">
        <v>0.25</v>
      </c>
      <c r="Y2250" s="16">
        <v>0.25</v>
      </c>
      <c r="Z2250" s="16">
        <v>0.25</v>
      </c>
      <c r="AA2250" s="16">
        <v>0.25</v>
      </c>
      <c r="AB2250" s="16">
        <v>0.25</v>
      </c>
      <c r="AC2250" s="16">
        <v>0.25</v>
      </c>
      <c r="AD2250" s="16">
        <v>0.25</v>
      </c>
      <c r="AE2250" s="16">
        <v>0.25</v>
      </c>
      <c r="AF2250" s="16" t="s">
        <v>413</v>
      </c>
    </row>
    <row r="2251" spans="1:32" ht="14.25" customHeight="1" x14ac:dyDescent="0.35">
      <c r="A2251" s="14" t="s">
        <v>1598</v>
      </c>
      <c r="B2251" s="14" t="s">
        <v>427</v>
      </c>
      <c r="C2251" s="14"/>
      <c r="D2251" s="14" t="s">
        <v>1535</v>
      </c>
      <c r="E2251" s="15">
        <v>41640</v>
      </c>
      <c r="F2251" s="15">
        <v>42004</v>
      </c>
      <c r="G2251" s="14" t="s">
        <v>415</v>
      </c>
      <c r="H2251" s="14">
        <v>0.93371031750929101</v>
      </c>
      <c r="I2251" s="14">
        <v>0</v>
      </c>
      <c r="J2251" s="14">
        <v>0</v>
      </c>
      <c r="K2251" s="14">
        <v>0</v>
      </c>
      <c r="L2251" s="14">
        <v>0</v>
      </c>
      <c r="M2251" s="14">
        <v>0.93371031750929101</v>
      </c>
      <c r="N2251" s="14">
        <v>0.93371031750929101</v>
      </c>
      <c r="O2251" s="14">
        <v>0.93371031750929101</v>
      </c>
      <c r="P2251" s="14">
        <v>0.93371031750929101</v>
      </c>
      <c r="Q2251" s="14">
        <v>0.93371031750929101</v>
      </c>
      <c r="R2251" s="14">
        <v>0.93371031750929101</v>
      </c>
      <c r="S2251" s="14">
        <v>0.93371031750929101</v>
      </c>
      <c r="T2251" s="14">
        <v>0.93371031750929101</v>
      </c>
      <c r="U2251" s="14">
        <v>0.93371031750929101</v>
      </c>
      <c r="V2251" s="14">
        <v>0.93371031750929101</v>
      </c>
      <c r="W2251" s="14">
        <v>0.93371031750929101</v>
      </c>
      <c r="X2251" s="14">
        <v>0.93371031750929101</v>
      </c>
      <c r="Y2251" s="14">
        <v>0.93371031750929101</v>
      </c>
      <c r="Z2251" s="14">
        <v>0.93371031750929101</v>
      </c>
      <c r="AA2251" s="14">
        <v>0.93371031750929101</v>
      </c>
      <c r="AB2251" s="14">
        <v>0.93371031750929101</v>
      </c>
      <c r="AC2251" s="14">
        <v>0.93371031750929101</v>
      </c>
      <c r="AD2251" s="14">
        <v>0.93371031750929101</v>
      </c>
      <c r="AE2251" s="14">
        <v>0.93371031750929101</v>
      </c>
      <c r="AF2251" s="14" t="s">
        <v>413</v>
      </c>
    </row>
    <row r="2252" spans="1:32" ht="14.25" customHeight="1" x14ac:dyDescent="0.35">
      <c r="A2252" s="16" t="s">
        <v>1599</v>
      </c>
      <c r="B2252" s="16" t="s">
        <v>427</v>
      </c>
      <c r="C2252" s="16" t="s">
        <v>414</v>
      </c>
      <c r="D2252" s="16" t="s">
        <v>409</v>
      </c>
      <c r="E2252" s="17">
        <v>41640</v>
      </c>
      <c r="F2252" s="17">
        <v>42004</v>
      </c>
      <c r="G2252" s="16" t="s">
        <v>410</v>
      </c>
      <c r="H2252" s="16">
        <v>55</v>
      </c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  <c r="AA2252" s="16"/>
      <c r="AB2252" s="16"/>
      <c r="AC2252" s="16"/>
      <c r="AD2252" s="16"/>
      <c r="AE2252" s="16"/>
      <c r="AF2252" s="16" t="s">
        <v>413</v>
      </c>
    </row>
    <row r="2253" spans="1:32" ht="14.25" customHeight="1" x14ac:dyDescent="0.35">
      <c r="A2253" s="14" t="s">
        <v>1600</v>
      </c>
      <c r="B2253" s="14" t="s">
        <v>427</v>
      </c>
      <c r="C2253" s="14"/>
      <c r="D2253" s="14" t="s">
        <v>409</v>
      </c>
      <c r="E2253" s="15">
        <v>41640</v>
      </c>
      <c r="F2253" s="15">
        <v>42004</v>
      </c>
      <c r="G2253" s="14" t="s">
        <v>410</v>
      </c>
      <c r="H2253" s="14">
        <v>0.05</v>
      </c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 t="s">
        <v>413</v>
      </c>
    </row>
    <row r="2254" spans="1:32" ht="14.25" customHeight="1" x14ac:dyDescent="0.35">
      <c r="A2254" s="16" t="s">
        <v>1601</v>
      </c>
      <c r="B2254" s="16" t="s">
        <v>427</v>
      </c>
      <c r="C2254" s="16"/>
      <c r="D2254" s="16" t="s">
        <v>409</v>
      </c>
      <c r="E2254" s="17">
        <v>41640</v>
      </c>
      <c r="F2254" s="17">
        <v>42004</v>
      </c>
      <c r="G2254" s="16" t="s">
        <v>410</v>
      </c>
      <c r="H2254" s="16">
        <v>0.2</v>
      </c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6"/>
      <c r="AA2254" s="16"/>
      <c r="AB2254" s="16"/>
      <c r="AC2254" s="16"/>
      <c r="AD2254" s="16"/>
      <c r="AE2254" s="16"/>
      <c r="AF2254" s="16" t="s">
        <v>413</v>
      </c>
    </row>
    <row r="2255" spans="1:32" ht="14.25" customHeight="1" x14ac:dyDescent="0.35">
      <c r="A2255" s="14" t="s">
        <v>1602</v>
      </c>
      <c r="B2255" s="14" t="s">
        <v>427</v>
      </c>
      <c r="C2255" s="14" t="s">
        <v>414</v>
      </c>
      <c r="D2255" s="14" t="s">
        <v>409</v>
      </c>
      <c r="E2255" s="15">
        <v>41640</v>
      </c>
      <c r="F2255" s="15">
        <v>42004</v>
      </c>
      <c r="G2255" s="14" t="s">
        <v>410</v>
      </c>
      <c r="H2255" s="14">
        <v>60</v>
      </c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 t="s">
        <v>413</v>
      </c>
    </row>
    <row r="2256" spans="1:32" ht="14.25" customHeight="1" x14ac:dyDescent="0.35">
      <c r="A2256" s="16" t="s">
        <v>1603</v>
      </c>
      <c r="B2256" s="16" t="s">
        <v>427</v>
      </c>
      <c r="C2256" s="16" t="s">
        <v>412</v>
      </c>
      <c r="D2256" s="16" t="s">
        <v>417</v>
      </c>
      <c r="E2256" s="17">
        <v>41640</v>
      </c>
      <c r="F2256" s="17">
        <v>42004</v>
      </c>
      <c r="G2256" s="16" t="s">
        <v>415</v>
      </c>
      <c r="H2256" s="16">
        <v>0</v>
      </c>
      <c r="I2256" s="16">
        <v>0</v>
      </c>
      <c r="J2256" s="16">
        <v>0</v>
      </c>
      <c r="K2256" s="16">
        <v>0</v>
      </c>
      <c r="L2256" s="16">
        <v>725</v>
      </c>
      <c r="M2256" s="16">
        <v>417</v>
      </c>
      <c r="N2256" s="16">
        <v>290</v>
      </c>
      <c r="O2256" s="16">
        <v>0</v>
      </c>
      <c r="P2256" s="16">
        <v>0</v>
      </c>
      <c r="Q2256" s="16">
        <v>0</v>
      </c>
      <c r="R2256" s="16">
        <v>0</v>
      </c>
      <c r="S2256" s="16">
        <v>0</v>
      </c>
      <c r="T2256" s="16">
        <v>0</v>
      </c>
      <c r="U2256" s="16">
        <v>0</v>
      </c>
      <c r="V2256" s="16">
        <v>0</v>
      </c>
      <c r="W2256" s="16">
        <v>0</v>
      </c>
      <c r="X2256" s="16">
        <v>0</v>
      </c>
      <c r="Y2256" s="16">
        <v>0</v>
      </c>
      <c r="Z2256" s="16">
        <v>0</v>
      </c>
      <c r="AA2256" s="16">
        <v>0</v>
      </c>
      <c r="AB2256" s="16">
        <v>0</v>
      </c>
      <c r="AC2256" s="16">
        <v>0</v>
      </c>
      <c r="AD2256" s="16">
        <v>0</v>
      </c>
      <c r="AE2256" s="16">
        <v>0</v>
      </c>
      <c r="AF2256" s="16" t="s">
        <v>413</v>
      </c>
    </row>
    <row r="2257" spans="1:32" ht="14.25" customHeight="1" x14ac:dyDescent="0.35">
      <c r="A2257" s="14" t="s">
        <v>1603</v>
      </c>
      <c r="B2257" s="14" t="s">
        <v>427</v>
      </c>
      <c r="C2257" s="14" t="s">
        <v>412</v>
      </c>
      <c r="D2257" s="14" t="s">
        <v>622</v>
      </c>
      <c r="E2257" s="15">
        <v>41640</v>
      </c>
      <c r="F2257" s="15">
        <v>42004</v>
      </c>
      <c r="G2257" s="14" t="s">
        <v>415</v>
      </c>
      <c r="H2257" s="14">
        <v>0</v>
      </c>
      <c r="I2257" s="14">
        <v>0</v>
      </c>
      <c r="J2257" s="14">
        <v>0</v>
      </c>
      <c r="K2257" s="14">
        <v>0</v>
      </c>
      <c r="L2257" s="14">
        <v>125</v>
      </c>
      <c r="M2257" s="14">
        <v>117</v>
      </c>
      <c r="N2257" s="14">
        <v>90</v>
      </c>
      <c r="O2257" s="14">
        <v>0</v>
      </c>
      <c r="P2257" s="14">
        <v>0</v>
      </c>
      <c r="Q2257" s="14">
        <v>0</v>
      </c>
      <c r="R2257" s="14">
        <v>0</v>
      </c>
      <c r="S2257" s="14">
        <v>0</v>
      </c>
      <c r="T2257" s="14">
        <v>0</v>
      </c>
      <c r="U2257" s="14">
        <v>0</v>
      </c>
      <c r="V2257" s="14">
        <v>0</v>
      </c>
      <c r="W2257" s="14">
        <v>0</v>
      </c>
      <c r="X2257" s="14">
        <v>0</v>
      </c>
      <c r="Y2257" s="14">
        <v>0</v>
      </c>
      <c r="Z2257" s="14">
        <v>0</v>
      </c>
      <c r="AA2257" s="14">
        <v>125</v>
      </c>
      <c r="AB2257" s="14">
        <v>117</v>
      </c>
      <c r="AC2257" s="14">
        <v>90</v>
      </c>
      <c r="AD2257" s="14">
        <v>0</v>
      </c>
      <c r="AE2257" s="14">
        <v>0</v>
      </c>
      <c r="AF2257" s="14" t="s">
        <v>413</v>
      </c>
    </row>
    <row r="2258" spans="1:32" ht="14.25" customHeight="1" x14ac:dyDescent="0.35">
      <c r="A2258" s="16" t="s">
        <v>1604</v>
      </c>
      <c r="B2258" s="16" t="s">
        <v>427</v>
      </c>
      <c r="C2258" s="16" t="s">
        <v>412</v>
      </c>
      <c r="D2258" s="16" t="s">
        <v>409</v>
      </c>
      <c r="E2258" s="17">
        <v>41640</v>
      </c>
      <c r="F2258" s="17">
        <v>42004</v>
      </c>
      <c r="G2258" s="16" t="s">
        <v>410</v>
      </c>
      <c r="H2258" s="16">
        <v>0</v>
      </c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A2258" s="16"/>
      <c r="AB2258" s="16"/>
      <c r="AC2258" s="16"/>
      <c r="AD2258" s="16"/>
      <c r="AE2258" s="16"/>
      <c r="AF2258" s="16" t="s">
        <v>413</v>
      </c>
    </row>
    <row r="2259" spans="1:32" ht="14.25" customHeight="1" x14ac:dyDescent="0.35">
      <c r="A2259" s="14" t="s">
        <v>1605</v>
      </c>
      <c r="B2259" s="14" t="s">
        <v>427</v>
      </c>
      <c r="C2259" s="14"/>
      <c r="D2259" s="14" t="s">
        <v>1535</v>
      </c>
      <c r="E2259" s="15">
        <v>41640</v>
      </c>
      <c r="F2259" s="15">
        <v>42004</v>
      </c>
      <c r="G2259" s="14" t="s">
        <v>415</v>
      </c>
      <c r="H2259" s="14">
        <v>0</v>
      </c>
      <c r="I2259" s="14">
        <v>0</v>
      </c>
      <c r="J2259" s="14">
        <v>0</v>
      </c>
      <c r="K2259" s="14">
        <v>0</v>
      </c>
      <c r="L2259" s="14">
        <v>0</v>
      </c>
      <c r="M2259" s="14">
        <v>0</v>
      </c>
      <c r="N2259" s="14">
        <v>1</v>
      </c>
      <c r="O2259" s="14">
        <v>1</v>
      </c>
      <c r="P2259" s="14">
        <v>1</v>
      </c>
      <c r="Q2259" s="14">
        <v>1</v>
      </c>
      <c r="R2259" s="14">
        <v>1</v>
      </c>
      <c r="S2259" s="14">
        <v>1</v>
      </c>
      <c r="T2259" s="14">
        <v>1</v>
      </c>
      <c r="U2259" s="14">
        <v>1</v>
      </c>
      <c r="V2259" s="14">
        <v>1</v>
      </c>
      <c r="W2259" s="14">
        <v>1</v>
      </c>
      <c r="X2259" s="14">
        <v>1</v>
      </c>
      <c r="Y2259" s="14">
        <v>1</v>
      </c>
      <c r="Z2259" s="14">
        <v>1</v>
      </c>
      <c r="AA2259" s="14">
        <v>1</v>
      </c>
      <c r="AB2259" s="14">
        <v>1</v>
      </c>
      <c r="AC2259" s="14">
        <v>1</v>
      </c>
      <c r="AD2259" s="14">
        <v>1</v>
      </c>
      <c r="AE2259" s="14">
        <v>1</v>
      </c>
      <c r="AF2259" s="14" t="s">
        <v>413</v>
      </c>
    </row>
    <row r="2260" spans="1:32" ht="14.25" customHeight="1" x14ac:dyDescent="0.35">
      <c r="A2260" s="16" t="s">
        <v>1606</v>
      </c>
      <c r="B2260" s="16" t="s">
        <v>408</v>
      </c>
      <c r="C2260" s="16"/>
      <c r="D2260" s="16" t="s">
        <v>409</v>
      </c>
      <c r="E2260" s="17">
        <v>41640</v>
      </c>
      <c r="F2260" s="17">
        <v>42004</v>
      </c>
      <c r="G2260" s="16" t="s">
        <v>410</v>
      </c>
      <c r="H2260" s="16">
        <v>60</v>
      </c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6"/>
      <c r="AA2260" s="16"/>
      <c r="AB2260" s="16"/>
      <c r="AC2260" s="16"/>
      <c r="AD2260" s="16"/>
      <c r="AE2260" s="16"/>
      <c r="AF2260" s="16" t="s">
        <v>413</v>
      </c>
    </row>
    <row r="2261" spans="1:32" ht="14.25" customHeight="1" x14ac:dyDescent="0.35">
      <c r="A2261" s="14" t="s">
        <v>1607</v>
      </c>
      <c r="B2261" s="14" t="s">
        <v>550</v>
      </c>
      <c r="C2261" s="14"/>
      <c r="D2261" s="14" t="s">
        <v>1552</v>
      </c>
      <c r="E2261" s="15">
        <v>41640</v>
      </c>
      <c r="F2261" s="15">
        <v>42004</v>
      </c>
      <c r="G2261" s="14" t="s">
        <v>415</v>
      </c>
      <c r="H2261" s="14">
        <v>0</v>
      </c>
      <c r="I2261" s="14">
        <v>0</v>
      </c>
      <c r="J2261" s="14">
        <v>0</v>
      </c>
      <c r="K2261" s="14">
        <v>0</v>
      </c>
      <c r="L2261" s="14">
        <v>0</v>
      </c>
      <c r="M2261" s="14">
        <v>0</v>
      </c>
      <c r="N2261" s="14">
        <v>0.65</v>
      </c>
      <c r="O2261" s="14">
        <v>0.65</v>
      </c>
      <c r="P2261" s="14">
        <v>0.65</v>
      </c>
      <c r="Q2261" s="14">
        <v>0.65</v>
      </c>
      <c r="R2261" s="14">
        <v>0.65</v>
      </c>
      <c r="S2261" s="14">
        <v>0.65</v>
      </c>
      <c r="T2261" s="14">
        <v>0.65</v>
      </c>
      <c r="U2261" s="14">
        <v>0.65</v>
      </c>
      <c r="V2261" s="14">
        <v>0.65</v>
      </c>
      <c r="W2261" s="14">
        <v>0.65</v>
      </c>
      <c r="X2261" s="14">
        <v>0.65</v>
      </c>
      <c r="Y2261" s="14">
        <v>0.65</v>
      </c>
      <c r="Z2261" s="14">
        <v>0.65</v>
      </c>
      <c r="AA2261" s="14">
        <v>0.65</v>
      </c>
      <c r="AB2261" s="14">
        <v>0.65</v>
      </c>
      <c r="AC2261" s="14">
        <v>0.65</v>
      </c>
      <c r="AD2261" s="14">
        <v>0.65</v>
      </c>
      <c r="AE2261" s="14">
        <v>0.65</v>
      </c>
      <c r="AF2261" s="14" t="s">
        <v>413</v>
      </c>
    </row>
    <row r="2262" spans="1:32" ht="14.25" customHeight="1" x14ac:dyDescent="0.35">
      <c r="A2262" s="16" t="s">
        <v>1607</v>
      </c>
      <c r="B2262" s="16" t="s">
        <v>550</v>
      </c>
      <c r="C2262" s="16"/>
      <c r="D2262" s="16" t="s">
        <v>418</v>
      </c>
      <c r="E2262" s="17">
        <v>41640</v>
      </c>
      <c r="F2262" s="17">
        <v>42004</v>
      </c>
      <c r="G2262" s="16" t="s">
        <v>410</v>
      </c>
      <c r="H2262" s="16">
        <v>0.65</v>
      </c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A2262" s="16"/>
      <c r="AB2262" s="16"/>
      <c r="AC2262" s="16"/>
      <c r="AD2262" s="16"/>
      <c r="AE2262" s="16"/>
      <c r="AF2262" s="16" t="s">
        <v>413</v>
      </c>
    </row>
    <row r="2263" spans="1:32" ht="14.25" customHeight="1" x14ac:dyDescent="0.35">
      <c r="A2263" s="14" t="s">
        <v>1608</v>
      </c>
      <c r="B2263" s="14" t="s">
        <v>550</v>
      </c>
      <c r="C2263" s="14"/>
      <c r="D2263" s="14" t="s">
        <v>1552</v>
      </c>
      <c r="E2263" s="15">
        <v>41640</v>
      </c>
      <c r="F2263" s="15">
        <v>42004</v>
      </c>
      <c r="G2263" s="14" t="s">
        <v>415</v>
      </c>
      <c r="H2263" s="14">
        <v>1</v>
      </c>
      <c r="I2263" s="14">
        <v>0</v>
      </c>
      <c r="J2263" s="14">
        <v>0</v>
      </c>
      <c r="K2263" s="14">
        <v>0</v>
      </c>
      <c r="L2263" s="14">
        <v>0</v>
      </c>
      <c r="M2263" s="14">
        <v>0</v>
      </c>
      <c r="N2263" s="14">
        <v>1</v>
      </c>
      <c r="O2263" s="14">
        <v>1</v>
      </c>
      <c r="P2263" s="14">
        <v>1</v>
      </c>
      <c r="Q2263" s="14">
        <v>1</v>
      </c>
      <c r="R2263" s="14">
        <v>1</v>
      </c>
      <c r="S2263" s="14">
        <v>1</v>
      </c>
      <c r="T2263" s="14">
        <v>1</v>
      </c>
      <c r="U2263" s="14">
        <v>1</v>
      </c>
      <c r="V2263" s="14">
        <v>1</v>
      </c>
      <c r="W2263" s="14">
        <v>1</v>
      </c>
      <c r="X2263" s="14">
        <v>1</v>
      </c>
      <c r="Y2263" s="14">
        <v>1</v>
      </c>
      <c r="Z2263" s="14">
        <v>1</v>
      </c>
      <c r="AA2263" s="14">
        <v>1</v>
      </c>
      <c r="AB2263" s="14">
        <v>1</v>
      </c>
      <c r="AC2263" s="14">
        <v>1</v>
      </c>
      <c r="AD2263" s="14">
        <v>1</v>
      </c>
      <c r="AE2263" s="14">
        <v>1</v>
      </c>
      <c r="AF2263" s="14" t="s">
        <v>413</v>
      </c>
    </row>
    <row r="2264" spans="1:32" ht="14.25" customHeight="1" x14ac:dyDescent="0.35">
      <c r="A2264" s="16" t="s">
        <v>1608</v>
      </c>
      <c r="B2264" s="16" t="s">
        <v>550</v>
      </c>
      <c r="C2264" s="16"/>
      <c r="D2264" s="16" t="s">
        <v>418</v>
      </c>
      <c r="E2264" s="17">
        <v>41640</v>
      </c>
      <c r="F2264" s="17">
        <v>42004</v>
      </c>
      <c r="G2264" s="16" t="s">
        <v>410</v>
      </c>
      <c r="H2264" s="16">
        <v>1</v>
      </c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  <c r="AC2264" s="16"/>
      <c r="AD2264" s="16"/>
      <c r="AE2264" s="16"/>
      <c r="AF2264" s="16" t="s">
        <v>413</v>
      </c>
    </row>
    <row r="2265" spans="1:32" ht="14.25" customHeight="1" x14ac:dyDescent="0.35">
      <c r="A2265" s="14" t="s">
        <v>1609</v>
      </c>
      <c r="B2265" s="14" t="s">
        <v>550</v>
      </c>
      <c r="C2265" s="14"/>
      <c r="D2265" s="14" t="s">
        <v>409</v>
      </c>
      <c r="E2265" s="15">
        <v>41640</v>
      </c>
      <c r="F2265" s="15">
        <v>42004</v>
      </c>
      <c r="G2265" s="14" t="s">
        <v>410</v>
      </c>
      <c r="H2265" s="14">
        <v>1</v>
      </c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 t="s">
        <v>413</v>
      </c>
    </row>
    <row r="2266" spans="1:32" ht="14.25" customHeight="1" x14ac:dyDescent="0.35">
      <c r="A2266" s="16" t="s">
        <v>1610</v>
      </c>
      <c r="B2266" s="16" t="s">
        <v>550</v>
      </c>
      <c r="C2266" s="16"/>
      <c r="D2266" s="16" t="s">
        <v>1552</v>
      </c>
      <c r="E2266" s="17">
        <v>41640</v>
      </c>
      <c r="F2266" s="17">
        <v>42004</v>
      </c>
      <c r="G2266" s="16" t="s">
        <v>415</v>
      </c>
      <c r="H2266" s="16">
        <v>0</v>
      </c>
      <c r="I2266" s="16">
        <v>0</v>
      </c>
      <c r="J2266" s="16">
        <v>0</v>
      </c>
      <c r="K2266" s="16">
        <v>0</v>
      </c>
      <c r="L2266" s="16">
        <v>0</v>
      </c>
      <c r="M2266" s="16">
        <v>0</v>
      </c>
      <c r="N2266" s="16">
        <v>1</v>
      </c>
      <c r="O2266" s="16">
        <v>1</v>
      </c>
      <c r="P2266" s="16">
        <v>1</v>
      </c>
      <c r="Q2266" s="16">
        <v>1</v>
      </c>
      <c r="R2266" s="16">
        <v>1</v>
      </c>
      <c r="S2266" s="16">
        <v>1</v>
      </c>
      <c r="T2266" s="16">
        <v>1</v>
      </c>
      <c r="U2266" s="16">
        <v>1</v>
      </c>
      <c r="V2266" s="16">
        <v>1</v>
      </c>
      <c r="W2266" s="16">
        <v>1</v>
      </c>
      <c r="X2266" s="16">
        <v>1</v>
      </c>
      <c r="Y2266" s="16">
        <v>1</v>
      </c>
      <c r="Z2266" s="16">
        <v>1</v>
      </c>
      <c r="AA2266" s="16">
        <v>1</v>
      </c>
      <c r="AB2266" s="16">
        <v>1</v>
      </c>
      <c r="AC2266" s="16">
        <v>1</v>
      </c>
      <c r="AD2266" s="16">
        <v>1</v>
      </c>
      <c r="AE2266" s="16">
        <v>1</v>
      </c>
      <c r="AF2266" s="16" t="s">
        <v>413</v>
      </c>
    </row>
    <row r="2267" spans="1:32" ht="14.25" customHeight="1" x14ac:dyDescent="0.35">
      <c r="A2267" s="14" t="s">
        <v>1610</v>
      </c>
      <c r="B2267" s="14" t="s">
        <v>550</v>
      </c>
      <c r="C2267" s="14"/>
      <c r="D2267" s="14" t="s">
        <v>418</v>
      </c>
      <c r="E2267" s="15">
        <v>41640</v>
      </c>
      <c r="F2267" s="15">
        <v>42004</v>
      </c>
      <c r="G2267" s="14" t="s">
        <v>410</v>
      </c>
      <c r="H2267" s="14">
        <v>1</v>
      </c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 t="s">
        <v>413</v>
      </c>
    </row>
    <row r="2268" spans="1:32" ht="14.25" customHeight="1" x14ac:dyDescent="0.35">
      <c r="A2268" s="16" t="s">
        <v>1611</v>
      </c>
      <c r="B2268" s="16" t="s">
        <v>408</v>
      </c>
      <c r="C2268" s="16"/>
      <c r="D2268" s="16" t="s">
        <v>409</v>
      </c>
      <c r="E2268" s="17">
        <v>41640</v>
      </c>
      <c r="F2268" s="17">
        <v>42004</v>
      </c>
      <c r="G2268" s="16" t="s">
        <v>410</v>
      </c>
      <c r="H2268" s="16">
        <v>30</v>
      </c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16"/>
      <c r="AA2268" s="16"/>
      <c r="AB2268" s="16"/>
      <c r="AC2268" s="16"/>
      <c r="AD2268" s="16"/>
      <c r="AE2268" s="16"/>
      <c r="AF2268" s="16" t="s">
        <v>413</v>
      </c>
    </row>
    <row r="2269" spans="1:32" ht="14.25" customHeight="1" x14ac:dyDescent="0.35">
      <c r="A2269" s="14" t="s">
        <v>1612</v>
      </c>
      <c r="B2269" s="14" t="s">
        <v>408</v>
      </c>
      <c r="C2269" s="14"/>
      <c r="D2269" s="14" t="s">
        <v>409</v>
      </c>
      <c r="E2269" s="15">
        <v>41640</v>
      </c>
      <c r="F2269" s="15">
        <v>42004</v>
      </c>
      <c r="G2269" s="14" t="s">
        <v>410</v>
      </c>
      <c r="H2269" s="14">
        <v>1</v>
      </c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 t="s">
        <v>413</v>
      </c>
    </row>
    <row r="2270" spans="1:32" ht="14.25" customHeight="1" x14ac:dyDescent="0.35">
      <c r="A2270" s="16" t="s">
        <v>1613</v>
      </c>
      <c r="B2270" s="16" t="s">
        <v>427</v>
      </c>
      <c r="C2270" s="16"/>
      <c r="D2270" s="16" t="s">
        <v>821</v>
      </c>
      <c r="E2270" s="17">
        <v>41640</v>
      </c>
      <c r="F2270" s="17">
        <v>42004</v>
      </c>
      <c r="G2270" s="16" t="s">
        <v>415</v>
      </c>
      <c r="H2270" s="16">
        <v>0.03</v>
      </c>
      <c r="I2270" s="16">
        <v>0.02</v>
      </c>
      <c r="J2270" s="16">
        <v>0.03</v>
      </c>
      <c r="K2270" s="16">
        <v>0.02</v>
      </c>
      <c r="L2270" s="16">
        <v>0.05</v>
      </c>
      <c r="M2270" s="16">
        <v>0.12</v>
      </c>
      <c r="N2270" s="16">
        <v>0.13</v>
      </c>
      <c r="O2270" s="16">
        <v>0.15</v>
      </c>
      <c r="P2270" s="16">
        <v>0.18</v>
      </c>
      <c r="Q2270" s="16">
        <v>0.21</v>
      </c>
      <c r="R2270" s="16">
        <v>0.26</v>
      </c>
      <c r="S2270" s="16">
        <v>0.28999999999999998</v>
      </c>
      <c r="T2270" s="16">
        <v>0.27</v>
      </c>
      <c r="U2270" s="16">
        <v>0.25</v>
      </c>
      <c r="V2270" s="16">
        <v>0.23</v>
      </c>
      <c r="W2270" s="16">
        <v>0.23</v>
      </c>
      <c r="X2270" s="16">
        <v>0.26</v>
      </c>
      <c r="Y2270" s="16">
        <v>0.26</v>
      </c>
      <c r="Z2270" s="16">
        <v>0.24</v>
      </c>
      <c r="AA2270" s="16">
        <v>0.22</v>
      </c>
      <c r="AB2270" s="16">
        <v>0.2</v>
      </c>
      <c r="AC2270" s="16">
        <v>0.18</v>
      </c>
      <c r="AD2270" s="16">
        <v>0.09</v>
      </c>
      <c r="AE2270" s="16">
        <v>0.03</v>
      </c>
      <c r="AF2270" s="16" t="s">
        <v>413</v>
      </c>
    </row>
    <row r="2271" spans="1:32" ht="14.25" customHeight="1" x14ac:dyDescent="0.35">
      <c r="A2271" s="16" t="s">
        <v>1613</v>
      </c>
      <c r="B2271" s="16" t="s">
        <v>427</v>
      </c>
      <c r="C2271" s="16"/>
      <c r="D2271" s="16" t="s">
        <v>419</v>
      </c>
      <c r="E2271" s="17">
        <v>41640</v>
      </c>
      <c r="F2271" s="17">
        <v>42004</v>
      </c>
      <c r="G2271" s="16" t="s">
        <v>410</v>
      </c>
      <c r="H2271" s="16">
        <v>0.28999999999999998</v>
      </c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A2271" s="16"/>
      <c r="AB2271" s="16"/>
      <c r="AC2271" s="16"/>
      <c r="AD2271" s="16"/>
      <c r="AE2271" s="16"/>
      <c r="AF2271" s="16" t="s">
        <v>413</v>
      </c>
    </row>
    <row r="2272" spans="1:32" ht="14.25" customHeight="1" x14ac:dyDescent="0.35">
      <c r="A2272" s="14" t="s">
        <v>1613</v>
      </c>
      <c r="B2272" s="14" t="s">
        <v>427</v>
      </c>
      <c r="C2272" s="14"/>
      <c r="D2272" s="14" t="s">
        <v>418</v>
      </c>
      <c r="E2272" s="15">
        <v>41640</v>
      </c>
      <c r="F2272" s="15">
        <v>42004</v>
      </c>
      <c r="G2272" s="14" t="s">
        <v>410</v>
      </c>
      <c r="H2272" s="14">
        <v>0</v>
      </c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 t="s">
        <v>413</v>
      </c>
    </row>
    <row r="2273" spans="1:32" ht="14.25" customHeight="1" x14ac:dyDescent="0.35">
      <c r="A2273" s="14" t="s">
        <v>1614</v>
      </c>
      <c r="B2273" s="14" t="s">
        <v>408</v>
      </c>
      <c r="C2273" s="14" t="s">
        <v>414</v>
      </c>
      <c r="D2273" s="14" t="s">
        <v>409</v>
      </c>
      <c r="E2273" s="15">
        <v>41640</v>
      </c>
      <c r="F2273" s="15">
        <v>42004</v>
      </c>
      <c r="G2273" s="14" t="s">
        <v>410</v>
      </c>
      <c r="H2273" s="14">
        <v>13</v>
      </c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 t="s">
        <v>413</v>
      </c>
    </row>
    <row r="2274" spans="1:32" ht="14.25" customHeight="1" x14ac:dyDescent="0.35">
      <c r="A2274" s="16" t="s">
        <v>1614</v>
      </c>
      <c r="B2274" s="16" t="s">
        <v>408</v>
      </c>
      <c r="C2274" s="16" t="s">
        <v>414</v>
      </c>
      <c r="D2274" s="16" t="s">
        <v>454</v>
      </c>
      <c r="E2274" s="17">
        <v>41913</v>
      </c>
      <c r="F2274" s="17">
        <v>42004</v>
      </c>
      <c r="G2274" s="16" t="s">
        <v>410</v>
      </c>
      <c r="H2274" s="16">
        <v>13</v>
      </c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/>
      <c r="AF2274" s="16" t="s">
        <v>413</v>
      </c>
    </row>
    <row r="2275" spans="1:32" ht="14.25" customHeight="1" x14ac:dyDescent="0.35">
      <c r="A2275" s="14" t="s">
        <v>1614</v>
      </c>
      <c r="B2275" s="14" t="s">
        <v>408</v>
      </c>
      <c r="C2275" s="14" t="s">
        <v>414</v>
      </c>
      <c r="D2275" s="14" t="s">
        <v>454</v>
      </c>
      <c r="E2275" s="15">
        <v>41640</v>
      </c>
      <c r="F2275" s="15">
        <v>41729</v>
      </c>
      <c r="G2275" s="14" t="s">
        <v>410</v>
      </c>
      <c r="H2275" s="14">
        <v>13</v>
      </c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 t="s">
        <v>413</v>
      </c>
    </row>
    <row r="2276" spans="1:32" ht="14.25" customHeight="1" x14ac:dyDescent="0.35">
      <c r="A2276" s="16" t="s">
        <v>1615</v>
      </c>
      <c r="B2276" s="16" t="s">
        <v>408</v>
      </c>
      <c r="C2276" s="16" t="s">
        <v>412</v>
      </c>
      <c r="D2276" s="16" t="s">
        <v>409</v>
      </c>
      <c r="E2276" s="17">
        <v>41640</v>
      </c>
      <c r="F2276" s="17">
        <v>42004</v>
      </c>
      <c r="G2276" s="16" t="s">
        <v>410</v>
      </c>
      <c r="H2276" s="16">
        <v>0</v>
      </c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  <c r="AB2276" s="16"/>
      <c r="AC2276" s="16"/>
      <c r="AD2276" s="16"/>
      <c r="AE2276" s="16"/>
      <c r="AF2276" s="16" t="s">
        <v>413</v>
      </c>
    </row>
    <row r="2277" spans="1:32" ht="14.25" customHeight="1" x14ac:dyDescent="0.35">
      <c r="A2277" s="14" t="s">
        <v>1616</v>
      </c>
      <c r="B2277" s="14" t="s">
        <v>460</v>
      </c>
      <c r="C2277" s="14" t="s">
        <v>414</v>
      </c>
      <c r="D2277" s="14" t="s">
        <v>409</v>
      </c>
      <c r="E2277" s="15">
        <v>41640</v>
      </c>
      <c r="F2277" s="15">
        <v>42004</v>
      </c>
      <c r="G2277" s="14" t="s">
        <v>410</v>
      </c>
      <c r="H2277" s="14">
        <v>22</v>
      </c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 t="s">
        <v>413</v>
      </c>
    </row>
    <row r="2278" spans="1:32" ht="14.25" customHeight="1" x14ac:dyDescent="0.35">
      <c r="A2278" s="16" t="s">
        <v>1617</v>
      </c>
      <c r="B2278" s="16" t="s">
        <v>460</v>
      </c>
      <c r="C2278" s="16" t="s">
        <v>414</v>
      </c>
      <c r="D2278" s="16" t="s">
        <v>409</v>
      </c>
      <c r="E2278" s="17">
        <v>41640</v>
      </c>
      <c r="F2278" s="17">
        <v>42004</v>
      </c>
      <c r="G2278" s="16" t="s">
        <v>410</v>
      </c>
      <c r="H2278" s="16">
        <v>60</v>
      </c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16"/>
      <c r="AA2278" s="16"/>
      <c r="AB2278" s="16"/>
      <c r="AC2278" s="16"/>
      <c r="AD2278" s="16"/>
      <c r="AE2278" s="16"/>
      <c r="AF2278" s="16" t="s">
        <v>413</v>
      </c>
    </row>
    <row r="2279" spans="1:32" ht="14.25" customHeight="1" x14ac:dyDescent="0.35">
      <c r="A2279" s="14" t="s">
        <v>1618</v>
      </c>
      <c r="B2279" s="14" t="s">
        <v>460</v>
      </c>
      <c r="C2279" s="14" t="s">
        <v>414</v>
      </c>
      <c r="D2279" s="14" t="s">
        <v>409</v>
      </c>
      <c r="E2279" s="15">
        <v>41640</v>
      </c>
      <c r="F2279" s="15">
        <v>42004</v>
      </c>
      <c r="G2279" s="14" t="s">
        <v>410</v>
      </c>
      <c r="H2279" s="14">
        <v>60</v>
      </c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 t="s">
        <v>413</v>
      </c>
    </row>
    <row r="2280" spans="1:32" ht="14.25" customHeight="1" x14ac:dyDescent="0.35">
      <c r="A2280" s="16" t="s">
        <v>1619</v>
      </c>
      <c r="B2280" s="16" t="s">
        <v>441</v>
      </c>
      <c r="C2280" s="16"/>
      <c r="D2280" s="16" t="s">
        <v>417</v>
      </c>
      <c r="E2280" s="17">
        <v>41640</v>
      </c>
      <c r="F2280" s="17">
        <v>42004</v>
      </c>
      <c r="G2280" s="16" t="s">
        <v>415</v>
      </c>
      <c r="H2280" s="16">
        <v>0</v>
      </c>
      <c r="I2280" s="16">
        <v>0</v>
      </c>
      <c r="J2280" s="16">
        <v>0</v>
      </c>
      <c r="K2280" s="16">
        <v>0</v>
      </c>
      <c r="L2280" s="16">
        <v>0</v>
      </c>
      <c r="M2280" s="16">
        <v>0</v>
      </c>
      <c r="N2280" s="16">
        <v>0.13100000000000001</v>
      </c>
      <c r="O2280" s="16">
        <v>0.54200000000000004</v>
      </c>
      <c r="P2280" s="16">
        <v>0.54200000000000004</v>
      </c>
      <c r="Q2280" s="16">
        <v>0.24099999999999999</v>
      </c>
      <c r="R2280" s="16">
        <v>0.24099999999999999</v>
      </c>
      <c r="S2280" s="16">
        <v>0.34499999999999997</v>
      </c>
      <c r="T2280" s="16">
        <v>0.54200000000000004</v>
      </c>
      <c r="U2280" s="16">
        <v>0.54200000000000004</v>
      </c>
      <c r="V2280" s="16">
        <v>0.34499999999999997</v>
      </c>
      <c r="W2280" s="16">
        <v>0.24099999999999999</v>
      </c>
      <c r="X2280" s="16">
        <v>0.34499999999999997</v>
      </c>
      <c r="Y2280" s="16">
        <v>0.44500000000000001</v>
      </c>
      <c r="Z2280" s="16">
        <v>0.54200000000000004</v>
      </c>
      <c r="AA2280" s="16">
        <v>0.63700000000000001</v>
      </c>
      <c r="AB2280" s="16">
        <v>0.73</v>
      </c>
      <c r="AC2280" s="16">
        <v>0.44500000000000001</v>
      </c>
      <c r="AD2280" s="16">
        <v>0.24099999999999999</v>
      </c>
      <c r="AE2280" s="16">
        <v>0.24099999999999999</v>
      </c>
      <c r="AF2280" s="16" t="s">
        <v>413</v>
      </c>
    </row>
    <row r="2281" spans="1:32" ht="14.25" customHeight="1" x14ac:dyDescent="0.35">
      <c r="A2281" s="14" t="s">
        <v>1619</v>
      </c>
      <c r="B2281" s="14" t="s">
        <v>441</v>
      </c>
      <c r="C2281" s="14"/>
      <c r="D2281" s="14" t="s">
        <v>512</v>
      </c>
      <c r="E2281" s="15">
        <v>41640</v>
      </c>
      <c r="F2281" s="15">
        <v>42004</v>
      </c>
      <c r="G2281" s="14" t="s">
        <v>415</v>
      </c>
      <c r="H2281" s="14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0.13100000000000001</v>
      </c>
      <c r="O2281" s="14">
        <v>0.54200000000000004</v>
      </c>
      <c r="P2281" s="14">
        <v>0.54200000000000004</v>
      </c>
      <c r="Q2281" s="14">
        <v>0.44500000000000001</v>
      </c>
      <c r="R2281" s="14">
        <v>0.24099999999999999</v>
      </c>
      <c r="S2281" s="14">
        <v>0.44500000000000001</v>
      </c>
      <c r="T2281" s="14">
        <v>0.54200000000000004</v>
      </c>
      <c r="U2281" s="14">
        <v>0.54200000000000004</v>
      </c>
      <c r="V2281" s="14">
        <v>0.44500000000000001</v>
      </c>
      <c r="W2281" s="14">
        <v>0.34499999999999997</v>
      </c>
      <c r="X2281" s="14">
        <v>0.34499999999999997</v>
      </c>
      <c r="Y2281" s="14">
        <v>0.34499999999999997</v>
      </c>
      <c r="Z2281" s="14">
        <v>0.73</v>
      </c>
      <c r="AA2281" s="14">
        <v>0.91100000000000003</v>
      </c>
      <c r="AB2281" s="14">
        <v>0.73</v>
      </c>
      <c r="AC2281" s="14">
        <v>0.63700000000000001</v>
      </c>
      <c r="AD2281" s="14">
        <v>0.54200000000000004</v>
      </c>
      <c r="AE2281" s="14">
        <v>0.34499999999999997</v>
      </c>
      <c r="AF2281" s="14" t="s">
        <v>413</v>
      </c>
    </row>
    <row r="2282" spans="1:32" ht="14.25" customHeight="1" x14ac:dyDescent="0.35">
      <c r="A2282" s="16" t="s">
        <v>1619</v>
      </c>
      <c r="B2282" s="16" t="s">
        <v>441</v>
      </c>
      <c r="C2282" s="16"/>
      <c r="D2282" s="16" t="s">
        <v>419</v>
      </c>
      <c r="E2282" s="17">
        <v>41640</v>
      </c>
      <c r="F2282" s="17">
        <v>42004</v>
      </c>
      <c r="G2282" s="16" t="s">
        <v>410</v>
      </c>
      <c r="H2282" s="16">
        <v>1</v>
      </c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 t="s">
        <v>413</v>
      </c>
    </row>
    <row r="2283" spans="1:32" ht="14.25" customHeight="1" x14ac:dyDescent="0.35">
      <c r="A2283" s="16" t="s">
        <v>1619</v>
      </c>
      <c r="B2283" s="16" t="s">
        <v>441</v>
      </c>
      <c r="C2283" s="16"/>
      <c r="D2283" s="16" t="s">
        <v>429</v>
      </c>
      <c r="E2283" s="17">
        <v>41640</v>
      </c>
      <c r="F2283" s="17">
        <v>42004</v>
      </c>
      <c r="G2283" s="16" t="s">
        <v>415</v>
      </c>
      <c r="H2283" s="16">
        <v>0</v>
      </c>
      <c r="I2283" s="16">
        <v>0</v>
      </c>
      <c r="J2283" s="16">
        <v>0</v>
      </c>
      <c r="K2283" s="16">
        <v>0</v>
      </c>
      <c r="L2283" s="16">
        <v>0</v>
      </c>
      <c r="M2283" s="16">
        <v>0</v>
      </c>
      <c r="N2283" s="16">
        <v>0.13100000000000001</v>
      </c>
      <c r="O2283" s="16">
        <v>0.44500000000000001</v>
      </c>
      <c r="P2283" s="16">
        <v>0.44500000000000001</v>
      </c>
      <c r="Q2283" s="16">
        <v>0.44500000000000001</v>
      </c>
      <c r="R2283" s="16">
        <v>0.24099999999999999</v>
      </c>
      <c r="S2283" s="16">
        <v>0.54200000000000004</v>
      </c>
      <c r="T2283" s="16">
        <v>0.82099999999999995</v>
      </c>
      <c r="U2283" s="16">
        <v>0.73</v>
      </c>
      <c r="V2283" s="16">
        <v>0.44500000000000001</v>
      </c>
      <c r="W2283" s="16">
        <v>0.24099999999999999</v>
      </c>
      <c r="X2283" s="16">
        <v>0.34499999999999997</v>
      </c>
      <c r="Y2283" s="16">
        <v>0.54200000000000004</v>
      </c>
      <c r="Z2283" s="16">
        <v>0.82099999999999995</v>
      </c>
      <c r="AA2283" s="16">
        <v>0.82099999999999995</v>
      </c>
      <c r="AB2283" s="16">
        <v>0.82099999999999995</v>
      </c>
      <c r="AC2283" s="16">
        <v>0.54200000000000004</v>
      </c>
      <c r="AD2283" s="16">
        <v>0.34499999999999997</v>
      </c>
      <c r="AE2283" s="16">
        <v>0.24099999999999999</v>
      </c>
      <c r="AF2283" s="16" t="s">
        <v>413</v>
      </c>
    </row>
    <row r="2284" spans="1:32" ht="14.25" customHeight="1" x14ac:dyDescent="0.35">
      <c r="A2284" s="14" t="s">
        <v>1619</v>
      </c>
      <c r="B2284" s="14" t="s">
        <v>441</v>
      </c>
      <c r="C2284" s="14"/>
      <c r="D2284" s="14" t="s">
        <v>418</v>
      </c>
      <c r="E2284" s="15">
        <v>41640</v>
      </c>
      <c r="F2284" s="15">
        <v>42004</v>
      </c>
      <c r="G2284" s="14" t="s">
        <v>410</v>
      </c>
      <c r="H2284" s="14">
        <v>0</v>
      </c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 t="s">
        <v>413</v>
      </c>
    </row>
    <row r="2285" spans="1:32" ht="14.25" customHeight="1" x14ac:dyDescent="0.35">
      <c r="A2285" s="14" t="s">
        <v>1620</v>
      </c>
      <c r="B2285" s="14" t="s">
        <v>448</v>
      </c>
      <c r="C2285" s="14"/>
      <c r="D2285" s="14" t="s">
        <v>417</v>
      </c>
      <c r="E2285" s="15">
        <v>41640</v>
      </c>
      <c r="F2285" s="15">
        <v>42004</v>
      </c>
      <c r="G2285" s="14" t="s">
        <v>415</v>
      </c>
      <c r="H2285" s="14">
        <v>0.2</v>
      </c>
      <c r="I2285" s="14">
        <v>0.15</v>
      </c>
      <c r="J2285" s="14">
        <v>0.15</v>
      </c>
      <c r="K2285" s="14">
        <v>0.15</v>
      </c>
      <c r="L2285" s="14">
        <v>0.15</v>
      </c>
      <c r="M2285" s="14">
        <v>0.15</v>
      </c>
      <c r="N2285" s="14">
        <v>0.156</v>
      </c>
      <c r="O2285" s="14">
        <v>0.156</v>
      </c>
      <c r="P2285" s="14">
        <v>0.312</v>
      </c>
      <c r="Q2285" s="14">
        <v>0.312</v>
      </c>
      <c r="R2285" s="14">
        <v>0.41599999999999998</v>
      </c>
      <c r="S2285" s="14">
        <v>0.41599999999999998</v>
      </c>
      <c r="T2285" s="14">
        <v>0.41599999999999998</v>
      </c>
      <c r="U2285" s="14">
        <v>0.41599999999999998</v>
      </c>
      <c r="V2285" s="14">
        <v>0.41599999999999998</v>
      </c>
      <c r="W2285" s="14">
        <v>0.41599999999999998</v>
      </c>
      <c r="X2285" s="14">
        <v>0.41599999999999998</v>
      </c>
      <c r="Y2285" s="14">
        <v>0.46800000000000003</v>
      </c>
      <c r="Z2285" s="14">
        <v>0.46800000000000003</v>
      </c>
      <c r="AA2285" s="14">
        <v>0.46800000000000003</v>
      </c>
      <c r="AB2285" s="14">
        <v>0.46800000000000003</v>
      </c>
      <c r="AC2285" s="14">
        <v>0.46800000000000003</v>
      </c>
      <c r="AD2285" s="14">
        <v>0.26</v>
      </c>
      <c r="AE2285" s="14">
        <v>0.156</v>
      </c>
      <c r="AF2285" s="14" t="s">
        <v>413</v>
      </c>
    </row>
    <row r="2286" spans="1:32" ht="14.25" customHeight="1" x14ac:dyDescent="0.35">
      <c r="A2286" s="14" t="s">
        <v>1620</v>
      </c>
      <c r="B2286" s="14" t="s">
        <v>448</v>
      </c>
      <c r="C2286" s="14"/>
      <c r="D2286" s="14" t="s">
        <v>419</v>
      </c>
      <c r="E2286" s="15">
        <v>41640</v>
      </c>
      <c r="F2286" s="15">
        <v>42004</v>
      </c>
      <c r="G2286" s="14" t="s">
        <v>410</v>
      </c>
      <c r="H2286" s="14">
        <v>1</v>
      </c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 t="s">
        <v>413</v>
      </c>
    </row>
    <row r="2287" spans="1:32" ht="14.25" customHeight="1" x14ac:dyDescent="0.35">
      <c r="A2287" s="16" t="s">
        <v>1620</v>
      </c>
      <c r="B2287" s="16" t="s">
        <v>448</v>
      </c>
      <c r="C2287" s="16"/>
      <c r="D2287" s="16" t="s">
        <v>1517</v>
      </c>
      <c r="E2287" s="17">
        <v>41640</v>
      </c>
      <c r="F2287" s="17">
        <v>42004</v>
      </c>
      <c r="G2287" s="16" t="s">
        <v>415</v>
      </c>
      <c r="H2287" s="16">
        <v>0.2</v>
      </c>
      <c r="I2287" s="16">
        <v>0.15</v>
      </c>
      <c r="J2287" s="16">
        <v>0.15</v>
      </c>
      <c r="K2287" s="16">
        <v>0.15</v>
      </c>
      <c r="L2287" s="16">
        <v>0.15</v>
      </c>
      <c r="M2287" s="16">
        <v>0.15</v>
      </c>
      <c r="N2287" s="16">
        <v>0.156</v>
      </c>
      <c r="O2287" s="16">
        <v>0.156</v>
      </c>
      <c r="P2287" s="16">
        <v>0.26</v>
      </c>
      <c r="Q2287" s="16">
        <v>0.26</v>
      </c>
      <c r="R2287" s="16">
        <v>0.36399999999999999</v>
      </c>
      <c r="S2287" s="16">
        <v>0.36399999999999999</v>
      </c>
      <c r="T2287" s="16">
        <v>0.36399999999999999</v>
      </c>
      <c r="U2287" s="16">
        <v>0.36399999999999999</v>
      </c>
      <c r="V2287" s="16">
        <v>0.36399999999999999</v>
      </c>
      <c r="W2287" s="16">
        <v>0.36399999999999999</v>
      </c>
      <c r="X2287" s="16">
        <v>0.312</v>
      </c>
      <c r="Y2287" s="16">
        <v>0.312</v>
      </c>
      <c r="Z2287" s="16">
        <v>0.312</v>
      </c>
      <c r="AA2287" s="16">
        <v>0.312</v>
      </c>
      <c r="AB2287" s="16">
        <v>0.312</v>
      </c>
      <c r="AC2287" s="16">
        <v>0.312</v>
      </c>
      <c r="AD2287" s="16">
        <v>0.26</v>
      </c>
      <c r="AE2287" s="16">
        <v>0.156</v>
      </c>
      <c r="AF2287" s="16" t="s">
        <v>413</v>
      </c>
    </row>
    <row r="2288" spans="1:32" ht="14.25" customHeight="1" x14ac:dyDescent="0.35">
      <c r="A2288" s="16" t="s">
        <v>1620</v>
      </c>
      <c r="B2288" s="16" t="s">
        <v>448</v>
      </c>
      <c r="C2288" s="16"/>
      <c r="D2288" s="16" t="s">
        <v>418</v>
      </c>
      <c r="E2288" s="17">
        <v>41640</v>
      </c>
      <c r="F2288" s="17">
        <v>42004</v>
      </c>
      <c r="G2288" s="16" t="s">
        <v>410</v>
      </c>
      <c r="H2288" s="16">
        <v>0</v>
      </c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 t="s">
        <v>413</v>
      </c>
    </row>
    <row r="2289" spans="1:32" ht="14.25" customHeight="1" x14ac:dyDescent="0.35">
      <c r="A2289" s="14" t="s">
        <v>1621</v>
      </c>
      <c r="B2289" s="14" t="s">
        <v>408</v>
      </c>
      <c r="C2289" s="14"/>
      <c r="D2289" s="14" t="s">
        <v>409</v>
      </c>
      <c r="E2289" s="15">
        <v>41640</v>
      </c>
      <c r="F2289" s="15">
        <v>42004</v>
      </c>
      <c r="G2289" s="14" t="s">
        <v>410</v>
      </c>
      <c r="H2289" s="14">
        <v>0</v>
      </c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 t="s">
        <v>413</v>
      </c>
    </row>
    <row r="2290" spans="1:32" ht="14.25" customHeight="1" x14ac:dyDescent="0.35">
      <c r="A2290" s="14" t="s">
        <v>332</v>
      </c>
      <c r="B2290" s="14" t="s">
        <v>427</v>
      </c>
      <c r="C2290" s="14"/>
      <c r="D2290" s="14" t="s">
        <v>417</v>
      </c>
      <c r="E2290" s="15">
        <v>41640</v>
      </c>
      <c r="F2290" s="15">
        <v>42004</v>
      </c>
      <c r="G2290" s="14" t="s">
        <v>415</v>
      </c>
      <c r="H2290" s="14">
        <v>0.2</v>
      </c>
      <c r="I2290" s="14">
        <v>0.2</v>
      </c>
      <c r="J2290" s="14">
        <v>0.2</v>
      </c>
      <c r="K2290" s="14">
        <v>0.2</v>
      </c>
      <c r="L2290" s="14">
        <v>0.2</v>
      </c>
      <c r="M2290" s="14">
        <v>0.2</v>
      </c>
      <c r="N2290" s="14">
        <v>0.2</v>
      </c>
      <c r="O2290" s="14">
        <v>0.4</v>
      </c>
      <c r="P2290" s="14">
        <v>0.7</v>
      </c>
      <c r="Q2290" s="14">
        <v>0.9</v>
      </c>
      <c r="R2290" s="14">
        <v>0.9</v>
      </c>
      <c r="S2290" s="14">
        <v>0.9</v>
      </c>
      <c r="T2290" s="14">
        <v>0.9</v>
      </c>
      <c r="U2290" s="14">
        <v>0.9</v>
      </c>
      <c r="V2290" s="14">
        <v>0.9</v>
      </c>
      <c r="W2290" s="14">
        <v>0.9</v>
      </c>
      <c r="X2290" s="14">
        <v>0.9</v>
      </c>
      <c r="Y2290" s="14">
        <v>0.9</v>
      </c>
      <c r="Z2290" s="14">
        <v>0.8</v>
      </c>
      <c r="AA2290" s="14">
        <v>0.8</v>
      </c>
      <c r="AB2290" s="14">
        <v>0.7</v>
      </c>
      <c r="AC2290" s="14">
        <v>0.4</v>
      </c>
      <c r="AD2290" s="14">
        <v>0.2</v>
      </c>
      <c r="AE2290" s="14">
        <v>0.2</v>
      </c>
      <c r="AF2290" s="14" t="s">
        <v>411</v>
      </c>
    </row>
    <row r="2291" spans="1:32" ht="14.25" customHeight="1" x14ac:dyDescent="0.35">
      <c r="A2291" s="14" t="s">
        <v>332</v>
      </c>
      <c r="B2291" s="14" t="s">
        <v>427</v>
      </c>
      <c r="C2291" s="14"/>
      <c r="D2291" s="14" t="s">
        <v>512</v>
      </c>
      <c r="E2291" s="15">
        <v>41640</v>
      </c>
      <c r="F2291" s="15">
        <v>42004</v>
      </c>
      <c r="G2291" s="14" t="s">
        <v>415</v>
      </c>
      <c r="H2291" s="14">
        <v>0.15</v>
      </c>
      <c r="I2291" s="14">
        <v>0.15</v>
      </c>
      <c r="J2291" s="14">
        <v>0.15</v>
      </c>
      <c r="K2291" s="14">
        <v>0.15</v>
      </c>
      <c r="L2291" s="14">
        <v>0.15</v>
      </c>
      <c r="M2291" s="14">
        <v>0.15</v>
      </c>
      <c r="N2291" s="14">
        <v>0.15</v>
      </c>
      <c r="O2291" s="14">
        <v>0.3</v>
      </c>
      <c r="P2291" s="14">
        <v>0.5</v>
      </c>
      <c r="Q2291" s="14">
        <v>0.8</v>
      </c>
      <c r="R2291" s="14">
        <v>0.9</v>
      </c>
      <c r="S2291" s="14">
        <v>0.9</v>
      </c>
      <c r="T2291" s="14">
        <v>0.9</v>
      </c>
      <c r="U2291" s="14">
        <v>0.9</v>
      </c>
      <c r="V2291" s="14">
        <v>0.9</v>
      </c>
      <c r="W2291" s="14">
        <v>0.9</v>
      </c>
      <c r="X2291" s="14">
        <v>0.9</v>
      </c>
      <c r="Y2291" s="14">
        <v>0.9</v>
      </c>
      <c r="Z2291" s="14">
        <v>0.7</v>
      </c>
      <c r="AA2291" s="14">
        <v>0.5</v>
      </c>
      <c r="AB2291" s="14">
        <v>0.5</v>
      </c>
      <c r="AC2291" s="14">
        <v>0.3</v>
      </c>
      <c r="AD2291" s="14">
        <v>0.15</v>
      </c>
      <c r="AE2291" s="14">
        <v>0.15</v>
      </c>
      <c r="AF2291" s="14" t="s">
        <v>411</v>
      </c>
    </row>
    <row r="2292" spans="1:32" ht="14.25" customHeight="1" x14ac:dyDescent="0.35">
      <c r="A2292" s="14" t="s">
        <v>332</v>
      </c>
      <c r="B2292" s="14" t="s">
        <v>427</v>
      </c>
      <c r="C2292" s="14"/>
      <c r="D2292" s="14" t="s">
        <v>419</v>
      </c>
      <c r="E2292" s="15">
        <v>41640</v>
      </c>
      <c r="F2292" s="15">
        <v>42004</v>
      </c>
      <c r="G2292" s="14" t="s">
        <v>410</v>
      </c>
      <c r="H2292" s="14">
        <v>1</v>
      </c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 t="s">
        <v>411</v>
      </c>
    </row>
    <row r="2293" spans="1:32" ht="14.25" customHeight="1" x14ac:dyDescent="0.35">
      <c r="A2293" s="16" t="s">
        <v>332</v>
      </c>
      <c r="B2293" s="16" t="s">
        <v>427</v>
      </c>
      <c r="C2293" s="16"/>
      <c r="D2293" s="16" t="s">
        <v>511</v>
      </c>
      <c r="E2293" s="17">
        <v>41640</v>
      </c>
      <c r="F2293" s="17">
        <v>42004</v>
      </c>
      <c r="G2293" s="16" t="s">
        <v>415</v>
      </c>
      <c r="H2293" s="16">
        <v>0.15</v>
      </c>
      <c r="I2293" s="16">
        <v>0.15</v>
      </c>
      <c r="J2293" s="16">
        <v>0.15</v>
      </c>
      <c r="K2293" s="16">
        <v>0.15</v>
      </c>
      <c r="L2293" s="16">
        <v>0.15</v>
      </c>
      <c r="M2293" s="16">
        <v>0.15</v>
      </c>
      <c r="N2293" s="16">
        <v>0.15</v>
      </c>
      <c r="O2293" s="16">
        <v>0.15</v>
      </c>
      <c r="P2293" s="16">
        <v>0.3</v>
      </c>
      <c r="Q2293" s="16">
        <v>0.3</v>
      </c>
      <c r="R2293" s="16">
        <v>0.6</v>
      </c>
      <c r="S2293" s="16">
        <v>0.6</v>
      </c>
      <c r="T2293" s="16">
        <v>0.8</v>
      </c>
      <c r="U2293" s="16">
        <v>0.8</v>
      </c>
      <c r="V2293" s="16">
        <v>0.8</v>
      </c>
      <c r="W2293" s="16">
        <v>0.8</v>
      </c>
      <c r="X2293" s="16">
        <v>0.8</v>
      </c>
      <c r="Y2293" s="16">
        <v>0.6</v>
      </c>
      <c r="Z2293" s="16">
        <v>0.4</v>
      </c>
      <c r="AA2293" s="16">
        <v>0.15</v>
      </c>
      <c r="AB2293" s="16">
        <v>0.15</v>
      </c>
      <c r="AC2293" s="16">
        <v>0.15</v>
      </c>
      <c r="AD2293" s="16">
        <v>0.15</v>
      </c>
      <c r="AE2293" s="16">
        <v>0.15</v>
      </c>
      <c r="AF2293" s="16" t="s">
        <v>411</v>
      </c>
    </row>
    <row r="2294" spans="1:32" ht="14.25" customHeight="1" x14ac:dyDescent="0.35">
      <c r="A2294" s="16" t="s">
        <v>332</v>
      </c>
      <c r="B2294" s="16" t="s">
        <v>427</v>
      </c>
      <c r="C2294" s="16"/>
      <c r="D2294" s="16" t="s">
        <v>418</v>
      </c>
      <c r="E2294" s="17">
        <v>41640</v>
      </c>
      <c r="F2294" s="17">
        <v>42004</v>
      </c>
      <c r="G2294" s="16" t="s">
        <v>410</v>
      </c>
      <c r="H2294" s="16">
        <v>0</v>
      </c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6"/>
      <c r="AA2294" s="16"/>
      <c r="AB2294" s="16"/>
      <c r="AC2294" s="16"/>
      <c r="AD2294" s="16"/>
      <c r="AE2294" s="16"/>
      <c r="AF2294" s="16" t="s">
        <v>411</v>
      </c>
    </row>
    <row r="2295" spans="1:32" ht="14.25" customHeight="1" x14ac:dyDescent="0.35">
      <c r="A2295" s="16" t="s">
        <v>1622</v>
      </c>
      <c r="B2295" s="16" t="s">
        <v>424</v>
      </c>
      <c r="C2295" s="16"/>
      <c r="D2295" s="16" t="s">
        <v>417</v>
      </c>
      <c r="E2295" s="17">
        <v>41640</v>
      </c>
      <c r="F2295" s="17">
        <v>42004</v>
      </c>
      <c r="G2295" s="16" t="s">
        <v>415</v>
      </c>
      <c r="H2295" s="16">
        <v>0.05</v>
      </c>
      <c r="I2295" s="16">
        <v>0.05</v>
      </c>
      <c r="J2295" s="16">
        <v>0.05</v>
      </c>
      <c r="K2295" s="16">
        <v>0.05</v>
      </c>
      <c r="L2295" s="16">
        <v>0.05</v>
      </c>
      <c r="M2295" s="16">
        <v>0.05</v>
      </c>
      <c r="N2295" s="16">
        <v>0.05</v>
      </c>
      <c r="O2295" s="16">
        <v>0.2</v>
      </c>
      <c r="P2295" s="16">
        <v>0.5</v>
      </c>
      <c r="Q2295" s="16">
        <v>0.9</v>
      </c>
      <c r="R2295" s="16">
        <v>0.9</v>
      </c>
      <c r="S2295" s="16">
        <v>0.9</v>
      </c>
      <c r="T2295" s="16">
        <v>0.9</v>
      </c>
      <c r="U2295" s="16">
        <v>0.9</v>
      </c>
      <c r="V2295" s="16">
        <v>0.9</v>
      </c>
      <c r="W2295" s="16">
        <v>0.9</v>
      </c>
      <c r="X2295" s="16">
        <v>0.9</v>
      </c>
      <c r="Y2295" s="16">
        <v>0.9</v>
      </c>
      <c r="Z2295" s="16">
        <v>0.6</v>
      </c>
      <c r="AA2295" s="16">
        <v>0.6</v>
      </c>
      <c r="AB2295" s="16">
        <v>0.5</v>
      </c>
      <c r="AC2295" s="16">
        <v>0.2</v>
      </c>
      <c r="AD2295" s="16">
        <v>0.05</v>
      </c>
      <c r="AE2295" s="16">
        <v>0.05</v>
      </c>
      <c r="AF2295" s="16" t="s">
        <v>411</v>
      </c>
    </row>
    <row r="2296" spans="1:32" ht="14.25" customHeight="1" x14ac:dyDescent="0.35">
      <c r="A2296" s="16" t="s">
        <v>1622</v>
      </c>
      <c r="B2296" s="16" t="s">
        <v>424</v>
      </c>
      <c r="C2296" s="16"/>
      <c r="D2296" s="16" t="s">
        <v>512</v>
      </c>
      <c r="E2296" s="17">
        <v>41640</v>
      </c>
      <c r="F2296" s="17">
        <v>42004</v>
      </c>
      <c r="G2296" s="16" t="s">
        <v>415</v>
      </c>
      <c r="H2296" s="16">
        <v>0.05</v>
      </c>
      <c r="I2296" s="16">
        <v>0.05</v>
      </c>
      <c r="J2296" s="16">
        <v>0.05</v>
      </c>
      <c r="K2296" s="16">
        <v>0.05</v>
      </c>
      <c r="L2296" s="16">
        <v>0.05</v>
      </c>
      <c r="M2296" s="16">
        <v>0.05</v>
      </c>
      <c r="N2296" s="16">
        <v>0.05</v>
      </c>
      <c r="O2296" s="16">
        <v>0.1</v>
      </c>
      <c r="P2296" s="16">
        <v>0.3</v>
      </c>
      <c r="Q2296" s="16">
        <v>0.6</v>
      </c>
      <c r="R2296" s="16">
        <v>0.9</v>
      </c>
      <c r="S2296" s="16">
        <v>0.9</v>
      </c>
      <c r="T2296" s="16">
        <v>0.9</v>
      </c>
      <c r="U2296" s="16">
        <v>0.9</v>
      </c>
      <c r="V2296" s="16">
        <v>0.9</v>
      </c>
      <c r="W2296" s="16">
        <v>0.9</v>
      </c>
      <c r="X2296" s="16">
        <v>0.9</v>
      </c>
      <c r="Y2296" s="16">
        <v>0.9</v>
      </c>
      <c r="Z2296" s="16">
        <v>0.5</v>
      </c>
      <c r="AA2296" s="16">
        <v>0.3</v>
      </c>
      <c r="AB2296" s="16">
        <v>0.3</v>
      </c>
      <c r="AC2296" s="16">
        <v>0.1</v>
      </c>
      <c r="AD2296" s="16">
        <v>0.05</v>
      </c>
      <c r="AE2296" s="16">
        <v>0.05</v>
      </c>
      <c r="AF2296" s="16" t="s">
        <v>411</v>
      </c>
    </row>
    <row r="2297" spans="1:32" ht="14.25" customHeight="1" x14ac:dyDescent="0.35">
      <c r="A2297" s="16" t="s">
        <v>1622</v>
      </c>
      <c r="B2297" s="16" t="s">
        <v>424</v>
      </c>
      <c r="C2297" s="16"/>
      <c r="D2297" s="16" t="s">
        <v>419</v>
      </c>
      <c r="E2297" s="17">
        <v>41640</v>
      </c>
      <c r="F2297" s="17">
        <v>42004</v>
      </c>
      <c r="G2297" s="16" t="s">
        <v>410</v>
      </c>
      <c r="H2297" s="16">
        <v>1</v>
      </c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 t="s">
        <v>411</v>
      </c>
    </row>
    <row r="2298" spans="1:32" ht="14.25" customHeight="1" x14ac:dyDescent="0.35">
      <c r="A2298" s="14" t="s">
        <v>1622</v>
      </c>
      <c r="B2298" s="14" t="s">
        <v>424</v>
      </c>
      <c r="C2298" s="14"/>
      <c r="D2298" s="14" t="s">
        <v>511</v>
      </c>
      <c r="E2298" s="15">
        <v>41640</v>
      </c>
      <c r="F2298" s="15">
        <v>42004</v>
      </c>
      <c r="G2298" s="14" t="s">
        <v>415</v>
      </c>
      <c r="H2298" s="14">
        <v>0.05</v>
      </c>
      <c r="I2298" s="14">
        <v>0.05</v>
      </c>
      <c r="J2298" s="14">
        <v>0.05</v>
      </c>
      <c r="K2298" s="14">
        <v>0.05</v>
      </c>
      <c r="L2298" s="14">
        <v>0.05</v>
      </c>
      <c r="M2298" s="14">
        <v>0.05</v>
      </c>
      <c r="N2298" s="14">
        <v>0.05</v>
      </c>
      <c r="O2298" s="14">
        <v>0.05</v>
      </c>
      <c r="P2298" s="14">
        <v>0.1</v>
      </c>
      <c r="Q2298" s="14">
        <v>0.1</v>
      </c>
      <c r="R2298" s="14">
        <v>0.4</v>
      </c>
      <c r="S2298" s="14">
        <v>0.4</v>
      </c>
      <c r="T2298" s="14">
        <v>0.6</v>
      </c>
      <c r="U2298" s="14">
        <v>0.6</v>
      </c>
      <c r="V2298" s="14">
        <v>0.6</v>
      </c>
      <c r="W2298" s="14">
        <v>0.6</v>
      </c>
      <c r="X2298" s="14">
        <v>0.6</v>
      </c>
      <c r="Y2298" s="14">
        <v>0.4</v>
      </c>
      <c r="Z2298" s="14">
        <v>0.2</v>
      </c>
      <c r="AA2298" s="14">
        <v>0.05</v>
      </c>
      <c r="AB2298" s="14">
        <v>0.05</v>
      </c>
      <c r="AC2298" s="14">
        <v>0.05</v>
      </c>
      <c r="AD2298" s="14">
        <v>0.05</v>
      </c>
      <c r="AE2298" s="14">
        <v>0.05</v>
      </c>
      <c r="AF2298" s="14" t="s">
        <v>411</v>
      </c>
    </row>
    <row r="2299" spans="1:32" ht="14.25" customHeight="1" x14ac:dyDescent="0.35">
      <c r="A2299" s="14" t="s">
        <v>1622</v>
      </c>
      <c r="B2299" s="14" t="s">
        <v>424</v>
      </c>
      <c r="C2299" s="14"/>
      <c r="D2299" s="14" t="s">
        <v>418</v>
      </c>
      <c r="E2299" s="15">
        <v>41640</v>
      </c>
      <c r="F2299" s="15">
        <v>42004</v>
      </c>
      <c r="G2299" s="14" t="s">
        <v>410</v>
      </c>
      <c r="H2299" s="14">
        <v>0</v>
      </c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 t="s">
        <v>411</v>
      </c>
    </row>
    <row r="2300" spans="1:32" ht="14.25" customHeight="1" x14ac:dyDescent="0.35">
      <c r="A2300" s="14" t="s">
        <v>1623</v>
      </c>
      <c r="B2300" s="14" t="s">
        <v>448</v>
      </c>
      <c r="C2300" s="14"/>
      <c r="D2300" s="14" t="s">
        <v>417</v>
      </c>
      <c r="E2300" s="15">
        <v>41640</v>
      </c>
      <c r="F2300" s="15">
        <v>42004</v>
      </c>
      <c r="G2300" s="14" t="s">
        <v>415</v>
      </c>
      <c r="H2300" s="14">
        <v>0</v>
      </c>
      <c r="I2300" s="14">
        <v>0</v>
      </c>
      <c r="J2300" s="14">
        <v>0</v>
      </c>
      <c r="K2300" s="14">
        <v>0</v>
      </c>
      <c r="L2300" s="14">
        <v>0</v>
      </c>
      <c r="M2300" s="14">
        <v>0</v>
      </c>
      <c r="N2300" s="14">
        <v>0</v>
      </c>
      <c r="O2300" s="14">
        <v>0.1</v>
      </c>
      <c r="P2300" s="14">
        <v>0.2</v>
      </c>
      <c r="Q2300" s="14">
        <v>0.5</v>
      </c>
      <c r="R2300" s="14">
        <v>0.5</v>
      </c>
      <c r="S2300" s="14">
        <v>0.7</v>
      </c>
      <c r="T2300" s="14">
        <v>0.7</v>
      </c>
      <c r="U2300" s="14">
        <v>0.7</v>
      </c>
      <c r="V2300" s="14">
        <v>0.7</v>
      </c>
      <c r="W2300" s="14">
        <v>0.8</v>
      </c>
      <c r="X2300" s="14">
        <v>0.7</v>
      </c>
      <c r="Y2300" s="14">
        <v>0.5</v>
      </c>
      <c r="Z2300" s="14">
        <v>0.5</v>
      </c>
      <c r="AA2300" s="14">
        <v>0.3</v>
      </c>
      <c r="AB2300" s="14">
        <v>0.3</v>
      </c>
      <c r="AC2300" s="14">
        <v>0</v>
      </c>
      <c r="AD2300" s="14">
        <v>0</v>
      </c>
      <c r="AE2300" s="14">
        <v>0</v>
      </c>
      <c r="AF2300" s="14" t="s">
        <v>411</v>
      </c>
    </row>
    <row r="2301" spans="1:32" ht="14.25" customHeight="1" x14ac:dyDescent="0.35">
      <c r="A2301" s="16" t="s">
        <v>1623</v>
      </c>
      <c r="B2301" s="16" t="s">
        <v>448</v>
      </c>
      <c r="C2301" s="16"/>
      <c r="D2301" s="16" t="s">
        <v>512</v>
      </c>
      <c r="E2301" s="17">
        <v>41640</v>
      </c>
      <c r="F2301" s="17">
        <v>42004</v>
      </c>
      <c r="G2301" s="16" t="s">
        <v>415</v>
      </c>
      <c r="H2301" s="16">
        <v>0</v>
      </c>
      <c r="I2301" s="16">
        <v>0</v>
      </c>
      <c r="J2301" s="16">
        <v>0</v>
      </c>
      <c r="K2301" s="16">
        <v>0</v>
      </c>
      <c r="L2301" s="16">
        <v>0</v>
      </c>
      <c r="M2301" s="16">
        <v>0</v>
      </c>
      <c r="N2301" s="16">
        <v>0</v>
      </c>
      <c r="O2301" s="16">
        <v>0.1</v>
      </c>
      <c r="P2301" s="16">
        <v>0.2</v>
      </c>
      <c r="Q2301" s="16">
        <v>0.5</v>
      </c>
      <c r="R2301" s="16">
        <v>0.6</v>
      </c>
      <c r="S2301" s="16">
        <v>0.8</v>
      </c>
      <c r="T2301" s="16">
        <v>0.8</v>
      </c>
      <c r="U2301" s="16">
        <v>0.8</v>
      </c>
      <c r="V2301" s="16">
        <v>0.8</v>
      </c>
      <c r="W2301" s="16">
        <v>0.8</v>
      </c>
      <c r="X2301" s="16">
        <v>0.8</v>
      </c>
      <c r="Y2301" s="16">
        <v>0.6</v>
      </c>
      <c r="Z2301" s="16">
        <v>0.2</v>
      </c>
      <c r="AA2301" s="16">
        <v>0.2</v>
      </c>
      <c r="AB2301" s="16">
        <v>0.2</v>
      </c>
      <c r="AC2301" s="16">
        <v>0.1</v>
      </c>
      <c r="AD2301" s="16">
        <v>0</v>
      </c>
      <c r="AE2301" s="16">
        <v>0</v>
      </c>
      <c r="AF2301" s="16" t="s">
        <v>411</v>
      </c>
    </row>
    <row r="2302" spans="1:32" ht="14.25" customHeight="1" x14ac:dyDescent="0.35">
      <c r="A2302" s="14" t="s">
        <v>1623</v>
      </c>
      <c r="B2302" s="14" t="s">
        <v>448</v>
      </c>
      <c r="C2302" s="14"/>
      <c r="D2302" s="14" t="s">
        <v>511</v>
      </c>
      <c r="E2302" s="15">
        <v>41640</v>
      </c>
      <c r="F2302" s="15">
        <v>42004</v>
      </c>
      <c r="G2302" s="14" t="s">
        <v>415</v>
      </c>
      <c r="H2302" s="14">
        <v>0</v>
      </c>
      <c r="I2302" s="14">
        <v>0</v>
      </c>
      <c r="J2302" s="14">
        <v>0</v>
      </c>
      <c r="K2302" s="14">
        <v>0</v>
      </c>
      <c r="L2302" s="14">
        <v>0</v>
      </c>
      <c r="M2302" s="14">
        <v>0</v>
      </c>
      <c r="N2302" s="14">
        <v>0</v>
      </c>
      <c r="O2302" s="14">
        <v>0</v>
      </c>
      <c r="P2302" s="14">
        <v>0</v>
      </c>
      <c r="Q2302" s="14">
        <v>0.1</v>
      </c>
      <c r="R2302" s="14">
        <v>0.2</v>
      </c>
      <c r="S2302" s="14">
        <v>0.2</v>
      </c>
      <c r="T2302" s="14">
        <v>0.4</v>
      </c>
      <c r="U2302" s="14">
        <v>0.4</v>
      </c>
      <c r="V2302" s="14">
        <v>0.4</v>
      </c>
      <c r="W2302" s="14">
        <v>0.4</v>
      </c>
      <c r="X2302" s="14">
        <v>0.4</v>
      </c>
      <c r="Y2302" s="14">
        <v>0.2</v>
      </c>
      <c r="Z2302" s="14">
        <v>0.1</v>
      </c>
      <c r="AA2302" s="14">
        <v>0</v>
      </c>
      <c r="AB2302" s="14">
        <v>0</v>
      </c>
      <c r="AC2302" s="14">
        <v>0</v>
      </c>
      <c r="AD2302" s="14">
        <v>0</v>
      </c>
      <c r="AE2302" s="14">
        <v>0</v>
      </c>
      <c r="AF2302" s="14" t="s">
        <v>411</v>
      </c>
    </row>
    <row r="2303" spans="1:32" ht="14.25" customHeight="1" x14ac:dyDescent="0.35">
      <c r="A2303" s="16" t="s">
        <v>1623</v>
      </c>
      <c r="B2303" s="16" t="s">
        <v>448</v>
      </c>
      <c r="C2303" s="16"/>
      <c r="D2303" s="16" t="s">
        <v>421</v>
      </c>
      <c r="E2303" s="17">
        <v>41640</v>
      </c>
      <c r="F2303" s="17">
        <v>42004</v>
      </c>
      <c r="G2303" s="16" t="s">
        <v>410</v>
      </c>
      <c r="H2303" s="16">
        <v>1</v>
      </c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16"/>
      <c r="AA2303" s="16"/>
      <c r="AB2303" s="16"/>
      <c r="AC2303" s="16"/>
      <c r="AD2303" s="16"/>
      <c r="AE2303" s="16"/>
      <c r="AF2303" s="16" t="s">
        <v>411</v>
      </c>
    </row>
    <row r="2304" spans="1:32" ht="14.25" customHeight="1" x14ac:dyDescent="0.35">
      <c r="A2304" s="14" t="s">
        <v>1624</v>
      </c>
      <c r="B2304" s="14" t="s">
        <v>420</v>
      </c>
      <c r="C2304" s="14" t="s">
        <v>414</v>
      </c>
      <c r="D2304" s="14" t="s">
        <v>453</v>
      </c>
      <c r="E2304" s="15">
        <v>41640</v>
      </c>
      <c r="F2304" s="15">
        <v>42004</v>
      </c>
      <c r="G2304" s="14" t="s">
        <v>415</v>
      </c>
      <c r="H2304" s="14">
        <v>30</v>
      </c>
      <c r="I2304" s="14">
        <v>30</v>
      </c>
      <c r="J2304" s="14">
        <v>30</v>
      </c>
      <c r="K2304" s="14">
        <v>30</v>
      </c>
      <c r="L2304" s="14">
        <v>30</v>
      </c>
      <c r="M2304" s="14">
        <v>30</v>
      </c>
      <c r="N2304" s="14">
        <v>24</v>
      </c>
      <c r="O2304" s="14">
        <v>24</v>
      </c>
      <c r="P2304" s="14">
        <v>24</v>
      </c>
      <c r="Q2304" s="14">
        <v>24</v>
      </c>
      <c r="R2304" s="14">
        <v>24</v>
      </c>
      <c r="S2304" s="14">
        <v>24</v>
      </c>
      <c r="T2304" s="14">
        <v>24</v>
      </c>
      <c r="U2304" s="14">
        <v>24</v>
      </c>
      <c r="V2304" s="14">
        <v>24</v>
      </c>
      <c r="W2304" s="14">
        <v>24</v>
      </c>
      <c r="X2304" s="14">
        <v>24</v>
      </c>
      <c r="Y2304" s="14">
        <v>24</v>
      </c>
      <c r="Z2304" s="14">
        <v>24</v>
      </c>
      <c r="AA2304" s="14">
        <v>24</v>
      </c>
      <c r="AB2304" s="14">
        <v>24</v>
      </c>
      <c r="AC2304" s="14">
        <v>30</v>
      </c>
      <c r="AD2304" s="14">
        <v>30</v>
      </c>
      <c r="AE2304" s="14">
        <v>30</v>
      </c>
      <c r="AF2304" s="14" t="s">
        <v>411</v>
      </c>
    </row>
    <row r="2305" spans="1:32" ht="14.25" customHeight="1" x14ac:dyDescent="0.35">
      <c r="A2305" s="16" t="s">
        <v>1624</v>
      </c>
      <c r="B2305" s="16" t="s">
        <v>420</v>
      </c>
      <c r="C2305" s="16" t="s">
        <v>414</v>
      </c>
      <c r="D2305" s="16" t="s">
        <v>512</v>
      </c>
      <c r="E2305" s="17">
        <v>41640</v>
      </c>
      <c r="F2305" s="17">
        <v>42004</v>
      </c>
      <c r="G2305" s="16" t="s">
        <v>415</v>
      </c>
      <c r="H2305" s="16">
        <v>30</v>
      </c>
      <c r="I2305" s="16">
        <v>30</v>
      </c>
      <c r="J2305" s="16">
        <v>30</v>
      </c>
      <c r="K2305" s="16">
        <v>30</v>
      </c>
      <c r="L2305" s="16">
        <v>30</v>
      </c>
      <c r="M2305" s="16">
        <v>30</v>
      </c>
      <c r="N2305" s="16">
        <v>24</v>
      </c>
      <c r="O2305" s="16">
        <v>24</v>
      </c>
      <c r="P2305" s="16">
        <v>24</v>
      </c>
      <c r="Q2305" s="16">
        <v>24</v>
      </c>
      <c r="R2305" s="16">
        <v>24</v>
      </c>
      <c r="S2305" s="16">
        <v>24</v>
      </c>
      <c r="T2305" s="16">
        <v>24</v>
      </c>
      <c r="U2305" s="16">
        <v>24</v>
      </c>
      <c r="V2305" s="16">
        <v>24</v>
      </c>
      <c r="W2305" s="16">
        <v>24</v>
      </c>
      <c r="X2305" s="16">
        <v>24</v>
      </c>
      <c r="Y2305" s="16">
        <v>24</v>
      </c>
      <c r="Z2305" s="16">
        <v>24</v>
      </c>
      <c r="AA2305" s="16">
        <v>24</v>
      </c>
      <c r="AB2305" s="16">
        <v>24</v>
      </c>
      <c r="AC2305" s="16">
        <v>24</v>
      </c>
      <c r="AD2305" s="16">
        <v>30</v>
      </c>
      <c r="AE2305" s="16">
        <v>30</v>
      </c>
      <c r="AF2305" s="16" t="s">
        <v>411</v>
      </c>
    </row>
    <row r="2306" spans="1:32" ht="14.25" customHeight="1" x14ac:dyDescent="0.35">
      <c r="A2306" s="14" t="s">
        <v>1624</v>
      </c>
      <c r="B2306" s="14" t="s">
        <v>420</v>
      </c>
      <c r="C2306" s="14" t="s">
        <v>414</v>
      </c>
      <c r="D2306" s="14" t="s">
        <v>511</v>
      </c>
      <c r="E2306" s="15">
        <v>41640</v>
      </c>
      <c r="F2306" s="15">
        <v>42004</v>
      </c>
      <c r="G2306" s="14" t="s">
        <v>415</v>
      </c>
      <c r="H2306" s="14">
        <v>30</v>
      </c>
      <c r="I2306" s="14">
        <v>30</v>
      </c>
      <c r="J2306" s="14">
        <v>30</v>
      </c>
      <c r="K2306" s="14">
        <v>30</v>
      </c>
      <c r="L2306" s="14">
        <v>30</v>
      </c>
      <c r="M2306" s="14">
        <v>30</v>
      </c>
      <c r="N2306" s="14">
        <v>30</v>
      </c>
      <c r="O2306" s="14">
        <v>30</v>
      </c>
      <c r="P2306" s="14">
        <v>24</v>
      </c>
      <c r="Q2306" s="14">
        <v>24</v>
      </c>
      <c r="R2306" s="14">
        <v>24</v>
      </c>
      <c r="S2306" s="14">
        <v>24</v>
      </c>
      <c r="T2306" s="14">
        <v>24</v>
      </c>
      <c r="U2306" s="14">
        <v>24</v>
      </c>
      <c r="V2306" s="14">
        <v>24</v>
      </c>
      <c r="W2306" s="14">
        <v>24</v>
      </c>
      <c r="X2306" s="14">
        <v>24</v>
      </c>
      <c r="Y2306" s="14">
        <v>24</v>
      </c>
      <c r="Z2306" s="14">
        <v>24</v>
      </c>
      <c r="AA2306" s="14">
        <v>30</v>
      </c>
      <c r="AB2306" s="14">
        <v>30</v>
      </c>
      <c r="AC2306" s="14">
        <v>30</v>
      </c>
      <c r="AD2306" s="14">
        <v>30</v>
      </c>
      <c r="AE2306" s="14">
        <v>30</v>
      </c>
      <c r="AF2306" s="14" t="s">
        <v>411</v>
      </c>
    </row>
    <row r="2307" spans="1:32" ht="14.25" customHeight="1" x14ac:dyDescent="0.35">
      <c r="A2307" s="16" t="s">
        <v>1624</v>
      </c>
      <c r="B2307" s="16" t="s">
        <v>420</v>
      </c>
      <c r="C2307" s="16" t="s">
        <v>414</v>
      </c>
      <c r="D2307" s="16" t="s">
        <v>418</v>
      </c>
      <c r="E2307" s="17">
        <v>41640</v>
      </c>
      <c r="F2307" s="17">
        <v>42004</v>
      </c>
      <c r="G2307" s="16" t="s">
        <v>410</v>
      </c>
      <c r="H2307" s="16">
        <v>30</v>
      </c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  <c r="AB2307" s="16"/>
      <c r="AC2307" s="16"/>
      <c r="AD2307" s="16"/>
      <c r="AE2307" s="16"/>
      <c r="AF2307" s="16" t="s">
        <v>411</v>
      </c>
    </row>
    <row r="2308" spans="1:32" ht="14.25" customHeight="1" x14ac:dyDescent="0.35">
      <c r="A2308" s="14" t="s">
        <v>1625</v>
      </c>
      <c r="B2308" s="14" t="s">
        <v>518</v>
      </c>
      <c r="C2308" s="14"/>
      <c r="D2308" s="14" t="s">
        <v>476</v>
      </c>
      <c r="E2308" s="15">
        <v>41640</v>
      </c>
      <c r="F2308" s="15">
        <v>42004</v>
      </c>
      <c r="G2308" s="14" t="s">
        <v>410</v>
      </c>
      <c r="H2308" s="14">
        <v>1</v>
      </c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 t="s">
        <v>411</v>
      </c>
    </row>
    <row r="2309" spans="1:32" ht="14.25" customHeight="1" x14ac:dyDescent="0.35">
      <c r="A2309" s="16" t="s">
        <v>1625</v>
      </c>
      <c r="B2309" s="16" t="s">
        <v>518</v>
      </c>
      <c r="C2309" s="16"/>
      <c r="D2309" s="16" t="s">
        <v>419</v>
      </c>
      <c r="E2309" s="17">
        <v>41640</v>
      </c>
      <c r="F2309" s="17">
        <v>42004</v>
      </c>
      <c r="G2309" s="16" t="s">
        <v>410</v>
      </c>
      <c r="H2309" s="16">
        <v>0.5</v>
      </c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16"/>
      <c r="AA2309" s="16"/>
      <c r="AB2309" s="16"/>
      <c r="AC2309" s="16"/>
      <c r="AD2309" s="16"/>
      <c r="AE2309" s="16"/>
      <c r="AF2309" s="16" t="s">
        <v>411</v>
      </c>
    </row>
    <row r="2310" spans="1:32" ht="14.25" customHeight="1" x14ac:dyDescent="0.35">
      <c r="A2310" s="14" t="s">
        <v>1625</v>
      </c>
      <c r="B2310" s="14" t="s">
        <v>518</v>
      </c>
      <c r="C2310" s="14"/>
      <c r="D2310" s="14" t="s">
        <v>454</v>
      </c>
      <c r="E2310" s="15">
        <v>41913</v>
      </c>
      <c r="F2310" s="15">
        <v>42004</v>
      </c>
      <c r="G2310" s="14" t="s">
        <v>410</v>
      </c>
      <c r="H2310" s="14">
        <v>1</v>
      </c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 t="s">
        <v>411</v>
      </c>
    </row>
    <row r="2311" spans="1:32" ht="14.25" customHeight="1" x14ac:dyDescent="0.35">
      <c r="A2311" s="16" t="s">
        <v>1625</v>
      </c>
      <c r="B2311" s="16" t="s">
        <v>518</v>
      </c>
      <c r="C2311" s="16"/>
      <c r="D2311" s="16" t="s">
        <v>454</v>
      </c>
      <c r="E2311" s="17">
        <v>41760</v>
      </c>
      <c r="F2311" s="17">
        <v>41912</v>
      </c>
      <c r="G2311" s="16" t="s">
        <v>410</v>
      </c>
      <c r="H2311" s="16">
        <v>0.5</v>
      </c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A2311" s="16"/>
      <c r="AB2311" s="16"/>
      <c r="AC2311" s="16"/>
      <c r="AD2311" s="16"/>
      <c r="AE2311" s="16"/>
      <c r="AF2311" s="16" t="s">
        <v>411</v>
      </c>
    </row>
    <row r="2312" spans="1:32" ht="14.25" customHeight="1" x14ac:dyDescent="0.35">
      <c r="A2312" s="14" t="s">
        <v>1626</v>
      </c>
      <c r="B2312" s="14" t="s">
        <v>408</v>
      </c>
      <c r="C2312" s="14"/>
      <c r="D2312" s="14" t="s">
        <v>409</v>
      </c>
      <c r="E2312" s="15">
        <v>41640</v>
      </c>
      <c r="F2312" s="15">
        <v>42004</v>
      </c>
      <c r="G2312" s="14" t="s">
        <v>410</v>
      </c>
      <c r="H2312" s="14">
        <v>90</v>
      </c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 t="s">
        <v>411</v>
      </c>
    </row>
    <row r="2313" spans="1:32" ht="14.25" customHeight="1" x14ac:dyDescent="0.35">
      <c r="A2313" s="16" t="s">
        <v>1627</v>
      </c>
      <c r="B2313" s="16" t="s">
        <v>420</v>
      </c>
      <c r="C2313" s="16" t="s">
        <v>414</v>
      </c>
      <c r="D2313" s="16" t="s">
        <v>417</v>
      </c>
      <c r="E2313" s="17">
        <v>41640</v>
      </c>
      <c r="F2313" s="17">
        <v>42004</v>
      </c>
      <c r="G2313" s="16" t="s">
        <v>415</v>
      </c>
      <c r="H2313" s="16">
        <v>15.6</v>
      </c>
      <c r="I2313" s="16">
        <v>15.6</v>
      </c>
      <c r="J2313" s="16">
        <v>15.6</v>
      </c>
      <c r="K2313" s="16">
        <v>15.6</v>
      </c>
      <c r="L2313" s="16">
        <v>15.6</v>
      </c>
      <c r="M2313" s="16">
        <v>15.6</v>
      </c>
      <c r="N2313" s="16">
        <v>21</v>
      </c>
      <c r="O2313" s="16">
        <v>21</v>
      </c>
      <c r="P2313" s="16">
        <v>21</v>
      </c>
      <c r="Q2313" s="16">
        <v>21</v>
      </c>
      <c r="R2313" s="16">
        <v>21</v>
      </c>
      <c r="S2313" s="16">
        <v>21</v>
      </c>
      <c r="T2313" s="16">
        <v>21</v>
      </c>
      <c r="U2313" s="16">
        <v>21</v>
      </c>
      <c r="V2313" s="16">
        <v>21</v>
      </c>
      <c r="W2313" s="16">
        <v>21</v>
      </c>
      <c r="X2313" s="16">
        <v>21</v>
      </c>
      <c r="Y2313" s="16">
        <v>21</v>
      </c>
      <c r="Z2313" s="16">
        <v>21</v>
      </c>
      <c r="AA2313" s="16">
        <v>21</v>
      </c>
      <c r="AB2313" s="16">
        <v>21</v>
      </c>
      <c r="AC2313" s="16">
        <v>15.6</v>
      </c>
      <c r="AD2313" s="16">
        <v>15.6</v>
      </c>
      <c r="AE2313" s="16">
        <v>15.6</v>
      </c>
      <c r="AF2313" s="16" t="s">
        <v>411</v>
      </c>
    </row>
    <row r="2314" spans="1:32" ht="14.25" customHeight="1" x14ac:dyDescent="0.35">
      <c r="A2314" s="16" t="s">
        <v>1627</v>
      </c>
      <c r="B2314" s="16" t="s">
        <v>420</v>
      </c>
      <c r="C2314" s="16" t="s">
        <v>414</v>
      </c>
      <c r="D2314" s="16" t="s">
        <v>512</v>
      </c>
      <c r="E2314" s="17">
        <v>41640</v>
      </c>
      <c r="F2314" s="17">
        <v>42004</v>
      </c>
      <c r="G2314" s="16" t="s">
        <v>415</v>
      </c>
      <c r="H2314" s="16">
        <v>15.6</v>
      </c>
      <c r="I2314" s="16">
        <v>15.6</v>
      </c>
      <c r="J2314" s="16">
        <v>15.6</v>
      </c>
      <c r="K2314" s="16">
        <v>15.6</v>
      </c>
      <c r="L2314" s="16">
        <v>15.6</v>
      </c>
      <c r="M2314" s="16">
        <v>15.6</v>
      </c>
      <c r="N2314" s="16">
        <v>21</v>
      </c>
      <c r="O2314" s="16">
        <v>21</v>
      </c>
      <c r="P2314" s="16">
        <v>21</v>
      </c>
      <c r="Q2314" s="16">
        <v>21</v>
      </c>
      <c r="R2314" s="16">
        <v>21</v>
      </c>
      <c r="S2314" s="16">
        <v>21</v>
      </c>
      <c r="T2314" s="16">
        <v>21</v>
      </c>
      <c r="U2314" s="16">
        <v>21</v>
      </c>
      <c r="V2314" s="16">
        <v>21</v>
      </c>
      <c r="W2314" s="16">
        <v>21</v>
      </c>
      <c r="X2314" s="16">
        <v>21</v>
      </c>
      <c r="Y2314" s="16">
        <v>21</v>
      </c>
      <c r="Z2314" s="16">
        <v>21</v>
      </c>
      <c r="AA2314" s="16">
        <v>21</v>
      </c>
      <c r="AB2314" s="16">
        <v>21</v>
      </c>
      <c r="AC2314" s="16">
        <v>21</v>
      </c>
      <c r="AD2314" s="16">
        <v>15.6</v>
      </c>
      <c r="AE2314" s="16">
        <v>15.6</v>
      </c>
      <c r="AF2314" s="16" t="s">
        <v>411</v>
      </c>
    </row>
    <row r="2315" spans="1:32" ht="14.25" customHeight="1" x14ac:dyDescent="0.35">
      <c r="A2315" s="16" t="s">
        <v>1627</v>
      </c>
      <c r="B2315" s="16" t="s">
        <v>420</v>
      </c>
      <c r="C2315" s="16" t="s">
        <v>414</v>
      </c>
      <c r="D2315" s="16" t="s">
        <v>419</v>
      </c>
      <c r="E2315" s="17">
        <v>41640</v>
      </c>
      <c r="F2315" s="17">
        <v>42004</v>
      </c>
      <c r="G2315" s="16" t="s">
        <v>410</v>
      </c>
      <c r="H2315" s="16">
        <v>15.6</v>
      </c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  <c r="AA2315" s="16"/>
      <c r="AB2315" s="16"/>
      <c r="AC2315" s="16"/>
      <c r="AD2315" s="16"/>
      <c r="AE2315" s="16"/>
      <c r="AF2315" s="16" t="s">
        <v>411</v>
      </c>
    </row>
    <row r="2316" spans="1:32" ht="14.25" customHeight="1" x14ac:dyDescent="0.35">
      <c r="A2316" s="14" t="s">
        <v>1627</v>
      </c>
      <c r="B2316" s="14" t="s">
        <v>420</v>
      </c>
      <c r="C2316" s="14" t="s">
        <v>414</v>
      </c>
      <c r="D2316" s="14" t="s">
        <v>511</v>
      </c>
      <c r="E2316" s="15">
        <v>41640</v>
      </c>
      <c r="F2316" s="15">
        <v>42004</v>
      </c>
      <c r="G2316" s="14" t="s">
        <v>415</v>
      </c>
      <c r="H2316" s="14">
        <v>15.6</v>
      </c>
      <c r="I2316" s="14">
        <v>15.6</v>
      </c>
      <c r="J2316" s="14">
        <v>15.6</v>
      </c>
      <c r="K2316" s="14">
        <v>15.6</v>
      </c>
      <c r="L2316" s="14">
        <v>15.6</v>
      </c>
      <c r="M2316" s="14">
        <v>15.6</v>
      </c>
      <c r="N2316" s="14">
        <v>15.6</v>
      </c>
      <c r="O2316" s="14">
        <v>15.6</v>
      </c>
      <c r="P2316" s="14">
        <v>21</v>
      </c>
      <c r="Q2316" s="14">
        <v>21</v>
      </c>
      <c r="R2316" s="14">
        <v>21</v>
      </c>
      <c r="S2316" s="14">
        <v>21</v>
      </c>
      <c r="T2316" s="14">
        <v>21</v>
      </c>
      <c r="U2316" s="14">
        <v>21</v>
      </c>
      <c r="V2316" s="14">
        <v>21</v>
      </c>
      <c r="W2316" s="14">
        <v>21</v>
      </c>
      <c r="X2316" s="14">
        <v>21</v>
      </c>
      <c r="Y2316" s="14">
        <v>21</v>
      </c>
      <c r="Z2316" s="14">
        <v>21</v>
      </c>
      <c r="AA2316" s="14">
        <v>15.6</v>
      </c>
      <c r="AB2316" s="14">
        <v>15.6</v>
      </c>
      <c r="AC2316" s="14">
        <v>15.6</v>
      </c>
      <c r="AD2316" s="14">
        <v>15.6</v>
      </c>
      <c r="AE2316" s="14">
        <v>15.6</v>
      </c>
      <c r="AF2316" s="14" t="s">
        <v>411</v>
      </c>
    </row>
    <row r="2317" spans="1:32" ht="14.25" customHeight="1" x14ac:dyDescent="0.35">
      <c r="A2317" s="14" t="s">
        <v>1627</v>
      </c>
      <c r="B2317" s="14" t="s">
        <v>420</v>
      </c>
      <c r="C2317" s="14" t="s">
        <v>414</v>
      </c>
      <c r="D2317" s="14" t="s">
        <v>418</v>
      </c>
      <c r="E2317" s="15">
        <v>41640</v>
      </c>
      <c r="F2317" s="15">
        <v>42004</v>
      </c>
      <c r="G2317" s="14" t="s">
        <v>410</v>
      </c>
      <c r="H2317" s="14">
        <v>21</v>
      </c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 t="s">
        <v>411</v>
      </c>
    </row>
    <row r="2318" spans="1:32" ht="14.25" customHeight="1" x14ac:dyDescent="0.35">
      <c r="A2318" s="14" t="s">
        <v>1628</v>
      </c>
      <c r="B2318" s="14" t="s">
        <v>441</v>
      </c>
      <c r="C2318" s="14"/>
      <c r="D2318" s="14" t="s">
        <v>453</v>
      </c>
      <c r="E2318" s="15">
        <v>41640</v>
      </c>
      <c r="F2318" s="15">
        <v>42004</v>
      </c>
      <c r="G2318" s="14" t="s">
        <v>415</v>
      </c>
      <c r="H2318" s="14">
        <v>0.25</v>
      </c>
      <c r="I2318" s="14">
        <v>0.25</v>
      </c>
      <c r="J2318" s="14">
        <v>0.25</v>
      </c>
      <c r="K2318" s="14">
        <v>0.25</v>
      </c>
      <c r="L2318" s="14">
        <v>0.25</v>
      </c>
      <c r="M2318" s="14">
        <v>0.25</v>
      </c>
      <c r="N2318" s="14">
        <v>1</v>
      </c>
      <c r="O2318" s="14">
        <v>1</v>
      </c>
      <c r="P2318" s="14">
        <v>1</v>
      </c>
      <c r="Q2318" s="14">
        <v>1</v>
      </c>
      <c r="R2318" s="14">
        <v>1</v>
      </c>
      <c r="S2318" s="14">
        <v>1</v>
      </c>
      <c r="T2318" s="14">
        <v>1</v>
      </c>
      <c r="U2318" s="14">
        <v>1</v>
      </c>
      <c r="V2318" s="14">
        <v>1</v>
      </c>
      <c r="W2318" s="14">
        <v>1</v>
      </c>
      <c r="X2318" s="14">
        <v>1</v>
      </c>
      <c r="Y2318" s="14">
        <v>1</v>
      </c>
      <c r="Z2318" s="14">
        <v>1</v>
      </c>
      <c r="AA2318" s="14">
        <v>1</v>
      </c>
      <c r="AB2318" s="14">
        <v>1</v>
      </c>
      <c r="AC2318" s="14">
        <v>0.25</v>
      </c>
      <c r="AD2318" s="14">
        <v>0.25</v>
      </c>
      <c r="AE2318" s="14">
        <v>0.25</v>
      </c>
      <c r="AF2318" s="14" t="s">
        <v>411</v>
      </c>
    </row>
    <row r="2319" spans="1:32" ht="14.25" customHeight="1" x14ac:dyDescent="0.35">
      <c r="A2319" s="16" t="s">
        <v>1628</v>
      </c>
      <c r="B2319" s="16" t="s">
        <v>441</v>
      </c>
      <c r="C2319" s="16"/>
      <c r="D2319" s="16" t="s">
        <v>512</v>
      </c>
      <c r="E2319" s="17">
        <v>41640</v>
      </c>
      <c r="F2319" s="17">
        <v>42004</v>
      </c>
      <c r="G2319" s="16" t="s">
        <v>415</v>
      </c>
      <c r="H2319" s="16">
        <v>0.25</v>
      </c>
      <c r="I2319" s="16">
        <v>0.25</v>
      </c>
      <c r="J2319" s="16">
        <v>0.25</v>
      </c>
      <c r="K2319" s="16">
        <v>0.25</v>
      </c>
      <c r="L2319" s="16">
        <v>0.25</v>
      </c>
      <c r="M2319" s="16">
        <v>0.25</v>
      </c>
      <c r="N2319" s="16">
        <v>1</v>
      </c>
      <c r="O2319" s="16">
        <v>1</v>
      </c>
      <c r="P2319" s="16">
        <v>1</v>
      </c>
      <c r="Q2319" s="16">
        <v>1</v>
      </c>
      <c r="R2319" s="16">
        <v>1</v>
      </c>
      <c r="S2319" s="16">
        <v>1</v>
      </c>
      <c r="T2319" s="16">
        <v>1</v>
      </c>
      <c r="U2319" s="16">
        <v>1</v>
      </c>
      <c r="V2319" s="16">
        <v>1</v>
      </c>
      <c r="W2319" s="16">
        <v>1</v>
      </c>
      <c r="X2319" s="16">
        <v>1</v>
      </c>
      <c r="Y2319" s="16">
        <v>1</v>
      </c>
      <c r="Z2319" s="16">
        <v>1</v>
      </c>
      <c r="AA2319" s="16">
        <v>1</v>
      </c>
      <c r="AB2319" s="16">
        <v>1</v>
      </c>
      <c r="AC2319" s="16">
        <v>1</v>
      </c>
      <c r="AD2319" s="16">
        <v>0.25</v>
      </c>
      <c r="AE2319" s="16">
        <v>0.25</v>
      </c>
      <c r="AF2319" s="16" t="s">
        <v>411</v>
      </c>
    </row>
    <row r="2320" spans="1:32" ht="14.25" customHeight="1" x14ac:dyDescent="0.35">
      <c r="A2320" s="14" t="s">
        <v>1628</v>
      </c>
      <c r="B2320" s="14" t="s">
        <v>441</v>
      </c>
      <c r="C2320" s="14"/>
      <c r="D2320" s="14" t="s">
        <v>511</v>
      </c>
      <c r="E2320" s="15">
        <v>41640</v>
      </c>
      <c r="F2320" s="15">
        <v>42004</v>
      </c>
      <c r="G2320" s="14" t="s">
        <v>415</v>
      </c>
      <c r="H2320" s="14">
        <v>0.25</v>
      </c>
      <c r="I2320" s="14">
        <v>0.25</v>
      </c>
      <c r="J2320" s="14">
        <v>0.25</v>
      </c>
      <c r="K2320" s="14">
        <v>0.25</v>
      </c>
      <c r="L2320" s="14">
        <v>0.25</v>
      </c>
      <c r="M2320" s="14">
        <v>0.25</v>
      </c>
      <c r="N2320" s="14">
        <v>0.25</v>
      </c>
      <c r="O2320" s="14">
        <v>0.25</v>
      </c>
      <c r="P2320" s="14">
        <v>1</v>
      </c>
      <c r="Q2320" s="14">
        <v>1</v>
      </c>
      <c r="R2320" s="14">
        <v>1</v>
      </c>
      <c r="S2320" s="14">
        <v>1</v>
      </c>
      <c r="T2320" s="14">
        <v>1</v>
      </c>
      <c r="U2320" s="14">
        <v>1</v>
      </c>
      <c r="V2320" s="14">
        <v>1</v>
      </c>
      <c r="W2320" s="14">
        <v>1</v>
      </c>
      <c r="X2320" s="14">
        <v>1</v>
      </c>
      <c r="Y2320" s="14">
        <v>0.25</v>
      </c>
      <c r="Z2320" s="14">
        <v>0.25</v>
      </c>
      <c r="AA2320" s="14">
        <v>0.25</v>
      </c>
      <c r="AB2320" s="14">
        <v>0.25</v>
      </c>
      <c r="AC2320" s="14">
        <v>0.25</v>
      </c>
      <c r="AD2320" s="14">
        <v>0.25</v>
      </c>
      <c r="AE2320" s="14">
        <v>0.25</v>
      </c>
      <c r="AF2320" s="14" t="s">
        <v>411</v>
      </c>
    </row>
    <row r="2321" spans="1:32" ht="14.25" customHeight="1" x14ac:dyDescent="0.35">
      <c r="A2321" s="16" t="s">
        <v>1628</v>
      </c>
      <c r="B2321" s="16" t="s">
        <v>441</v>
      </c>
      <c r="C2321" s="16"/>
      <c r="D2321" s="16" t="s">
        <v>418</v>
      </c>
      <c r="E2321" s="17">
        <v>41640</v>
      </c>
      <c r="F2321" s="17">
        <v>42004</v>
      </c>
      <c r="G2321" s="16" t="s">
        <v>410</v>
      </c>
      <c r="H2321" s="16">
        <v>1</v>
      </c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 t="s">
        <v>411</v>
      </c>
    </row>
    <row r="2322" spans="1:32" ht="14.25" customHeight="1" x14ac:dyDescent="0.35">
      <c r="A2322" s="14" t="s">
        <v>1629</v>
      </c>
      <c r="B2322" s="14" t="s">
        <v>441</v>
      </c>
      <c r="C2322" s="14"/>
      <c r="D2322" s="14" t="s">
        <v>453</v>
      </c>
      <c r="E2322" s="15">
        <v>41640</v>
      </c>
      <c r="F2322" s="15">
        <v>42004</v>
      </c>
      <c r="G2322" s="14" t="s">
        <v>415</v>
      </c>
      <c r="H2322" s="14">
        <v>1</v>
      </c>
      <c r="I2322" s="14">
        <v>1</v>
      </c>
      <c r="J2322" s="14">
        <v>1</v>
      </c>
      <c r="K2322" s="14">
        <v>1</v>
      </c>
      <c r="L2322" s="14">
        <v>1</v>
      </c>
      <c r="M2322" s="14">
        <v>1</v>
      </c>
      <c r="N2322" s="14">
        <v>0.5</v>
      </c>
      <c r="O2322" s="14">
        <v>0.5</v>
      </c>
      <c r="P2322" s="14">
        <v>0.5</v>
      </c>
      <c r="Q2322" s="14">
        <v>0.5</v>
      </c>
      <c r="R2322" s="14">
        <v>0.5</v>
      </c>
      <c r="S2322" s="14">
        <v>0.5</v>
      </c>
      <c r="T2322" s="14">
        <v>0.5</v>
      </c>
      <c r="U2322" s="14">
        <v>0.5</v>
      </c>
      <c r="V2322" s="14">
        <v>0.5</v>
      </c>
      <c r="W2322" s="14">
        <v>0.5</v>
      </c>
      <c r="X2322" s="14">
        <v>0.5</v>
      </c>
      <c r="Y2322" s="14">
        <v>0.5</v>
      </c>
      <c r="Z2322" s="14">
        <v>0.5</v>
      </c>
      <c r="AA2322" s="14">
        <v>0.5</v>
      </c>
      <c r="AB2322" s="14">
        <v>0.5</v>
      </c>
      <c r="AC2322" s="14">
        <v>1</v>
      </c>
      <c r="AD2322" s="14">
        <v>1</v>
      </c>
      <c r="AE2322" s="14">
        <v>1</v>
      </c>
      <c r="AF2322" s="14" t="s">
        <v>411</v>
      </c>
    </row>
    <row r="2323" spans="1:32" ht="14.25" customHeight="1" x14ac:dyDescent="0.35">
      <c r="A2323" s="16" t="s">
        <v>1629</v>
      </c>
      <c r="B2323" s="16" t="s">
        <v>441</v>
      </c>
      <c r="C2323" s="16"/>
      <c r="D2323" s="16" t="s">
        <v>512</v>
      </c>
      <c r="E2323" s="17">
        <v>41640</v>
      </c>
      <c r="F2323" s="17">
        <v>42004</v>
      </c>
      <c r="G2323" s="16" t="s">
        <v>415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0.5</v>
      </c>
      <c r="O2323" s="16">
        <v>0.5</v>
      </c>
      <c r="P2323" s="16">
        <v>0.5</v>
      </c>
      <c r="Q2323" s="16">
        <v>0.5</v>
      </c>
      <c r="R2323" s="16">
        <v>0.5</v>
      </c>
      <c r="S2323" s="16">
        <v>0.5</v>
      </c>
      <c r="T2323" s="16">
        <v>0.5</v>
      </c>
      <c r="U2323" s="16">
        <v>0.5</v>
      </c>
      <c r="V2323" s="16">
        <v>0.5</v>
      </c>
      <c r="W2323" s="16">
        <v>0.5</v>
      </c>
      <c r="X2323" s="16">
        <v>0.5</v>
      </c>
      <c r="Y2323" s="16">
        <v>0.5</v>
      </c>
      <c r="Z2323" s="16">
        <v>0.5</v>
      </c>
      <c r="AA2323" s="16">
        <v>0.5</v>
      </c>
      <c r="AB2323" s="16">
        <v>0.5</v>
      </c>
      <c r="AC2323" s="16">
        <v>0.5</v>
      </c>
      <c r="AD2323" s="16">
        <v>1</v>
      </c>
      <c r="AE2323" s="16">
        <v>1</v>
      </c>
      <c r="AF2323" s="16" t="s">
        <v>411</v>
      </c>
    </row>
    <row r="2324" spans="1:32" ht="14.25" customHeight="1" x14ac:dyDescent="0.35">
      <c r="A2324" s="14" t="s">
        <v>1629</v>
      </c>
      <c r="B2324" s="14" t="s">
        <v>441</v>
      </c>
      <c r="C2324" s="14"/>
      <c r="D2324" s="14" t="s">
        <v>511</v>
      </c>
      <c r="E2324" s="15">
        <v>41640</v>
      </c>
      <c r="F2324" s="15">
        <v>42004</v>
      </c>
      <c r="G2324" s="14" t="s">
        <v>415</v>
      </c>
      <c r="H2324" s="14">
        <v>1</v>
      </c>
      <c r="I2324" s="14">
        <v>1</v>
      </c>
      <c r="J2324" s="14">
        <v>1</v>
      </c>
      <c r="K2324" s="14">
        <v>1</v>
      </c>
      <c r="L2324" s="14">
        <v>1</v>
      </c>
      <c r="M2324" s="14">
        <v>1</v>
      </c>
      <c r="N2324" s="14">
        <v>1</v>
      </c>
      <c r="O2324" s="14">
        <v>1</v>
      </c>
      <c r="P2324" s="14">
        <v>0.5</v>
      </c>
      <c r="Q2324" s="14">
        <v>0.5</v>
      </c>
      <c r="R2324" s="14">
        <v>0.5</v>
      </c>
      <c r="S2324" s="14">
        <v>0.5</v>
      </c>
      <c r="T2324" s="14">
        <v>0.5</v>
      </c>
      <c r="U2324" s="14">
        <v>0.5</v>
      </c>
      <c r="V2324" s="14">
        <v>0.5</v>
      </c>
      <c r="W2324" s="14">
        <v>0.5</v>
      </c>
      <c r="X2324" s="14">
        <v>0.5</v>
      </c>
      <c r="Y2324" s="14">
        <v>1</v>
      </c>
      <c r="Z2324" s="14">
        <v>1</v>
      </c>
      <c r="AA2324" s="14">
        <v>1</v>
      </c>
      <c r="AB2324" s="14">
        <v>1</v>
      </c>
      <c r="AC2324" s="14">
        <v>1</v>
      </c>
      <c r="AD2324" s="14">
        <v>1</v>
      </c>
      <c r="AE2324" s="14">
        <v>1</v>
      </c>
      <c r="AF2324" s="14" t="s">
        <v>411</v>
      </c>
    </row>
    <row r="2325" spans="1:32" ht="14.25" customHeight="1" x14ac:dyDescent="0.35">
      <c r="A2325" s="16" t="s">
        <v>1629</v>
      </c>
      <c r="B2325" s="16" t="s">
        <v>441</v>
      </c>
      <c r="C2325" s="16"/>
      <c r="D2325" s="16" t="s">
        <v>418</v>
      </c>
      <c r="E2325" s="17">
        <v>41640</v>
      </c>
      <c r="F2325" s="17">
        <v>42004</v>
      </c>
      <c r="G2325" s="16" t="s">
        <v>410</v>
      </c>
      <c r="H2325" s="16">
        <v>1</v>
      </c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A2325" s="16"/>
      <c r="AB2325" s="16"/>
      <c r="AC2325" s="16"/>
      <c r="AD2325" s="16"/>
      <c r="AE2325" s="16"/>
      <c r="AF2325" s="16" t="s">
        <v>411</v>
      </c>
    </row>
    <row r="2326" spans="1:32" ht="14.25" customHeight="1" x14ac:dyDescent="0.35">
      <c r="A2326" s="14" t="s">
        <v>1630</v>
      </c>
      <c r="B2326" s="14" t="s">
        <v>408</v>
      </c>
      <c r="C2326" s="14"/>
      <c r="D2326" s="14" t="s">
        <v>409</v>
      </c>
      <c r="E2326" s="15">
        <v>41640</v>
      </c>
      <c r="F2326" s="15">
        <v>42004</v>
      </c>
      <c r="G2326" s="14" t="s">
        <v>410</v>
      </c>
      <c r="H2326" s="14">
        <v>0</v>
      </c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 t="s">
        <v>411</v>
      </c>
    </row>
    <row r="2327" spans="1:32" ht="14.25" customHeight="1" x14ac:dyDescent="0.35">
      <c r="A2327" s="14" t="s">
        <v>1631</v>
      </c>
      <c r="B2327" s="14" t="s">
        <v>408</v>
      </c>
      <c r="C2327" s="14" t="s">
        <v>412</v>
      </c>
      <c r="D2327" s="14" t="s">
        <v>409</v>
      </c>
      <c r="E2327" s="15">
        <v>41640</v>
      </c>
      <c r="F2327" s="15">
        <v>42004</v>
      </c>
      <c r="G2327" s="14" t="s">
        <v>410</v>
      </c>
      <c r="H2327" s="14">
        <v>0.2</v>
      </c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 t="s">
        <v>413</v>
      </c>
    </row>
    <row r="2328" spans="1:32" ht="14.25" customHeight="1" x14ac:dyDescent="0.35">
      <c r="A2328" s="16" t="s">
        <v>1632</v>
      </c>
      <c r="B2328" s="16" t="s">
        <v>408</v>
      </c>
      <c r="C2328" s="16"/>
      <c r="D2328" s="16" t="s">
        <v>409</v>
      </c>
      <c r="E2328" s="17">
        <v>41640</v>
      </c>
      <c r="F2328" s="17">
        <v>42004</v>
      </c>
      <c r="G2328" s="16" t="s">
        <v>410</v>
      </c>
      <c r="H2328" s="16">
        <v>0</v>
      </c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/>
      <c r="AC2328" s="16"/>
      <c r="AD2328" s="16"/>
      <c r="AE2328" s="16"/>
      <c r="AF2328" s="16" t="s">
        <v>413</v>
      </c>
    </row>
    <row r="2329" spans="1:32" ht="14.25" customHeight="1" x14ac:dyDescent="0.35">
      <c r="A2329" s="14" t="s">
        <v>1633</v>
      </c>
      <c r="B2329" s="14" t="s">
        <v>408</v>
      </c>
      <c r="C2329" s="14"/>
      <c r="D2329" s="14" t="s">
        <v>409</v>
      </c>
      <c r="E2329" s="15">
        <v>41640</v>
      </c>
      <c r="F2329" s="15">
        <v>42004</v>
      </c>
      <c r="G2329" s="14" t="s">
        <v>410</v>
      </c>
      <c r="H2329" s="14">
        <v>1</v>
      </c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 t="s">
        <v>413</v>
      </c>
    </row>
    <row r="2330" spans="1:32" ht="14.25" customHeight="1" x14ac:dyDescent="0.35">
      <c r="A2330" s="16" t="s">
        <v>1634</v>
      </c>
      <c r="B2330" s="16" t="s">
        <v>416</v>
      </c>
      <c r="C2330" s="16"/>
      <c r="D2330" s="16" t="s">
        <v>417</v>
      </c>
      <c r="E2330" s="17">
        <v>41640</v>
      </c>
      <c r="F2330" s="17">
        <v>42004</v>
      </c>
      <c r="G2330" s="16" t="s">
        <v>415</v>
      </c>
      <c r="H2330" s="16">
        <v>0</v>
      </c>
      <c r="I2330" s="16">
        <v>0</v>
      </c>
      <c r="J2330" s="16">
        <v>0</v>
      </c>
      <c r="K2330" s="16">
        <v>0</v>
      </c>
      <c r="L2330" s="16">
        <v>0</v>
      </c>
      <c r="M2330" s="16">
        <v>0</v>
      </c>
      <c r="N2330" s="16">
        <v>0</v>
      </c>
      <c r="O2330" s="16">
        <v>0</v>
      </c>
      <c r="P2330" s="16">
        <v>0</v>
      </c>
      <c r="Q2330" s="16">
        <v>0.11</v>
      </c>
      <c r="R2330" s="16">
        <v>0.13</v>
      </c>
      <c r="S2330" s="16">
        <v>0.35</v>
      </c>
      <c r="T2330" s="16">
        <v>0.37</v>
      </c>
      <c r="U2330" s="16">
        <v>0.37</v>
      </c>
      <c r="V2330" s="16">
        <v>0.39</v>
      </c>
      <c r="W2330" s="16">
        <v>0.41</v>
      </c>
      <c r="X2330" s="16">
        <v>0.38</v>
      </c>
      <c r="Y2330" s="16">
        <v>0.34</v>
      </c>
      <c r="Z2330" s="16">
        <v>0.03</v>
      </c>
      <c r="AA2330" s="16">
        <v>0</v>
      </c>
      <c r="AB2330" s="16">
        <v>0</v>
      </c>
      <c r="AC2330" s="16">
        <v>0</v>
      </c>
      <c r="AD2330" s="16">
        <v>0</v>
      </c>
      <c r="AE2330" s="16">
        <v>0</v>
      </c>
      <c r="AF2330" s="16" t="s">
        <v>413</v>
      </c>
    </row>
    <row r="2331" spans="1:32" ht="14.25" customHeight="1" x14ac:dyDescent="0.35">
      <c r="A2331" s="16" t="s">
        <v>1634</v>
      </c>
      <c r="B2331" s="16" t="s">
        <v>416</v>
      </c>
      <c r="C2331" s="16"/>
      <c r="D2331" s="16" t="s">
        <v>556</v>
      </c>
      <c r="E2331" s="17">
        <v>41640</v>
      </c>
      <c r="F2331" s="17">
        <v>42004</v>
      </c>
      <c r="G2331" s="16" t="s">
        <v>415</v>
      </c>
      <c r="H2331" s="16">
        <v>0</v>
      </c>
      <c r="I2331" s="16">
        <v>0</v>
      </c>
      <c r="J2331" s="16">
        <v>0</v>
      </c>
      <c r="K2331" s="16">
        <v>0</v>
      </c>
      <c r="L2331" s="16">
        <v>0</v>
      </c>
      <c r="M2331" s="16">
        <v>0</v>
      </c>
      <c r="N2331" s="16">
        <v>0</v>
      </c>
      <c r="O2331" s="16">
        <v>0.12</v>
      </c>
      <c r="P2331" s="16">
        <v>0.22</v>
      </c>
      <c r="Q2331" s="16">
        <v>0.64</v>
      </c>
      <c r="R2331" s="16">
        <v>0.74</v>
      </c>
      <c r="S2331" s="16">
        <v>0.68</v>
      </c>
      <c r="T2331" s="16">
        <v>0.68</v>
      </c>
      <c r="U2331" s="16">
        <v>0.71</v>
      </c>
      <c r="V2331" s="16">
        <v>0.72</v>
      </c>
      <c r="W2331" s="16">
        <v>0.72</v>
      </c>
      <c r="X2331" s="16">
        <v>0.73</v>
      </c>
      <c r="Y2331" s="16">
        <v>0.68</v>
      </c>
      <c r="Z2331" s="16">
        <v>0.68</v>
      </c>
      <c r="AA2331" s="16">
        <v>0.57999999999999996</v>
      </c>
      <c r="AB2331" s="16">
        <v>0.54</v>
      </c>
      <c r="AC2331" s="16">
        <v>0</v>
      </c>
      <c r="AD2331" s="16">
        <v>0</v>
      </c>
      <c r="AE2331" s="16">
        <v>0</v>
      </c>
      <c r="AF2331" s="16" t="s">
        <v>413</v>
      </c>
    </row>
    <row r="2332" spans="1:32" ht="14.25" customHeight="1" x14ac:dyDescent="0.35">
      <c r="A2332" s="14" t="s">
        <v>1634</v>
      </c>
      <c r="B2332" s="14" t="s">
        <v>416</v>
      </c>
      <c r="C2332" s="14"/>
      <c r="D2332" s="14" t="s">
        <v>514</v>
      </c>
      <c r="E2332" s="15">
        <v>41640</v>
      </c>
      <c r="F2332" s="15">
        <v>42004</v>
      </c>
      <c r="G2332" s="14" t="s">
        <v>415</v>
      </c>
      <c r="H2332" s="14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0.09</v>
      </c>
      <c r="P2332" s="14">
        <v>0.21</v>
      </c>
      <c r="Q2332" s="14">
        <v>0.56000000000000005</v>
      </c>
      <c r="R2332" s="14">
        <v>0.66</v>
      </c>
      <c r="S2332" s="14">
        <v>0.68</v>
      </c>
      <c r="T2332" s="14">
        <v>0.68</v>
      </c>
      <c r="U2332" s="14">
        <v>0.69</v>
      </c>
      <c r="V2332" s="14">
        <v>0.7</v>
      </c>
      <c r="W2332" s="14">
        <v>0.69</v>
      </c>
      <c r="X2332" s="14">
        <v>0.66</v>
      </c>
      <c r="Y2332" s="14">
        <v>0.57999999999999996</v>
      </c>
      <c r="Z2332" s="14">
        <v>0.47</v>
      </c>
      <c r="AA2332" s="14">
        <v>0.43</v>
      </c>
      <c r="AB2332" s="14">
        <v>0.43</v>
      </c>
      <c r="AC2332" s="14">
        <v>0.08</v>
      </c>
      <c r="AD2332" s="14">
        <v>0</v>
      </c>
      <c r="AE2332" s="14">
        <v>0</v>
      </c>
      <c r="AF2332" s="14" t="s">
        <v>413</v>
      </c>
    </row>
    <row r="2333" spans="1:32" ht="14.25" customHeight="1" x14ac:dyDescent="0.35">
      <c r="A2333" s="14" t="s">
        <v>343</v>
      </c>
      <c r="B2333" s="14" t="s">
        <v>427</v>
      </c>
      <c r="C2333" s="14"/>
      <c r="D2333" s="14" t="s">
        <v>417</v>
      </c>
      <c r="E2333" s="15">
        <v>41640</v>
      </c>
      <c r="F2333" s="15">
        <v>42004</v>
      </c>
      <c r="G2333" s="14" t="s">
        <v>415</v>
      </c>
      <c r="H2333" s="14">
        <v>0.15</v>
      </c>
      <c r="I2333" s="14">
        <v>0.15</v>
      </c>
      <c r="J2333" s="14">
        <v>0.15</v>
      </c>
      <c r="K2333" s="14">
        <v>0.15</v>
      </c>
      <c r="L2333" s="14">
        <v>0.15</v>
      </c>
      <c r="M2333" s="14">
        <v>0.15</v>
      </c>
      <c r="N2333" s="14">
        <v>0.15</v>
      </c>
      <c r="O2333" s="14">
        <v>0.15</v>
      </c>
      <c r="P2333" s="14">
        <v>0.15</v>
      </c>
      <c r="Q2333" s="14">
        <v>0.3</v>
      </c>
      <c r="R2333" s="14">
        <v>0.6</v>
      </c>
      <c r="S2333" s="14">
        <v>0.6</v>
      </c>
      <c r="T2333" s="14">
        <v>0.8</v>
      </c>
      <c r="U2333" s="14">
        <v>0.8</v>
      </c>
      <c r="V2333" s="14">
        <v>0.8</v>
      </c>
      <c r="W2333" s="14">
        <v>0.8</v>
      </c>
      <c r="X2333" s="14">
        <v>0.8</v>
      </c>
      <c r="Y2333" s="14">
        <v>0.6</v>
      </c>
      <c r="Z2333" s="14">
        <v>0.4</v>
      </c>
      <c r="AA2333" s="14">
        <v>0.15</v>
      </c>
      <c r="AB2333" s="14">
        <v>0.15</v>
      </c>
      <c r="AC2333" s="14">
        <v>0.15</v>
      </c>
      <c r="AD2333" s="14">
        <v>0.15</v>
      </c>
      <c r="AE2333" s="14">
        <v>0.15</v>
      </c>
      <c r="AF2333" s="14" t="s">
        <v>413</v>
      </c>
    </row>
    <row r="2334" spans="1:32" ht="14.25" customHeight="1" x14ac:dyDescent="0.35">
      <c r="A2334" s="16" t="s">
        <v>343</v>
      </c>
      <c r="B2334" s="16" t="s">
        <v>427</v>
      </c>
      <c r="C2334" s="16"/>
      <c r="D2334" s="16" t="s">
        <v>512</v>
      </c>
      <c r="E2334" s="17">
        <v>41640</v>
      </c>
      <c r="F2334" s="17">
        <v>42004</v>
      </c>
      <c r="G2334" s="16" t="s">
        <v>415</v>
      </c>
      <c r="H2334" s="16">
        <v>0.15</v>
      </c>
      <c r="I2334" s="16">
        <v>0.15</v>
      </c>
      <c r="J2334" s="16">
        <v>0.15</v>
      </c>
      <c r="K2334" s="16">
        <v>0.15</v>
      </c>
      <c r="L2334" s="16">
        <v>0.15</v>
      </c>
      <c r="M2334" s="16">
        <v>0.15</v>
      </c>
      <c r="N2334" s="16">
        <v>0.15</v>
      </c>
      <c r="O2334" s="16">
        <v>0.3</v>
      </c>
      <c r="P2334" s="16">
        <v>0.5</v>
      </c>
      <c r="Q2334" s="16">
        <v>0.8</v>
      </c>
      <c r="R2334" s="16">
        <v>0.9</v>
      </c>
      <c r="S2334" s="16">
        <v>0.9</v>
      </c>
      <c r="T2334" s="16">
        <v>0.9</v>
      </c>
      <c r="U2334" s="16">
        <v>0.9</v>
      </c>
      <c r="V2334" s="16">
        <v>0.9</v>
      </c>
      <c r="W2334" s="16">
        <v>0.9</v>
      </c>
      <c r="X2334" s="16">
        <v>0.9</v>
      </c>
      <c r="Y2334" s="16">
        <v>0.9</v>
      </c>
      <c r="Z2334" s="16">
        <v>0.7</v>
      </c>
      <c r="AA2334" s="16">
        <v>0.5</v>
      </c>
      <c r="AB2334" s="16">
        <v>0.5</v>
      </c>
      <c r="AC2334" s="16">
        <v>0.3</v>
      </c>
      <c r="AD2334" s="16">
        <v>0.15</v>
      </c>
      <c r="AE2334" s="16">
        <v>0.15</v>
      </c>
      <c r="AF2334" s="16" t="s">
        <v>413</v>
      </c>
    </row>
    <row r="2335" spans="1:32" ht="14.25" customHeight="1" x14ac:dyDescent="0.35">
      <c r="A2335" s="14" t="s">
        <v>343</v>
      </c>
      <c r="B2335" s="14" t="s">
        <v>427</v>
      </c>
      <c r="C2335" s="14"/>
      <c r="D2335" s="14" t="s">
        <v>419</v>
      </c>
      <c r="E2335" s="15">
        <v>41640</v>
      </c>
      <c r="F2335" s="15">
        <v>42004</v>
      </c>
      <c r="G2335" s="14" t="s">
        <v>410</v>
      </c>
      <c r="H2335" s="14">
        <v>1</v>
      </c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 t="s">
        <v>413</v>
      </c>
    </row>
    <row r="2336" spans="1:32" ht="14.25" customHeight="1" x14ac:dyDescent="0.35">
      <c r="A2336" s="14" t="s">
        <v>343</v>
      </c>
      <c r="B2336" s="14" t="s">
        <v>427</v>
      </c>
      <c r="C2336" s="14"/>
      <c r="D2336" s="14" t="s">
        <v>429</v>
      </c>
      <c r="E2336" s="15">
        <v>41640</v>
      </c>
      <c r="F2336" s="15">
        <v>42004</v>
      </c>
      <c r="G2336" s="14" t="s">
        <v>415</v>
      </c>
      <c r="H2336" s="14">
        <v>0.2</v>
      </c>
      <c r="I2336" s="14">
        <v>0.2</v>
      </c>
      <c r="J2336" s="14">
        <v>0.2</v>
      </c>
      <c r="K2336" s="14">
        <v>0.2</v>
      </c>
      <c r="L2336" s="14">
        <v>0.2</v>
      </c>
      <c r="M2336" s="14">
        <v>0.2</v>
      </c>
      <c r="N2336" s="14">
        <v>0.2</v>
      </c>
      <c r="O2336" s="14">
        <v>0.4</v>
      </c>
      <c r="P2336" s="14">
        <v>0.6</v>
      </c>
      <c r="Q2336" s="14">
        <v>0.9</v>
      </c>
      <c r="R2336" s="14">
        <v>0.9</v>
      </c>
      <c r="S2336" s="14">
        <v>0.9</v>
      </c>
      <c r="T2336" s="14">
        <v>0.9</v>
      </c>
      <c r="U2336" s="14">
        <v>0.9</v>
      </c>
      <c r="V2336" s="14">
        <v>0.9</v>
      </c>
      <c r="W2336" s="14">
        <v>0.9</v>
      </c>
      <c r="X2336" s="14">
        <v>0.9</v>
      </c>
      <c r="Y2336" s="14">
        <v>0.9</v>
      </c>
      <c r="Z2336" s="14">
        <v>0.9</v>
      </c>
      <c r="AA2336" s="14">
        <v>0.7</v>
      </c>
      <c r="AB2336" s="14">
        <v>0.7</v>
      </c>
      <c r="AC2336" s="14">
        <v>0.2</v>
      </c>
      <c r="AD2336" s="14">
        <v>0.2</v>
      </c>
      <c r="AE2336" s="14">
        <v>0.2</v>
      </c>
      <c r="AF2336" s="14" t="s">
        <v>413</v>
      </c>
    </row>
    <row r="2337" spans="1:32" ht="14.25" customHeight="1" x14ac:dyDescent="0.35">
      <c r="A2337" s="16" t="s">
        <v>343</v>
      </c>
      <c r="B2337" s="16" t="s">
        <v>427</v>
      </c>
      <c r="C2337" s="16"/>
      <c r="D2337" s="16" t="s">
        <v>418</v>
      </c>
      <c r="E2337" s="17">
        <v>41640</v>
      </c>
      <c r="F2337" s="17">
        <v>42004</v>
      </c>
      <c r="G2337" s="16" t="s">
        <v>410</v>
      </c>
      <c r="H2337" s="16">
        <v>0</v>
      </c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6"/>
      <c r="AA2337" s="16"/>
      <c r="AB2337" s="16"/>
      <c r="AC2337" s="16"/>
      <c r="AD2337" s="16"/>
      <c r="AE2337" s="16"/>
      <c r="AF2337" s="16" t="s">
        <v>413</v>
      </c>
    </row>
    <row r="2338" spans="1:32" ht="14.25" customHeight="1" x14ac:dyDescent="0.35">
      <c r="A2338" s="16" t="s">
        <v>1635</v>
      </c>
      <c r="B2338" s="16" t="s">
        <v>424</v>
      </c>
      <c r="C2338" s="16"/>
      <c r="D2338" s="16" t="s">
        <v>417</v>
      </c>
      <c r="E2338" s="17">
        <v>41640</v>
      </c>
      <c r="F2338" s="17">
        <v>42004</v>
      </c>
      <c r="G2338" s="16" t="s">
        <v>415</v>
      </c>
      <c r="H2338" s="16">
        <v>0.05</v>
      </c>
      <c r="I2338" s="16">
        <v>0.05</v>
      </c>
      <c r="J2338" s="16">
        <v>0.05</v>
      </c>
      <c r="K2338" s="16">
        <v>0.05</v>
      </c>
      <c r="L2338" s="16">
        <v>0.05</v>
      </c>
      <c r="M2338" s="16">
        <v>0.05</v>
      </c>
      <c r="N2338" s="16">
        <v>0.05</v>
      </c>
      <c r="O2338" s="16">
        <v>0.05</v>
      </c>
      <c r="P2338" s="16">
        <v>0.05</v>
      </c>
      <c r="Q2338" s="16">
        <v>0.1</v>
      </c>
      <c r="R2338" s="16">
        <v>0.4</v>
      </c>
      <c r="S2338" s="16">
        <v>0.4</v>
      </c>
      <c r="T2338" s="16">
        <v>0.6</v>
      </c>
      <c r="U2338" s="16">
        <v>0.6</v>
      </c>
      <c r="V2338" s="16">
        <v>0.6</v>
      </c>
      <c r="W2338" s="16">
        <v>0.6</v>
      </c>
      <c r="X2338" s="16">
        <v>0.6</v>
      </c>
      <c r="Y2338" s="16">
        <v>0.4</v>
      </c>
      <c r="Z2338" s="16">
        <v>0.2</v>
      </c>
      <c r="AA2338" s="16">
        <v>0.05</v>
      </c>
      <c r="AB2338" s="16">
        <v>0.05</v>
      </c>
      <c r="AC2338" s="16">
        <v>0.05</v>
      </c>
      <c r="AD2338" s="16">
        <v>0.05</v>
      </c>
      <c r="AE2338" s="16">
        <v>0.05</v>
      </c>
      <c r="AF2338" s="16" t="s">
        <v>413</v>
      </c>
    </row>
    <row r="2339" spans="1:32" ht="14.25" customHeight="1" x14ac:dyDescent="0.35">
      <c r="A2339" s="14" t="s">
        <v>1635</v>
      </c>
      <c r="B2339" s="14" t="s">
        <v>424</v>
      </c>
      <c r="C2339" s="14"/>
      <c r="D2339" s="14" t="s">
        <v>512</v>
      </c>
      <c r="E2339" s="15">
        <v>41640</v>
      </c>
      <c r="F2339" s="15">
        <v>42004</v>
      </c>
      <c r="G2339" s="14" t="s">
        <v>415</v>
      </c>
      <c r="H2339" s="14">
        <v>0.05</v>
      </c>
      <c r="I2339" s="14">
        <v>0.05</v>
      </c>
      <c r="J2339" s="14">
        <v>0.05</v>
      </c>
      <c r="K2339" s="14">
        <v>0.05</v>
      </c>
      <c r="L2339" s="14">
        <v>0.05</v>
      </c>
      <c r="M2339" s="14">
        <v>0.05</v>
      </c>
      <c r="N2339" s="14">
        <v>0.05</v>
      </c>
      <c r="O2339" s="14">
        <v>0.1</v>
      </c>
      <c r="P2339" s="14">
        <v>0.3</v>
      </c>
      <c r="Q2339" s="14">
        <v>0.6</v>
      </c>
      <c r="R2339" s="14">
        <v>0.9</v>
      </c>
      <c r="S2339" s="14">
        <v>0.9</v>
      </c>
      <c r="T2339" s="14">
        <v>0.9</v>
      </c>
      <c r="U2339" s="14">
        <v>0.9</v>
      </c>
      <c r="V2339" s="14">
        <v>0.9</v>
      </c>
      <c r="W2339" s="14">
        <v>0.9</v>
      </c>
      <c r="X2339" s="14">
        <v>0.9</v>
      </c>
      <c r="Y2339" s="14">
        <v>0.9</v>
      </c>
      <c r="Z2339" s="14">
        <v>0.5</v>
      </c>
      <c r="AA2339" s="14">
        <v>0.3</v>
      </c>
      <c r="AB2339" s="14">
        <v>0.3</v>
      </c>
      <c r="AC2339" s="14">
        <v>0.1</v>
      </c>
      <c r="AD2339" s="14">
        <v>0.05</v>
      </c>
      <c r="AE2339" s="14">
        <v>0.05</v>
      </c>
      <c r="AF2339" s="14" t="s">
        <v>413</v>
      </c>
    </row>
    <row r="2340" spans="1:32" ht="14.25" customHeight="1" x14ac:dyDescent="0.35">
      <c r="A2340" s="16" t="s">
        <v>1635</v>
      </c>
      <c r="B2340" s="16" t="s">
        <v>424</v>
      </c>
      <c r="C2340" s="16"/>
      <c r="D2340" s="16" t="s">
        <v>419</v>
      </c>
      <c r="E2340" s="17">
        <v>41640</v>
      </c>
      <c r="F2340" s="17">
        <v>42004</v>
      </c>
      <c r="G2340" s="16" t="s">
        <v>410</v>
      </c>
      <c r="H2340" s="16">
        <v>1</v>
      </c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  <c r="AA2340" s="16"/>
      <c r="AB2340" s="16"/>
      <c r="AC2340" s="16"/>
      <c r="AD2340" s="16"/>
      <c r="AE2340" s="16"/>
      <c r="AF2340" s="16" t="s">
        <v>413</v>
      </c>
    </row>
    <row r="2341" spans="1:32" ht="14.25" customHeight="1" x14ac:dyDescent="0.35">
      <c r="A2341" s="16" t="s">
        <v>1635</v>
      </c>
      <c r="B2341" s="16" t="s">
        <v>424</v>
      </c>
      <c r="C2341" s="16"/>
      <c r="D2341" s="16" t="s">
        <v>429</v>
      </c>
      <c r="E2341" s="17">
        <v>41640</v>
      </c>
      <c r="F2341" s="17">
        <v>42004</v>
      </c>
      <c r="G2341" s="16" t="s">
        <v>415</v>
      </c>
      <c r="H2341" s="16">
        <v>0.05</v>
      </c>
      <c r="I2341" s="16">
        <v>0.05</v>
      </c>
      <c r="J2341" s="16">
        <v>0.05</v>
      </c>
      <c r="K2341" s="16">
        <v>0.05</v>
      </c>
      <c r="L2341" s="16">
        <v>0.05</v>
      </c>
      <c r="M2341" s="16">
        <v>0.05</v>
      </c>
      <c r="N2341" s="16">
        <v>0.05</v>
      </c>
      <c r="O2341" s="16">
        <v>0.2</v>
      </c>
      <c r="P2341" s="16">
        <v>0.4</v>
      </c>
      <c r="Q2341" s="16">
        <v>0.9</v>
      </c>
      <c r="R2341" s="16">
        <v>0.9</v>
      </c>
      <c r="S2341" s="16">
        <v>0.9</v>
      </c>
      <c r="T2341" s="16">
        <v>0.9</v>
      </c>
      <c r="U2341" s="16">
        <v>0.9</v>
      </c>
      <c r="V2341" s="16">
        <v>0.9</v>
      </c>
      <c r="W2341" s="16">
        <v>0.9</v>
      </c>
      <c r="X2341" s="16">
        <v>0.9</v>
      </c>
      <c r="Y2341" s="16">
        <v>0.9</v>
      </c>
      <c r="Z2341" s="16">
        <v>0.5</v>
      </c>
      <c r="AA2341" s="16">
        <v>0.5</v>
      </c>
      <c r="AB2341" s="16">
        <v>0.5</v>
      </c>
      <c r="AC2341" s="16">
        <v>0.2</v>
      </c>
      <c r="AD2341" s="16">
        <v>0.05</v>
      </c>
      <c r="AE2341" s="16">
        <v>0.05</v>
      </c>
      <c r="AF2341" s="16" t="s">
        <v>413</v>
      </c>
    </row>
    <row r="2342" spans="1:32" ht="14.25" customHeight="1" x14ac:dyDescent="0.35">
      <c r="A2342" s="14" t="s">
        <v>1635</v>
      </c>
      <c r="B2342" s="14" t="s">
        <v>424</v>
      </c>
      <c r="C2342" s="14"/>
      <c r="D2342" s="14" t="s">
        <v>418</v>
      </c>
      <c r="E2342" s="15">
        <v>41640</v>
      </c>
      <c r="F2342" s="15">
        <v>42004</v>
      </c>
      <c r="G2342" s="14" t="s">
        <v>410</v>
      </c>
      <c r="H2342" s="14">
        <v>0</v>
      </c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 t="s">
        <v>413</v>
      </c>
    </row>
    <row r="2343" spans="1:32" ht="14.25" customHeight="1" x14ac:dyDescent="0.35">
      <c r="A2343" s="14" t="s">
        <v>1636</v>
      </c>
      <c r="B2343" s="14" t="s">
        <v>424</v>
      </c>
      <c r="C2343" s="14"/>
      <c r="D2343" s="14" t="s">
        <v>417</v>
      </c>
      <c r="E2343" s="15">
        <v>41640</v>
      </c>
      <c r="F2343" s="15">
        <v>42004</v>
      </c>
      <c r="G2343" s="14" t="s">
        <v>415</v>
      </c>
      <c r="H2343" s="14">
        <v>0.05</v>
      </c>
      <c r="I2343" s="14">
        <v>0.05</v>
      </c>
      <c r="J2343" s="14">
        <v>0.05</v>
      </c>
      <c r="K2343" s="14">
        <v>0.05</v>
      </c>
      <c r="L2343" s="14">
        <v>0.05</v>
      </c>
      <c r="M2343" s="14">
        <v>0.05</v>
      </c>
      <c r="N2343" s="14">
        <v>0.05</v>
      </c>
      <c r="O2343" s="14">
        <v>0.05</v>
      </c>
      <c r="P2343" s="14">
        <v>0.05</v>
      </c>
      <c r="Q2343" s="14">
        <v>0.1</v>
      </c>
      <c r="R2343" s="14">
        <v>0.4</v>
      </c>
      <c r="S2343" s="14">
        <v>0.4</v>
      </c>
      <c r="T2343" s="14">
        <v>0.6</v>
      </c>
      <c r="U2343" s="14">
        <v>0.6</v>
      </c>
      <c r="V2343" s="14">
        <v>0.6</v>
      </c>
      <c r="W2343" s="14">
        <v>0.6</v>
      </c>
      <c r="X2343" s="14">
        <v>0.6</v>
      </c>
      <c r="Y2343" s="14">
        <v>0.4</v>
      </c>
      <c r="Z2343" s="14">
        <v>0.2</v>
      </c>
      <c r="AA2343" s="14">
        <v>0.05</v>
      </c>
      <c r="AB2343" s="14">
        <v>0.05</v>
      </c>
      <c r="AC2343" s="14">
        <v>0.05</v>
      </c>
      <c r="AD2343" s="14">
        <v>0.05</v>
      </c>
      <c r="AE2343" s="14">
        <v>0.05</v>
      </c>
      <c r="AF2343" s="14" t="s">
        <v>413</v>
      </c>
    </row>
    <row r="2344" spans="1:32" ht="14.25" customHeight="1" x14ac:dyDescent="0.35">
      <c r="A2344" s="16" t="s">
        <v>1636</v>
      </c>
      <c r="B2344" s="16" t="s">
        <v>424</v>
      </c>
      <c r="C2344" s="16"/>
      <c r="D2344" s="16" t="s">
        <v>512</v>
      </c>
      <c r="E2344" s="17">
        <v>41640</v>
      </c>
      <c r="F2344" s="17">
        <v>42004</v>
      </c>
      <c r="G2344" s="16" t="s">
        <v>415</v>
      </c>
      <c r="H2344" s="16">
        <v>0.05</v>
      </c>
      <c r="I2344" s="16">
        <v>0.05</v>
      </c>
      <c r="J2344" s="16">
        <v>0.05</v>
      </c>
      <c r="K2344" s="16">
        <v>0.05</v>
      </c>
      <c r="L2344" s="16">
        <v>0.05</v>
      </c>
      <c r="M2344" s="16">
        <v>0.05</v>
      </c>
      <c r="N2344" s="16">
        <v>0.05</v>
      </c>
      <c r="O2344" s="16">
        <v>0.1</v>
      </c>
      <c r="P2344" s="16">
        <v>0.3</v>
      </c>
      <c r="Q2344" s="16">
        <v>0.6</v>
      </c>
      <c r="R2344" s="16">
        <v>0.9</v>
      </c>
      <c r="S2344" s="16">
        <v>0.9</v>
      </c>
      <c r="T2344" s="16">
        <v>0.9</v>
      </c>
      <c r="U2344" s="16">
        <v>0.9</v>
      </c>
      <c r="V2344" s="16">
        <v>0.9</v>
      </c>
      <c r="W2344" s="16">
        <v>0.9</v>
      </c>
      <c r="X2344" s="16">
        <v>0.9</v>
      </c>
      <c r="Y2344" s="16">
        <v>0.9</v>
      </c>
      <c r="Z2344" s="16">
        <v>0.5</v>
      </c>
      <c r="AA2344" s="16">
        <v>0.3</v>
      </c>
      <c r="AB2344" s="16">
        <v>0.3</v>
      </c>
      <c r="AC2344" s="16">
        <v>0.1</v>
      </c>
      <c r="AD2344" s="16">
        <v>0.05</v>
      </c>
      <c r="AE2344" s="16">
        <v>0.05</v>
      </c>
      <c r="AF2344" s="16" t="s">
        <v>413</v>
      </c>
    </row>
    <row r="2345" spans="1:32" ht="14.25" customHeight="1" x14ac:dyDescent="0.35">
      <c r="A2345" s="14" t="s">
        <v>1636</v>
      </c>
      <c r="B2345" s="14" t="s">
        <v>424</v>
      </c>
      <c r="C2345" s="14"/>
      <c r="D2345" s="14" t="s">
        <v>419</v>
      </c>
      <c r="E2345" s="15">
        <v>41640</v>
      </c>
      <c r="F2345" s="15">
        <v>42004</v>
      </c>
      <c r="G2345" s="14" t="s">
        <v>410</v>
      </c>
      <c r="H2345" s="14">
        <v>1</v>
      </c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 t="s">
        <v>413</v>
      </c>
    </row>
    <row r="2346" spans="1:32" ht="14.25" customHeight="1" x14ac:dyDescent="0.35">
      <c r="A2346" s="14" t="s">
        <v>1636</v>
      </c>
      <c r="B2346" s="14" t="s">
        <v>424</v>
      </c>
      <c r="C2346" s="14"/>
      <c r="D2346" s="14" t="s">
        <v>429</v>
      </c>
      <c r="E2346" s="15">
        <v>41640</v>
      </c>
      <c r="F2346" s="15">
        <v>42004</v>
      </c>
      <c r="G2346" s="14" t="s">
        <v>415</v>
      </c>
      <c r="H2346" s="14">
        <v>0.05</v>
      </c>
      <c r="I2346" s="14">
        <v>0.05</v>
      </c>
      <c r="J2346" s="14">
        <v>0.05</v>
      </c>
      <c r="K2346" s="14">
        <v>0.05</v>
      </c>
      <c r="L2346" s="14">
        <v>0.05</v>
      </c>
      <c r="M2346" s="14">
        <v>0.05</v>
      </c>
      <c r="N2346" s="14">
        <v>0.05</v>
      </c>
      <c r="O2346" s="14">
        <v>0.2</v>
      </c>
      <c r="P2346" s="14">
        <v>0.4</v>
      </c>
      <c r="Q2346" s="14">
        <v>0.9</v>
      </c>
      <c r="R2346" s="14">
        <v>0.9</v>
      </c>
      <c r="S2346" s="14">
        <v>0.9</v>
      </c>
      <c r="T2346" s="14">
        <v>0.9</v>
      </c>
      <c r="U2346" s="14">
        <v>0.9</v>
      </c>
      <c r="V2346" s="14">
        <v>0.9</v>
      </c>
      <c r="W2346" s="14">
        <v>0.9</v>
      </c>
      <c r="X2346" s="14">
        <v>0.9</v>
      </c>
      <c r="Y2346" s="14">
        <v>0.9</v>
      </c>
      <c r="Z2346" s="14">
        <v>0.5</v>
      </c>
      <c r="AA2346" s="14">
        <v>0.5</v>
      </c>
      <c r="AB2346" s="14">
        <v>0.5</v>
      </c>
      <c r="AC2346" s="14">
        <v>0.2</v>
      </c>
      <c r="AD2346" s="14">
        <v>0.05</v>
      </c>
      <c r="AE2346" s="14">
        <v>0.05</v>
      </c>
      <c r="AF2346" s="14" t="s">
        <v>413</v>
      </c>
    </row>
    <row r="2347" spans="1:32" ht="14.25" customHeight="1" x14ac:dyDescent="0.35">
      <c r="A2347" s="16" t="s">
        <v>1636</v>
      </c>
      <c r="B2347" s="16" t="s">
        <v>424</v>
      </c>
      <c r="C2347" s="16"/>
      <c r="D2347" s="16" t="s">
        <v>418</v>
      </c>
      <c r="E2347" s="17">
        <v>41640</v>
      </c>
      <c r="F2347" s="17">
        <v>42004</v>
      </c>
      <c r="G2347" s="16" t="s">
        <v>410</v>
      </c>
      <c r="H2347" s="16">
        <v>0</v>
      </c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16"/>
      <c r="AA2347" s="16"/>
      <c r="AB2347" s="16"/>
      <c r="AC2347" s="16"/>
      <c r="AD2347" s="16"/>
      <c r="AE2347" s="16"/>
      <c r="AF2347" s="16" t="s">
        <v>413</v>
      </c>
    </row>
    <row r="2348" spans="1:32" ht="14.25" customHeight="1" x14ac:dyDescent="0.35">
      <c r="A2348" s="16" t="s">
        <v>1637</v>
      </c>
      <c r="B2348" s="16" t="s">
        <v>424</v>
      </c>
      <c r="C2348" s="16"/>
      <c r="D2348" s="16" t="s">
        <v>417</v>
      </c>
      <c r="E2348" s="17">
        <v>41640</v>
      </c>
      <c r="F2348" s="17">
        <v>42004</v>
      </c>
      <c r="G2348" s="16" t="s">
        <v>415</v>
      </c>
      <c r="H2348" s="16">
        <v>0.05</v>
      </c>
      <c r="I2348" s="16">
        <v>0.05</v>
      </c>
      <c r="J2348" s="16">
        <v>0.05</v>
      </c>
      <c r="K2348" s="16">
        <v>0.05</v>
      </c>
      <c r="L2348" s="16">
        <v>0.05</v>
      </c>
      <c r="M2348" s="16">
        <v>0.05</v>
      </c>
      <c r="N2348" s="16">
        <v>0.05</v>
      </c>
      <c r="O2348" s="16">
        <v>0.05</v>
      </c>
      <c r="P2348" s="16">
        <v>0.05</v>
      </c>
      <c r="Q2348" s="16">
        <v>0.1</v>
      </c>
      <c r="R2348" s="16">
        <v>0.4</v>
      </c>
      <c r="S2348" s="16">
        <v>0.4</v>
      </c>
      <c r="T2348" s="16">
        <v>0.6</v>
      </c>
      <c r="U2348" s="16">
        <v>0.6</v>
      </c>
      <c r="V2348" s="16">
        <v>0.6</v>
      </c>
      <c r="W2348" s="16">
        <v>0.6</v>
      </c>
      <c r="X2348" s="16">
        <v>0.6</v>
      </c>
      <c r="Y2348" s="16">
        <v>0.4</v>
      </c>
      <c r="Z2348" s="16">
        <v>0.2</v>
      </c>
      <c r="AA2348" s="16">
        <v>0.05</v>
      </c>
      <c r="AB2348" s="16">
        <v>0.05</v>
      </c>
      <c r="AC2348" s="16">
        <v>0.05</v>
      </c>
      <c r="AD2348" s="16">
        <v>0.05</v>
      </c>
      <c r="AE2348" s="16">
        <v>0.05</v>
      </c>
      <c r="AF2348" s="16" t="s">
        <v>413</v>
      </c>
    </row>
    <row r="2349" spans="1:32" ht="14.25" customHeight="1" x14ac:dyDescent="0.35">
      <c r="A2349" s="14" t="s">
        <v>1637</v>
      </c>
      <c r="B2349" s="14" t="s">
        <v>424</v>
      </c>
      <c r="C2349" s="14"/>
      <c r="D2349" s="14" t="s">
        <v>512</v>
      </c>
      <c r="E2349" s="15">
        <v>41640</v>
      </c>
      <c r="F2349" s="15">
        <v>42004</v>
      </c>
      <c r="G2349" s="14" t="s">
        <v>415</v>
      </c>
      <c r="H2349" s="14">
        <v>0.05</v>
      </c>
      <c r="I2349" s="14">
        <v>0.05</v>
      </c>
      <c r="J2349" s="14">
        <v>0.05</v>
      </c>
      <c r="K2349" s="14">
        <v>0.05</v>
      </c>
      <c r="L2349" s="14">
        <v>0.05</v>
      </c>
      <c r="M2349" s="14">
        <v>0.05</v>
      </c>
      <c r="N2349" s="14">
        <v>0.05</v>
      </c>
      <c r="O2349" s="14">
        <v>0.1</v>
      </c>
      <c r="P2349" s="14">
        <v>0.3</v>
      </c>
      <c r="Q2349" s="14">
        <v>0.6</v>
      </c>
      <c r="R2349" s="14">
        <v>0.9</v>
      </c>
      <c r="S2349" s="14">
        <v>0.9</v>
      </c>
      <c r="T2349" s="14">
        <v>0.9</v>
      </c>
      <c r="U2349" s="14">
        <v>0.9</v>
      </c>
      <c r="V2349" s="14">
        <v>0.9</v>
      </c>
      <c r="W2349" s="14">
        <v>0.9</v>
      </c>
      <c r="X2349" s="14">
        <v>0.9</v>
      </c>
      <c r="Y2349" s="14">
        <v>0.9</v>
      </c>
      <c r="Z2349" s="14">
        <v>0.5</v>
      </c>
      <c r="AA2349" s="14">
        <v>0.3</v>
      </c>
      <c r="AB2349" s="14">
        <v>0.3</v>
      </c>
      <c r="AC2349" s="14">
        <v>0.1</v>
      </c>
      <c r="AD2349" s="14">
        <v>0.05</v>
      </c>
      <c r="AE2349" s="14">
        <v>0.05</v>
      </c>
      <c r="AF2349" s="14" t="s">
        <v>413</v>
      </c>
    </row>
    <row r="2350" spans="1:32" ht="14.25" customHeight="1" x14ac:dyDescent="0.35">
      <c r="A2350" s="16" t="s">
        <v>1637</v>
      </c>
      <c r="B2350" s="16" t="s">
        <v>424</v>
      </c>
      <c r="C2350" s="16"/>
      <c r="D2350" s="16" t="s">
        <v>419</v>
      </c>
      <c r="E2350" s="17">
        <v>41640</v>
      </c>
      <c r="F2350" s="17">
        <v>42004</v>
      </c>
      <c r="G2350" s="16" t="s">
        <v>410</v>
      </c>
      <c r="H2350" s="16">
        <v>1</v>
      </c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6"/>
      <c r="AD2350" s="16"/>
      <c r="AE2350" s="16"/>
      <c r="AF2350" s="16" t="s">
        <v>413</v>
      </c>
    </row>
    <row r="2351" spans="1:32" ht="14.25" customHeight="1" x14ac:dyDescent="0.35">
      <c r="A2351" s="16" t="s">
        <v>1637</v>
      </c>
      <c r="B2351" s="16" t="s">
        <v>424</v>
      </c>
      <c r="C2351" s="16"/>
      <c r="D2351" s="16" t="s">
        <v>429</v>
      </c>
      <c r="E2351" s="17">
        <v>41640</v>
      </c>
      <c r="F2351" s="17">
        <v>42004</v>
      </c>
      <c r="G2351" s="16" t="s">
        <v>415</v>
      </c>
      <c r="H2351" s="16">
        <v>0.05</v>
      </c>
      <c r="I2351" s="16">
        <v>0.05</v>
      </c>
      <c r="J2351" s="16">
        <v>0.05</v>
      </c>
      <c r="K2351" s="16">
        <v>0.05</v>
      </c>
      <c r="L2351" s="16">
        <v>0.05</v>
      </c>
      <c r="M2351" s="16">
        <v>0.05</v>
      </c>
      <c r="N2351" s="16">
        <v>0.05</v>
      </c>
      <c r="O2351" s="16">
        <v>0.2</v>
      </c>
      <c r="P2351" s="16">
        <v>0.4</v>
      </c>
      <c r="Q2351" s="16">
        <v>0.9</v>
      </c>
      <c r="R2351" s="16">
        <v>0.9</v>
      </c>
      <c r="S2351" s="16">
        <v>0.9</v>
      </c>
      <c r="T2351" s="16">
        <v>0.9</v>
      </c>
      <c r="U2351" s="16">
        <v>0.9</v>
      </c>
      <c r="V2351" s="16">
        <v>0.9</v>
      </c>
      <c r="W2351" s="16">
        <v>0.9</v>
      </c>
      <c r="X2351" s="16">
        <v>0.9</v>
      </c>
      <c r="Y2351" s="16">
        <v>0.9</v>
      </c>
      <c r="Z2351" s="16">
        <v>0.5</v>
      </c>
      <c r="AA2351" s="16">
        <v>0.5</v>
      </c>
      <c r="AB2351" s="16">
        <v>0.5</v>
      </c>
      <c r="AC2351" s="16">
        <v>0.2</v>
      </c>
      <c r="AD2351" s="16">
        <v>0.05</v>
      </c>
      <c r="AE2351" s="16">
        <v>0.05</v>
      </c>
      <c r="AF2351" s="16" t="s">
        <v>413</v>
      </c>
    </row>
    <row r="2352" spans="1:32" ht="14.25" customHeight="1" x14ac:dyDescent="0.35">
      <c r="A2352" s="14" t="s">
        <v>1637</v>
      </c>
      <c r="B2352" s="14" t="s">
        <v>424</v>
      </c>
      <c r="C2352" s="14"/>
      <c r="D2352" s="14" t="s">
        <v>418</v>
      </c>
      <c r="E2352" s="15">
        <v>41640</v>
      </c>
      <c r="F2352" s="15">
        <v>42004</v>
      </c>
      <c r="G2352" s="14" t="s">
        <v>410</v>
      </c>
      <c r="H2352" s="14">
        <v>0</v>
      </c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 t="s">
        <v>413</v>
      </c>
    </row>
    <row r="2353" spans="1:32" ht="14.25" customHeight="1" x14ac:dyDescent="0.35">
      <c r="A2353" s="14" t="s">
        <v>1638</v>
      </c>
      <c r="B2353" s="14" t="s">
        <v>424</v>
      </c>
      <c r="C2353" s="14"/>
      <c r="D2353" s="14" t="s">
        <v>417</v>
      </c>
      <c r="E2353" s="15">
        <v>41640</v>
      </c>
      <c r="F2353" s="15">
        <v>42004</v>
      </c>
      <c r="G2353" s="14" t="s">
        <v>415</v>
      </c>
      <c r="H2353" s="14">
        <v>0.05</v>
      </c>
      <c r="I2353" s="14">
        <v>0.05</v>
      </c>
      <c r="J2353" s="14">
        <v>0.05</v>
      </c>
      <c r="K2353" s="14">
        <v>0.05</v>
      </c>
      <c r="L2353" s="14">
        <v>0.05</v>
      </c>
      <c r="M2353" s="14">
        <v>0.05</v>
      </c>
      <c r="N2353" s="14">
        <v>0.05</v>
      </c>
      <c r="O2353" s="14">
        <v>0.05</v>
      </c>
      <c r="P2353" s="14">
        <v>0.05</v>
      </c>
      <c r="Q2353" s="14">
        <v>0.1</v>
      </c>
      <c r="R2353" s="14">
        <v>0.4</v>
      </c>
      <c r="S2353" s="14">
        <v>0.4</v>
      </c>
      <c r="T2353" s="14">
        <v>0.6</v>
      </c>
      <c r="U2353" s="14">
        <v>0.6</v>
      </c>
      <c r="V2353" s="14">
        <v>0.6</v>
      </c>
      <c r="W2353" s="14">
        <v>0.6</v>
      </c>
      <c r="X2353" s="14">
        <v>0.6</v>
      </c>
      <c r="Y2353" s="14">
        <v>0.4</v>
      </c>
      <c r="Z2353" s="14">
        <v>0.2</v>
      </c>
      <c r="AA2353" s="14">
        <v>0.05</v>
      </c>
      <c r="AB2353" s="14">
        <v>0.05</v>
      </c>
      <c r="AC2353" s="14">
        <v>0.05</v>
      </c>
      <c r="AD2353" s="14">
        <v>0.05</v>
      </c>
      <c r="AE2353" s="14">
        <v>0.05</v>
      </c>
      <c r="AF2353" s="14" t="s">
        <v>413</v>
      </c>
    </row>
    <row r="2354" spans="1:32" ht="14.25" customHeight="1" x14ac:dyDescent="0.35">
      <c r="A2354" s="16" t="s">
        <v>1638</v>
      </c>
      <c r="B2354" s="16" t="s">
        <v>424</v>
      </c>
      <c r="C2354" s="16"/>
      <c r="D2354" s="16" t="s">
        <v>512</v>
      </c>
      <c r="E2354" s="17">
        <v>41640</v>
      </c>
      <c r="F2354" s="17">
        <v>42004</v>
      </c>
      <c r="G2354" s="16" t="s">
        <v>415</v>
      </c>
      <c r="H2354" s="16">
        <v>0.05</v>
      </c>
      <c r="I2354" s="16">
        <v>0.05</v>
      </c>
      <c r="J2354" s="16">
        <v>0.05</v>
      </c>
      <c r="K2354" s="16">
        <v>0.05</v>
      </c>
      <c r="L2354" s="16">
        <v>0.05</v>
      </c>
      <c r="M2354" s="16">
        <v>0.05</v>
      </c>
      <c r="N2354" s="16">
        <v>0.05</v>
      </c>
      <c r="O2354" s="16">
        <v>0.1</v>
      </c>
      <c r="P2354" s="16">
        <v>0.3</v>
      </c>
      <c r="Q2354" s="16">
        <v>0.6</v>
      </c>
      <c r="R2354" s="16">
        <v>0.9</v>
      </c>
      <c r="S2354" s="16">
        <v>0.9</v>
      </c>
      <c r="T2354" s="16">
        <v>0.9</v>
      </c>
      <c r="U2354" s="16">
        <v>0.9</v>
      </c>
      <c r="V2354" s="16">
        <v>0.9</v>
      </c>
      <c r="W2354" s="16">
        <v>0.9</v>
      </c>
      <c r="X2354" s="16">
        <v>0.9</v>
      </c>
      <c r="Y2354" s="16">
        <v>0.9</v>
      </c>
      <c r="Z2354" s="16">
        <v>0.5</v>
      </c>
      <c r="AA2354" s="16">
        <v>0.3</v>
      </c>
      <c r="AB2354" s="16">
        <v>0.3</v>
      </c>
      <c r="AC2354" s="16">
        <v>0.1</v>
      </c>
      <c r="AD2354" s="16">
        <v>0.05</v>
      </c>
      <c r="AE2354" s="16">
        <v>0.05</v>
      </c>
      <c r="AF2354" s="16" t="s">
        <v>413</v>
      </c>
    </row>
    <row r="2355" spans="1:32" ht="14.25" customHeight="1" x14ac:dyDescent="0.35">
      <c r="A2355" s="14" t="s">
        <v>1638</v>
      </c>
      <c r="B2355" s="14" t="s">
        <v>424</v>
      </c>
      <c r="C2355" s="14"/>
      <c r="D2355" s="14" t="s">
        <v>419</v>
      </c>
      <c r="E2355" s="15">
        <v>41640</v>
      </c>
      <c r="F2355" s="15">
        <v>42004</v>
      </c>
      <c r="G2355" s="14" t="s">
        <v>410</v>
      </c>
      <c r="H2355" s="14">
        <v>1</v>
      </c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 t="s">
        <v>413</v>
      </c>
    </row>
    <row r="2356" spans="1:32" ht="14.25" customHeight="1" x14ac:dyDescent="0.35">
      <c r="A2356" s="14" t="s">
        <v>1638</v>
      </c>
      <c r="B2356" s="14" t="s">
        <v>424</v>
      </c>
      <c r="C2356" s="14"/>
      <c r="D2356" s="14" t="s">
        <v>429</v>
      </c>
      <c r="E2356" s="15">
        <v>41640</v>
      </c>
      <c r="F2356" s="15">
        <v>42004</v>
      </c>
      <c r="G2356" s="14" t="s">
        <v>415</v>
      </c>
      <c r="H2356" s="14">
        <v>0.05</v>
      </c>
      <c r="I2356" s="14">
        <v>0.05</v>
      </c>
      <c r="J2356" s="14">
        <v>0.05</v>
      </c>
      <c r="K2356" s="14">
        <v>0.05</v>
      </c>
      <c r="L2356" s="14">
        <v>0.05</v>
      </c>
      <c r="M2356" s="14">
        <v>0.05</v>
      </c>
      <c r="N2356" s="14">
        <v>0.05</v>
      </c>
      <c r="O2356" s="14">
        <v>0.2</v>
      </c>
      <c r="P2356" s="14">
        <v>0.4</v>
      </c>
      <c r="Q2356" s="14">
        <v>0.9</v>
      </c>
      <c r="R2356" s="14">
        <v>0.9</v>
      </c>
      <c r="S2356" s="14">
        <v>0.9</v>
      </c>
      <c r="T2356" s="14">
        <v>0.9</v>
      </c>
      <c r="U2356" s="14">
        <v>0.9</v>
      </c>
      <c r="V2356" s="14">
        <v>0.9</v>
      </c>
      <c r="W2356" s="14">
        <v>0.9</v>
      </c>
      <c r="X2356" s="14">
        <v>0.9</v>
      </c>
      <c r="Y2356" s="14">
        <v>0.9</v>
      </c>
      <c r="Z2356" s="14">
        <v>0.5</v>
      </c>
      <c r="AA2356" s="14">
        <v>0.5</v>
      </c>
      <c r="AB2356" s="14">
        <v>0.5</v>
      </c>
      <c r="AC2356" s="14">
        <v>0.2</v>
      </c>
      <c r="AD2356" s="14">
        <v>0.05</v>
      </c>
      <c r="AE2356" s="14">
        <v>0.05</v>
      </c>
      <c r="AF2356" s="14" t="s">
        <v>413</v>
      </c>
    </row>
    <row r="2357" spans="1:32" ht="14.25" customHeight="1" x14ac:dyDescent="0.35">
      <c r="A2357" s="16" t="s">
        <v>1638</v>
      </c>
      <c r="B2357" s="16" t="s">
        <v>424</v>
      </c>
      <c r="C2357" s="16"/>
      <c r="D2357" s="16" t="s">
        <v>418</v>
      </c>
      <c r="E2357" s="17">
        <v>41640</v>
      </c>
      <c r="F2357" s="17">
        <v>42004</v>
      </c>
      <c r="G2357" s="16" t="s">
        <v>410</v>
      </c>
      <c r="H2357" s="16">
        <v>0</v>
      </c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 t="s">
        <v>413</v>
      </c>
    </row>
    <row r="2358" spans="1:32" ht="14.25" customHeight="1" x14ac:dyDescent="0.35">
      <c r="A2358" s="16" t="s">
        <v>1639</v>
      </c>
      <c r="B2358" s="16" t="s">
        <v>448</v>
      </c>
      <c r="C2358" s="16"/>
      <c r="D2358" s="16" t="s">
        <v>417</v>
      </c>
      <c r="E2358" s="17">
        <v>41640</v>
      </c>
      <c r="F2358" s="17">
        <v>42004</v>
      </c>
      <c r="G2358" s="16" t="s">
        <v>415</v>
      </c>
      <c r="H2358" s="16">
        <v>0</v>
      </c>
      <c r="I2358" s="16">
        <v>0</v>
      </c>
      <c r="J2358" s="16">
        <v>0</v>
      </c>
      <c r="K2358" s="16">
        <v>0</v>
      </c>
      <c r="L2358" s="16">
        <v>0</v>
      </c>
      <c r="M2358" s="16">
        <v>0</v>
      </c>
      <c r="N2358" s="16">
        <v>0</v>
      </c>
      <c r="O2358" s="16">
        <v>0</v>
      </c>
      <c r="P2358" s="16">
        <v>0</v>
      </c>
      <c r="Q2358" s="16">
        <v>0.1</v>
      </c>
      <c r="R2358" s="16">
        <v>0.2</v>
      </c>
      <c r="S2358" s="16">
        <v>0.2</v>
      </c>
      <c r="T2358" s="16">
        <v>0.4</v>
      </c>
      <c r="U2358" s="16">
        <v>0.4</v>
      </c>
      <c r="V2358" s="16">
        <v>0.4</v>
      </c>
      <c r="W2358" s="16">
        <v>0.4</v>
      </c>
      <c r="X2358" s="16">
        <v>0.4</v>
      </c>
      <c r="Y2358" s="16">
        <v>0.2</v>
      </c>
      <c r="Z2358" s="16">
        <v>0.1</v>
      </c>
      <c r="AA2358" s="16">
        <v>0</v>
      </c>
      <c r="AB2358" s="16">
        <v>0</v>
      </c>
      <c r="AC2358" s="16">
        <v>0</v>
      </c>
      <c r="AD2358" s="16">
        <v>0</v>
      </c>
      <c r="AE2358" s="16">
        <v>0</v>
      </c>
      <c r="AF2358" s="16" t="s">
        <v>413</v>
      </c>
    </row>
    <row r="2359" spans="1:32" ht="14.25" customHeight="1" x14ac:dyDescent="0.35">
      <c r="A2359" s="14" t="s">
        <v>1639</v>
      </c>
      <c r="B2359" s="14" t="s">
        <v>448</v>
      </c>
      <c r="C2359" s="14"/>
      <c r="D2359" s="14" t="s">
        <v>512</v>
      </c>
      <c r="E2359" s="15">
        <v>41640</v>
      </c>
      <c r="F2359" s="15">
        <v>42004</v>
      </c>
      <c r="G2359" s="14" t="s">
        <v>415</v>
      </c>
      <c r="H2359" s="14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0.1</v>
      </c>
      <c r="P2359" s="14">
        <v>0.2</v>
      </c>
      <c r="Q2359" s="14">
        <v>0.5</v>
      </c>
      <c r="R2359" s="14">
        <v>0.6</v>
      </c>
      <c r="S2359" s="14">
        <v>0.8</v>
      </c>
      <c r="T2359" s="14">
        <v>0.8</v>
      </c>
      <c r="U2359" s="14">
        <v>0.8</v>
      </c>
      <c r="V2359" s="14">
        <v>0.8</v>
      </c>
      <c r="W2359" s="14">
        <v>0.8</v>
      </c>
      <c r="X2359" s="14">
        <v>0.8</v>
      </c>
      <c r="Y2359" s="14">
        <v>0.6</v>
      </c>
      <c r="Z2359" s="14">
        <v>0.2</v>
      </c>
      <c r="AA2359" s="14">
        <v>0.2</v>
      </c>
      <c r="AB2359" s="14">
        <v>0.2</v>
      </c>
      <c r="AC2359" s="14">
        <v>0.1</v>
      </c>
      <c r="AD2359" s="14">
        <v>0</v>
      </c>
      <c r="AE2359" s="14">
        <v>0</v>
      </c>
      <c r="AF2359" s="14" t="s">
        <v>413</v>
      </c>
    </row>
    <row r="2360" spans="1:32" ht="14.25" customHeight="1" x14ac:dyDescent="0.35">
      <c r="A2360" s="16" t="s">
        <v>1639</v>
      </c>
      <c r="B2360" s="16" t="s">
        <v>448</v>
      </c>
      <c r="C2360" s="16"/>
      <c r="D2360" s="16" t="s">
        <v>419</v>
      </c>
      <c r="E2360" s="17">
        <v>41640</v>
      </c>
      <c r="F2360" s="17">
        <v>42004</v>
      </c>
      <c r="G2360" s="16" t="s">
        <v>410</v>
      </c>
      <c r="H2360" s="16">
        <v>1</v>
      </c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6"/>
      <c r="AA2360" s="16"/>
      <c r="AB2360" s="16"/>
      <c r="AC2360" s="16"/>
      <c r="AD2360" s="16"/>
      <c r="AE2360" s="16"/>
      <c r="AF2360" s="16" t="s">
        <v>413</v>
      </c>
    </row>
    <row r="2361" spans="1:32" ht="14.25" customHeight="1" x14ac:dyDescent="0.35">
      <c r="A2361" s="16" t="s">
        <v>1639</v>
      </c>
      <c r="B2361" s="16" t="s">
        <v>448</v>
      </c>
      <c r="C2361" s="16"/>
      <c r="D2361" s="16" t="s">
        <v>429</v>
      </c>
      <c r="E2361" s="17">
        <v>41640</v>
      </c>
      <c r="F2361" s="17">
        <v>42004</v>
      </c>
      <c r="G2361" s="16" t="s">
        <v>415</v>
      </c>
      <c r="H2361" s="16">
        <v>0</v>
      </c>
      <c r="I2361" s="16">
        <v>0</v>
      </c>
      <c r="J2361" s="16">
        <v>0</v>
      </c>
      <c r="K2361" s="16">
        <v>0</v>
      </c>
      <c r="L2361" s="16">
        <v>0</v>
      </c>
      <c r="M2361" s="16">
        <v>0</v>
      </c>
      <c r="N2361" s="16">
        <v>0</v>
      </c>
      <c r="O2361" s="16">
        <v>0.1</v>
      </c>
      <c r="P2361" s="16">
        <v>0.2</v>
      </c>
      <c r="Q2361" s="16">
        <v>0.5</v>
      </c>
      <c r="R2361" s="16">
        <v>0.5</v>
      </c>
      <c r="S2361" s="16">
        <v>0.7</v>
      </c>
      <c r="T2361" s="16">
        <v>0.7</v>
      </c>
      <c r="U2361" s="16">
        <v>0.7</v>
      </c>
      <c r="V2361" s="16">
        <v>0.7</v>
      </c>
      <c r="W2361" s="16">
        <v>0.8</v>
      </c>
      <c r="X2361" s="16">
        <v>0.7</v>
      </c>
      <c r="Y2361" s="16">
        <v>0.5</v>
      </c>
      <c r="Z2361" s="16">
        <v>0.5</v>
      </c>
      <c r="AA2361" s="16">
        <v>0.3</v>
      </c>
      <c r="AB2361" s="16">
        <v>0.3</v>
      </c>
      <c r="AC2361" s="16">
        <v>0</v>
      </c>
      <c r="AD2361" s="16">
        <v>0</v>
      </c>
      <c r="AE2361" s="16">
        <v>0</v>
      </c>
      <c r="AF2361" s="16" t="s">
        <v>413</v>
      </c>
    </row>
    <row r="2362" spans="1:32" ht="14.25" customHeight="1" x14ac:dyDescent="0.35">
      <c r="A2362" s="14" t="s">
        <v>1639</v>
      </c>
      <c r="B2362" s="14" t="s">
        <v>448</v>
      </c>
      <c r="C2362" s="14"/>
      <c r="D2362" s="14" t="s">
        <v>418</v>
      </c>
      <c r="E2362" s="15">
        <v>41640</v>
      </c>
      <c r="F2362" s="15">
        <v>42004</v>
      </c>
      <c r="G2362" s="14" t="s">
        <v>410</v>
      </c>
      <c r="H2362" s="14">
        <v>0</v>
      </c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 t="s">
        <v>413</v>
      </c>
    </row>
    <row r="2363" spans="1:32" ht="14.25" customHeight="1" x14ac:dyDescent="0.35">
      <c r="A2363" s="16" t="s">
        <v>1640</v>
      </c>
      <c r="B2363" s="16" t="s">
        <v>448</v>
      </c>
      <c r="C2363" s="14"/>
      <c r="D2363" s="14" t="s">
        <v>417</v>
      </c>
      <c r="E2363" s="17">
        <v>41640</v>
      </c>
      <c r="F2363" s="17">
        <v>42004</v>
      </c>
      <c r="G2363" s="16" t="s">
        <v>415</v>
      </c>
      <c r="H2363" s="14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0.1</v>
      </c>
      <c r="R2363" s="14">
        <v>0.2</v>
      </c>
      <c r="S2363" s="14">
        <v>0.2</v>
      </c>
      <c r="T2363" s="14">
        <v>0.4</v>
      </c>
      <c r="U2363" s="14">
        <v>0.4</v>
      </c>
      <c r="V2363" s="14">
        <v>0.4</v>
      </c>
      <c r="W2363" s="14">
        <v>0.4</v>
      </c>
      <c r="X2363" s="14">
        <v>0.4</v>
      </c>
      <c r="Y2363" s="14">
        <v>0.2</v>
      </c>
      <c r="Z2363" s="14">
        <v>0.1</v>
      </c>
      <c r="AA2363" s="14">
        <v>0</v>
      </c>
      <c r="AB2363" s="14">
        <v>0</v>
      </c>
      <c r="AC2363" s="14">
        <v>0</v>
      </c>
      <c r="AD2363" s="14">
        <v>0</v>
      </c>
      <c r="AE2363" s="14">
        <v>0</v>
      </c>
      <c r="AF2363" s="16" t="s">
        <v>413</v>
      </c>
    </row>
    <row r="2364" spans="1:32" ht="14.25" customHeight="1" x14ac:dyDescent="0.35">
      <c r="A2364" s="16" t="s">
        <v>1640</v>
      </c>
      <c r="B2364" s="16" t="s">
        <v>448</v>
      </c>
      <c r="C2364" s="14"/>
      <c r="D2364" s="14" t="s">
        <v>512</v>
      </c>
      <c r="E2364" s="15">
        <v>41640</v>
      </c>
      <c r="F2364" s="15">
        <v>42004</v>
      </c>
      <c r="G2364" s="16" t="s">
        <v>415</v>
      </c>
      <c r="H2364" s="14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0.1</v>
      </c>
      <c r="P2364" s="14">
        <v>0.2</v>
      </c>
      <c r="Q2364" s="14">
        <v>0.5</v>
      </c>
      <c r="R2364" s="14">
        <v>0.6</v>
      </c>
      <c r="S2364" s="14">
        <v>0.8</v>
      </c>
      <c r="T2364" s="14">
        <v>0.8</v>
      </c>
      <c r="U2364" s="14">
        <v>0.8</v>
      </c>
      <c r="V2364" s="14">
        <v>0.8</v>
      </c>
      <c r="W2364" s="14">
        <v>0.8</v>
      </c>
      <c r="X2364" s="14">
        <v>0.8</v>
      </c>
      <c r="Y2364" s="14">
        <v>0.6</v>
      </c>
      <c r="Z2364" s="14">
        <v>0.2</v>
      </c>
      <c r="AA2364" s="14">
        <v>0.2</v>
      </c>
      <c r="AB2364" s="14">
        <v>0.2</v>
      </c>
      <c r="AC2364" s="14">
        <v>0.1</v>
      </c>
      <c r="AD2364" s="14">
        <v>0</v>
      </c>
      <c r="AE2364" s="14">
        <v>0</v>
      </c>
      <c r="AF2364" s="16" t="s">
        <v>413</v>
      </c>
    </row>
    <row r="2365" spans="1:32" ht="14.25" customHeight="1" x14ac:dyDescent="0.35">
      <c r="A2365" s="16" t="s">
        <v>1640</v>
      </c>
      <c r="B2365" s="16" t="s">
        <v>448</v>
      </c>
      <c r="C2365" s="14"/>
      <c r="D2365" s="16" t="s">
        <v>419</v>
      </c>
      <c r="E2365" s="17">
        <v>41640</v>
      </c>
      <c r="F2365" s="17">
        <v>42004</v>
      </c>
      <c r="G2365" s="16" t="s">
        <v>410</v>
      </c>
      <c r="H2365" s="14">
        <v>1</v>
      </c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6" t="s">
        <v>413</v>
      </c>
    </row>
    <row r="2366" spans="1:32" ht="14.25" customHeight="1" x14ac:dyDescent="0.35">
      <c r="A2366" s="14" t="s">
        <v>1640</v>
      </c>
      <c r="B2366" s="14" t="s">
        <v>448</v>
      </c>
      <c r="C2366" s="14"/>
      <c r="D2366" s="14" t="s">
        <v>429</v>
      </c>
      <c r="E2366" s="17">
        <v>41640</v>
      </c>
      <c r="F2366" s="17">
        <v>42004</v>
      </c>
      <c r="G2366" s="14" t="s">
        <v>415</v>
      </c>
      <c r="H2366" s="14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0.1</v>
      </c>
      <c r="P2366" s="14">
        <v>0.2</v>
      </c>
      <c r="Q2366" s="14">
        <v>0.5</v>
      </c>
      <c r="R2366" s="14">
        <v>0.5</v>
      </c>
      <c r="S2366" s="14">
        <v>0.7</v>
      </c>
      <c r="T2366" s="14">
        <v>0.7</v>
      </c>
      <c r="U2366" s="14">
        <v>0.7</v>
      </c>
      <c r="V2366" s="14">
        <v>0.7</v>
      </c>
      <c r="W2366" s="14">
        <v>0.8</v>
      </c>
      <c r="X2366" s="14">
        <v>0.7</v>
      </c>
      <c r="Y2366" s="14">
        <v>0.5</v>
      </c>
      <c r="Z2366" s="14">
        <v>0.5</v>
      </c>
      <c r="AA2366" s="14">
        <v>0.3</v>
      </c>
      <c r="AB2366" s="14">
        <v>0.3</v>
      </c>
      <c r="AC2366" s="14">
        <v>0</v>
      </c>
      <c r="AD2366" s="14">
        <v>0</v>
      </c>
      <c r="AE2366" s="14">
        <v>0</v>
      </c>
      <c r="AF2366" s="14" t="s">
        <v>413</v>
      </c>
    </row>
    <row r="2367" spans="1:32" ht="14.25" customHeight="1" x14ac:dyDescent="0.35">
      <c r="A2367" s="16" t="s">
        <v>1640</v>
      </c>
      <c r="B2367" s="16" t="s">
        <v>448</v>
      </c>
      <c r="C2367" s="14"/>
      <c r="D2367" s="14" t="s">
        <v>418</v>
      </c>
      <c r="E2367" s="17">
        <v>41640</v>
      </c>
      <c r="F2367" s="17">
        <v>42004</v>
      </c>
      <c r="G2367" s="16" t="s">
        <v>410</v>
      </c>
      <c r="H2367" s="14">
        <v>0</v>
      </c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6" t="s">
        <v>413</v>
      </c>
    </row>
    <row r="2368" spans="1:32" ht="14.25" customHeight="1" x14ac:dyDescent="0.35">
      <c r="A2368" s="14" t="s">
        <v>1641</v>
      </c>
      <c r="B2368" s="14" t="s">
        <v>460</v>
      </c>
      <c r="C2368" s="14"/>
      <c r="D2368" s="14" t="s">
        <v>417</v>
      </c>
      <c r="E2368" s="15">
        <v>41640</v>
      </c>
      <c r="F2368" s="15">
        <v>42004</v>
      </c>
      <c r="G2368" s="14" t="s">
        <v>415</v>
      </c>
      <c r="H2368" s="14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0.14000000000000001</v>
      </c>
      <c r="R2368" s="14">
        <v>0.28999999999999998</v>
      </c>
      <c r="S2368" s="14">
        <v>0.31</v>
      </c>
      <c r="T2368" s="14">
        <v>0.36</v>
      </c>
      <c r="U2368" s="14">
        <v>0.36</v>
      </c>
      <c r="V2368" s="14">
        <v>0.34</v>
      </c>
      <c r="W2368" s="14">
        <v>0.35</v>
      </c>
      <c r="X2368" s="14">
        <v>0.37</v>
      </c>
      <c r="Y2368" s="14">
        <v>0.34</v>
      </c>
      <c r="Z2368" s="14">
        <v>0.25</v>
      </c>
      <c r="AA2368" s="14">
        <v>0</v>
      </c>
      <c r="AB2368" s="14">
        <v>0</v>
      </c>
      <c r="AC2368" s="14">
        <v>0</v>
      </c>
      <c r="AD2368" s="14">
        <v>0</v>
      </c>
      <c r="AE2368" s="14">
        <v>0</v>
      </c>
      <c r="AF2368" s="14" t="s">
        <v>413</v>
      </c>
    </row>
    <row r="2369" spans="1:32" ht="14.25" customHeight="1" x14ac:dyDescent="0.35">
      <c r="A2369" s="14" t="s">
        <v>1641</v>
      </c>
      <c r="B2369" s="14" t="s">
        <v>460</v>
      </c>
      <c r="C2369" s="14"/>
      <c r="D2369" s="14" t="s">
        <v>556</v>
      </c>
      <c r="E2369" s="15">
        <v>41640</v>
      </c>
      <c r="F2369" s="15">
        <v>42004</v>
      </c>
      <c r="G2369" s="14" t="s">
        <v>415</v>
      </c>
      <c r="H2369" s="14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0.15</v>
      </c>
      <c r="P2369" s="14">
        <v>0.23</v>
      </c>
      <c r="Q2369" s="14">
        <v>0.32</v>
      </c>
      <c r="R2369" s="14">
        <v>0.41</v>
      </c>
      <c r="S2369" s="14">
        <v>0.56999999999999995</v>
      </c>
      <c r="T2369" s="14">
        <v>0.62</v>
      </c>
      <c r="U2369" s="14">
        <v>0.61</v>
      </c>
      <c r="V2369" s="14">
        <v>0.5</v>
      </c>
      <c r="W2369" s="14">
        <v>0.45</v>
      </c>
      <c r="X2369" s="14">
        <v>0.46</v>
      </c>
      <c r="Y2369" s="14">
        <v>0.47</v>
      </c>
      <c r="Z2369" s="14">
        <v>0.42</v>
      </c>
      <c r="AA2369" s="14">
        <v>0.34</v>
      </c>
      <c r="AB2369" s="14">
        <v>0.33</v>
      </c>
      <c r="AC2369" s="14">
        <v>0</v>
      </c>
      <c r="AD2369" s="14">
        <v>0</v>
      </c>
      <c r="AE2369" s="14">
        <v>0</v>
      </c>
      <c r="AF2369" s="14" t="s">
        <v>413</v>
      </c>
    </row>
    <row r="2370" spans="1:32" ht="14.25" customHeight="1" x14ac:dyDescent="0.35">
      <c r="A2370" s="16" t="s">
        <v>1641</v>
      </c>
      <c r="B2370" s="16" t="s">
        <v>460</v>
      </c>
      <c r="C2370" s="16"/>
      <c r="D2370" s="16" t="s">
        <v>514</v>
      </c>
      <c r="E2370" s="17">
        <v>41640</v>
      </c>
      <c r="F2370" s="17">
        <v>42004</v>
      </c>
      <c r="G2370" s="16" t="s">
        <v>415</v>
      </c>
      <c r="H2370" s="16">
        <v>0</v>
      </c>
      <c r="I2370" s="16">
        <v>0</v>
      </c>
      <c r="J2370" s="16">
        <v>0</v>
      </c>
      <c r="K2370" s="16">
        <v>0</v>
      </c>
      <c r="L2370" s="16">
        <v>0</v>
      </c>
      <c r="M2370" s="16">
        <v>0</v>
      </c>
      <c r="N2370" s="16">
        <v>0</v>
      </c>
      <c r="O2370" s="16">
        <v>0.2</v>
      </c>
      <c r="P2370" s="16">
        <v>0.24</v>
      </c>
      <c r="Q2370" s="16">
        <v>0.27</v>
      </c>
      <c r="R2370" s="16">
        <v>0.42</v>
      </c>
      <c r="S2370" s="16">
        <v>0.54</v>
      </c>
      <c r="T2370" s="16">
        <v>0.59</v>
      </c>
      <c r="U2370" s="16">
        <v>0.6</v>
      </c>
      <c r="V2370" s="16">
        <v>0.49</v>
      </c>
      <c r="W2370" s="16">
        <v>0.48</v>
      </c>
      <c r="X2370" s="16">
        <v>0.47</v>
      </c>
      <c r="Y2370" s="16">
        <v>0.46</v>
      </c>
      <c r="Z2370" s="16">
        <v>0.44</v>
      </c>
      <c r="AA2370" s="16">
        <v>0.36</v>
      </c>
      <c r="AB2370" s="16">
        <v>0.28999999999999998</v>
      </c>
      <c r="AC2370" s="16">
        <v>0.22</v>
      </c>
      <c r="AD2370" s="16">
        <v>0</v>
      </c>
      <c r="AE2370" s="16">
        <v>0</v>
      </c>
      <c r="AF2370" s="16" t="s">
        <v>413</v>
      </c>
    </row>
    <row r="2371" spans="1:32" ht="14.25" customHeight="1" x14ac:dyDescent="0.35">
      <c r="A2371" s="16" t="s">
        <v>1642</v>
      </c>
      <c r="B2371" s="16" t="s">
        <v>420</v>
      </c>
      <c r="C2371" s="16" t="s">
        <v>414</v>
      </c>
      <c r="D2371" s="16" t="s">
        <v>417</v>
      </c>
      <c r="E2371" s="17">
        <v>41640</v>
      </c>
      <c r="F2371" s="17">
        <v>42004</v>
      </c>
      <c r="G2371" s="16" t="s">
        <v>415</v>
      </c>
      <c r="H2371" s="16">
        <v>29.44</v>
      </c>
      <c r="I2371" s="16">
        <v>29.44</v>
      </c>
      <c r="J2371" s="16">
        <v>29.44</v>
      </c>
      <c r="K2371" s="16">
        <v>29.44</v>
      </c>
      <c r="L2371" s="16">
        <v>29.44</v>
      </c>
      <c r="M2371" s="16">
        <v>29.44</v>
      </c>
      <c r="N2371" s="16">
        <v>29.44</v>
      </c>
      <c r="O2371" s="16">
        <v>23.89</v>
      </c>
      <c r="P2371" s="16">
        <v>23.89</v>
      </c>
      <c r="Q2371" s="16">
        <v>23.89</v>
      </c>
      <c r="R2371" s="16">
        <v>23.89</v>
      </c>
      <c r="S2371" s="16">
        <v>23.89</v>
      </c>
      <c r="T2371" s="16">
        <v>23.89</v>
      </c>
      <c r="U2371" s="16">
        <v>23.89</v>
      </c>
      <c r="V2371" s="16">
        <v>23.89</v>
      </c>
      <c r="W2371" s="16">
        <v>23.89</v>
      </c>
      <c r="X2371" s="16">
        <v>23.89</v>
      </c>
      <c r="Y2371" s="16">
        <v>23.89</v>
      </c>
      <c r="Z2371" s="16">
        <v>23.89</v>
      </c>
      <c r="AA2371" s="16">
        <v>29.44</v>
      </c>
      <c r="AB2371" s="16">
        <v>29.44</v>
      </c>
      <c r="AC2371" s="16">
        <v>29.44</v>
      </c>
      <c r="AD2371" s="16">
        <v>29.44</v>
      </c>
      <c r="AE2371" s="16">
        <v>29.44</v>
      </c>
      <c r="AF2371" s="16" t="s">
        <v>413</v>
      </c>
    </row>
    <row r="2372" spans="1:32" ht="14.25" customHeight="1" x14ac:dyDescent="0.35">
      <c r="A2372" s="14" t="s">
        <v>1642</v>
      </c>
      <c r="B2372" s="14" t="s">
        <v>420</v>
      </c>
      <c r="C2372" s="14" t="s">
        <v>414</v>
      </c>
      <c r="D2372" s="14" t="s">
        <v>512</v>
      </c>
      <c r="E2372" s="17">
        <v>41640</v>
      </c>
      <c r="F2372" s="17">
        <v>42004</v>
      </c>
      <c r="G2372" s="14" t="s">
        <v>415</v>
      </c>
      <c r="H2372" s="14">
        <v>29.44</v>
      </c>
      <c r="I2372" s="14">
        <v>29.44</v>
      </c>
      <c r="J2372" s="14">
        <v>29.44</v>
      </c>
      <c r="K2372" s="14">
        <v>29.44</v>
      </c>
      <c r="L2372" s="14">
        <v>29.44</v>
      </c>
      <c r="M2372" s="14">
        <v>23.89</v>
      </c>
      <c r="N2372" s="14">
        <v>23.89</v>
      </c>
      <c r="O2372" s="14">
        <v>23.89</v>
      </c>
      <c r="P2372" s="14">
        <v>23.89</v>
      </c>
      <c r="Q2372" s="14">
        <v>23.89</v>
      </c>
      <c r="R2372" s="14">
        <v>23.89</v>
      </c>
      <c r="S2372" s="14">
        <v>23.89</v>
      </c>
      <c r="T2372" s="14">
        <v>23.89</v>
      </c>
      <c r="U2372" s="14">
        <v>23.89</v>
      </c>
      <c r="V2372" s="14">
        <v>23.89</v>
      </c>
      <c r="W2372" s="14">
        <v>23.89</v>
      </c>
      <c r="X2372" s="14">
        <v>23.89</v>
      </c>
      <c r="Y2372" s="14">
        <v>23.89</v>
      </c>
      <c r="Z2372" s="14">
        <v>23.89</v>
      </c>
      <c r="AA2372" s="14">
        <v>23.89</v>
      </c>
      <c r="AB2372" s="14">
        <v>23.89</v>
      </c>
      <c r="AC2372" s="14">
        <v>23.89</v>
      </c>
      <c r="AD2372" s="14">
        <v>29.44</v>
      </c>
      <c r="AE2372" s="14">
        <v>29.44</v>
      </c>
      <c r="AF2372" s="14" t="s">
        <v>413</v>
      </c>
    </row>
    <row r="2373" spans="1:32" ht="14.25" customHeight="1" x14ac:dyDescent="0.35">
      <c r="A2373" s="16" t="s">
        <v>1642</v>
      </c>
      <c r="B2373" s="16" t="s">
        <v>420</v>
      </c>
      <c r="C2373" s="16" t="s">
        <v>414</v>
      </c>
      <c r="D2373" s="16" t="s">
        <v>419</v>
      </c>
      <c r="E2373" s="17">
        <v>41640</v>
      </c>
      <c r="F2373" s="17">
        <v>42004</v>
      </c>
      <c r="G2373" s="16" t="s">
        <v>415</v>
      </c>
      <c r="H2373" s="16">
        <v>29.44</v>
      </c>
      <c r="I2373" s="16">
        <v>29.44</v>
      </c>
      <c r="J2373" s="16">
        <v>29.44</v>
      </c>
      <c r="K2373" s="16">
        <v>29.44</v>
      </c>
      <c r="L2373" s="16">
        <v>29.44</v>
      </c>
      <c r="M2373" s="16">
        <v>29.44</v>
      </c>
      <c r="N2373" s="16">
        <v>26.67</v>
      </c>
      <c r="O2373" s="16">
        <v>23.89</v>
      </c>
      <c r="P2373" s="16">
        <v>23.89</v>
      </c>
      <c r="Q2373" s="16">
        <v>23.89</v>
      </c>
      <c r="R2373" s="16">
        <v>23.89</v>
      </c>
      <c r="S2373" s="16">
        <v>23.89</v>
      </c>
      <c r="T2373" s="16">
        <v>23.89</v>
      </c>
      <c r="U2373" s="16">
        <v>23.89</v>
      </c>
      <c r="V2373" s="16">
        <v>23.89</v>
      </c>
      <c r="W2373" s="16">
        <v>23.89</v>
      </c>
      <c r="X2373" s="16">
        <v>23.89</v>
      </c>
      <c r="Y2373" s="16">
        <v>23.89</v>
      </c>
      <c r="Z2373" s="16">
        <v>23.89</v>
      </c>
      <c r="AA2373" s="16">
        <v>23.89</v>
      </c>
      <c r="AB2373" s="16">
        <v>23.89</v>
      </c>
      <c r="AC2373" s="16">
        <v>29.44</v>
      </c>
      <c r="AD2373" s="16">
        <v>29.44</v>
      </c>
      <c r="AE2373" s="16">
        <v>29.44</v>
      </c>
      <c r="AF2373" s="16" t="s">
        <v>413</v>
      </c>
    </row>
    <row r="2374" spans="1:32" ht="14.25" customHeight="1" x14ac:dyDescent="0.35">
      <c r="A2374" s="14" t="s">
        <v>1642</v>
      </c>
      <c r="B2374" s="14" t="s">
        <v>420</v>
      </c>
      <c r="C2374" s="14" t="s">
        <v>414</v>
      </c>
      <c r="D2374" s="14" t="s">
        <v>429</v>
      </c>
      <c r="E2374" s="17">
        <v>41640</v>
      </c>
      <c r="F2374" s="17">
        <v>42004</v>
      </c>
      <c r="G2374" s="14" t="s">
        <v>415</v>
      </c>
      <c r="H2374" s="14">
        <v>29.44</v>
      </c>
      <c r="I2374" s="14">
        <v>29.44</v>
      </c>
      <c r="J2374" s="14">
        <v>29.44</v>
      </c>
      <c r="K2374" s="14">
        <v>29.44</v>
      </c>
      <c r="L2374" s="14">
        <v>29.44</v>
      </c>
      <c r="M2374" s="14">
        <v>23.89</v>
      </c>
      <c r="N2374" s="14">
        <v>23.89</v>
      </c>
      <c r="O2374" s="14">
        <v>23.89</v>
      </c>
      <c r="P2374" s="14">
        <v>23.89</v>
      </c>
      <c r="Q2374" s="14">
        <v>23.89</v>
      </c>
      <c r="R2374" s="14">
        <v>23.89</v>
      </c>
      <c r="S2374" s="14">
        <v>23.89</v>
      </c>
      <c r="T2374" s="14">
        <v>23.89</v>
      </c>
      <c r="U2374" s="14">
        <v>23.89</v>
      </c>
      <c r="V2374" s="14">
        <v>23.89</v>
      </c>
      <c r="W2374" s="14">
        <v>23.89</v>
      </c>
      <c r="X2374" s="14">
        <v>23.89</v>
      </c>
      <c r="Y2374" s="14">
        <v>23.89</v>
      </c>
      <c r="Z2374" s="14">
        <v>23.89</v>
      </c>
      <c r="AA2374" s="14">
        <v>23.89</v>
      </c>
      <c r="AB2374" s="14">
        <v>23.89</v>
      </c>
      <c r="AC2374" s="14">
        <v>29.44</v>
      </c>
      <c r="AD2374" s="14">
        <v>29.44</v>
      </c>
      <c r="AE2374" s="14">
        <v>29.44</v>
      </c>
      <c r="AF2374" s="14" t="s">
        <v>413</v>
      </c>
    </row>
    <row r="2375" spans="1:32" ht="14.25" customHeight="1" x14ac:dyDescent="0.35">
      <c r="A2375" s="14" t="s">
        <v>1642</v>
      </c>
      <c r="B2375" s="14" t="s">
        <v>420</v>
      </c>
      <c r="C2375" s="14" t="s">
        <v>414</v>
      </c>
      <c r="D2375" s="14" t="s">
        <v>418</v>
      </c>
      <c r="E2375" s="15">
        <v>41640</v>
      </c>
      <c r="F2375" s="15">
        <v>42004</v>
      </c>
      <c r="G2375" s="14" t="s">
        <v>410</v>
      </c>
      <c r="H2375" s="14">
        <v>29.44</v>
      </c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 t="s">
        <v>413</v>
      </c>
    </row>
    <row r="2376" spans="1:32" ht="14.25" customHeight="1" x14ac:dyDescent="0.35">
      <c r="A2376" s="14" t="s">
        <v>1643</v>
      </c>
      <c r="B2376" s="14" t="s">
        <v>420</v>
      </c>
      <c r="C2376" s="14" t="s">
        <v>414</v>
      </c>
      <c r="D2376" s="14" t="s">
        <v>821</v>
      </c>
      <c r="E2376" s="15">
        <v>41640</v>
      </c>
      <c r="F2376" s="15">
        <v>42004</v>
      </c>
      <c r="G2376" s="14" t="s">
        <v>410</v>
      </c>
      <c r="H2376" s="14">
        <v>23.89</v>
      </c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 t="s">
        <v>413</v>
      </c>
    </row>
    <row r="2377" spans="1:32" ht="14.25" customHeight="1" x14ac:dyDescent="0.35">
      <c r="A2377" s="14" t="s">
        <v>1643</v>
      </c>
      <c r="B2377" s="14" t="s">
        <v>420</v>
      </c>
      <c r="C2377" s="14" t="s">
        <v>414</v>
      </c>
      <c r="D2377" s="14" t="s">
        <v>419</v>
      </c>
      <c r="E2377" s="15">
        <v>41640</v>
      </c>
      <c r="F2377" s="15">
        <v>42004</v>
      </c>
      <c r="G2377" s="14" t="s">
        <v>415</v>
      </c>
      <c r="H2377" s="14">
        <v>29.44</v>
      </c>
      <c r="I2377" s="14">
        <v>29.44</v>
      </c>
      <c r="J2377" s="14">
        <v>29.44</v>
      </c>
      <c r="K2377" s="14">
        <v>29.44</v>
      </c>
      <c r="L2377" s="14">
        <v>29.44</v>
      </c>
      <c r="M2377" s="14">
        <v>29.44</v>
      </c>
      <c r="N2377" s="14">
        <v>26.67</v>
      </c>
      <c r="O2377" s="14">
        <v>23.89</v>
      </c>
      <c r="P2377" s="14">
        <v>23.89</v>
      </c>
      <c r="Q2377" s="14">
        <v>23.89</v>
      </c>
      <c r="R2377" s="14">
        <v>23.89</v>
      </c>
      <c r="S2377" s="14">
        <v>23.89</v>
      </c>
      <c r="T2377" s="14">
        <v>23.89</v>
      </c>
      <c r="U2377" s="14">
        <v>23.89</v>
      </c>
      <c r="V2377" s="14">
        <v>23.89</v>
      </c>
      <c r="W2377" s="14">
        <v>23.89</v>
      </c>
      <c r="X2377" s="14">
        <v>23.89</v>
      </c>
      <c r="Y2377" s="14">
        <v>23.89</v>
      </c>
      <c r="Z2377" s="14">
        <v>23.89</v>
      </c>
      <c r="AA2377" s="14">
        <v>23.89</v>
      </c>
      <c r="AB2377" s="14">
        <v>23.89</v>
      </c>
      <c r="AC2377" s="14">
        <v>29.44</v>
      </c>
      <c r="AD2377" s="14">
        <v>29.44</v>
      </c>
      <c r="AE2377" s="14">
        <v>29.44</v>
      </c>
      <c r="AF2377" s="14" t="s">
        <v>413</v>
      </c>
    </row>
    <row r="2378" spans="1:32" ht="14.25" customHeight="1" x14ac:dyDescent="0.35">
      <c r="A2378" s="16" t="s">
        <v>1643</v>
      </c>
      <c r="B2378" s="16" t="s">
        <v>420</v>
      </c>
      <c r="C2378" s="16" t="s">
        <v>414</v>
      </c>
      <c r="D2378" s="16" t="s">
        <v>418</v>
      </c>
      <c r="E2378" s="17">
        <v>41640</v>
      </c>
      <c r="F2378" s="17">
        <v>42004</v>
      </c>
      <c r="G2378" s="16" t="s">
        <v>410</v>
      </c>
      <c r="H2378" s="16">
        <v>29.44</v>
      </c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  <c r="AA2378" s="16"/>
      <c r="AB2378" s="16"/>
      <c r="AC2378" s="16"/>
      <c r="AD2378" s="16"/>
      <c r="AE2378" s="16"/>
      <c r="AF2378" s="16" t="s">
        <v>413</v>
      </c>
    </row>
    <row r="2379" spans="1:32" ht="14.25" customHeight="1" x14ac:dyDescent="0.35">
      <c r="A2379" s="16" t="s">
        <v>1644</v>
      </c>
      <c r="B2379" s="16" t="s">
        <v>420</v>
      </c>
      <c r="C2379" s="16" t="s">
        <v>414</v>
      </c>
      <c r="D2379" s="16" t="s">
        <v>417</v>
      </c>
      <c r="E2379" s="17">
        <v>41640</v>
      </c>
      <c r="F2379" s="17">
        <v>42004</v>
      </c>
      <c r="G2379" s="16" t="s">
        <v>415</v>
      </c>
      <c r="H2379" s="16">
        <v>29.44</v>
      </c>
      <c r="I2379" s="16">
        <v>29.44</v>
      </c>
      <c r="J2379" s="16">
        <v>29.44</v>
      </c>
      <c r="K2379" s="16">
        <v>29.44</v>
      </c>
      <c r="L2379" s="16">
        <v>29.44</v>
      </c>
      <c r="M2379" s="16">
        <v>29.44</v>
      </c>
      <c r="N2379" s="16">
        <v>29.44</v>
      </c>
      <c r="O2379" s="16">
        <v>23.89</v>
      </c>
      <c r="P2379" s="16">
        <v>23.89</v>
      </c>
      <c r="Q2379" s="16">
        <v>23.89</v>
      </c>
      <c r="R2379" s="16">
        <v>23.89</v>
      </c>
      <c r="S2379" s="16">
        <v>23.89</v>
      </c>
      <c r="T2379" s="16">
        <v>23.89</v>
      </c>
      <c r="U2379" s="16">
        <v>23.89</v>
      </c>
      <c r="V2379" s="16">
        <v>23.89</v>
      </c>
      <c r="W2379" s="16">
        <v>23.89</v>
      </c>
      <c r="X2379" s="16">
        <v>23.89</v>
      </c>
      <c r="Y2379" s="16">
        <v>23.89</v>
      </c>
      <c r="Z2379" s="16">
        <v>23.89</v>
      </c>
      <c r="AA2379" s="16">
        <v>29.44</v>
      </c>
      <c r="AB2379" s="16">
        <v>29.44</v>
      </c>
      <c r="AC2379" s="16">
        <v>29.44</v>
      </c>
      <c r="AD2379" s="16">
        <v>29.44</v>
      </c>
      <c r="AE2379" s="16">
        <v>29.44</v>
      </c>
      <c r="AF2379" s="16" t="s">
        <v>413</v>
      </c>
    </row>
    <row r="2380" spans="1:32" ht="14.25" customHeight="1" x14ac:dyDescent="0.35">
      <c r="A2380" s="14" t="s">
        <v>1644</v>
      </c>
      <c r="B2380" s="14" t="s">
        <v>420</v>
      </c>
      <c r="C2380" s="14" t="s">
        <v>414</v>
      </c>
      <c r="D2380" s="14" t="s">
        <v>512</v>
      </c>
      <c r="E2380" s="15">
        <v>41640</v>
      </c>
      <c r="F2380" s="15">
        <v>42004</v>
      </c>
      <c r="G2380" s="14" t="s">
        <v>415</v>
      </c>
      <c r="H2380" s="14">
        <v>29.44</v>
      </c>
      <c r="I2380" s="14">
        <v>29.44</v>
      </c>
      <c r="J2380" s="14">
        <v>29.44</v>
      </c>
      <c r="K2380" s="14">
        <v>29.44</v>
      </c>
      <c r="L2380" s="14">
        <v>29.44</v>
      </c>
      <c r="M2380" s="14">
        <v>23.89</v>
      </c>
      <c r="N2380" s="14">
        <v>23.89</v>
      </c>
      <c r="O2380" s="14">
        <v>23.89</v>
      </c>
      <c r="P2380" s="14">
        <v>23.89</v>
      </c>
      <c r="Q2380" s="14">
        <v>23.89</v>
      </c>
      <c r="R2380" s="14">
        <v>23.89</v>
      </c>
      <c r="S2380" s="14">
        <v>23.89</v>
      </c>
      <c r="T2380" s="14">
        <v>23.89</v>
      </c>
      <c r="U2380" s="14">
        <v>23.89</v>
      </c>
      <c r="V2380" s="14">
        <v>23.89</v>
      </c>
      <c r="W2380" s="14">
        <v>23.89</v>
      </c>
      <c r="X2380" s="14">
        <v>23.89</v>
      </c>
      <c r="Y2380" s="14">
        <v>23.89</v>
      </c>
      <c r="Z2380" s="14">
        <v>23.89</v>
      </c>
      <c r="AA2380" s="14">
        <v>23.89</v>
      </c>
      <c r="AB2380" s="14">
        <v>23.89</v>
      </c>
      <c r="AC2380" s="14">
        <v>23.89</v>
      </c>
      <c r="AD2380" s="14">
        <v>29.44</v>
      </c>
      <c r="AE2380" s="14">
        <v>29.44</v>
      </c>
      <c r="AF2380" s="14" t="s">
        <v>413</v>
      </c>
    </row>
    <row r="2381" spans="1:32" ht="14.25" customHeight="1" x14ac:dyDescent="0.35">
      <c r="A2381" s="16" t="s">
        <v>1644</v>
      </c>
      <c r="B2381" s="16" t="s">
        <v>420</v>
      </c>
      <c r="C2381" s="16" t="s">
        <v>414</v>
      </c>
      <c r="D2381" s="16" t="s">
        <v>419</v>
      </c>
      <c r="E2381" s="17">
        <v>41640</v>
      </c>
      <c r="F2381" s="17">
        <v>42004</v>
      </c>
      <c r="G2381" s="16" t="s">
        <v>415</v>
      </c>
      <c r="H2381" s="16">
        <v>29.44</v>
      </c>
      <c r="I2381" s="16">
        <v>29.44</v>
      </c>
      <c r="J2381" s="16">
        <v>29.44</v>
      </c>
      <c r="K2381" s="16">
        <v>29.44</v>
      </c>
      <c r="L2381" s="16">
        <v>29.44</v>
      </c>
      <c r="M2381" s="16">
        <v>29.44</v>
      </c>
      <c r="N2381" s="16">
        <v>26.67</v>
      </c>
      <c r="O2381" s="16">
        <v>23.89</v>
      </c>
      <c r="P2381" s="16">
        <v>23.89</v>
      </c>
      <c r="Q2381" s="16">
        <v>23.89</v>
      </c>
      <c r="R2381" s="16">
        <v>23.89</v>
      </c>
      <c r="S2381" s="16">
        <v>23.89</v>
      </c>
      <c r="T2381" s="16">
        <v>23.89</v>
      </c>
      <c r="U2381" s="16">
        <v>23.89</v>
      </c>
      <c r="V2381" s="16">
        <v>23.89</v>
      </c>
      <c r="W2381" s="16">
        <v>23.89</v>
      </c>
      <c r="X2381" s="16">
        <v>23.89</v>
      </c>
      <c r="Y2381" s="16">
        <v>23.89</v>
      </c>
      <c r="Z2381" s="16">
        <v>23.89</v>
      </c>
      <c r="AA2381" s="16">
        <v>23.89</v>
      </c>
      <c r="AB2381" s="16">
        <v>23.89</v>
      </c>
      <c r="AC2381" s="16">
        <v>29.44</v>
      </c>
      <c r="AD2381" s="16">
        <v>29.44</v>
      </c>
      <c r="AE2381" s="16">
        <v>29.44</v>
      </c>
      <c r="AF2381" s="16" t="s">
        <v>413</v>
      </c>
    </row>
    <row r="2382" spans="1:32" ht="14.25" customHeight="1" x14ac:dyDescent="0.35">
      <c r="A2382" s="16" t="s">
        <v>1644</v>
      </c>
      <c r="B2382" s="16" t="s">
        <v>420</v>
      </c>
      <c r="C2382" s="16" t="s">
        <v>414</v>
      </c>
      <c r="D2382" s="16" t="s">
        <v>429</v>
      </c>
      <c r="E2382" s="17">
        <v>41640</v>
      </c>
      <c r="F2382" s="17">
        <v>42004</v>
      </c>
      <c r="G2382" s="16" t="s">
        <v>415</v>
      </c>
      <c r="H2382" s="16">
        <v>29.44</v>
      </c>
      <c r="I2382" s="16">
        <v>29.44</v>
      </c>
      <c r="J2382" s="16">
        <v>29.44</v>
      </c>
      <c r="K2382" s="16">
        <v>29.44</v>
      </c>
      <c r="L2382" s="16">
        <v>29.44</v>
      </c>
      <c r="M2382" s="16">
        <v>23.89</v>
      </c>
      <c r="N2382" s="16">
        <v>23.89</v>
      </c>
      <c r="O2382" s="16">
        <v>23.89</v>
      </c>
      <c r="P2382" s="16">
        <v>23.89</v>
      </c>
      <c r="Q2382" s="16">
        <v>23.89</v>
      </c>
      <c r="R2382" s="16">
        <v>23.89</v>
      </c>
      <c r="S2382" s="16">
        <v>23.89</v>
      </c>
      <c r="T2382" s="16">
        <v>23.89</v>
      </c>
      <c r="U2382" s="16">
        <v>23.89</v>
      </c>
      <c r="V2382" s="16">
        <v>23.89</v>
      </c>
      <c r="W2382" s="16">
        <v>23.89</v>
      </c>
      <c r="X2382" s="16">
        <v>23.89</v>
      </c>
      <c r="Y2382" s="16">
        <v>23.89</v>
      </c>
      <c r="Z2382" s="16">
        <v>23.89</v>
      </c>
      <c r="AA2382" s="16">
        <v>23.89</v>
      </c>
      <c r="AB2382" s="16">
        <v>23.89</v>
      </c>
      <c r="AC2382" s="16">
        <v>29.44</v>
      </c>
      <c r="AD2382" s="16">
        <v>29.44</v>
      </c>
      <c r="AE2382" s="16">
        <v>29.44</v>
      </c>
      <c r="AF2382" s="16" t="s">
        <v>413</v>
      </c>
    </row>
    <row r="2383" spans="1:32" ht="14.25" customHeight="1" x14ac:dyDescent="0.35">
      <c r="A2383" s="14" t="s">
        <v>1644</v>
      </c>
      <c r="B2383" s="14" t="s">
        <v>420</v>
      </c>
      <c r="C2383" s="14" t="s">
        <v>414</v>
      </c>
      <c r="D2383" s="14" t="s">
        <v>418</v>
      </c>
      <c r="E2383" s="15">
        <v>41640</v>
      </c>
      <c r="F2383" s="15">
        <v>42004</v>
      </c>
      <c r="G2383" s="14" t="s">
        <v>410</v>
      </c>
      <c r="H2383" s="14">
        <v>29.44</v>
      </c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 t="s">
        <v>413</v>
      </c>
    </row>
    <row r="2384" spans="1:32" ht="14.25" customHeight="1" x14ac:dyDescent="0.35">
      <c r="A2384" s="14" t="s">
        <v>1645</v>
      </c>
      <c r="B2384" s="14" t="s">
        <v>420</v>
      </c>
      <c r="C2384" s="14" t="s">
        <v>414</v>
      </c>
      <c r="D2384" s="14" t="s">
        <v>417</v>
      </c>
      <c r="E2384" s="15">
        <v>41640</v>
      </c>
      <c r="F2384" s="15">
        <v>42004</v>
      </c>
      <c r="G2384" s="14" t="s">
        <v>415</v>
      </c>
      <c r="H2384" s="14">
        <v>29.44</v>
      </c>
      <c r="I2384" s="14">
        <v>29.44</v>
      </c>
      <c r="J2384" s="14">
        <v>29.44</v>
      </c>
      <c r="K2384" s="14">
        <v>29.44</v>
      </c>
      <c r="L2384" s="14">
        <v>29.44</v>
      </c>
      <c r="M2384" s="14">
        <v>29.44</v>
      </c>
      <c r="N2384" s="14">
        <v>29.44</v>
      </c>
      <c r="O2384" s="14">
        <v>27.8</v>
      </c>
      <c r="P2384" s="14">
        <v>25.6</v>
      </c>
      <c r="Q2384" s="14">
        <v>23.89</v>
      </c>
      <c r="R2384" s="14">
        <v>23.89</v>
      </c>
      <c r="S2384" s="14">
        <v>23.89</v>
      </c>
      <c r="T2384" s="14">
        <v>23.89</v>
      </c>
      <c r="U2384" s="14">
        <v>23.89</v>
      </c>
      <c r="V2384" s="14">
        <v>23.89</v>
      </c>
      <c r="W2384" s="14">
        <v>23.89</v>
      </c>
      <c r="X2384" s="14">
        <v>23.89</v>
      </c>
      <c r="Y2384" s="14">
        <v>23.89</v>
      </c>
      <c r="Z2384" s="14">
        <v>23.89</v>
      </c>
      <c r="AA2384" s="14">
        <v>29.44</v>
      </c>
      <c r="AB2384" s="14">
        <v>29.44</v>
      </c>
      <c r="AC2384" s="14">
        <v>29.44</v>
      </c>
      <c r="AD2384" s="14">
        <v>29.44</v>
      </c>
      <c r="AE2384" s="14">
        <v>29.44</v>
      </c>
      <c r="AF2384" s="14" t="s">
        <v>413</v>
      </c>
    </row>
    <row r="2385" spans="1:32" ht="14.25" customHeight="1" x14ac:dyDescent="0.35">
      <c r="A2385" s="16" t="s">
        <v>1645</v>
      </c>
      <c r="B2385" s="16" t="s">
        <v>420</v>
      </c>
      <c r="C2385" s="16" t="s">
        <v>414</v>
      </c>
      <c r="D2385" s="16" t="s">
        <v>512</v>
      </c>
      <c r="E2385" s="17">
        <v>41640</v>
      </c>
      <c r="F2385" s="17">
        <v>42004</v>
      </c>
      <c r="G2385" s="16" t="s">
        <v>415</v>
      </c>
      <c r="H2385" s="16">
        <v>29.44</v>
      </c>
      <c r="I2385" s="16">
        <v>29.44</v>
      </c>
      <c r="J2385" s="16">
        <v>29.44</v>
      </c>
      <c r="K2385" s="16">
        <v>29.44</v>
      </c>
      <c r="L2385" s="16">
        <v>29.44</v>
      </c>
      <c r="M2385" s="16">
        <v>27.8</v>
      </c>
      <c r="N2385" s="16">
        <v>25.6</v>
      </c>
      <c r="O2385" s="16">
        <v>23.89</v>
      </c>
      <c r="P2385" s="16">
        <v>23.89</v>
      </c>
      <c r="Q2385" s="16">
        <v>23.89</v>
      </c>
      <c r="R2385" s="16">
        <v>23.89</v>
      </c>
      <c r="S2385" s="16">
        <v>23.89</v>
      </c>
      <c r="T2385" s="16">
        <v>23.89</v>
      </c>
      <c r="U2385" s="16">
        <v>23.89</v>
      </c>
      <c r="V2385" s="16">
        <v>23.89</v>
      </c>
      <c r="W2385" s="16">
        <v>23.89</v>
      </c>
      <c r="X2385" s="16">
        <v>23.89</v>
      </c>
      <c r="Y2385" s="16">
        <v>23.89</v>
      </c>
      <c r="Z2385" s="16">
        <v>23.89</v>
      </c>
      <c r="AA2385" s="16">
        <v>23.89</v>
      </c>
      <c r="AB2385" s="16">
        <v>23.89</v>
      </c>
      <c r="AC2385" s="16">
        <v>23.89</v>
      </c>
      <c r="AD2385" s="16">
        <v>29.44</v>
      </c>
      <c r="AE2385" s="16">
        <v>29.44</v>
      </c>
      <c r="AF2385" s="16" t="s">
        <v>413</v>
      </c>
    </row>
    <row r="2386" spans="1:32" ht="14.25" customHeight="1" x14ac:dyDescent="0.35">
      <c r="A2386" s="14" t="s">
        <v>1645</v>
      </c>
      <c r="B2386" s="14" t="s">
        <v>420</v>
      </c>
      <c r="C2386" s="14" t="s">
        <v>414</v>
      </c>
      <c r="D2386" s="14" t="s">
        <v>419</v>
      </c>
      <c r="E2386" s="15">
        <v>41640</v>
      </c>
      <c r="F2386" s="15">
        <v>42004</v>
      </c>
      <c r="G2386" s="14" t="s">
        <v>415</v>
      </c>
      <c r="H2386" s="14">
        <v>29.44</v>
      </c>
      <c r="I2386" s="14">
        <v>29.44</v>
      </c>
      <c r="J2386" s="14">
        <v>29.44</v>
      </c>
      <c r="K2386" s="14">
        <v>29.44</v>
      </c>
      <c r="L2386" s="14">
        <v>29.44</v>
      </c>
      <c r="M2386" s="14">
        <v>29.44</v>
      </c>
      <c r="N2386" s="14">
        <v>26.67</v>
      </c>
      <c r="O2386" s="14">
        <v>23.89</v>
      </c>
      <c r="P2386" s="14">
        <v>23.89</v>
      </c>
      <c r="Q2386" s="14">
        <v>23.89</v>
      </c>
      <c r="R2386" s="14">
        <v>23.89</v>
      </c>
      <c r="S2386" s="14">
        <v>23.89</v>
      </c>
      <c r="T2386" s="14">
        <v>23.89</v>
      </c>
      <c r="U2386" s="14">
        <v>23.89</v>
      </c>
      <c r="V2386" s="14">
        <v>23.89</v>
      </c>
      <c r="W2386" s="14">
        <v>23.89</v>
      </c>
      <c r="X2386" s="14">
        <v>23.89</v>
      </c>
      <c r="Y2386" s="14">
        <v>23.89</v>
      </c>
      <c r="Z2386" s="14">
        <v>23.89</v>
      </c>
      <c r="AA2386" s="14">
        <v>23.89</v>
      </c>
      <c r="AB2386" s="14">
        <v>23.89</v>
      </c>
      <c r="AC2386" s="14">
        <v>29.44</v>
      </c>
      <c r="AD2386" s="14">
        <v>29.44</v>
      </c>
      <c r="AE2386" s="14">
        <v>29.44</v>
      </c>
      <c r="AF2386" s="14" t="s">
        <v>413</v>
      </c>
    </row>
    <row r="2387" spans="1:32" ht="14.25" customHeight="1" x14ac:dyDescent="0.35">
      <c r="A2387" s="14" t="s">
        <v>1645</v>
      </c>
      <c r="B2387" s="14" t="s">
        <v>420</v>
      </c>
      <c r="C2387" s="14" t="s">
        <v>414</v>
      </c>
      <c r="D2387" s="14" t="s">
        <v>429</v>
      </c>
      <c r="E2387" s="15">
        <v>41640</v>
      </c>
      <c r="F2387" s="15">
        <v>42004</v>
      </c>
      <c r="G2387" s="14" t="s">
        <v>415</v>
      </c>
      <c r="H2387" s="14">
        <v>29.44</v>
      </c>
      <c r="I2387" s="14">
        <v>29.44</v>
      </c>
      <c r="J2387" s="14">
        <v>29.44</v>
      </c>
      <c r="K2387" s="14">
        <v>29.44</v>
      </c>
      <c r="L2387" s="14">
        <v>29.44</v>
      </c>
      <c r="M2387" s="14">
        <v>27.8</v>
      </c>
      <c r="N2387" s="14">
        <v>25.6</v>
      </c>
      <c r="O2387" s="14">
        <v>23.89</v>
      </c>
      <c r="P2387" s="14">
        <v>23.89</v>
      </c>
      <c r="Q2387" s="14">
        <v>23.89</v>
      </c>
      <c r="R2387" s="14">
        <v>23.89</v>
      </c>
      <c r="S2387" s="14">
        <v>23.89</v>
      </c>
      <c r="T2387" s="14">
        <v>23.89</v>
      </c>
      <c r="U2387" s="14">
        <v>23.89</v>
      </c>
      <c r="V2387" s="14">
        <v>23.89</v>
      </c>
      <c r="W2387" s="14">
        <v>23.89</v>
      </c>
      <c r="X2387" s="14">
        <v>23.89</v>
      </c>
      <c r="Y2387" s="14">
        <v>23.89</v>
      </c>
      <c r="Z2387" s="14">
        <v>23.89</v>
      </c>
      <c r="AA2387" s="14">
        <v>23.89</v>
      </c>
      <c r="AB2387" s="14">
        <v>23.89</v>
      </c>
      <c r="AC2387" s="14">
        <v>29.44</v>
      </c>
      <c r="AD2387" s="14">
        <v>29.44</v>
      </c>
      <c r="AE2387" s="14">
        <v>29.44</v>
      </c>
      <c r="AF2387" s="14" t="s">
        <v>413</v>
      </c>
    </row>
    <row r="2388" spans="1:32" ht="14.25" customHeight="1" x14ac:dyDescent="0.35">
      <c r="A2388" s="16" t="s">
        <v>1645</v>
      </c>
      <c r="B2388" s="16" t="s">
        <v>420</v>
      </c>
      <c r="C2388" s="16" t="s">
        <v>414</v>
      </c>
      <c r="D2388" s="16" t="s">
        <v>418</v>
      </c>
      <c r="E2388" s="17">
        <v>41640</v>
      </c>
      <c r="F2388" s="17">
        <v>42004</v>
      </c>
      <c r="G2388" s="16" t="s">
        <v>410</v>
      </c>
      <c r="H2388" s="16">
        <v>29.44</v>
      </c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  <c r="AC2388" s="16"/>
      <c r="AD2388" s="16"/>
      <c r="AE2388" s="16"/>
      <c r="AF2388" s="16" t="s">
        <v>413</v>
      </c>
    </row>
    <row r="2389" spans="1:32" ht="14.25" customHeight="1" x14ac:dyDescent="0.35">
      <c r="A2389" s="16" t="s">
        <v>1646</v>
      </c>
      <c r="B2389" s="16" t="s">
        <v>420</v>
      </c>
      <c r="C2389" s="16" t="s">
        <v>414</v>
      </c>
      <c r="D2389" s="16" t="s">
        <v>417</v>
      </c>
      <c r="E2389" s="17">
        <v>41640</v>
      </c>
      <c r="F2389" s="17">
        <v>42004</v>
      </c>
      <c r="G2389" s="16" t="s">
        <v>415</v>
      </c>
      <c r="H2389" s="16">
        <v>29.44</v>
      </c>
      <c r="I2389" s="16">
        <v>29.44</v>
      </c>
      <c r="J2389" s="16">
        <v>29.44</v>
      </c>
      <c r="K2389" s="16">
        <v>29.44</v>
      </c>
      <c r="L2389" s="16">
        <v>29.44</v>
      </c>
      <c r="M2389" s="16">
        <v>29.44</v>
      </c>
      <c r="N2389" s="16">
        <v>29.44</v>
      </c>
      <c r="O2389" s="16">
        <v>27.8</v>
      </c>
      <c r="P2389" s="16">
        <v>25.6</v>
      </c>
      <c r="Q2389" s="16">
        <v>23.89</v>
      </c>
      <c r="R2389" s="16">
        <v>23.89</v>
      </c>
      <c r="S2389" s="16">
        <v>23.89</v>
      </c>
      <c r="T2389" s="16">
        <v>23.89</v>
      </c>
      <c r="U2389" s="16">
        <v>23.89</v>
      </c>
      <c r="V2389" s="16">
        <v>23.89</v>
      </c>
      <c r="W2389" s="16">
        <v>23.89</v>
      </c>
      <c r="X2389" s="16">
        <v>23.89</v>
      </c>
      <c r="Y2389" s="16">
        <v>23.89</v>
      </c>
      <c r="Z2389" s="16">
        <v>23.89</v>
      </c>
      <c r="AA2389" s="16">
        <v>29.44</v>
      </c>
      <c r="AB2389" s="16">
        <v>29.44</v>
      </c>
      <c r="AC2389" s="16">
        <v>29.44</v>
      </c>
      <c r="AD2389" s="16">
        <v>29.44</v>
      </c>
      <c r="AE2389" s="16">
        <v>29.44</v>
      </c>
      <c r="AF2389" s="16" t="s">
        <v>413</v>
      </c>
    </row>
    <row r="2390" spans="1:32" ht="14.25" customHeight="1" x14ac:dyDescent="0.35">
      <c r="A2390" s="14" t="s">
        <v>1646</v>
      </c>
      <c r="B2390" s="14" t="s">
        <v>420</v>
      </c>
      <c r="C2390" s="14" t="s">
        <v>414</v>
      </c>
      <c r="D2390" s="14" t="s">
        <v>512</v>
      </c>
      <c r="E2390" s="15">
        <v>41640</v>
      </c>
      <c r="F2390" s="15">
        <v>42004</v>
      </c>
      <c r="G2390" s="14" t="s">
        <v>415</v>
      </c>
      <c r="H2390" s="14">
        <v>29.44</v>
      </c>
      <c r="I2390" s="14">
        <v>29.44</v>
      </c>
      <c r="J2390" s="14">
        <v>29.44</v>
      </c>
      <c r="K2390" s="14">
        <v>29.44</v>
      </c>
      <c r="L2390" s="14">
        <v>29.44</v>
      </c>
      <c r="M2390" s="14">
        <v>27.8</v>
      </c>
      <c r="N2390" s="14">
        <v>25.6</v>
      </c>
      <c r="O2390" s="14">
        <v>23.89</v>
      </c>
      <c r="P2390" s="14">
        <v>23.89</v>
      </c>
      <c r="Q2390" s="14">
        <v>23.89</v>
      </c>
      <c r="R2390" s="14">
        <v>23.89</v>
      </c>
      <c r="S2390" s="14">
        <v>23.89</v>
      </c>
      <c r="T2390" s="14">
        <v>23.89</v>
      </c>
      <c r="U2390" s="14">
        <v>23.89</v>
      </c>
      <c r="V2390" s="14">
        <v>23.89</v>
      </c>
      <c r="W2390" s="14">
        <v>23.89</v>
      </c>
      <c r="X2390" s="14">
        <v>23.89</v>
      </c>
      <c r="Y2390" s="14">
        <v>23.89</v>
      </c>
      <c r="Z2390" s="14">
        <v>23.89</v>
      </c>
      <c r="AA2390" s="14">
        <v>23.89</v>
      </c>
      <c r="AB2390" s="14">
        <v>23.89</v>
      </c>
      <c r="AC2390" s="14">
        <v>23.89</v>
      </c>
      <c r="AD2390" s="14">
        <v>29.44</v>
      </c>
      <c r="AE2390" s="14">
        <v>29.44</v>
      </c>
      <c r="AF2390" s="14" t="s">
        <v>413</v>
      </c>
    </row>
    <row r="2391" spans="1:32" ht="14.25" customHeight="1" x14ac:dyDescent="0.35">
      <c r="A2391" s="16" t="s">
        <v>1646</v>
      </c>
      <c r="B2391" s="16" t="s">
        <v>420</v>
      </c>
      <c r="C2391" s="16" t="s">
        <v>414</v>
      </c>
      <c r="D2391" s="16" t="s">
        <v>419</v>
      </c>
      <c r="E2391" s="17">
        <v>41640</v>
      </c>
      <c r="F2391" s="17">
        <v>42004</v>
      </c>
      <c r="G2391" s="16" t="s">
        <v>415</v>
      </c>
      <c r="H2391" s="16">
        <v>29.44</v>
      </c>
      <c r="I2391" s="16">
        <v>29.44</v>
      </c>
      <c r="J2391" s="16">
        <v>29.44</v>
      </c>
      <c r="K2391" s="16">
        <v>29.44</v>
      </c>
      <c r="L2391" s="16">
        <v>29.44</v>
      </c>
      <c r="M2391" s="16">
        <v>29.44</v>
      </c>
      <c r="N2391" s="16">
        <v>26.67</v>
      </c>
      <c r="O2391" s="16">
        <v>23.89</v>
      </c>
      <c r="P2391" s="16">
        <v>23.89</v>
      </c>
      <c r="Q2391" s="16">
        <v>23.89</v>
      </c>
      <c r="R2391" s="16">
        <v>23.89</v>
      </c>
      <c r="S2391" s="16">
        <v>23.89</v>
      </c>
      <c r="T2391" s="16">
        <v>23.89</v>
      </c>
      <c r="U2391" s="16">
        <v>23.89</v>
      </c>
      <c r="V2391" s="16">
        <v>23.89</v>
      </c>
      <c r="W2391" s="16">
        <v>23.89</v>
      </c>
      <c r="X2391" s="16">
        <v>23.89</v>
      </c>
      <c r="Y2391" s="16">
        <v>23.89</v>
      </c>
      <c r="Z2391" s="16">
        <v>23.89</v>
      </c>
      <c r="AA2391" s="16">
        <v>23.89</v>
      </c>
      <c r="AB2391" s="16">
        <v>23.89</v>
      </c>
      <c r="AC2391" s="16">
        <v>29.44</v>
      </c>
      <c r="AD2391" s="16">
        <v>29.44</v>
      </c>
      <c r="AE2391" s="16">
        <v>29.44</v>
      </c>
      <c r="AF2391" s="16" t="s">
        <v>413</v>
      </c>
    </row>
    <row r="2392" spans="1:32" ht="14.25" customHeight="1" x14ac:dyDescent="0.35">
      <c r="A2392" s="16" t="s">
        <v>1646</v>
      </c>
      <c r="B2392" s="16" t="s">
        <v>420</v>
      </c>
      <c r="C2392" s="16" t="s">
        <v>414</v>
      </c>
      <c r="D2392" s="16" t="s">
        <v>429</v>
      </c>
      <c r="E2392" s="17">
        <v>41640</v>
      </c>
      <c r="F2392" s="17">
        <v>42004</v>
      </c>
      <c r="G2392" s="16" t="s">
        <v>415</v>
      </c>
      <c r="H2392" s="16">
        <v>29.44</v>
      </c>
      <c r="I2392" s="16">
        <v>29.44</v>
      </c>
      <c r="J2392" s="16">
        <v>29.44</v>
      </c>
      <c r="K2392" s="16">
        <v>29.44</v>
      </c>
      <c r="L2392" s="16">
        <v>29.44</v>
      </c>
      <c r="M2392" s="16">
        <v>27.8</v>
      </c>
      <c r="N2392" s="16">
        <v>25.6</v>
      </c>
      <c r="O2392" s="16">
        <v>23.89</v>
      </c>
      <c r="P2392" s="16">
        <v>23.89</v>
      </c>
      <c r="Q2392" s="16">
        <v>23.89</v>
      </c>
      <c r="R2392" s="16">
        <v>23.89</v>
      </c>
      <c r="S2392" s="16">
        <v>23.89</v>
      </c>
      <c r="T2392" s="16">
        <v>23.89</v>
      </c>
      <c r="U2392" s="16">
        <v>23.89</v>
      </c>
      <c r="V2392" s="16">
        <v>23.89</v>
      </c>
      <c r="W2392" s="16">
        <v>23.89</v>
      </c>
      <c r="X2392" s="16">
        <v>23.89</v>
      </c>
      <c r="Y2392" s="16">
        <v>23.89</v>
      </c>
      <c r="Z2392" s="16">
        <v>23.89</v>
      </c>
      <c r="AA2392" s="16">
        <v>23.89</v>
      </c>
      <c r="AB2392" s="16">
        <v>23.89</v>
      </c>
      <c r="AC2392" s="16">
        <v>29.44</v>
      </c>
      <c r="AD2392" s="16">
        <v>29.44</v>
      </c>
      <c r="AE2392" s="16">
        <v>29.44</v>
      </c>
      <c r="AF2392" s="16" t="s">
        <v>413</v>
      </c>
    </row>
    <row r="2393" spans="1:32" ht="14.25" customHeight="1" x14ac:dyDescent="0.35">
      <c r="A2393" s="14" t="s">
        <v>1646</v>
      </c>
      <c r="B2393" s="14" t="s">
        <v>420</v>
      </c>
      <c r="C2393" s="14" t="s">
        <v>414</v>
      </c>
      <c r="D2393" s="14" t="s">
        <v>418</v>
      </c>
      <c r="E2393" s="15">
        <v>41640</v>
      </c>
      <c r="F2393" s="15">
        <v>42004</v>
      </c>
      <c r="G2393" s="14" t="s">
        <v>410</v>
      </c>
      <c r="H2393" s="14">
        <v>29.44</v>
      </c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 t="s">
        <v>413</v>
      </c>
    </row>
    <row r="2394" spans="1:32" ht="14.25" customHeight="1" x14ac:dyDescent="0.35">
      <c r="A2394" s="14" t="s">
        <v>1647</v>
      </c>
      <c r="B2394" s="14" t="s">
        <v>518</v>
      </c>
      <c r="C2394" s="14" t="s">
        <v>412</v>
      </c>
      <c r="D2394" s="14" t="s">
        <v>453</v>
      </c>
      <c r="E2394" s="15">
        <v>41640</v>
      </c>
      <c r="F2394" s="15">
        <v>42004</v>
      </c>
      <c r="G2394" s="14" t="s">
        <v>410</v>
      </c>
      <c r="H2394" s="14">
        <v>0.5</v>
      </c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 t="s">
        <v>413</v>
      </c>
    </row>
    <row r="2395" spans="1:32" ht="14.25" customHeight="1" x14ac:dyDescent="0.35">
      <c r="A2395" s="14" t="s">
        <v>1647</v>
      </c>
      <c r="B2395" s="14" t="s">
        <v>518</v>
      </c>
      <c r="C2395" s="14" t="s">
        <v>412</v>
      </c>
      <c r="D2395" s="14" t="s">
        <v>454</v>
      </c>
      <c r="E2395" s="15">
        <v>41913</v>
      </c>
      <c r="F2395" s="15">
        <v>42004</v>
      </c>
      <c r="G2395" s="14" t="s">
        <v>410</v>
      </c>
      <c r="H2395" s="14">
        <v>1</v>
      </c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 t="s">
        <v>413</v>
      </c>
    </row>
    <row r="2396" spans="1:32" ht="14.25" customHeight="1" x14ac:dyDescent="0.35">
      <c r="A2396" s="16" t="s">
        <v>1647</v>
      </c>
      <c r="B2396" s="16" t="s">
        <v>518</v>
      </c>
      <c r="C2396" s="16" t="s">
        <v>412</v>
      </c>
      <c r="D2396" s="16" t="s">
        <v>454</v>
      </c>
      <c r="E2396" s="17">
        <v>41640</v>
      </c>
      <c r="F2396" s="17">
        <v>41759</v>
      </c>
      <c r="G2396" s="16" t="s">
        <v>410</v>
      </c>
      <c r="H2396" s="16">
        <v>1</v>
      </c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/>
      <c r="AC2396" s="16"/>
      <c r="AD2396" s="16"/>
      <c r="AE2396" s="16"/>
      <c r="AF2396" s="16" t="s">
        <v>413</v>
      </c>
    </row>
    <row r="2397" spans="1:32" ht="14.25" customHeight="1" x14ac:dyDescent="0.35">
      <c r="A2397" s="16" t="s">
        <v>1647</v>
      </c>
      <c r="B2397" s="16" t="s">
        <v>518</v>
      </c>
      <c r="C2397" s="16" t="s">
        <v>412</v>
      </c>
      <c r="D2397" s="16" t="s">
        <v>418</v>
      </c>
      <c r="E2397" s="17">
        <v>41640</v>
      </c>
      <c r="F2397" s="17">
        <v>42004</v>
      </c>
      <c r="G2397" s="16" t="s">
        <v>410</v>
      </c>
      <c r="H2397" s="16">
        <v>1</v>
      </c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 t="s">
        <v>413</v>
      </c>
    </row>
    <row r="2398" spans="1:32" ht="14.25" customHeight="1" x14ac:dyDescent="0.35">
      <c r="A2398" s="14" t="s">
        <v>1648</v>
      </c>
      <c r="B2398" s="14" t="s">
        <v>408</v>
      </c>
      <c r="C2398" s="14"/>
      <c r="D2398" s="14" t="s">
        <v>409</v>
      </c>
      <c r="E2398" s="15">
        <v>41640</v>
      </c>
      <c r="F2398" s="15">
        <v>42004</v>
      </c>
      <c r="G2398" s="14" t="s">
        <v>410</v>
      </c>
      <c r="H2398" s="14">
        <v>1</v>
      </c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 t="s">
        <v>413</v>
      </c>
    </row>
    <row r="2399" spans="1:32" ht="14.25" customHeight="1" x14ac:dyDescent="0.35">
      <c r="A2399" s="16" t="s">
        <v>1649</v>
      </c>
      <c r="B2399" s="16" t="s">
        <v>408</v>
      </c>
      <c r="C2399" s="16" t="s">
        <v>414</v>
      </c>
      <c r="D2399" s="16" t="s">
        <v>409</v>
      </c>
      <c r="E2399" s="17">
        <v>41640</v>
      </c>
      <c r="F2399" s="17">
        <v>42004</v>
      </c>
      <c r="G2399" s="16" t="s">
        <v>410</v>
      </c>
      <c r="H2399" s="16">
        <v>6.7</v>
      </c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  <c r="AA2399" s="16"/>
      <c r="AB2399" s="16"/>
      <c r="AC2399" s="16"/>
      <c r="AD2399" s="16"/>
      <c r="AE2399" s="16"/>
      <c r="AF2399" s="16" t="s">
        <v>413</v>
      </c>
    </row>
    <row r="2400" spans="1:32" ht="14.25" customHeight="1" x14ac:dyDescent="0.35">
      <c r="A2400" s="14" t="s">
        <v>1650</v>
      </c>
      <c r="B2400" s="14" t="s">
        <v>408</v>
      </c>
      <c r="C2400" s="14"/>
      <c r="D2400" s="14" t="s">
        <v>409</v>
      </c>
      <c r="E2400" s="15">
        <v>41640</v>
      </c>
      <c r="F2400" s="15">
        <v>42004</v>
      </c>
      <c r="G2400" s="14" t="s">
        <v>410</v>
      </c>
      <c r="H2400" s="14">
        <v>4</v>
      </c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 t="s">
        <v>413</v>
      </c>
    </row>
    <row r="2401" spans="1:32" ht="14.25" customHeight="1" x14ac:dyDescent="0.35">
      <c r="A2401" s="16" t="s">
        <v>1651</v>
      </c>
      <c r="B2401" s="16" t="s">
        <v>408</v>
      </c>
      <c r="C2401" s="16"/>
      <c r="D2401" s="16" t="s">
        <v>409</v>
      </c>
      <c r="E2401" s="17">
        <v>41640</v>
      </c>
      <c r="F2401" s="17">
        <v>42004</v>
      </c>
      <c r="G2401" s="16" t="s">
        <v>415</v>
      </c>
      <c r="H2401" s="16">
        <v>0.5</v>
      </c>
      <c r="I2401" s="16">
        <v>0.5</v>
      </c>
      <c r="J2401" s="16">
        <v>0.5</v>
      </c>
      <c r="K2401" s="16">
        <v>0.5</v>
      </c>
      <c r="L2401" s="16">
        <v>0.5</v>
      </c>
      <c r="M2401" s="16">
        <v>0.5</v>
      </c>
      <c r="N2401" s="16">
        <v>0.5</v>
      </c>
      <c r="O2401" s="16">
        <v>0.5</v>
      </c>
      <c r="P2401" s="16">
        <v>0.5</v>
      </c>
      <c r="Q2401" s="16">
        <v>1</v>
      </c>
      <c r="R2401" s="16">
        <v>1</v>
      </c>
      <c r="S2401" s="16">
        <v>1</v>
      </c>
      <c r="T2401" s="16">
        <v>1</v>
      </c>
      <c r="U2401" s="16">
        <v>1</v>
      </c>
      <c r="V2401" s="16">
        <v>1</v>
      </c>
      <c r="W2401" s="16">
        <v>1</v>
      </c>
      <c r="X2401" s="16">
        <v>1</v>
      </c>
      <c r="Y2401" s="16">
        <v>1</v>
      </c>
      <c r="Z2401" s="16">
        <v>1</v>
      </c>
      <c r="AA2401" s="16">
        <v>0.5</v>
      </c>
      <c r="AB2401" s="16">
        <v>0.5</v>
      </c>
      <c r="AC2401" s="16">
        <v>0.5</v>
      </c>
      <c r="AD2401" s="16">
        <v>0.5</v>
      </c>
      <c r="AE2401" s="16">
        <v>0.5</v>
      </c>
      <c r="AF2401" s="16" t="s">
        <v>413</v>
      </c>
    </row>
    <row r="2402" spans="1:32" ht="14.25" customHeight="1" x14ac:dyDescent="0.35">
      <c r="A2402" s="14" t="s">
        <v>1652</v>
      </c>
      <c r="B2402" s="14" t="s">
        <v>408</v>
      </c>
      <c r="C2402" s="14"/>
      <c r="D2402" s="14" t="s">
        <v>409</v>
      </c>
      <c r="E2402" s="15">
        <v>41640</v>
      </c>
      <c r="F2402" s="15">
        <v>42004</v>
      </c>
      <c r="G2402" s="14" t="s">
        <v>410</v>
      </c>
      <c r="H2402" s="14">
        <v>1</v>
      </c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 t="s">
        <v>413</v>
      </c>
    </row>
    <row r="2403" spans="1:32" ht="14.25" customHeight="1" x14ac:dyDescent="0.35">
      <c r="A2403" s="16" t="s">
        <v>1653</v>
      </c>
      <c r="B2403" s="16" t="s">
        <v>424</v>
      </c>
      <c r="C2403" s="16"/>
      <c r="D2403" s="16" t="s">
        <v>409</v>
      </c>
      <c r="E2403" s="17">
        <v>41640</v>
      </c>
      <c r="F2403" s="17">
        <v>42004</v>
      </c>
      <c r="G2403" s="16" t="s">
        <v>415</v>
      </c>
      <c r="H2403" s="16">
        <v>0</v>
      </c>
      <c r="I2403" s="16">
        <v>0</v>
      </c>
      <c r="J2403" s="16">
        <v>0</v>
      </c>
      <c r="K2403" s="16">
        <v>0</v>
      </c>
      <c r="L2403" s="16">
        <v>0</v>
      </c>
      <c r="M2403" s="16">
        <v>0</v>
      </c>
      <c r="N2403" s="16">
        <v>1</v>
      </c>
      <c r="O2403" s="16">
        <v>1</v>
      </c>
      <c r="P2403" s="16">
        <v>1</v>
      </c>
      <c r="Q2403" s="16">
        <v>1</v>
      </c>
      <c r="R2403" s="16">
        <v>1</v>
      </c>
      <c r="S2403" s="16">
        <v>1</v>
      </c>
      <c r="T2403" s="16">
        <v>1</v>
      </c>
      <c r="U2403" s="16">
        <v>1</v>
      </c>
      <c r="V2403" s="16">
        <v>1</v>
      </c>
      <c r="W2403" s="16">
        <v>1</v>
      </c>
      <c r="X2403" s="16">
        <v>1</v>
      </c>
      <c r="Y2403" s="16">
        <v>1</v>
      </c>
      <c r="Z2403" s="16">
        <v>1</v>
      </c>
      <c r="AA2403" s="16">
        <v>1</v>
      </c>
      <c r="AB2403" s="16">
        <v>1</v>
      </c>
      <c r="AC2403" s="16">
        <v>1</v>
      </c>
      <c r="AD2403" s="16">
        <v>1</v>
      </c>
      <c r="AE2403" s="16">
        <v>1</v>
      </c>
      <c r="AF2403" s="16" t="s">
        <v>413</v>
      </c>
    </row>
    <row r="2404" spans="1:32" ht="14.25" customHeight="1" x14ac:dyDescent="0.35">
      <c r="A2404" s="14" t="s">
        <v>1654</v>
      </c>
      <c r="B2404" s="14" t="s">
        <v>424</v>
      </c>
      <c r="C2404" s="14"/>
      <c r="D2404" s="14" t="s">
        <v>409</v>
      </c>
      <c r="E2404" s="15">
        <v>41640</v>
      </c>
      <c r="F2404" s="15">
        <v>42004</v>
      </c>
      <c r="G2404" s="14" t="s">
        <v>415</v>
      </c>
      <c r="H2404" s="14">
        <v>0.7</v>
      </c>
      <c r="I2404" s="14">
        <v>0.7</v>
      </c>
      <c r="J2404" s="14">
        <v>0.7</v>
      </c>
      <c r="K2404" s="14">
        <v>0.7</v>
      </c>
      <c r="L2404" s="14">
        <v>0.7</v>
      </c>
      <c r="M2404" s="14">
        <v>0.7</v>
      </c>
      <c r="N2404" s="14">
        <v>1</v>
      </c>
      <c r="O2404" s="14">
        <v>1</v>
      </c>
      <c r="P2404" s="14">
        <v>1</v>
      </c>
      <c r="Q2404" s="14">
        <v>1</v>
      </c>
      <c r="R2404" s="14">
        <v>1</v>
      </c>
      <c r="S2404" s="14">
        <v>1</v>
      </c>
      <c r="T2404" s="14">
        <v>1</v>
      </c>
      <c r="U2404" s="14">
        <v>1</v>
      </c>
      <c r="V2404" s="14">
        <v>1</v>
      </c>
      <c r="W2404" s="14">
        <v>1</v>
      </c>
      <c r="X2404" s="14">
        <v>1</v>
      </c>
      <c r="Y2404" s="14">
        <v>1</v>
      </c>
      <c r="Z2404" s="14">
        <v>1</v>
      </c>
      <c r="AA2404" s="14">
        <v>1</v>
      </c>
      <c r="AB2404" s="14">
        <v>1</v>
      </c>
      <c r="AC2404" s="14">
        <v>1</v>
      </c>
      <c r="AD2404" s="14">
        <v>1</v>
      </c>
      <c r="AE2404" s="14">
        <v>1</v>
      </c>
      <c r="AF2404" s="14" t="s">
        <v>413</v>
      </c>
    </row>
    <row r="2405" spans="1:32" ht="14.25" customHeight="1" x14ac:dyDescent="0.35">
      <c r="A2405" s="16" t="s">
        <v>1655</v>
      </c>
      <c r="B2405" s="16" t="s">
        <v>408</v>
      </c>
      <c r="C2405" s="16"/>
      <c r="D2405" s="16" t="s">
        <v>409</v>
      </c>
      <c r="E2405" s="17">
        <v>41640</v>
      </c>
      <c r="F2405" s="17">
        <v>42004</v>
      </c>
      <c r="G2405" s="16" t="s">
        <v>410</v>
      </c>
      <c r="H2405" s="16">
        <v>1</v>
      </c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 t="s">
        <v>413</v>
      </c>
    </row>
    <row r="2406" spans="1:32" ht="14.25" customHeight="1" x14ac:dyDescent="0.35">
      <c r="A2406" s="14" t="s">
        <v>1656</v>
      </c>
      <c r="B2406" s="14" t="s">
        <v>408</v>
      </c>
      <c r="C2406" s="14" t="s">
        <v>414</v>
      </c>
      <c r="D2406" s="14" t="s">
        <v>409</v>
      </c>
      <c r="E2406" s="15">
        <v>41640</v>
      </c>
      <c r="F2406" s="15">
        <v>42004</v>
      </c>
      <c r="G2406" s="14" t="s">
        <v>410</v>
      </c>
      <c r="H2406" s="14">
        <v>100</v>
      </c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 t="s">
        <v>413</v>
      </c>
    </row>
    <row r="2407" spans="1:32" ht="14.25" customHeight="1" x14ac:dyDescent="0.35">
      <c r="A2407" s="14" t="s">
        <v>1657</v>
      </c>
      <c r="B2407" s="14" t="s">
        <v>408</v>
      </c>
      <c r="C2407" s="14"/>
      <c r="D2407" s="14" t="s">
        <v>409</v>
      </c>
      <c r="E2407" s="15">
        <v>41640</v>
      </c>
      <c r="F2407" s="15">
        <v>42004</v>
      </c>
      <c r="G2407" s="14" t="s">
        <v>410</v>
      </c>
      <c r="H2407" s="14">
        <v>1</v>
      </c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 t="s">
        <v>413</v>
      </c>
    </row>
    <row r="2408" spans="1:32" ht="14.25" customHeight="1" x14ac:dyDescent="0.35">
      <c r="A2408" s="16" t="s">
        <v>1658</v>
      </c>
      <c r="B2408" s="16" t="s">
        <v>408</v>
      </c>
      <c r="C2408" s="16"/>
      <c r="D2408" s="16" t="s">
        <v>409</v>
      </c>
      <c r="E2408" s="17">
        <v>41640</v>
      </c>
      <c r="F2408" s="17">
        <v>42004</v>
      </c>
      <c r="G2408" s="16" t="s">
        <v>410</v>
      </c>
      <c r="H2408" s="16">
        <v>1</v>
      </c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6"/>
      <c r="AA2408" s="16"/>
      <c r="AB2408" s="16"/>
      <c r="AC2408" s="16"/>
      <c r="AD2408" s="16"/>
      <c r="AE2408" s="16"/>
      <c r="AF2408" s="16" t="s">
        <v>413</v>
      </c>
    </row>
    <row r="2409" spans="1:32" ht="14.25" customHeight="1" x14ac:dyDescent="0.35">
      <c r="A2409" s="16" t="s">
        <v>1659</v>
      </c>
      <c r="B2409" s="16" t="s">
        <v>408</v>
      </c>
      <c r="C2409" s="16" t="s">
        <v>414</v>
      </c>
      <c r="D2409" s="16" t="s">
        <v>409</v>
      </c>
      <c r="E2409" s="17">
        <v>41640</v>
      </c>
      <c r="F2409" s="17">
        <v>42004</v>
      </c>
      <c r="G2409" s="16" t="s">
        <v>410</v>
      </c>
      <c r="H2409" s="16">
        <v>16</v>
      </c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16"/>
      <c r="AA2409" s="16"/>
      <c r="AB2409" s="16"/>
      <c r="AC2409" s="16"/>
      <c r="AD2409" s="16"/>
      <c r="AE2409" s="16"/>
      <c r="AF2409" s="16" t="s">
        <v>413</v>
      </c>
    </row>
    <row r="2410" spans="1:32" ht="14.25" customHeight="1" x14ac:dyDescent="0.35">
      <c r="A2410" s="14" t="s">
        <v>1660</v>
      </c>
      <c r="B2410" s="14" t="s">
        <v>408</v>
      </c>
      <c r="C2410" s="14" t="s">
        <v>412</v>
      </c>
      <c r="D2410" s="14" t="s">
        <v>409</v>
      </c>
      <c r="E2410" s="15">
        <v>41640</v>
      </c>
      <c r="F2410" s="15">
        <v>42004</v>
      </c>
      <c r="G2410" s="14" t="s">
        <v>410</v>
      </c>
      <c r="H2410" s="14">
        <v>60</v>
      </c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 t="s">
        <v>413</v>
      </c>
    </row>
    <row r="2411" spans="1:32" ht="14.25" customHeight="1" x14ac:dyDescent="0.35">
      <c r="A2411" s="16" t="s">
        <v>1661</v>
      </c>
      <c r="B2411" s="16" t="s">
        <v>600</v>
      </c>
      <c r="C2411" s="16"/>
      <c r="D2411" s="16" t="s">
        <v>417</v>
      </c>
      <c r="E2411" s="17">
        <v>41640</v>
      </c>
      <c r="F2411" s="17">
        <v>42004</v>
      </c>
      <c r="G2411" s="16" t="s">
        <v>415</v>
      </c>
      <c r="H2411" s="16">
        <v>0</v>
      </c>
      <c r="I2411" s="16">
        <v>0</v>
      </c>
      <c r="J2411" s="16">
        <v>0</v>
      </c>
      <c r="K2411" s="16">
        <v>0</v>
      </c>
      <c r="L2411" s="16">
        <v>0</v>
      </c>
      <c r="M2411" s="16">
        <v>0</v>
      </c>
      <c r="N2411" s="16">
        <v>0</v>
      </c>
      <c r="O2411" s="16">
        <v>0</v>
      </c>
      <c r="P2411" s="16">
        <v>1</v>
      </c>
      <c r="Q2411" s="16">
        <v>1</v>
      </c>
      <c r="R2411" s="16">
        <v>1</v>
      </c>
      <c r="S2411" s="16">
        <v>1</v>
      </c>
      <c r="T2411" s="16">
        <v>1</v>
      </c>
      <c r="U2411" s="16">
        <v>1</v>
      </c>
      <c r="V2411" s="16">
        <v>1</v>
      </c>
      <c r="W2411" s="16">
        <v>1</v>
      </c>
      <c r="X2411" s="16">
        <v>1</v>
      </c>
      <c r="Y2411" s="16">
        <v>1</v>
      </c>
      <c r="Z2411" s="16">
        <v>1</v>
      </c>
      <c r="AA2411" s="16">
        <v>0</v>
      </c>
      <c r="AB2411" s="16">
        <v>0</v>
      </c>
      <c r="AC2411" s="16">
        <v>0</v>
      </c>
      <c r="AD2411" s="16">
        <v>0</v>
      </c>
      <c r="AE2411" s="16">
        <v>0</v>
      </c>
      <c r="AF2411" s="16" t="s">
        <v>413</v>
      </c>
    </row>
    <row r="2412" spans="1:32" ht="14.25" customHeight="1" x14ac:dyDescent="0.35">
      <c r="A2412" s="16" t="s">
        <v>1661</v>
      </c>
      <c r="B2412" s="16" t="s">
        <v>600</v>
      </c>
      <c r="C2412" s="16"/>
      <c r="D2412" s="16" t="s">
        <v>556</v>
      </c>
      <c r="E2412" s="17">
        <v>41640</v>
      </c>
      <c r="F2412" s="17">
        <v>42004</v>
      </c>
      <c r="G2412" s="16" t="s">
        <v>415</v>
      </c>
      <c r="H2412" s="16">
        <v>0</v>
      </c>
      <c r="I2412" s="16">
        <v>0</v>
      </c>
      <c r="J2412" s="16">
        <v>0</v>
      </c>
      <c r="K2412" s="16">
        <v>0</v>
      </c>
      <c r="L2412" s="16">
        <v>0</v>
      </c>
      <c r="M2412" s="16">
        <v>0</v>
      </c>
      <c r="N2412" s="16">
        <v>1</v>
      </c>
      <c r="O2412" s="16">
        <v>1</v>
      </c>
      <c r="P2412" s="16">
        <v>1</v>
      </c>
      <c r="Q2412" s="16">
        <v>1</v>
      </c>
      <c r="R2412" s="16">
        <v>1</v>
      </c>
      <c r="S2412" s="16">
        <v>1</v>
      </c>
      <c r="T2412" s="16">
        <v>1</v>
      </c>
      <c r="U2412" s="16">
        <v>1</v>
      </c>
      <c r="V2412" s="16">
        <v>1</v>
      </c>
      <c r="W2412" s="16">
        <v>1</v>
      </c>
      <c r="X2412" s="16">
        <v>1</v>
      </c>
      <c r="Y2412" s="16">
        <v>1</v>
      </c>
      <c r="Z2412" s="16">
        <v>1</v>
      </c>
      <c r="AA2412" s="16">
        <v>1</v>
      </c>
      <c r="AB2412" s="16">
        <v>1</v>
      </c>
      <c r="AC2412" s="16">
        <v>0</v>
      </c>
      <c r="AD2412" s="16">
        <v>0</v>
      </c>
      <c r="AE2412" s="16">
        <v>0</v>
      </c>
      <c r="AF2412" s="16" t="s">
        <v>413</v>
      </c>
    </row>
    <row r="2413" spans="1:32" ht="14.25" customHeight="1" x14ac:dyDescent="0.35">
      <c r="A2413" s="14" t="s">
        <v>1661</v>
      </c>
      <c r="B2413" s="14" t="s">
        <v>600</v>
      </c>
      <c r="C2413" s="14"/>
      <c r="D2413" s="14" t="s">
        <v>514</v>
      </c>
      <c r="E2413" s="15">
        <v>41640</v>
      </c>
      <c r="F2413" s="15">
        <v>42004</v>
      </c>
      <c r="G2413" s="14" t="s">
        <v>415</v>
      </c>
      <c r="H2413" s="14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1</v>
      </c>
      <c r="O2413" s="14">
        <v>1</v>
      </c>
      <c r="P2413" s="14">
        <v>1</v>
      </c>
      <c r="Q2413" s="14">
        <v>1</v>
      </c>
      <c r="R2413" s="14">
        <v>1</v>
      </c>
      <c r="S2413" s="14">
        <v>1</v>
      </c>
      <c r="T2413" s="14">
        <v>1</v>
      </c>
      <c r="U2413" s="14">
        <v>1</v>
      </c>
      <c r="V2413" s="14">
        <v>1</v>
      </c>
      <c r="W2413" s="14">
        <v>1</v>
      </c>
      <c r="X2413" s="14">
        <v>1</v>
      </c>
      <c r="Y2413" s="14">
        <v>1</v>
      </c>
      <c r="Z2413" s="14">
        <v>1</v>
      </c>
      <c r="AA2413" s="14">
        <v>1</v>
      </c>
      <c r="AB2413" s="14">
        <v>1</v>
      </c>
      <c r="AC2413" s="14">
        <v>1</v>
      </c>
      <c r="AD2413" s="14">
        <v>0</v>
      </c>
      <c r="AE2413" s="14">
        <v>0</v>
      </c>
      <c r="AF2413" s="14" t="s">
        <v>413</v>
      </c>
    </row>
    <row r="2414" spans="1:32" ht="14.25" customHeight="1" x14ac:dyDescent="0.35">
      <c r="A2414" s="14" t="s">
        <v>1662</v>
      </c>
      <c r="B2414" s="14" t="s">
        <v>420</v>
      </c>
      <c r="C2414" s="14" t="s">
        <v>414</v>
      </c>
      <c r="D2414" s="14" t="s">
        <v>417</v>
      </c>
      <c r="E2414" s="15">
        <v>41640</v>
      </c>
      <c r="F2414" s="15">
        <v>42004</v>
      </c>
      <c r="G2414" s="14" t="s">
        <v>415</v>
      </c>
      <c r="H2414" s="14">
        <v>15.56</v>
      </c>
      <c r="I2414" s="14">
        <v>15.56</v>
      </c>
      <c r="J2414" s="14">
        <v>15.56</v>
      </c>
      <c r="K2414" s="14">
        <v>15.56</v>
      </c>
      <c r="L2414" s="14">
        <v>15.56</v>
      </c>
      <c r="M2414" s="14">
        <v>15.56</v>
      </c>
      <c r="N2414" s="14">
        <v>15.56</v>
      </c>
      <c r="O2414" s="14">
        <v>15.56</v>
      </c>
      <c r="P2414" s="14">
        <v>16</v>
      </c>
      <c r="Q2414" s="14">
        <v>16</v>
      </c>
      <c r="R2414" s="14">
        <v>16</v>
      </c>
      <c r="S2414" s="14">
        <v>16</v>
      </c>
      <c r="T2414" s="14">
        <v>16</v>
      </c>
      <c r="U2414" s="14">
        <v>16</v>
      </c>
      <c r="V2414" s="14">
        <v>16</v>
      </c>
      <c r="W2414" s="14">
        <v>16</v>
      </c>
      <c r="X2414" s="14">
        <v>16</v>
      </c>
      <c r="Y2414" s="14">
        <v>16</v>
      </c>
      <c r="Z2414" s="14">
        <v>16</v>
      </c>
      <c r="AA2414" s="14">
        <v>15.56</v>
      </c>
      <c r="AB2414" s="14">
        <v>15.56</v>
      </c>
      <c r="AC2414" s="14">
        <v>15.56</v>
      </c>
      <c r="AD2414" s="14">
        <v>15.56</v>
      </c>
      <c r="AE2414" s="14">
        <v>15.56</v>
      </c>
      <c r="AF2414" s="14" t="s">
        <v>413</v>
      </c>
    </row>
    <row r="2415" spans="1:32" ht="14.25" customHeight="1" x14ac:dyDescent="0.35">
      <c r="A2415" s="16" t="s">
        <v>1662</v>
      </c>
      <c r="B2415" s="16" t="s">
        <v>420</v>
      </c>
      <c r="C2415" s="16" t="s">
        <v>414</v>
      </c>
      <c r="D2415" s="16" t="s">
        <v>512</v>
      </c>
      <c r="E2415" s="17">
        <v>41640</v>
      </c>
      <c r="F2415" s="17">
        <v>42004</v>
      </c>
      <c r="G2415" s="16" t="s">
        <v>415</v>
      </c>
      <c r="H2415" s="16">
        <v>15.56</v>
      </c>
      <c r="I2415" s="16">
        <v>15.56</v>
      </c>
      <c r="J2415" s="16">
        <v>15.56</v>
      </c>
      <c r="K2415" s="16">
        <v>15.56</v>
      </c>
      <c r="L2415" s="16">
        <v>15.56</v>
      </c>
      <c r="M2415" s="16">
        <v>15.56</v>
      </c>
      <c r="N2415" s="16">
        <v>16</v>
      </c>
      <c r="O2415" s="16">
        <v>16</v>
      </c>
      <c r="P2415" s="16">
        <v>16</v>
      </c>
      <c r="Q2415" s="16">
        <v>16</v>
      </c>
      <c r="R2415" s="16">
        <v>16</v>
      </c>
      <c r="S2415" s="16">
        <v>16</v>
      </c>
      <c r="T2415" s="16">
        <v>16</v>
      </c>
      <c r="U2415" s="16">
        <v>16</v>
      </c>
      <c r="V2415" s="16">
        <v>16</v>
      </c>
      <c r="W2415" s="16">
        <v>16</v>
      </c>
      <c r="X2415" s="16">
        <v>16</v>
      </c>
      <c r="Y2415" s="16">
        <v>16</v>
      </c>
      <c r="Z2415" s="16">
        <v>16</v>
      </c>
      <c r="AA2415" s="16">
        <v>16</v>
      </c>
      <c r="AB2415" s="16">
        <v>16</v>
      </c>
      <c r="AC2415" s="16">
        <v>16</v>
      </c>
      <c r="AD2415" s="16">
        <v>15.56</v>
      </c>
      <c r="AE2415" s="16">
        <v>15.56</v>
      </c>
      <c r="AF2415" s="16" t="s">
        <v>413</v>
      </c>
    </row>
    <row r="2416" spans="1:32" ht="14.25" customHeight="1" x14ac:dyDescent="0.35">
      <c r="A2416" s="14" t="s">
        <v>1662</v>
      </c>
      <c r="B2416" s="14" t="s">
        <v>420</v>
      </c>
      <c r="C2416" s="14" t="s">
        <v>414</v>
      </c>
      <c r="D2416" s="14" t="s">
        <v>419</v>
      </c>
      <c r="E2416" s="15">
        <v>41640</v>
      </c>
      <c r="F2416" s="15">
        <v>42004</v>
      </c>
      <c r="G2416" s="14" t="s">
        <v>410</v>
      </c>
      <c r="H2416" s="14">
        <v>15.56</v>
      </c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S2416" s="14"/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 t="s">
        <v>413</v>
      </c>
    </row>
    <row r="2417" spans="1:32" ht="14.25" customHeight="1" x14ac:dyDescent="0.35">
      <c r="A2417" s="16" t="s">
        <v>1662</v>
      </c>
      <c r="B2417" s="16" t="s">
        <v>420</v>
      </c>
      <c r="C2417" s="16" t="s">
        <v>414</v>
      </c>
      <c r="D2417" s="16" t="s">
        <v>1663</v>
      </c>
      <c r="E2417" s="17">
        <v>41640</v>
      </c>
      <c r="F2417" s="17">
        <v>42004</v>
      </c>
      <c r="G2417" s="16" t="s">
        <v>415</v>
      </c>
      <c r="H2417" s="16">
        <v>15.56</v>
      </c>
      <c r="I2417" s="16">
        <v>15.56</v>
      </c>
      <c r="J2417" s="16">
        <v>15.56</v>
      </c>
      <c r="K2417" s="16">
        <v>15.56</v>
      </c>
      <c r="L2417" s="16">
        <v>15.56</v>
      </c>
      <c r="M2417" s="16">
        <v>15.56</v>
      </c>
      <c r="N2417" s="16">
        <v>16</v>
      </c>
      <c r="O2417" s="16">
        <v>16</v>
      </c>
      <c r="P2417" s="16">
        <v>16</v>
      </c>
      <c r="Q2417" s="16">
        <v>16</v>
      </c>
      <c r="R2417" s="16">
        <v>16</v>
      </c>
      <c r="S2417" s="16">
        <v>16</v>
      </c>
      <c r="T2417" s="16">
        <v>16</v>
      </c>
      <c r="U2417" s="16">
        <v>16</v>
      </c>
      <c r="V2417" s="16">
        <v>16</v>
      </c>
      <c r="W2417" s="16">
        <v>16</v>
      </c>
      <c r="X2417" s="16">
        <v>16</v>
      </c>
      <c r="Y2417" s="16">
        <v>16</v>
      </c>
      <c r="Z2417" s="16">
        <v>16</v>
      </c>
      <c r="AA2417" s="16">
        <v>16</v>
      </c>
      <c r="AB2417" s="16">
        <v>16</v>
      </c>
      <c r="AC2417" s="16">
        <v>15.56</v>
      </c>
      <c r="AD2417" s="16">
        <v>15.56</v>
      </c>
      <c r="AE2417" s="16">
        <v>15.56</v>
      </c>
      <c r="AF2417" s="16" t="s">
        <v>413</v>
      </c>
    </row>
    <row r="2418" spans="1:32" ht="14.25" customHeight="1" x14ac:dyDescent="0.35">
      <c r="A2418" s="14" t="s">
        <v>1664</v>
      </c>
      <c r="B2418" s="14" t="s">
        <v>420</v>
      </c>
      <c r="C2418" s="14" t="s">
        <v>414</v>
      </c>
      <c r="D2418" s="14" t="s">
        <v>417</v>
      </c>
      <c r="E2418" s="15">
        <v>41640</v>
      </c>
      <c r="F2418" s="15">
        <v>42004</v>
      </c>
      <c r="G2418" s="14" t="s">
        <v>415</v>
      </c>
      <c r="H2418" s="14">
        <v>15.56</v>
      </c>
      <c r="I2418" s="14">
        <v>15.56</v>
      </c>
      <c r="J2418" s="14">
        <v>15.56</v>
      </c>
      <c r="K2418" s="14">
        <v>15.56</v>
      </c>
      <c r="L2418" s="14">
        <v>15.56</v>
      </c>
      <c r="M2418" s="14">
        <v>15.56</v>
      </c>
      <c r="N2418" s="14">
        <v>15.56</v>
      </c>
      <c r="O2418" s="14">
        <v>21.11</v>
      </c>
      <c r="P2418" s="14">
        <v>21.11</v>
      </c>
      <c r="Q2418" s="14">
        <v>21.11</v>
      </c>
      <c r="R2418" s="14">
        <v>21.11</v>
      </c>
      <c r="S2418" s="14">
        <v>21.11</v>
      </c>
      <c r="T2418" s="14">
        <v>21.11</v>
      </c>
      <c r="U2418" s="14">
        <v>21.11</v>
      </c>
      <c r="V2418" s="14">
        <v>21.11</v>
      </c>
      <c r="W2418" s="14">
        <v>21.11</v>
      </c>
      <c r="X2418" s="14">
        <v>21.11</v>
      </c>
      <c r="Y2418" s="14">
        <v>21.11</v>
      </c>
      <c r="Z2418" s="14">
        <v>21.11</v>
      </c>
      <c r="AA2418" s="14">
        <v>15.56</v>
      </c>
      <c r="AB2418" s="14">
        <v>15.56</v>
      </c>
      <c r="AC2418" s="14">
        <v>15.56</v>
      </c>
      <c r="AD2418" s="14">
        <v>15.56</v>
      </c>
      <c r="AE2418" s="14">
        <v>15.56</v>
      </c>
      <c r="AF2418" s="14" t="s">
        <v>413</v>
      </c>
    </row>
    <row r="2419" spans="1:32" ht="14.25" customHeight="1" x14ac:dyDescent="0.35">
      <c r="A2419" s="16" t="s">
        <v>1664</v>
      </c>
      <c r="B2419" s="16" t="s">
        <v>420</v>
      </c>
      <c r="C2419" s="16" t="s">
        <v>414</v>
      </c>
      <c r="D2419" s="16" t="s">
        <v>512</v>
      </c>
      <c r="E2419" s="17">
        <v>41640</v>
      </c>
      <c r="F2419" s="17">
        <v>42004</v>
      </c>
      <c r="G2419" s="16" t="s">
        <v>415</v>
      </c>
      <c r="H2419" s="16">
        <v>15.56</v>
      </c>
      <c r="I2419" s="16">
        <v>15.56</v>
      </c>
      <c r="J2419" s="16">
        <v>15.56</v>
      </c>
      <c r="K2419" s="16">
        <v>15.56</v>
      </c>
      <c r="L2419" s="16">
        <v>15.56</v>
      </c>
      <c r="M2419" s="16">
        <v>21.11</v>
      </c>
      <c r="N2419" s="16">
        <v>21.11</v>
      </c>
      <c r="O2419" s="16">
        <v>21.11</v>
      </c>
      <c r="P2419" s="16">
        <v>21.11</v>
      </c>
      <c r="Q2419" s="16">
        <v>21.11</v>
      </c>
      <c r="R2419" s="16">
        <v>21.11</v>
      </c>
      <c r="S2419" s="16">
        <v>21.11</v>
      </c>
      <c r="T2419" s="16">
        <v>21.11</v>
      </c>
      <c r="U2419" s="16">
        <v>21.11</v>
      </c>
      <c r="V2419" s="16">
        <v>21.11</v>
      </c>
      <c r="W2419" s="16">
        <v>21.11</v>
      </c>
      <c r="X2419" s="16">
        <v>21.11</v>
      </c>
      <c r="Y2419" s="16">
        <v>21.11</v>
      </c>
      <c r="Z2419" s="16">
        <v>21.11</v>
      </c>
      <c r="AA2419" s="16">
        <v>21.11</v>
      </c>
      <c r="AB2419" s="16">
        <v>21.11</v>
      </c>
      <c r="AC2419" s="16">
        <v>21.11</v>
      </c>
      <c r="AD2419" s="16">
        <v>15.56</v>
      </c>
      <c r="AE2419" s="16">
        <v>15.56</v>
      </c>
      <c r="AF2419" s="16" t="s">
        <v>413</v>
      </c>
    </row>
    <row r="2420" spans="1:32" ht="14.25" customHeight="1" x14ac:dyDescent="0.35">
      <c r="A2420" s="14" t="s">
        <v>1664</v>
      </c>
      <c r="B2420" s="14" t="s">
        <v>420</v>
      </c>
      <c r="C2420" s="14" t="s">
        <v>414</v>
      </c>
      <c r="D2420" s="14" t="s">
        <v>419</v>
      </c>
      <c r="E2420" s="15">
        <v>41640</v>
      </c>
      <c r="F2420" s="15">
        <v>42004</v>
      </c>
      <c r="G2420" s="14" t="s">
        <v>410</v>
      </c>
      <c r="H2420" s="14">
        <v>15.56</v>
      </c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 t="s">
        <v>413</v>
      </c>
    </row>
    <row r="2421" spans="1:32" ht="14.25" customHeight="1" x14ac:dyDescent="0.35">
      <c r="A2421" s="14" t="s">
        <v>1664</v>
      </c>
      <c r="B2421" s="14" t="s">
        <v>420</v>
      </c>
      <c r="C2421" s="14" t="s">
        <v>414</v>
      </c>
      <c r="D2421" s="14" t="s">
        <v>429</v>
      </c>
      <c r="E2421" s="15">
        <v>41640</v>
      </c>
      <c r="F2421" s="15">
        <v>42004</v>
      </c>
      <c r="G2421" s="14" t="s">
        <v>415</v>
      </c>
      <c r="H2421" s="14">
        <v>15.56</v>
      </c>
      <c r="I2421" s="14">
        <v>15.56</v>
      </c>
      <c r="J2421" s="14">
        <v>15.56</v>
      </c>
      <c r="K2421" s="14">
        <v>15.56</v>
      </c>
      <c r="L2421" s="14">
        <v>15.56</v>
      </c>
      <c r="M2421" s="14">
        <v>21.11</v>
      </c>
      <c r="N2421" s="14">
        <v>21.11</v>
      </c>
      <c r="O2421" s="14">
        <v>21.11</v>
      </c>
      <c r="P2421" s="14">
        <v>21.11</v>
      </c>
      <c r="Q2421" s="14">
        <v>21.11</v>
      </c>
      <c r="R2421" s="14">
        <v>21.11</v>
      </c>
      <c r="S2421" s="14">
        <v>21.11</v>
      </c>
      <c r="T2421" s="14">
        <v>21.11</v>
      </c>
      <c r="U2421" s="14">
        <v>21.11</v>
      </c>
      <c r="V2421" s="14">
        <v>21.11</v>
      </c>
      <c r="W2421" s="14">
        <v>21.11</v>
      </c>
      <c r="X2421" s="14">
        <v>21.11</v>
      </c>
      <c r="Y2421" s="14">
        <v>21.11</v>
      </c>
      <c r="Z2421" s="14">
        <v>21.11</v>
      </c>
      <c r="AA2421" s="14">
        <v>21.11</v>
      </c>
      <c r="AB2421" s="14">
        <v>21.11</v>
      </c>
      <c r="AC2421" s="14">
        <v>15.56</v>
      </c>
      <c r="AD2421" s="14">
        <v>15.56</v>
      </c>
      <c r="AE2421" s="14">
        <v>15.56</v>
      </c>
      <c r="AF2421" s="14" t="s">
        <v>413</v>
      </c>
    </row>
    <row r="2422" spans="1:32" ht="14.25" customHeight="1" x14ac:dyDescent="0.35">
      <c r="A2422" s="16" t="s">
        <v>1664</v>
      </c>
      <c r="B2422" s="16" t="s">
        <v>420</v>
      </c>
      <c r="C2422" s="16" t="s">
        <v>414</v>
      </c>
      <c r="D2422" s="16" t="s">
        <v>418</v>
      </c>
      <c r="E2422" s="17">
        <v>41640</v>
      </c>
      <c r="F2422" s="17">
        <v>42004</v>
      </c>
      <c r="G2422" s="16" t="s">
        <v>415</v>
      </c>
      <c r="H2422" s="16">
        <v>15.56</v>
      </c>
      <c r="I2422" s="16">
        <v>15.56</v>
      </c>
      <c r="J2422" s="16">
        <v>15.56</v>
      </c>
      <c r="K2422" s="16">
        <v>15.56</v>
      </c>
      <c r="L2422" s="16">
        <v>15.56</v>
      </c>
      <c r="M2422" s="16">
        <v>15.56</v>
      </c>
      <c r="N2422" s="16">
        <v>18.329999999999998</v>
      </c>
      <c r="O2422" s="16">
        <v>21.11</v>
      </c>
      <c r="P2422" s="16">
        <v>21.11</v>
      </c>
      <c r="Q2422" s="16">
        <v>21.11</v>
      </c>
      <c r="R2422" s="16">
        <v>21.11</v>
      </c>
      <c r="S2422" s="16">
        <v>21.11</v>
      </c>
      <c r="T2422" s="16">
        <v>21.11</v>
      </c>
      <c r="U2422" s="16">
        <v>21.11</v>
      </c>
      <c r="V2422" s="16">
        <v>21.11</v>
      </c>
      <c r="W2422" s="16">
        <v>21.11</v>
      </c>
      <c r="X2422" s="16">
        <v>21.11</v>
      </c>
      <c r="Y2422" s="16">
        <v>21.11</v>
      </c>
      <c r="Z2422" s="16">
        <v>21.11</v>
      </c>
      <c r="AA2422" s="16">
        <v>21.11</v>
      </c>
      <c r="AB2422" s="16">
        <v>21.11</v>
      </c>
      <c r="AC2422" s="16">
        <v>15.56</v>
      </c>
      <c r="AD2422" s="16">
        <v>15.56</v>
      </c>
      <c r="AE2422" s="16">
        <v>15.56</v>
      </c>
      <c r="AF2422" s="16" t="s">
        <v>413</v>
      </c>
    </row>
    <row r="2423" spans="1:32" ht="14.25" customHeight="1" x14ac:dyDescent="0.35">
      <c r="A2423" s="16" t="s">
        <v>1665</v>
      </c>
      <c r="B2423" s="16" t="s">
        <v>420</v>
      </c>
      <c r="C2423" s="16" t="s">
        <v>414</v>
      </c>
      <c r="D2423" s="16" t="s">
        <v>417</v>
      </c>
      <c r="E2423" s="17">
        <v>41640</v>
      </c>
      <c r="F2423" s="17">
        <v>42004</v>
      </c>
      <c r="G2423" s="16" t="s">
        <v>415</v>
      </c>
      <c r="H2423" s="16">
        <v>15.56</v>
      </c>
      <c r="I2423" s="16">
        <v>15.56</v>
      </c>
      <c r="J2423" s="16">
        <v>15.56</v>
      </c>
      <c r="K2423" s="16">
        <v>15.56</v>
      </c>
      <c r="L2423" s="16">
        <v>15.56</v>
      </c>
      <c r="M2423" s="16">
        <v>15.56</v>
      </c>
      <c r="N2423" s="16">
        <v>15.56</v>
      </c>
      <c r="O2423" s="16">
        <v>21.11</v>
      </c>
      <c r="P2423" s="16">
        <v>21.11</v>
      </c>
      <c r="Q2423" s="16">
        <v>21.11</v>
      </c>
      <c r="R2423" s="16">
        <v>21.11</v>
      </c>
      <c r="S2423" s="16">
        <v>21.11</v>
      </c>
      <c r="T2423" s="16">
        <v>21.11</v>
      </c>
      <c r="U2423" s="16">
        <v>21.11</v>
      </c>
      <c r="V2423" s="16">
        <v>21.11</v>
      </c>
      <c r="W2423" s="16">
        <v>21.11</v>
      </c>
      <c r="X2423" s="16">
        <v>21.11</v>
      </c>
      <c r="Y2423" s="16">
        <v>21.11</v>
      </c>
      <c r="Z2423" s="16">
        <v>21.11</v>
      </c>
      <c r="AA2423" s="16">
        <v>15.56</v>
      </c>
      <c r="AB2423" s="16">
        <v>15.56</v>
      </c>
      <c r="AC2423" s="16">
        <v>15.56</v>
      </c>
      <c r="AD2423" s="16">
        <v>15.56</v>
      </c>
      <c r="AE2423" s="16">
        <v>15.56</v>
      </c>
      <c r="AF2423" s="16" t="s">
        <v>413</v>
      </c>
    </row>
    <row r="2424" spans="1:32" ht="14.25" customHeight="1" x14ac:dyDescent="0.35">
      <c r="A2424" s="14" t="s">
        <v>1665</v>
      </c>
      <c r="B2424" s="14" t="s">
        <v>420</v>
      </c>
      <c r="C2424" s="14" t="s">
        <v>414</v>
      </c>
      <c r="D2424" s="14" t="s">
        <v>512</v>
      </c>
      <c r="E2424" s="15">
        <v>41640</v>
      </c>
      <c r="F2424" s="15">
        <v>42004</v>
      </c>
      <c r="G2424" s="14" t="s">
        <v>415</v>
      </c>
      <c r="H2424" s="14">
        <v>15.56</v>
      </c>
      <c r="I2424" s="14">
        <v>15.56</v>
      </c>
      <c r="J2424" s="14">
        <v>15.56</v>
      </c>
      <c r="K2424" s="14">
        <v>15.56</v>
      </c>
      <c r="L2424" s="14">
        <v>15.56</v>
      </c>
      <c r="M2424" s="14">
        <v>21.11</v>
      </c>
      <c r="N2424" s="14">
        <v>21.11</v>
      </c>
      <c r="O2424" s="14">
        <v>21.11</v>
      </c>
      <c r="P2424" s="14">
        <v>21.11</v>
      </c>
      <c r="Q2424" s="14">
        <v>21.11</v>
      </c>
      <c r="R2424" s="14">
        <v>21.11</v>
      </c>
      <c r="S2424" s="14">
        <v>21.11</v>
      </c>
      <c r="T2424" s="14">
        <v>21.11</v>
      </c>
      <c r="U2424" s="14">
        <v>21.11</v>
      </c>
      <c r="V2424" s="14">
        <v>21.11</v>
      </c>
      <c r="W2424" s="14">
        <v>21.11</v>
      </c>
      <c r="X2424" s="14">
        <v>21.11</v>
      </c>
      <c r="Y2424" s="14">
        <v>21.11</v>
      </c>
      <c r="Z2424" s="14">
        <v>21.11</v>
      </c>
      <c r="AA2424" s="14">
        <v>21.11</v>
      </c>
      <c r="AB2424" s="14">
        <v>21.11</v>
      </c>
      <c r="AC2424" s="14">
        <v>21.11</v>
      </c>
      <c r="AD2424" s="14">
        <v>15.56</v>
      </c>
      <c r="AE2424" s="14">
        <v>15.56</v>
      </c>
      <c r="AF2424" s="14" t="s">
        <v>413</v>
      </c>
    </row>
    <row r="2425" spans="1:32" ht="14.25" customHeight="1" x14ac:dyDescent="0.35">
      <c r="A2425" s="16" t="s">
        <v>1665</v>
      </c>
      <c r="B2425" s="16" t="s">
        <v>420</v>
      </c>
      <c r="C2425" s="16" t="s">
        <v>414</v>
      </c>
      <c r="D2425" s="16" t="s">
        <v>419</v>
      </c>
      <c r="E2425" s="17">
        <v>41640</v>
      </c>
      <c r="F2425" s="17">
        <v>42004</v>
      </c>
      <c r="G2425" s="16" t="s">
        <v>410</v>
      </c>
      <c r="H2425" s="16">
        <v>15.56</v>
      </c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16"/>
      <c r="AA2425" s="16"/>
      <c r="AB2425" s="16"/>
      <c r="AC2425" s="16"/>
      <c r="AD2425" s="16"/>
      <c r="AE2425" s="16"/>
      <c r="AF2425" s="16" t="s">
        <v>413</v>
      </c>
    </row>
    <row r="2426" spans="1:32" ht="14.25" customHeight="1" x14ac:dyDescent="0.35">
      <c r="A2426" s="16" t="s">
        <v>1665</v>
      </c>
      <c r="B2426" s="16" t="s">
        <v>420</v>
      </c>
      <c r="C2426" s="16" t="s">
        <v>414</v>
      </c>
      <c r="D2426" s="16" t="s">
        <v>429</v>
      </c>
      <c r="E2426" s="17">
        <v>41640</v>
      </c>
      <c r="F2426" s="17">
        <v>42004</v>
      </c>
      <c r="G2426" s="16" t="s">
        <v>415</v>
      </c>
      <c r="H2426" s="16">
        <v>15.56</v>
      </c>
      <c r="I2426" s="16">
        <v>15.56</v>
      </c>
      <c r="J2426" s="16">
        <v>15.56</v>
      </c>
      <c r="K2426" s="16">
        <v>15.56</v>
      </c>
      <c r="L2426" s="16">
        <v>15.56</v>
      </c>
      <c r="M2426" s="16">
        <v>21.11</v>
      </c>
      <c r="N2426" s="16">
        <v>21.11</v>
      </c>
      <c r="O2426" s="16">
        <v>21.11</v>
      </c>
      <c r="P2426" s="16">
        <v>21.11</v>
      </c>
      <c r="Q2426" s="16">
        <v>21.11</v>
      </c>
      <c r="R2426" s="16">
        <v>21.11</v>
      </c>
      <c r="S2426" s="16">
        <v>21.11</v>
      </c>
      <c r="T2426" s="16">
        <v>21.11</v>
      </c>
      <c r="U2426" s="16">
        <v>21.11</v>
      </c>
      <c r="V2426" s="16">
        <v>21.11</v>
      </c>
      <c r="W2426" s="16">
        <v>21.11</v>
      </c>
      <c r="X2426" s="16">
        <v>21.11</v>
      </c>
      <c r="Y2426" s="16">
        <v>21.11</v>
      </c>
      <c r="Z2426" s="16">
        <v>21.11</v>
      </c>
      <c r="AA2426" s="16">
        <v>21.11</v>
      </c>
      <c r="AB2426" s="16">
        <v>21.11</v>
      </c>
      <c r="AC2426" s="16">
        <v>15.56</v>
      </c>
      <c r="AD2426" s="16">
        <v>15.56</v>
      </c>
      <c r="AE2426" s="16">
        <v>15.56</v>
      </c>
      <c r="AF2426" s="16" t="s">
        <v>413</v>
      </c>
    </row>
    <row r="2427" spans="1:32" ht="14.25" customHeight="1" x14ac:dyDescent="0.35">
      <c r="A2427" s="14" t="s">
        <v>1665</v>
      </c>
      <c r="B2427" s="14" t="s">
        <v>420</v>
      </c>
      <c r="C2427" s="14" t="s">
        <v>414</v>
      </c>
      <c r="D2427" s="14" t="s">
        <v>418</v>
      </c>
      <c r="E2427" s="15">
        <v>41640</v>
      </c>
      <c r="F2427" s="15">
        <v>42004</v>
      </c>
      <c r="G2427" s="14" t="s">
        <v>415</v>
      </c>
      <c r="H2427" s="14">
        <v>15.56</v>
      </c>
      <c r="I2427" s="14">
        <v>15.56</v>
      </c>
      <c r="J2427" s="14">
        <v>15.56</v>
      </c>
      <c r="K2427" s="14">
        <v>15.56</v>
      </c>
      <c r="L2427" s="14">
        <v>15.56</v>
      </c>
      <c r="M2427" s="14">
        <v>15.56</v>
      </c>
      <c r="N2427" s="14">
        <v>18.329999999999998</v>
      </c>
      <c r="O2427" s="14">
        <v>21.11</v>
      </c>
      <c r="P2427" s="14">
        <v>21.11</v>
      </c>
      <c r="Q2427" s="14">
        <v>21.11</v>
      </c>
      <c r="R2427" s="14">
        <v>21.11</v>
      </c>
      <c r="S2427" s="14">
        <v>21.11</v>
      </c>
      <c r="T2427" s="14">
        <v>21.11</v>
      </c>
      <c r="U2427" s="14">
        <v>21.11</v>
      </c>
      <c r="V2427" s="14">
        <v>21.11</v>
      </c>
      <c r="W2427" s="14">
        <v>21.11</v>
      </c>
      <c r="X2427" s="14">
        <v>21.11</v>
      </c>
      <c r="Y2427" s="14">
        <v>21.11</v>
      </c>
      <c r="Z2427" s="14">
        <v>21.11</v>
      </c>
      <c r="AA2427" s="14">
        <v>21.11</v>
      </c>
      <c r="AB2427" s="14">
        <v>21.11</v>
      </c>
      <c r="AC2427" s="14">
        <v>15.56</v>
      </c>
      <c r="AD2427" s="14">
        <v>15.56</v>
      </c>
      <c r="AE2427" s="14">
        <v>15.56</v>
      </c>
      <c r="AF2427" s="14" t="s">
        <v>413</v>
      </c>
    </row>
    <row r="2428" spans="1:32" ht="14.25" customHeight="1" x14ac:dyDescent="0.35">
      <c r="A2428" s="14" t="s">
        <v>1666</v>
      </c>
      <c r="B2428" s="14" t="s">
        <v>420</v>
      </c>
      <c r="C2428" s="14" t="s">
        <v>414</v>
      </c>
      <c r="D2428" s="14" t="s">
        <v>417</v>
      </c>
      <c r="E2428" s="15">
        <v>41640</v>
      </c>
      <c r="F2428" s="15">
        <v>42004</v>
      </c>
      <c r="G2428" s="14" t="s">
        <v>415</v>
      </c>
      <c r="H2428" s="14">
        <v>15.56</v>
      </c>
      <c r="I2428" s="14">
        <v>15.56</v>
      </c>
      <c r="J2428" s="14">
        <v>15.56</v>
      </c>
      <c r="K2428" s="14">
        <v>15.56</v>
      </c>
      <c r="L2428" s="14">
        <v>15.56</v>
      </c>
      <c r="M2428" s="14">
        <v>15.56</v>
      </c>
      <c r="N2428" s="14">
        <v>15.56</v>
      </c>
      <c r="O2428" s="14">
        <v>17.8</v>
      </c>
      <c r="P2428" s="14">
        <v>20</v>
      </c>
      <c r="Q2428" s="14">
        <v>21.11</v>
      </c>
      <c r="R2428" s="14">
        <v>21.11</v>
      </c>
      <c r="S2428" s="14">
        <v>21.11</v>
      </c>
      <c r="T2428" s="14">
        <v>21.11</v>
      </c>
      <c r="U2428" s="14">
        <v>21.11</v>
      </c>
      <c r="V2428" s="14">
        <v>21.11</v>
      </c>
      <c r="W2428" s="14">
        <v>21.11</v>
      </c>
      <c r="X2428" s="14">
        <v>21.11</v>
      </c>
      <c r="Y2428" s="14">
        <v>21.11</v>
      </c>
      <c r="Z2428" s="14">
        <v>21.11</v>
      </c>
      <c r="AA2428" s="14">
        <v>15.56</v>
      </c>
      <c r="AB2428" s="14">
        <v>15.56</v>
      </c>
      <c r="AC2428" s="14">
        <v>15.56</v>
      </c>
      <c r="AD2428" s="14">
        <v>15.56</v>
      </c>
      <c r="AE2428" s="14">
        <v>15.56</v>
      </c>
      <c r="AF2428" s="14" t="s">
        <v>413</v>
      </c>
    </row>
    <row r="2429" spans="1:32" ht="14.25" customHeight="1" x14ac:dyDescent="0.35">
      <c r="A2429" s="16" t="s">
        <v>1666</v>
      </c>
      <c r="B2429" s="16" t="s">
        <v>420</v>
      </c>
      <c r="C2429" s="16" t="s">
        <v>414</v>
      </c>
      <c r="D2429" s="16" t="s">
        <v>512</v>
      </c>
      <c r="E2429" s="17">
        <v>41640</v>
      </c>
      <c r="F2429" s="17">
        <v>42004</v>
      </c>
      <c r="G2429" s="16" t="s">
        <v>415</v>
      </c>
      <c r="H2429" s="16">
        <v>15.56</v>
      </c>
      <c r="I2429" s="16">
        <v>15.56</v>
      </c>
      <c r="J2429" s="16">
        <v>15.56</v>
      </c>
      <c r="K2429" s="16">
        <v>15.56</v>
      </c>
      <c r="L2429" s="16">
        <v>15.56</v>
      </c>
      <c r="M2429" s="16">
        <v>17.8</v>
      </c>
      <c r="N2429" s="16">
        <v>20</v>
      </c>
      <c r="O2429" s="16">
        <v>21.11</v>
      </c>
      <c r="P2429" s="16">
        <v>21.11</v>
      </c>
      <c r="Q2429" s="16">
        <v>21.11</v>
      </c>
      <c r="R2429" s="16">
        <v>21.11</v>
      </c>
      <c r="S2429" s="16">
        <v>21.11</v>
      </c>
      <c r="T2429" s="16">
        <v>21.11</v>
      </c>
      <c r="U2429" s="16">
        <v>21.11</v>
      </c>
      <c r="V2429" s="16">
        <v>21.11</v>
      </c>
      <c r="W2429" s="16">
        <v>21.11</v>
      </c>
      <c r="X2429" s="16">
        <v>21.11</v>
      </c>
      <c r="Y2429" s="16">
        <v>21.11</v>
      </c>
      <c r="Z2429" s="16">
        <v>21.11</v>
      </c>
      <c r="AA2429" s="16">
        <v>21.11</v>
      </c>
      <c r="AB2429" s="16">
        <v>21.11</v>
      </c>
      <c r="AC2429" s="16">
        <v>21.11</v>
      </c>
      <c r="AD2429" s="16">
        <v>15.56</v>
      </c>
      <c r="AE2429" s="16">
        <v>15.56</v>
      </c>
      <c r="AF2429" s="16" t="s">
        <v>413</v>
      </c>
    </row>
    <row r="2430" spans="1:32" ht="14.25" customHeight="1" x14ac:dyDescent="0.35">
      <c r="A2430" s="14" t="s">
        <v>1666</v>
      </c>
      <c r="B2430" s="14" t="s">
        <v>420</v>
      </c>
      <c r="C2430" s="14" t="s">
        <v>414</v>
      </c>
      <c r="D2430" s="14" t="s">
        <v>419</v>
      </c>
      <c r="E2430" s="15">
        <v>41640</v>
      </c>
      <c r="F2430" s="15">
        <v>42004</v>
      </c>
      <c r="G2430" s="14" t="s">
        <v>410</v>
      </c>
      <c r="H2430" s="14">
        <v>15.56</v>
      </c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4"/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 t="s">
        <v>413</v>
      </c>
    </row>
    <row r="2431" spans="1:32" ht="14.25" customHeight="1" x14ac:dyDescent="0.35">
      <c r="A2431" s="14" t="s">
        <v>1666</v>
      </c>
      <c r="B2431" s="14" t="s">
        <v>420</v>
      </c>
      <c r="C2431" s="14" t="s">
        <v>414</v>
      </c>
      <c r="D2431" s="14" t="s">
        <v>429</v>
      </c>
      <c r="E2431" s="15">
        <v>41640</v>
      </c>
      <c r="F2431" s="15">
        <v>42004</v>
      </c>
      <c r="G2431" s="14" t="s">
        <v>415</v>
      </c>
      <c r="H2431" s="14">
        <v>15.56</v>
      </c>
      <c r="I2431" s="14">
        <v>15.56</v>
      </c>
      <c r="J2431" s="14">
        <v>15.56</v>
      </c>
      <c r="K2431" s="14">
        <v>15.56</v>
      </c>
      <c r="L2431" s="14">
        <v>15.56</v>
      </c>
      <c r="M2431" s="14">
        <v>17.8</v>
      </c>
      <c r="N2431" s="14">
        <v>20</v>
      </c>
      <c r="O2431" s="14">
        <v>21.11</v>
      </c>
      <c r="P2431" s="14">
        <v>21.11</v>
      </c>
      <c r="Q2431" s="14">
        <v>21.11</v>
      </c>
      <c r="R2431" s="14">
        <v>21.11</v>
      </c>
      <c r="S2431" s="14">
        <v>21.11</v>
      </c>
      <c r="T2431" s="14">
        <v>21.11</v>
      </c>
      <c r="U2431" s="14">
        <v>21.11</v>
      </c>
      <c r="V2431" s="14">
        <v>21.11</v>
      </c>
      <c r="W2431" s="14">
        <v>21.11</v>
      </c>
      <c r="X2431" s="14">
        <v>21.11</v>
      </c>
      <c r="Y2431" s="14">
        <v>21.11</v>
      </c>
      <c r="Z2431" s="14">
        <v>21.11</v>
      </c>
      <c r="AA2431" s="14">
        <v>21.11</v>
      </c>
      <c r="AB2431" s="14">
        <v>21.11</v>
      </c>
      <c r="AC2431" s="14">
        <v>15.56</v>
      </c>
      <c r="AD2431" s="14">
        <v>15.56</v>
      </c>
      <c r="AE2431" s="14">
        <v>15.56</v>
      </c>
      <c r="AF2431" s="14" t="s">
        <v>413</v>
      </c>
    </row>
    <row r="2432" spans="1:32" ht="14.25" customHeight="1" x14ac:dyDescent="0.35">
      <c r="A2432" s="16" t="s">
        <v>1666</v>
      </c>
      <c r="B2432" s="16" t="s">
        <v>420</v>
      </c>
      <c r="C2432" s="16" t="s">
        <v>414</v>
      </c>
      <c r="D2432" s="16" t="s">
        <v>418</v>
      </c>
      <c r="E2432" s="17">
        <v>41640</v>
      </c>
      <c r="F2432" s="17">
        <v>42004</v>
      </c>
      <c r="G2432" s="16" t="s">
        <v>415</v>
      </c>
      <c r="H2432" s="16">
        <v>15.56</v>
      </c>
      <c r="I2432" s="16">
        <v>15.56</v>
      </c>
      <c r="J2432" s="16">
        <v>15.56</v>
      </c>
      <c r="K2432" s="16">
        <v>15.56</v>
      </c>
      <c r="L2432" s="16">
        <v>15.56</v>
      </c>
      <c r="M2432" s="16">
        <v>15.56</v>
      </c>
      <c r="N2432" s="16">
        <v>18.329999999999998</v>
      </c>
      <c r="O2432" s="16">
        <v>21.11</v>
      </c>
      <c r="P2432" s="16">
        <v>21.11</v>
      </c>
      <c r="Q2432" s="16">
        <v>21.11</v>
      </c>
      <c r="R2432" s="16">
        <v>21.11</v>
      </c>
      <c r="S2432" s="16">
        <v>21.11</v>
      </c>
      <c r="T2432" s="16">
        <v>21.11</v>
      </c>
      <c r="U2432" s="16">
        <v>21.11</v>
      </c>
      <c r="V2432" s="16">
        <v>21.11</v>
      </c>
      <c r="W2432" s="16">
        <v>21.11</v>
      </c>
      <c r="X2432" s="16">
        <v>21.11</v>
      </c>
      <c r="Y2432" s="16">
        <v>21.11</v>
      </c>
      <c r="Z2432" s="16">
        <v>21.11</v>
      </c>
      <c r="AA2432" s="16">
        <v>21.11</v>
      </c>
      <c r="AB2432" s="16">
        <v>21.11</v>
      </c>
      <c r="AC2432" s="16">
        <v>15.56</v>
      </c>
      <c r="AD2432" s="16">
        <v>15.56</v>
      </c>
      <c r="AE2432" s="16">
        <v>15.56</v>
      </c>
      <c r="AF2432" s="16" t="s">
        <v>413</v>
      </c>
    </row>
    <row r="2433" spans="1:32" ht="14.25" customHeight="1" x14ac:dyDescent="0.35">
      <c r="A2433" s="16" t="s">
        <v>1667</v>
      </c>
      <c r="B2433" s="16" t="s">
        <v>420</v>
      </c>
      <c r="C2433" s="16" t="s">
        <v>414</v>
      </c>
      <c r="D2433" s="16" t="s">
        <v>417</v>
      </c>
      <c r="E2433" s="17">
        <v>41640</v>
      </c>
      <c r="F2433" s="17">
        <v>42004</v>
      </c>
      <c r="G2433" s="16" t="s">
        <v>415</v>
      </c>
      <c r="H2433" s="16">
        <v>15.56</v>
      </c>
      <c r="I2433" s="16">
        <v>15.56</v>
      </c>
      <c r="J2433" s="16">
        <v>15.56</v>
      </c>
      <c r="K2433" s="16">
        <v>15.56</v>
      </c>
      <c r="L2433" s="16">
        <v>15.56</v>
      </c>
      <c r="M2433" s="16">
        <v>15.56</v>
      </c>
      <c r="N2433" s="16">
        <v>15.56</v>
      </c>
      <c r="O2433" s="16">
        <v>17.8</v>
      </c>
      <c r="P2433" s="16">
        <v>20</v>
      </c>
      <c r="Q2433" s="16">
        <v>21.11</v>
      </c>
      <c r="R2433" s="16">
        <v>21.11</v>
      </c>
      <c r="S2433" s="16">
        <v>21.11</v>
      </c>
      <c r="T2433" s="16">
        <v>21.11</v>
      </c>
      <c r="U2433" s="16">
        <v>21.11</v>
      </c>
      <c r="V2433" s="16">
        <v>21.11</v>
      </c>
      <c r="W2433" s="16">
        <v>21.11</v>
      </c>
      <c r="X2433" s="16">
        <v>21.11</v>
      </c>
      <c r="Y2433" s="16">
        <v>21.11</v>
      </c>
      <c r="Z2433" s="16">
        <v>21.11</v>
      </c>
      <c r="AA2433" s="16">
        <v>15.56</v>
      </c>
      <c r="AB2433" s="16">
        <v>15.56</v>
      </c>
      <c r="AC2433" s="16">
        <v>15.56</v>
      </c>
      <c r="AD2433" s="16">
        <v>15.56</v>
      </c>
      <c r="AE2433" s="16">
        <v>15.56</v>
      </c>
      <c r="AF2433" s="16" t="s">
        <v>413</v>
      </c>
    </row>
    <row r="2434" spans="1:32" ht="14.25" customHeight="1" x14ac:dyDescent="0.35">
      <c r="A2434" s="14" t="s">
        <v>1667</v>
      </c>
      <c r="B2434" s="14" t="s">
        <v>420</v>
      </c>
      <c r="C2434" s="14" t="s">
        <v>414</v>
      </c>
      <c r="D2434" s="14" t="s">
        <v>512</v>
      </c>
      <c r="E2434" s="15">
        <v>41640</v>
      </c>
      <c r="F2434" s="15">
        <v>42004</v>
      </c>
      <c r="G2434" s="14" t="s">
        <v>415</v>
      </c>
      <c r="H2434" s="14">
        <v>15.56</v>
      </c>
      <c r="I2434" s="14">
        <v>15.56</v>
      </c>
      <c r="J2434" s="14">
        <v>15.56</v>
      </c>
      <c r="K2434" s="14">
        <v>15.56</v>
      </c>
      <c r="L2434" s="14">
        <v>15.56</v>
      </c>
      <c r="M2434" s="14">
        <v>17.8</v>
      </c>
      <c r="N2434" s="14">
        <v>20</v>
      </c>
      <c r="O2434" s="14">
        <v>21.11</v>
      </c>
      <c r="P2434" s="14">
        <v>21.11</v>
      </c>
      <c r="Q2434" s="14">
        <v>21.11</v>
      </c>
      <c r="R2434" s="14">
        <v>21.11</v>
      </c>
      <c r="S2434" s="14">
        <v>21.11</v>
      </c>
      <c r="T2434" s="14">
        <v>21.11</v>
      </c>
      <c r="U2434" s="14">
        <v>21.11</v>
      </c>
      <c r="V2434" s="14">
        <v>21.11</v>
      </c>
      <c r="W2434" s="14">
        <v>21.11</v>
      </c>
      <c r="X2434" s="14">
        <v>21.11</v>
      </c>
      <c r="Y2434" s="14">
        <v>21.11</v>
      </c>
      <c r="Z2434" s="14">
        <v>21.11</v>
      </c>
      <c r="AA2434" s="14">
        <v>21.11</v>
      </c>
      <c r="AB2434" s="14">
        <v>21.11</v>
      </c>
      <c r="AC2434" s="14">
        <v>21.11</v>
      </c>
      <c r="AD2434" s="14">
        <v>15.56</v>
      </c>
      <c r="AE2434" s="14">
        <v>15.56</v>
      </c>
      <c r="AF2434" s="14" t="s">
        <v>413</v>
      </c>
    </row>
    <row r="2435" spans="1:32" ht="14.25" customHeight="1" x14ac:dyDescent="0.35">
      <c r="A2435" s="16" t="s">
        <v>1667</v>
      </c>
      <c r="B2435" s="16" t="s">
        <v>420</v>
      </c>
      <c r="C2435" s="16" t="s">
        <v>414</v>
      </c>
      <c r="D2435" s="16" t="s">
        <v>419</v>
      </c>
      <c r="E2435" s="17">
        <v>41640</v>
      </c>
      <c r="F2435" s="17">
        <v>42004</v>
      </c>
      <c r="G2435" s="16" t="s">
        <v>410</v>
      </c>
      <c r="H2435" s="16">
        <v>15.56</v>
      </c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16"/>
      <c r="AA2435" s="16"/>
      <c r="AB2435" s="16"/>
      <c r="AC2435" s="16"/>
      <c r="AD2435" s="16"/>
      <c r="AE2435" s="16"/>
      <c r="AF2435" s="16" t="s">
        <v>413</v>
      </c>
    </row>
    <row r="2436" spans="1:32" ht="14.25" customHeight="1" x14ac:dyDescent="0.35">
      <c r="A2436" s="16" t="s">
        <v>1667</v>
      </c>
      <c r="B2436" s="16" t="s">
        <v>420</v>
      </c>
      <c r="C2436" s="16" t="s">
        <v>414</v>
      </c>
      <c r="D2436" s="16" t="s">
        <v>429</v>
      </c>
      <c r="E2436" s="17">
        <v>41640</v>
      </c>
      <c r="F2436" s="17">
        <v>42004</v>
      </c>
      <c r="G2436" s="16" t="s">
        <v>415</v>
      </c>
      <c r="H2436" s="16">
        <v>15.56</v>
      </c>
      <c r="I2436" s="16">
        <v>15.56</v>
      </c>
      <c r="J2436" s="16">
        <v>15.56</v>
      </c>
      <c r="K2436" s="16">
        <v>15.56</v>
      </c>
      <c r="L2436" s="16">
        <v>15.56</v>
      </c>
      <c r="M2436" s="16">
        <v>17.8</v>
      </c>
      <c r="N2436" s="16">
        <v>20</v>
      </c>
      <c r="O2436" s="16">
        <v>21.11</v>
      </c>
      <c r="P2436" s="16">
        <v>21.11</v>
      </c>
      <c r="Q2436" s="16">
        <v>21.11</v>
      </c>
      <c r="R2436" s="16">
        <v>21.11</v>
      </c>
      <c r="S2436" s="16">
        <v>21.11</v>
      </c>
      <c r="T2436" s="16">
        <v>21.11</v>
      </c>
      <c r="U2436" s="16">
        <v>21.11</v>
      </c>
      <c r="V2436" s="16">
        <v>21.11</v>
      </c>
      <c r="W2436" s="16">
        <v>21.11</v>
      </c>
      <c r="X2436" s="16">
        <v>21.11</v>
      </c>
      <c r="Y2436" s="16">
        <v>21.11</v>
      </c>
      <c r="Z2436" s="16">
        <v>21.11</v>
      </c>
      <c r="AA2436" s="16">
        <v>21.11</v>
      </c>
      <c r="AB2436" s="16">
        <v>21.11</v>
      </c>
      <c r="AC2436" s="16">
        <v>15.56</v>
      </c>
      <c r="AD2436" s="16">
        <v>15.56</v>
      </c>
      <c r="AE2436" s="16">
        <v>15.56</v>
      </c>
      <c r="AF2436" s="16" t="s">
        <v>413</v>
      </c>
    </row>
    <row r="2437" spans="1:32" ht="14.25" customHeight="1" x14ac:dyDescent="0.35">
      <c r="A2437" s="14" t="s">
        <v>1667</v>
      </c>
      <c r="B2437" s="14" t="s">
        <v>420</v>
      </c>
      <c r="C2437" s="14" t="s">
        <v>414</v>
      </c>
      <c r="D2437" s="14" t="s">
        <v>418</v>
      </c>
      <c r="E2437" s="15">
        <v>41640</v>
      </c>
      <c r="F2437" s="15">
        <v>42004</v>
      </c>
      <c r="G2437" s="14" t="s">
        <v>415</v>
      </c>
      <c r="H2437" s="14">
        <v>15.56</v>
      </c>
      <c r="I2437" s="14">
        <v>15.56</v>
      </c>
      <c r="J2437" s="14">
        <v>15.56</v>
      </c>
      <c r="K2437" s="14">
        <v>15.56</v>
      </c>
      <c r="L2437" s="14">
        <v>15.56</v>
      </c>
      <c r="M2437" s="14">
        <v>15.56</v>
      </c>
      <c r="N2437" s="14">
        <v>18.329999999999998</v>
      </c>
      <c r="O2437" s="14">
        <v>21.11</v>
      </c>
      <c r="P2437" s="14">
        <v>21.11</v>
      </c>
      <c r="Q2437" s="14">
        <v>21.11</v>
      </c>
      <c r="R2437" s="14">
        <v>21.11</v>
      </c>
      <c r="S2437" s="14">
        <v>21.11</v>
      </c>
      <c r="T2437" s="14">
        <v>21.11</v>
      </c>
      <c r="U2437" s="14">
        <v>21.11</v>
      </c>
      <c r="V2437" s="14">
        <v>21.11</v>
      </c>
      <c r="W2437" s="14">
        <v>21.11</v>
      </c>
      <c r="X2437" s="14">
        <v>21.11</v>
      </c>
      <c r="Y2437" s="14">
        <v>21.11</v>
      </c>
      <c r="Z2437" s="14">
        <v>21.11</v>
      </c>
      <c r="AA2437" s="14">
        <v>21.11</v>
      </c>
      <c r="AB2437" s="14">
        <v>21.11</v>
      </c>
      <c r="AC2437" s="14">
        <v>15.56</v>
      </c>
      <c r="AD2437" s="14">
        <v>15.56</v>
      </c>
      <c r="AE2437" s="14">
        <v>15.56</v>
      </c>
      <c r="AF2437" s="14" t="s">
        <v>413</v>
      </c>
    </row>
    <row r="2438" spans="1:32" ht="14.25" customHeight="1" x14ac:dyDescent="0.35">
      <c r="A2438" s="14" t="s">
        <v>1668</v>
      </c>
      <c r="B2438" s="14" t="s">
        <v>408</v>
      </c>
      <c r="C2438" s="14"/>
      <c r="D2438" s="14" t="s">
        <v>603</v>
      </c>
      <c r="E2438" s="15">
        <v>41640</v>
      </c>
      <c r="F2438" s="15">
        <v>42004</v>
      </c>
      <c r="G2438" s="14" t="s">
        <v>410</v>
      </c>
      <c r="H2438" s="14">
        <v>50</v>
      </c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 t="s">
        <v>413</v>
      </c>
    </row>
    <row r="2439" spans="1:32" ht="14.25" customHeight="1" x14ac:dyDescent="0.35">
      <c r="A2439" s="16" t="s">
        <v>1669</v>
      </c>
      <c r="B2439" s="16" t="s">
        <v>600</v>
      </c>
      <c r="C2439" s="16"/>
      <c r="D2439" s="16" t="s">
        <v>417</v>
      </c>
      <c r="E2439" s="17">
        <v>41640</v>
      </c>
      <c r="F2439" s="17">
        <v>42004</v>
      </c>
      <c r="G2439" s="16" t="s">
        <v>415</v>
      </c>
      <c r="H2439" s="16">
        <v>0</v>
      </c>
      <c r="I2439" s="16">
        <v>0</v>
      </c>
      <c r="J2439" s="16">
        <v>0</v>
      </c>
      <c r="K2439" s="16">
        <v>0</v>
      </c>
      <c r="L2439" s="16">
        <v>0</v>
      </c>
      <c r="M2439" s="16">
        <v>0</v>
      </c>
      <c r="N2439" s="16">
        <v>0</v>
      </c>
      <c r="O2439" s="16">
        <v>0</v>
      </c>
      <c r="P2439" s="16">
        <v>1</v>
      </c>
      <c r="Q2439" s="16">
        <v>1</v>
      </c>
      <c r="R2439" s="16">
        <v>1</v>
      </c>
      <c r="S2439" s="16">
        <v>1</v>
      </c>
      <c r="T2439" s="16">
        <v>1</v>
      </c>
      <c r="U2439" s="16">
        <v>1</v>
      </c>
      <c r="V2439" s="16">
        <v>1</v>
      </c>
      <c r="W2439" s="16">
        <v>1</v>
      </c>
      <c r="X2439" s="16">
        <v>1</v>
      </c>
      <c r="Y2439" s="16">
        <v>1</v>
      </c>
      <c r="Z2439" s="16">
        <v>1</v>
      </c>
      <c r="AA2439" s="16">
        <v>0</v>
      </c>
      <c r="AB2439" s="16">
        <v>0</v>
      </c>
      <c r="AC2439" s="16">
        <v>0</v>
      </c>
      <c r="AD2439" s="16">
        <v>0</v>
      </c>
      <c r="AE2439" s="16">
        <v>0</v>
      </c>
      <c r="AF2439" s="16" t="s">
        <v>413</v>
      </c>
    </row>
    <row r="2440" spans="1:32" ht="14.25" customHeight="1" x14ac:dyDescent="0.35">
      <c r="A2440" s="16" t="s">
        <v>1669</v>
      </c>
      <c r="B2440" s="16" t="s">
        <v>600</v>
      </c>
      <c r="C2440" s="16"/>
      <c r="D2440" s="16" t="s">
        <v>556</v>
      </c>
      <c r="E2440" s="17">
        <v>41640</v>
      </c>
      <c r="F2440" s="17">
        <v>42004</v>
      </c>
      <c r="G2440" s="16" t="s">
        <v>415</v>
      </c>
      <c r="H2440" s="16">
        <v>0</v>
      </c>
      <c r="I2440" s="16">
        <v>0</v>
      </c>
      <c r="J2440" s="16">
        <v>0</v>
      </c>
      <c r="K2440" s="16">
        <v>0</v>
      </c>
      <c r="L2440" s="16">
        <v>0</v>
      </c>
      <c r="M2440" s="16">
        <v>0</v>
      </c>
      <c r="N2440" s="16">
        <v>1</v>
      </c>
      <c r="O2440" s="16">
        <v>1</v>
      </c>
      <c r="P2440" s="16">
        <v>1</v>
      </c>
      <c r="Q2440" s="16">
        <v>1</v>
      </c>
      <c r="R2440" s="16">
        <v>1</v>
      </c>
      <c r="S2440" s="16">
        <v>1</v>
      </c>
      <c r="T2440" s="16">
        <v>1</v>
      </c>
      <c r="U2440" s="16">
        <v>1</v>
      </c>
      <c r="V2440" s="16">
        <v>1</v>
      </c>
      <c r="W2440" s="16">
        <v>1</v>
      </c>
      <c r="X2440" s="16">
        <v>1</v>
      </c>
      <c r="Y2440" s="16">
        <v>1</v>
      </c>
      <c r="Z2440" s="16">
        <v>1</v>
      </c>
      <c r="AA2440" s="16">
        <v>1</v>
      </c>
      <c r="AB2440" s="16">
        <v>1</v>
      </c>
      <c r="AC2440" s="16">
        <v>0</v>
      </c>
      <c r="AD2440" s="16">
        <v>0</v>
      </c>
      <c r="AE2440" s="16">
        <v>0</v>
      </c>
      <c r="AF2440" s="16" t="s">
        <v>413</v>
      </c>
    </row>
    <row r="2441" spans="1:32" ht="14.25" customHeight="1" x14ac:dyDescent="0.35">
      <c r="A2441" s="14" t="s">
        <v>1669</v>
      </c>
      <c r="B2441" s="14" t="s">
        <v>600</v>
      </c>
      <c r="C2441" s="14"/>
      <c r="D2441" s="14" t="s">
        <v>514</v>
      </c>
      <c r="E2441" s="15">
        <v>41640</v>
      </c>
      <c r="F2441" s="15">
        <v>42004</v>
      </c>
      <c r="G2441" s="14" t="s">
        <v>415</v>
      </c>
      <c r="H2441" s="14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1</v>
      </c>
      <c r="O2441" s="14">
        <v>1</v>
      </c>
      <c r="P2441" s="14">
        <v>1</v>
      </c>
      <c r="Q2441" s="14">
        <v>1</v>
      </c>
      <c r="R2441" s="14">
        <v>1</v>
      </c>
      <c r="S2441" s="14">
        <v>1</v>
      </c>
      <c r="T2441" s="14">
        <v>1</v>
      </c>
      <c r="U2441" s="14">
        <v>1</v>
      </c>
      <c r="V2441" s="14">
        <v>1</v>
      </c>
      <c r="W2441" s="14">
        <v>1</v>
      </c>
      <c r="X2441" s="14">
        <v>1</v>
      </c>
      <c r="Y2441" s="14">
        <v>1</v>
      </c>
      <c r="Z2441" s="14">
        <v>1</v>
      </c>
      <c r="AA2441" s="14">
        <v>1</v>
      </c>
      <c r="AB2441" s="14">
        <v>1</v>
      </c>
      <c r="AC2441" s="14">
        <v>1</v>
      </c>
      <c r="AD2441" s="14">
        <v>0</v>
      </c>
      <c r="AE2441" s="14">
        <v>0</v>
      </c>
      <c r="AF2441" s="14" t="s">
        <v>413</v>
      </c>
    </row>
    <row r="2442" spans="1:32" ht="14.25" customHeight="1" x14ac:dyDescent="0.35">
      <c r="A2442" s="14" t="s">
        <v>1670</v>
      </c>
      <c r="B2442" s="14" t="s">
        <v>408</v>
      </c>
      <c r="C2442" s="14" t="s">
        <v>414</v>
      </c>
      <c r="D2442" s="14" t="s">
        <v>409</v>
      </c>
      <c r="E2442" s="15">
        <v>41640</v>
      </c>
      <c r="F2442" s="15">
        <v>42004</v>
      </c>
      <c r="G2442" s="14" t="s">
        <v>410</v>
      </c>
      <c r="H2442" s="14">
        <v>60</v>
      </c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 t="s">
        <v>413</v>
      </c>
    </row>
    <row r="2443" spans="1:32" ht="14.25" customHeight="1" x14ac:dyDescent="0.35">
      <c r="A2443" s="16" t="s">
        <v>1671</v>
      </c>
      <c r="B2443" s="16" t="s">
        <v>441</v>
      </c>
      <c r="C2443" s="16"/>
      <c r="D2443" s="16" t="s">
        <v>409</v>
      </c>
      <c r="E2443" s="17">
        <v>41640</v>
      </c>
      <c r="F2443" s="17">
        <v>42004</v>
      </c>
      <c r="G2443" s="16" t="s">
        <v>415</v>
      </c>
      <c r="H2443" s="16">
        <v>0</v>
      </c>
      <c r="I2443" s="16">
        <v>0</v>
      </c>
      <c r="J2443" s="16">
        <v>0</v>
      </c>
      <c r="K2443" s="16">
        <v>0</v>
      </c>
      <c r="L2443" s="16">
        <v>0</v>
      </c>
      <c r="M2443" s="16">
        <v>0</v>
      </c>
      <c r="N2443" s="16">
        <v>0</v>
      </c>
      <c r="O2443" s="16">
        <v>0</v>
      </c>
      <c r="P2443" s="16">
        <v>0.14399999999999999</v>
      </c>
      <c r="Q2443" s="16">
        <v>0.14399999999999999</v>
      </c>
      <c r="R2443" s="16">
        <v>0.14399999999999999</v>
      </c>
      <c r="S2443" s="16">
        <v>0.14399999999999999</v>
      </c>
      <c r="T2443" s="16">
        <v>1</v>
      </c>
      <c r="U2443" s="16">
        <v>1</v>
      </c>
      <c r="V2443" s="16">
        <v>1</v>
      </c>
      <c r="W2443" s="16">
        <v>1</v>
      </c>
      <c r="X2443" s="16">
        <v>1</v>
      </c>
      <c r="Y2443" s="16">
        <v>1</v>
      </c>
      <c r="Z2443" s="16">
        <v>0.14399999999999999</v>
      </c>
      <c r="AA2443" s="16">
        <v>0.14399999999999999</v>
      </c>
      <c r="AB2443" s="16">
        <v>0</v>
      </c>
      <c r="AC2443" s="16">
        <v>0</v>
      </c>
      <c r="AD2443" s="16">
        <v>0</v>
      </c>
      <c r="AE2443" s="16">
        <v>0</v>
      </c>
      <c r="AF2443" s="16" t="s">
        <v>413</v>
      </c>
    </row>
    <row r="2444" spans="1:32" ht="14.25" customHeight="1" x14ac:dyDescent="0.35">
      <c r="A2444" s="14" t="s">
        <v>1672</v>
      </c>
      <c r="B2444" s="14" t="s">
        <v>441</v>
      </c>
      <c r="C2444" s="14"/>
      <c r="D2444" s="14" t="s">
        <v>417</v>
      </c>
      <c r="E2444" s="15">
        <v>41640</v>
      </c>
      <c r="F2444" s="15">
        <v>42004</v>
      </c>
      <c r="G2444" s="14" t="s">
        <v>415</v>
      </c>
      <c r="H2444" s="14">
        <v>1</v>
      </c>
      <c r="I2444" s="14">
        <v>1</v>
      </c>
      <c r="J2444" s="14">
        <v>1</v>
      </c>
      <c r="K2444" s="14">
        <v>1</v>
      </c>
      <c r="L2444" s="14">
        <v>1</v>
      </c>
      <c r="M2444" s="14">
        <v>1</v>
      </c>
      <c r="N2444" s="14">
        <v>1</v>
      </c>
      <c r="O2444" s="14">
        <v>1</v>
      </c>
      <c r="P2444" s="14">
        <v>0.5</v>
      </c>
      <c r="Q2444" s="14">
        <v>0.5</v>
      </c>
      <c r="R2444" s="14">
        <v>0.5</v>
      </c>
      <c r="S2444" s="14">
        <v>0.5</v>
      </c>
      <c r="T2444" s="14">
        <v>0.5</v>
      </c>
      <c r="U2444" s="14">
        <v>0.5</v>
      </c>
      <c r="V2444" s="14">
        <v>0.5</v>
      </c>
      <c r="W2444" s="14">
        <v>0.5</v>
      </c>
      <c r="X2444" s="14">
        <v>0.5</v>
      </c>
      <c r="Y2444" s="14">
        <v>1</v>
      </c>
      <c r="Z2444" s="14">
        <v>1</v>
      </c>
      <c r="AA2444" s="14">
        <v>1</v>
      </c>
      <c r="AB2444" s="14">
        <v>1</v>
      </c>
      <c r="AC2444" s="14">
        <v>1</v>
      </c>
      <c r="AD2444" s="14">
        <v>1</v>
      </c>
      <c r="AE2444" s="14">
        <v>1</v>
      </c>
      <c r="AF2444" s="14" t="s">
        <v>413</v>
      </c>
    </row>
    <row r="2445" spans="1:32" ht="14.25" customHeight="1" x14ac:dyDescent="0.35">
      <c r="A2445" s="16" t="s">
        <v>1672</v>
      </c>
      <c r="B2445" s="16" t="s">
        <v>441</v>
      </c>
      <c r="C2445" s="16"/>
      <c r="D2445" s="16" t="s">
        <v>512</v>
      </c>
      <c r="E2445" s="17">
        <v>41640</v>
      </c>
      <c r="F2445" s="17">
        <v>42004</v>
      </c>
      <c r="G2445" s="16" t="s">
        <v>415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0.5</v>
      </c>
      <c r="O2445" s="16">
        <v>0.5</v>
      </c>
      <c r="P2445" s="16">
        <v>0.5</v>
      </c>
      <c r="Q2445" s="16">
        <v>0.5</v>
      </c>
      <c r="R2445" s="16">
        <v>0.5</v>
      </c>
      <c r="S2445" s="16">
        <v>0.5</v>
      </c>
      <c r="T2445" s="16">
        <v>0.5</v>
      </c>
      <c r="U2445" s="16">
        <v>0.5</v>
      </c>
      <c r="V2445" s="16">
        <v>0.5</v>
      </c>
      <c r="W2445" s="16">
        <v>0.5</v>
      </c>
      <c r="X2445" s="16">
        <v>0.5</v>
      </c>
      <c r="Y2445" s="16">
        <v>0.5</v>
      </c>
      <c r="Z2445" s="16">
        <v>0.5</v>
      </c>
      <c r="AA2445" s="16">
        <v>0.5</v>
      </c>
      <c r="AB2445" s="16">
        <v>0.5</v>
      </c>
      <c r="AC2445" s="16">
        <v>0.5</v>
      </c>
      <c r="AD2445" s="16">
        <v>1</v>
      </c>
      <c r="AE2445" s="16">
        <v>1</v>
      </c>
      <c r="AF2445" s="16" t="s">
        <v>413</v>
      </c>
    </row>
    <row r="2446" spans="1:32" ht="14.25" customHeight="1" x14ac:dyDescent="0.35">
      <c r="A2446" s="14" t="s">
        <v>1672</v>
      </c>
      <c r="B2446" s="14" t="s">
        <v>441</v>
      </c>
      <c r="C2446" s="14"/>
      <c r="D2446" s="14" t="s">
        <v>556</v>
      </c>
      <c r="E2446" s="15">
        <v>41640</v>
      </c>
      <c r="F2446" s="15">
        <v>42004</v>
      </c>
      <c r="G2446" s="14" t="s">
        <v>415</v>
      </c>
      <c r="H2446" s="14">
        <v>1</v>
      </c>
      <c r="I2446" s="14">
        <v>1</v>
      </c>
      <c r="J2446" s="14">
        <v>1</v>
      </c>
      <c r="K2446" s="14">
        <v>1</v>
      </c>
      <c r="L2446" s="14">
        <v>1</v>
      </c>
      <c r="M2446" s="14">
        <v>1</v>
      </c>
      <c r="N2446" s="14">
        <v>0.5</v>
      </c>
      <c r="O2446" s="14">
        <v>0.5</v>
      </c>
      <c r="P2446" s="14">
        <v>0.5</v>
      </c>
      <c r="Q2446" s="14">
        <v>0.5</v>
      </c>
      <c r="R2446" s="14">
        <v>0.5</v>
      </c>
      <c r="S2446" s="14">
        <v>0.5</v>
      </c>
      <c r="T2446" s="14">
        <v>0.5</v>
      </c>
      <c r="U2446" s="14">
        <v>0.5</v>
      </c>
      <c r="V2446" s="14">
        <v>0.5</v>
      </c>
      <c r="W2446" s="14">
        <v>0.5</v>
      </c>
      <c r="X2446" s="14">
        <v>0.5</v>
      </c>
      <c r="Y2446" s="14">
        <v>0.5</v>
      </c>
      <c r="Z2446" s="14">
        <v>0.5</v>
      </c>
      <c r="AA2446" s="14">
        <v>0.5</v>
      </c>
      <c r="AB2446" s="14">
        <v>0.5</v>
      </c>
      <c r="AC2446" s="14">
        <v>1</v>
      </c>
      <c r="AD2446" s="14">
        <v>1</v>
      </c>
      <c r="AE2446" s="14">
        <v>1</v>
      </c>
      <c r="AF2446" s="14" t="s">
        <v>413</v>
      </c>
    </row>
    <row r="2447" spans="1:32" ht="14.25" customHeight="1" x14ac:dyDescent="0.35">
      <c r="A2447" s="16" t="s">
        <v>1672</v>
      </c>
      <c r="B2447" s="16" t="s">
        <v>441</v>
      </c>
      <c r="C2447" s="16"/>
      <c r="D2447" s="16" t="s">
        <v>418</v>
      </c>
      <c r="E2447" s="17">
        <v>41640</v>
      </c>
      <c r="F2447" s="17">
        <v>42004</v>
      </c>
      <c r="G2447" s="16" t="s">
        <v>410</v>
      </c>
      <c r="H2447" s="16">
        <v>1</v>
      </c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6"/>
      <c r="AA2447" s="16"/>
      <c r="AB2447" s="16"/>
      <c r="AC2447" s="16"/>
      <c r="AD2447" s="16"/>
      <c r="AE2447" s="16"/>
      <c r="AF2447" s="16" t="s">
        <v>413</v>
      </c>
    </row>
    <row r="2448" spans="1:32" ht="14.25" customHeight="1" x14ac:dyDescent="0.35">
      <c r="A2448" s="14" t="s">
        <v>1673</v>
      </c>
      <c r="B2448" s="14" t="s">
        <v>441</v>
      </c>
      <c r="C2448" s="14"/>
      <c r="D2448" s="14" t="s">
        <v>417</v>
      </c>
      <c r="E2448" s="15">
        <v>41640</v>
      </c>
      <c r="F2448" s="15">
        <v>42004</v>
      </c>
      <c r="G2448" s="14" t="s">
        <v>415</v>
      </c>
      <c r="H2448" s="14">
        <v>1</v>
      </c>
      <c r="I2448" s="14">
        <v>1</v>
      </c>
      <c r="J2448" s="14">
        <v>1</v>
      </c>
      <c r="K2448" s="14">
        <v>1</v>
      </c>
      <c r="L2448" s="14">
        <v>1</v>
      </c>
      <c r="M2448" s="14">
        <v>1</v>
      </c>
      <c r="N2448" s="14">
        <v>1</v>
      </c>
      <c r="O2448" s="14">
        <v>1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1</v>
      </c>
      <c r="Z2448" s="14">
        <v>1</v>
      </c>
      <c r="AA2448" s="14">
        <v>1</v>
      </c>
      <c r="AB2448" s="14">
        <v>1</v>
      </c>
      <c r="AC2448" s="14">
        <v>1</v>
      </c>
      <c r="AD2448" s="14">
        <v>1</v>
      </c>
      <c r="AE2448" s="14">
        <v>1</v>
      </c>
      <c r="AF2448" s="14" t="s">
        <v>413</v>
      </c>
    </row>
    <row r="2449" spans="1:32" ht="14.25" customHeight="1" x14ac:dyDescent="0.35">
      <c r="A2449" s="16" t="s">
        <v>1673</v>
      </c>
      <c r="B2449" s="16" t="s">
        <v>441</v>
      </c>
      <c r="C2449" s="16"/>
      <c r="D2449" s="16" t="s">
        <v>512</v>
      </c>
      <c r="E2449" s="17">
        <v>41640</v>
      </c>
      <c r="F2449" s="17">
        <v>42004</v>
      </c>
      <c r="G2449" s="16" t="s">
        <v>415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  <c r="AC2449" s="16">
        <v>0</v>
      </c>
      <c r="AD2449" s="16">
        <v>1</v>
      </c>
      <c r="AE2449" s="16">
        <v>1</v>
      </c>
      <c r="AF2449" s="16" t="s">
        <v>413</v>
      </c>
    </row>
    <row r="2450" spans="1:32" ht="14.25" customHeight="1" x14ac:dyDescent="0.35">
      <c r="A2450" s="14" t="s">
        <v>1673</v>
      </c>
      <c r="B2450" s="14" t="s">
        <v>441</v>
      </c>
      <c r="C2450" s="14"/>
      <c r="D2450" s="14" t="s">
        <v>556</v>
      </c>
      <c r="E2450" s="15">
        <v>41640</v>
      </c>
      <c r="F2450" s="15">
        <v>42004</v>
      </c>
      <c r="G2450" s="14" t="s">
        <v>415</v>
      </c>
      <c r="H2450" s="14">
        <v>1</v>
      </c>
      <c r="I2450" s="14">
        <v>1</v>
      </c>
      <c r="J2450" s="14">
        <v>1</v>
      </c>
      <c r="K2450" s="14">
        <v>1</v>
      </c>
      <c r="L2450" s="14">
        <v>1</v>
      </c>
      <c r="M2450" s="14">
        <v>1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  <c r="AC2450" s="14">
        <v>1</v>
      </c>
      <c r="AD2450" s="14">
        <v>1</v>
      </c>
      <c r="AE2450" s="14">
        <v>1</v>
      </c>
      <c r="AF2450" s="14" t="s">
        <v>413</v>
      </c>
    </row>
    <row r="2451" spans="1:32" ht="14.25" customHeight="1" x14ac:dyDescent="0.35">
      <c r="A2451" s="16" t="s">
        <v>1673</v>
      </c>
      <c r="B2451" s="16" t="s">
        <v>441</v>
      </c>
      <c r="C2451" s="16"/>
      <c r="D2451" s="16" t="s">
        <v>418</v>
      </c>
      <c r="E2451" s="17">
        <v>41640</v>
      </c>
      <c r="F2451" s="17">
        <v>42004</v>
      </c>
      <c r="G2451" s="16" t="s">
        <v>410</v>
      </c>
      <c r="H2451" s="16">
        <v>1</v>
      </c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  <c r="AB2451" s="16"/>
      <c r="AC2451" s="16"/>
      <c r="AD2451" s="16"/>
      <c r="AE2451" s="16"/>
      <c r="AF2451" s="16" t="s">
        <v>413</v>
      </c>
    </row>
    <row r="2452" spans="1:32" ht="14.25" customHeight="1" x14ac:dyDescent="0.35">
      <c r="A2452" s="14" t="s">
        <v>1674</v>
      </c>
      <c r="B2452" s="14" t="s">
        <v>441</v>
      </c>
      <c r="C2452" s="14"/>
      <c r="D2452" s="14" t="s">
        <v>417</v>
      </c>
      <c r="E2452" s="15">
        <v>41640</v>
      </c>
      <c r="F2452" s="15">
        <v>42004</v>
      </c>
      <c r="G2452" s="14" t="s">
        <v>415</v>
      </c>
      <c r="H2452" s="14">
        <v>1</v>
      </c>
      <c r="I2452" s="14">
        <v>1</v>
      </c>
      <c r="J2452" s="14">
        <v>1</v>
      </c>
      <c r="K2452" s="14">
        <v>1</v>
      </c>
      <c r="L2452" s="14">
        <v>1</v>
      </c>
      <c r="M2452" s="14">
        <v>1</v>
      </c>
      <c r="N2452" s="14">
        <v>1</v>
      </c>
      <c r="O2452" s="14">
        <v>1</v>
      </c>
      <c r="P2452" s="14">
        <v>0.25</v>
      </c>
      <c r="Q2452" s="14">
        <v>0.25</v>
      </c>
      <c r="R2452" s="14">
        <v>0.25</v>
      </c>
      <c r="S2452" s="14">
        <v>0.25</v>
      </c>
      <c r="T2452" s="14">
        <v>0.25</v>
      </c>
      <c r="U2452" s="14">
        <v>0.25</v>
      </c>
      <c r="V2452" s="14">
        <v>0.25</v>
      </c>
      <c r="W2452" s="14">
        <v>0.25</v>
      </c>
      <c r="X2452" s="14">
        <v>0.25</v>
      </c>
      <c r="Y2452" s="14">
        <v>0.25</v>
      </c>
      <c r="Z2452" s="14">
        <v>0.25</v>
      </c>
      <c r="AA2452" s="14">
        <v>1</v>
      </c>
      <c r="AB2452" s="14">
        <v>1</v>
      </c>
      <c r="AC2452" s="14">
        <v>1</v>
      </c>
      <c r="AD2452" s="14">
        <v>1</v>
      </c>
      <c r="AE2452" s="14">
        <v>1</v>
      </c>
      <c r="AF2452" s="14" t="s">
        <v>413</v>
      </c>
    </row>
    <row r="2453" spans="1:32" ht="14.25" customHeight="1" x14ac:dyDescent="0.35">
      <c r="A2453" s="14" t="s">
        <v>1674</v>
      </c>
      <c r="B2453" s="14" t="s">
        <v>441</v>
      </c>
      <c r="C2453" s="14"/>
      <c r="D2453" s="14" t="s">
        <v>556</v>
      </c>
      <c r="E2453" s="15">
        <v>41640</v>
      </c>
      <c r="F2453" s="15">
        <v>42004</v>
      </c>
      <c r="G2453" s="14" t="s">
        <v>415</v>
      </c>
      <c r="H2453" s="14">
        <v>1</v>
      </c>
      <c r="I2453" s="14">
        <v>1</v>
      </c>
      <c r="J2453" s="14">
        <v>1</v>
      </c>
      <c r="K2453" s="14">
        <v>1</v>
      </c>
      <c r="L2453" s="14">
        <v>1</v>
      </c>
      <c r="M2453" s="14">
        <v>1</v>
      </c>
      <c r="N2453" s="14">
        <v>0.25</v>
      </c>
      <c r="O2453" s="14">
        <v>0.25</v>
      </c>
      <c r="P2453" s="14">
        <v>0.25</v>
      </c>
      <c r="Q2453" s="14">
        <v>0.25</v>
      </c>
      <c r="R2453" s="14">
        <v>0.25</v>
      </c>
      <c r="S2453" s="14">
        <v>0.25</v>
      </c>
      <c r="T2453" s="14">
        <v>0.25</v>
      </c>
      <c r="U2453" s="14">
        <v>0.25</v>
      </c>
      <c r="V2453" s="14">
        <v>0.25</v>
      </c>
      <c r="W2453" s="14">
        <v>0.25</v>
      </c>
      <c r="X2453" s="14">
        <v>0.25</v>
      </c>
      <c r="Y2453" s="14">
        <v>0.25</v>
      </c>
      <c r="Z2453" s="14">
        <v>0.25</v>
      </c>
      <c r="AA2453" s="14">
        <v>0.25</v>
      </c>
      <c r="AB2453" s="14">
        <v>0.25</v>
      </c>
      <c r="AC2453" s="14">
        <v>1</v>
      </c>
      <c r="AD2453" s="14">
        <v>1</v>
      </c>
      <c r="AE2453" s="14">
        <v>1</v>
      </c>
      <c r="AF2453" s="14" t="s">
        <v>413</v>
      </c>
    </row>
    <row r="2454" spans="1:32" ht="14.25" customHeight="1" x14ac:dyDescent="0.35">
      <c r="A2454" s="16" t="s">
        <v>1674</v>
      </c>
      <c r="B2454" s="16" t="s">
        <v>441</v>
      </c>
      <c r="C2454" s="16"/>
      <c r="D2454" s="16" t="s">
        <v>514</v>
      </c>
      <c r="E2454" s="17">
        <v>41640</v>
      </c>
      <c r="F2454" s="17">
        <v>42004</v>
      </c>
      <c r="G2454" s="16" t="s">
        <v>415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0.25</v>
      </c>
      <c r="O2454" s="16">
        <v>0.25</v>
      </c>
      <c r="P2454" s="16">
        <v>0.25</v>
      </c>
      <c r="Q2454" s="16">
        <v>0.25</v>
      </c>
      <c r="R2454" s="16">
        <v>0.25</v>
      </c>
      <c r="S2454" s="16">
        <v>0.25</v>
      </c>
      <c r="T2454" s="16">
        <v>0.25</v>
      </c>
      <c r="U2454" s="16">
        <v>0.25</v>
      </c>
      <c r="V2454" s="16">
        <v>0.25</v>
      </c>
      <c r="W2454" s="16">
        <v>0.25</v>
      </c>
      <c r="X2454" s="16">
        <v>0.25</v>
      </c>
      <c r="Y2454" s="16">
        <v>0.25</v>
      </c>
      <c r="Z2454" s="16">
        <v>0.25</v>
      </c>
      <c r="AA2454" s="16">
        <v>0.25</v>
      </c>
      <c r="AB2454" s="16">
        <v>0.25</v>
      </c>
      <c r="AC2454" s="16">
        <v>0.25</v>
      </c>
      <c r="AD2454" s="16">
        <v>1</v>
      </c>
      <c r="AE2454" s="16">
        <v>1</v>
      </c>
      <c r="AF2454" s="16" t="s">
        <v>413</v>
      </c>
    </row>
    <row r="2455" spans="1:32" ht="14.25" customHeight="1" x14ac:dyDescent="0.35">
      <c r="A2455" s="16" t="s">
        <v>1675</v>
      </c>
      <c r="B2455" s="16" t="s">
        <v>550</v>
      </c>
      <c r="C2455" s="16"/>
      <c r="D2455" s="16" t="s">
        <v>417</v>
      </c>
      <c r="E2455" s="17">
        <v>41640</v>
      </c>
      <c r="F2455" s="17">
        <v>42004</v>
      </c>
      <c r="G2455" s="16" t="s">
        <v>415</v>
      </c>
      <c r="H2455" s="16">
        <v>0</v>
      </c>
      <c r="I2455" s="16">
        <v>0</v>
      </c>
      <c r="J2455" s="16">
        <v>0</v>
      </c>
      <c r="K2455" s="16">
        <v>0</v>
      </c>
      <c r="L2455" s="16">
        <v>0</v>
      </c>
      <c r="M2455" s="16">
        <v>0</v>
      </c>
      <c r="N2455" s="16">
        <v>0</v>
      </c>
      <c r="O2455" s="16">
        <v>0</v>
      </c>
      <c r="P2455" s="16">
        <v>0</v>
      </c>
      <c r="Q2455" s="16">
        <v>1</v>
      </c>
      <c r="R2455" s="16">
        <v>1</v>
      </c>
      <c r="S2455" s="16">
        <v>1</v>
      </c>
      <c r="T2455" s="16">
        <v>1</v>
      </c>
      <c r="U2455" s="16">
        <v>1</v>
      </c>
      <c r="V2455" s="16">
        <v>1</v>
      </c>
      <c r="W2455" s="16">
        <v>1</v>
      </c>
      <c r="X2455" s="16">
        <v>1</v>
      </c>
      <c r="Y2455" s="16">
        <v>1</v>
      </c>
      <c r="Z2455" s="16">
        <v>1</v>
      </c>
      <c r="AA2455" s="16">
        <v>0</v>
      </c>
      <c r="AB2455" s="16">
        <v>0</v>
      </c>
      <c r="AC2455" s="16">
        <v>0</v>
      </c>
      <c r="AD2455" s="16">
        <v>0</v>
      </c>
      <c r="AE2455" s="16">
        <v>0</v>
      </c>
      <c r="AF2455" s="16" t="s">
        <v>413</v>
      </c>
    </row>
    <row r="2456" spans="1:32" ht="14.25" customHeight="1" x14ac:dyDescent="0.35">
      <c r="A2456" s="14" t="s">
        <v>1675</v>
      </c>
      <c r="B2456" s="14" t="s">
        <v>550</v>
      </c>
      <c r="C2456" s="14"/>
      <c r="D2456" s="14" t="s">
        <v>512</v>
      </c>
      <c r="E2456" s="15">
        <v>41640</v>
      </c>
      <c r="F2456" s="15">
        <v>42004</v>
      </c>
      <c r="G2456" s="14" t="s">
        <v>415</v>
      </c>
      <c r="H2456" s="14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1</v>
      </c>
      <c r="P2456" s="14">
        <v>1</v>
      </c>
      <c r="Q2456" s="14">
        <v>1</v>
      </c>
      <c r="R2456" s="14">
        <v>1</v>
      </c>
      <c r="S2456" s="14">
        <v>1</v>
      </c>
      <c r="T2456" s="14">
        <v>1</v>
      </c>
      <c r="U2456" s="14">
        <v>1</v>
      </c>
      <c r="V2456" s="14">
        <v>1</v>
      </c>
      <c r="W2456" s="14">
        <v>1</v>
      </c>
      <c r="X2456" s="14">
        <v>1</v>
      </c>
      <c r="Y2456" s="14">
        <v>1</v>
      </c>
      <c r="Z2456" s="14">
        <v>1</v>
      </c>
      <c r="AA2456" s="14">
        <v>1</v>
      </c>
      <c r="AB2456" s="14">
        <v>1</v>
      </c>
      <c r="AC2456" s="14">
        <v>1</v>
      </c>
      <c r="AD2456" s="14">
        <v>0</v>
      </c>
      <c r="AE2456" s="14">
        <v>0</v>
      </c>
      <c r="AF2456" s="14" t="s">
        <v>413</v>
      </c>
    </row>
    <row r="2457" spans="1:32" ht="14.25" customHeight="1" x14ac:dyDescent="0.35">
      <c r="A2457" s="16" t="s">
        <v>1675</v>
      </c>
      <c r="B2457" s="16" t="s">
        <v>550</v>
      </c>
      <c r="C2457" s="16"/>
      <c r="D2457" s="16" t="s">
        <v>556</v>
      </c>
      <c r="E2457" s="17">
        <v>41640</v>
      </c>
      <c r="F2457" s="17">
        <v>42004</v>
      </c>
      <c r="G2457" s="16" t="s">
        <v>415</v>
      </c>
      <c r="H2457" s="16">
        <v>0</v>
      </c>
      <c r="I2457" s="16">
        <v>0</v>
      </c>
      <c r="J2457" s="16">
        <v>0</v>
      </c>
      <c r="K2457" s="16">
        <v>0</v>
      </c>
      <c r="L2457" s="16">
        <v>0</v>
      </c>
      <c r="M2457" s="16">
        <v>0</v>
      </c>
      <c r="N2457" s="16">
        <v>0</v>
      </c>
      <c r="O2457" s="16">
        <v>1</v>
      </c>
      <c r="P2457" s="16">
        <v>1</v>
      </c>
      <c r="Q2457" s="16">
        <v>1</v>
      </c>
      <c r="R2457" s="16">
        <v>1</v>
      </c>
      <c r="S2457" s="16">
        <v>1</v>
      </c>
      <c r="T2457" s="16">
        <v>1</v>
      </c>
      <c r="U2457" s="16">
        <v>1</v>
      </c>
      <c r="V2457" s="16">
        <v>1</v>
      </c>
      <c r="W2457" s="16">
        <v>1</v>
      </c>
      <c r="X2457" s="16">
        <v>1</v>
      </c>
      <c r="Y2457" s="16">
        <v>1</v>
      </c>
      <c r="Z2457" s="16">
        <v>1</v>
      </c>
      <c r="AA2457" s="16">
        <v>1</v>
      </c>
      <c r="AB2457" s="16">
        <v>1</v>
      </c>
      <c r="AC2457" s="16">
        <v>0</v>
      </c>
      <c r="AD2457" s="16">
        <v>0</v>
      </c>
      <c r="AE2457" s="16">
        <v>0</v>
      </c>
      <c r="AF2457" s="16" t="s">
        <v>413</v>
      </c>
    </row>
    <row r="2458" spans="1:32" ht="14.25" customHeight="1" x14ac:dyDescent="0.35">
      <c r="A2458" s="14" t="s">
        <v>1675</v>
      </c>
      <c r="B2458" s="14" t="s">
        <v>550</v>
      </c>
      <c r="C2458" s="14"/>
      <c r="D2458" s="14" t="s">
        <v>418</v>
      </c>
      <c r="E2458" s="15">
        <v>41640</v>
      </c>
      <c r="F2458" s="15">
        <v>42004</v>
      </c>
      <c r="G2458" s="14" t="s">
        <v>410</v>
      </c>
      <c r="H2458" s="14">
        <v>1</v>
      </c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 t="s">
        <v>413</v>
      </c>
    </row>
    <row r="2459" spans="1:32" ht="14.25" customHeight="1" x14ac:dyDescent="0.35">
      <c r="A2459" s="16" t="s">
        <v>1676</v>
      </c>
      <c r="B2459" s="16" t="s">
        <v>550</v>
      </c>
      <c r="C2459" s="16"/>
      <c r="D2459" s="16" t="s">
        <v>409</v>
      </c>
      <c r="E2459" s="17">
        <v>41640</v>
      </c>
      <c r="F2459" s="17">
        <v>42004</v>
      </c>
      <c r="G2459" s="16" t="s">
        <v>410</v>
      </c>
      <c r="H2459" s="16">
        <v>1</v>
      </c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16"/>
      <c r="AA2459" s="16"/>
      <c r="AB2459" s="16"/>
      <c r="AC2459" s="16"/>
      <c r="AD2459" s="16"/>
      <c r="AE2459" s="16"/>
      <c r="AF2459" s="16" t="s">
        <v>413</v>
      </c>
    </row>
    <row r="2460" spans="1:32" ht="14.25" customHeight="1" x14ac:dyDescent="0.35">
      <c r="A2460" s="14" t="s">
        <v>1677</v>
      </c>
      <c r="B2460" s="14" t="s">
        <v>408</v>
      </c>
      <c r="C2460" s="14"/>
      <c r="D2460" s="14" t="s">
        <v>409</v>
      </c>
      <c r="E2460" s="15">
        <v>41640</v>
      </c>
      <c r="F2460" s="15">
        <v>42004</v>
      </c>
      <c r="G2460" s="14" t="s">
        <v>410</v>
      </c>
      <c r="H2460" s="14">
        <v>1</v>
      </c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 t="s">
        <v>413</v>
      </c>
    </row>
    <row r="2461" spans="1:32" ht="14.25" customHeight="1" x14ac:dyDescent="0.35">
      <c r="A2461" s="16" t="s">
        <v>1678</v>
      </c>
      <c r="B2461" s="16" t="s">
        <v>408</v>
      </c>
      <c r="C2461" s="16"/>
      <c r="D2461" s="16" t="s">
        <v>409</v>
      </c>
      <c r="E2461" s="17">
        <v>41640</v>
      </c>
      <c r="F2461" s="17">
        <v>42004</v>
      </c>
      <c r="G2461" s="16" t="s">
        <v>410</v>
      </c>
      <c r="H2461" s="16">
        <v>1</v>
      </c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/>
      <c r="AC2461" s="16"/>
      <c r="AD2461" s="16"/>
      <c r="AE2461" s="16"/>
      <c r="AF2461" s="16" t="s">
        <v>413</v>
      </c>
    </row>
    <row r="2462" spans="1:32" ht="14.25" customHeight="1" x14ac:dyDescent="0.35">
      <c r="A2462" s="14" t="s">
        <v>1679</v>
      </c>
      <c r="B2462" s="14" t="s">
        <v>408</v>
      </c>
      <c r="C2462" s="14" t="s">
        <v>414</v>
      </c>
      <c r="D2462" s="14" t="s">
        <v>409</v>
      </c>
      <c r="E2462" s="15">
        <v>41640</v>
      </c>
      <c r="F2462" s="15">
        <v>42004</v>
      </c>
      <c r="G2462" s="14" t="s">
        <v>410</v>
      </c>
      <c r="H2462" s="14">
        <v>13</v>
      </c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 t="s">
        <v>413</v>
      </c>
    </row>
    <row r="2463" spans="1:32" ht="14.25" customHeight="1" x14ac:dyDescent="0.35">
      <c r="A2463" s="16" t="s">
        <v>1679</v>
      </c>
      <c r="B2463" s="16" t="s">
        <v>408</v>
      </c>
      <c r="C2463" s="16" t="s">
        <v>414</v>
      </c>
      <c r="D2463" s="16" t="s">
        <v>454</v>
      </c>
      <c r="E2463" s="17">
        <v>41913</v>
      </c>
      <c r="F2463" s="17">
        <v>42004</v>
      </c>
      <c r="G2463" s="16" t="s">
        <v>410</v>
      </c>
      <c r="H2463" s="16">
        <v>13</v>
      </c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  <c r="AC2463" s="16"/>
      <c r="AD2463" s="16"/>
      <c r="AE2463" s="16"/>
      <c r="AF2463" s="16" t="s">
        <v>413</v>
      </c>
    </row>
    <row r="2464" spans="1:32" ht="14.25" customHeight="1" x14ac:dyDescent="0.35">
      <c r="A2464" s="14" t="s">
        <v>1679</v>
      </c>
      <c r="B2464" s="14" t="s">
        <v>408</v>
      </c>
      <c r="C2464" s="14" t="s">
        <v>414</v>
      </c>
      <c r="D2464" s="14" t="s">
        <v>454</v>
      </c>
      <c r="E2464" s="15">
        <v>41640</v>
      </c>
      <c r="F2464" s="15">
        <v>41729</v>
      </c>
      <c r="G2464" s="14" t="s">
        <v>410</v>
      </c>
      <c r="H2464" s="14">
        <v>13</v>
      </c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 t="s">
        <v>413</v>
      </c>
    </row>
    <row r="2465" spans="1:32" ht="14.25" customHeight="1" x14ac:dyDescent="0.35">
      <c r="A2465" s="16" t="s">
        <v>1680</v>
      </c>
      <c r="B2465" s="16" t="s">
        <v>408</v>
      </c>
      <c r="C2465" s="16" t="s">
        <v>412</v>
      </c>
      <c r="D2465" s="16" t="s">
        <v>409</v>
      </c>
      <c r="E2465" s="17">
        <v>41640</v>
      </c>
      <c r="F2465" s="17">
        <v>42004</v>
      </c>
      <c r="G2465" s="16" t="s">
        <v>410</v>
      </c>
      <c r="H2465" s="16">
        <v>0</v>
      </c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6"/>
      <c r="AA2465" s="16"/>
      <c r="AB2465" s="16"/>
      <c r="AC2465" s="16"/>
      <c r="AD2465" s="16"/>
      <c r="AE2465" s="16"/>
      <c r="AF2465" s="16" t="s">
        <v>413</v>
      </c>
    </row>
    <row r="2466" spans="1:32" ht="14.25" customHeight="1" x14ac:dyDescent="0.35">
      <c r="A2466" s="14" t="s">
        <v>1681</v>
      </c>
      <c r="B2466" s="14" t="s">
        <v>408</v>
      </c>
      <c r="C2466" s="14"/>
      <c r="D2466" s="14" t="s">
        <v>409</v>
      </c>
      <c r="E2466" s="15">
        <v>41640</v>
      </c>
      <c r="F2466" s="15">
        <v>42004</v>
      </c>
      <c r="G2466" s="14" t="s">
        <v>410</v>
      </c>
      <c r="H2466" s="14">
        <v>0</v>
      </c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 t="s">
        <v>413</v>
      </c>
    </row>
    <row r="2467" spans="1:32" ht="14.25" customHeight="1" x14ac:dyDescent="0.35">
      <c r="A2467" s="14" t="s">
        <v>1682</v>
      </c>
      <c r="B2467" s="14" t="s">
        <v>408</v>
      </c>
      <c r="C2467" s="14" t="s">
        <v>412</v>
      </c>
      <c r="D2467" s="14" t="s">
        <v>409</v>
      </c>
      <c r="E2467" s="15">
        <v>41640</v>
      </c>
      <c r="F2467" s="15">
        <v>42004</v>
      </c>
      <c r="G2467" s="14" t="s">
        <v>410</v>
      </c>
      <c r="H2467" s="14">
        <v>0.2</v>
      </c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 t="s">
        <v>413</v>
      </c>
    </row>
    <row r="2468" spans="1:32" ht="14.25" customHeight="1" x14ac:dyDescent="0.35">
      <c r="A2468" s="16" t="s">
        <v>1683</v>
      </c>
      <c r="B2468" s="16" t="s">
        <v>408</v>
      </c>
      <c r="C2468" s="16"/>
      <c r="D2468" s="16" t="s">
        <v>409</v>
      </c>
      <c r="E2468" s="17">
        <v>41640</v>
      </c>
      <c r="F2468" s="17">
        <v>42004</v>
      </c>
      <c r="G2468" s="16" t="s">
        <v>410</v>
      </c>
      <c r="H2468" s="16">
        <v>1</v>
      </c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16"/>
      <c r="AA2468" s="16"/>
      <c r="AB2468" s="16"/>
      <c r="AC2468" s="16"/>
      <c r="AD2468" s="16"/>
      <c r="AE2468" s="16"/>
      <c r="AF2468" s="16" t="s">
        <v>413</v>
      </c>
    </row>
    <row r="2469" spans="1:32" ht="14.25" customHeight="1" x14ac:dyDescent="0.35">
      <c r="A2469" s="14" t="s">
        <v>1684</v>
      </c>
      <c r="B2469" s="14" t="s">
        <v>518</v>
      </c>
      <c r="C2469" s="14" t="s">
        <v>412</v>
      </c>
      <c r="D2469" s="14" t="s">
        <v>453</v>
      </c>
      <c r="E2469" s="15">
        <v>41640</v>
      </c>
      <c r="F2469" s="15">
        <v>42004</v>
      </c>
      <c r="G2469" s="14" t="s">
        <v>410</v>
      </c>
      <c r="H2469" s="14">
        <v>0.5</v>
      </c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 t="s">
        <v>413</v>
      </c>
    </row>
    <row r="2470" spans="1:32" ht="14.25" customHeight="1" x14ac:dyDescent="0.35">
      <c r="A2470" s="14" t="s">
        <v>1684</v>
      </c>
      <c r="B2470" s="14" t="s">
        <v>518</v>
      </c>
      <c r="C2470" s="14" t="s">
        <v>412</v>
      </c>
      <c r="D2470" s="14" t="s">
        <v>454</v>
      </c>
      <c r="E2470" s="15">
        <v>41913</v>
      </c>
      <c r="F2470" s="15">
        <v>42004</v>
      </c>
      <c r="G2470" s="14" t="s">
        <v>410</v>
      </c>
      <c r="H2470" s="14">
        <v>1</v>
      </c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 t="s">
        <v>413</v>
      </c>
    </row>
    <row r="2471" spans="1:32" ht="14.25" customHeight="1" x14ac:dyDescent="0.35">
      <c r="A2471" s="16" t="s">
        <v>1684</v>
      </c>
      <c r="B2471" s="16" t="s">
        <v>518</v>
      </c>
      <c r="C2471" s="16" t="s">
        <v>412</v>
      </c>
      <c r="D2471" s="16" t="s">
        <v>454</v>
      </c>
      <c r="E2471" s="17">
        <v>41640</v>
      </c>
      <c r="F2471" s="17">
        <v>41759</v>
      </c>
      <c r="G2471" s="16" t="s">
        <v>410</v>
      </c>
      <c r="H2471" s="16">
        <v>1</v>
      </c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  <c r="AA2471" s="16"/>
      <c r="AB2471" s="16"/>
      <c r="AC2471" s="16"/>
      <c r="AD2471" s="16"/>
      <c r="AE2471" s="16"/>
      <c r="AF2471" s="16" t="s">
        <v>413</v>
      </c>
    </row>
    <row r="2472" spans="1:32" ht="14.25" customHeight="1" x14ac:dyDescent="0.35">
      <c r="A2472" s="16" t="s">
        <v>1684</v>
      </c>
      <c r="B2472" s="16" t="s">
        <v>518</v>
      </c>
      <c r="C2472" s="16" t="s">
        <v>412</v>
      </c>
      <c r="D2472" s="16" t="s">
        <v>418</v>
      </c>
      <c r="E2472" s="17">
        <v>41640</v>
      </c>
      <c r="F2472" s="17">
        <v>42004</v>
      </c>
      <c r="G2472" s="16" t="s">
        <v>410</v>
      </c>
      <c r="H2472" s="16">
        <v>1</v>
      </c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6"/>
      <c r="AA2472" s="16"/>
      <c r="AB2472" s="16"/>
      <c r="AC2472" s="16"/>
      <c r="AD2472" s="16"/>
      <c r="AE2472" s="16"/>
      <c r="AF2472" s="16" t="s">
        <v>413</v>
      </c>
    </row>
    <row r="2473" spans="1:32" ht="14.25" customHeight="1" x14ac:dyDescent="0.35">
      <c r="A2473" s="14" t="s">
        <v>1685</v>
      </c>
      <c r="B2473" s="14" t="s">
        <v>408</v>
      </c>
      <c r="C2473" s="14"/>
      <c r="D2473" s="14" t="s">
        <v>409</v>
      </c>
      <c r="E2473" s="15">
        <v>41640</v>
      </c>
      <c r="F2473" s="15">
        <v>42004</v>
      </c>
      <c r="G2473" s="14" t="s">
        <v>410</v>
      </c>
      <c r="H2473" s="14">
        <v>4</v>
      </c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 t="s">
        <v>413</v>
      </c>
    </row>
    <row r="2474" spans="1:32" ht="14.25" customHeight="1" x14ac:dyDescent="0.35">
      <c r="A2474" s="16" t="s">
        <v>1686</v>
      </c>
      <c r="B2474" s="16" t="s">
        <v>408</v>
      </c>
      <c r="C2474" s="16"/>
      <c r="D2474" s="16" t="s">
        <v>409</v>
      </c>
      <c r="E2474" s="17">
        <v>41640</v>
      </c>
      <c r="F2474" s="17">
        <v>42004</v>
      </c>
      <c r="G2474" s="16" t="s">
        <v>415</v>
      </c>
      <c r="H2474" s="16">
        <v>0.5</v>
      </c>
      <c r="I2474" s="16">
        <v>0.5</v>
      </c>
      <c r="J2474" s="16">
        <v>0.5</v>
      </c>
      <c r="K2474" s="16">
        <v>0.5</v>
      </c>
      <c r="L2474" s="16">
        <v>0.5</v>
      </c>
      <c r="M2474" s="16">
        <v>0.5</v>
      </c>
      <c r="N2474" s="16">
        <v>0.5</v>
      </c>
      <c r="O2474" s="16">
        <v>0.5</v>
      </c>
      <c r="P2474" s="16">
        <v>0.5</v>
      </c>
      <c r="Q2474" s="16">
        <v>1</v>
      </c>
      <c r="R2474" s="16">
        <v>1</v>
      </c>
      <c r="S2474" s="16">
        <v>1</v>
      </c>
      <c r="T2474" s="16">
        <v>1</v>
      </c>
      <c r="U2474" s="16">
        <v>1</v>
      </c>
      <c r="V2474" s="16">
        <v>1</v>
      </c>
      <c r="W2474" s="16">
        <v>1</v>
      </c>
      <c r="X2474" s="16">
        <v>1</v>
      </c>
      <c r="Y2474" s="16">
        <v>1</v>
      </c>
      <c r="Z2474" s="16">
        <v>1</v>
      </c>
      <c r="AA2474" s="16">
        <v>1</v>
      </c>
      <c r="AB2474" s="16">
        <v>1</v>
      </c>
      <c r="AC2474" s="16">
        <v>1</v>
      </c>
      <c r="AD2474" s="16">
        <v>1</v>
      </c>
      <c r="AE2474" s="16">
        <v>1</v>
      </c>
      <c r="AF2474" s="16" t="s">
        <v>413</v>
      </c>
    </row>
    <row r="2475" spans="1:32" ht="14.25" customHeight="1" x14ac:dyDescent="0.35">
      <c r="A2475" s="14" t="s">
        <v>1687</v>
      </c>
      <c r="B2475" s="14" t="s">
        <v>408</v>
      </c>
      <c r="C2475" s="14"/>
      <c r="D2475" s="14" t="s">
        <v>409</v>
      </c>
      <c r="E2475" s="15">
        <v>41640</v>
      </c>
      <c r="F2475" s="15">
        <v>42004</v>
      </c>
      <c r="G2475" s="14" t="s">
        <v>410</v>
      </c>
      <c r="H2475" s="14">
        <v>1</v>
      </c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 t="s">
        <v>413</v>
      </c>
    </row>
    <row r="2476" spans="1:32" ht="14.25" customHeight="1" x14ac:dyDescent="0.35">
      <c r="A2476" s="16" t="s">
        <v>1688</v>
      </c>
      <c r="B2476" s="16" t="s">
        <v>424</v>
      </c>
      <c r="C2476" s="16"/>
      <c r="D2476" s="16" t="s">
        <v>409</v>
      </c>
      <c r="E2476" s="17">
        <v>41640</v>
      </c>
      <c r="F2476" s="17">
        <v>42004</v>
      </c>
      <c r="G2476" s="16" t="s">
        <v>415</v>
      </c>
      <c r="H2476" s="16">
        <v>0</v>
      </c>
      <c r="I2476" s="16">
        <v>0</v>
      </c>
      <c r="J2476" s="16">
        <v>0</v>
      </c>
      <c r="K2476" s="16">
        <v>0</v>
      </c>
      <c r="L2476" s="16">
        <v>0</v>
      </c>
      <c r="M2476" s="16">
        <v>0</v>
      </c>
      <c r="N2476" s="16">
        <v>1</v>
      </c>
      <c r="O2476" s="16">
        <v>1</v>
      </c>
      <c r="P2476" s="16">
        <v>1</v>
      </c>
      <c r="Q2476" s="16">
        <v>1</v>
      </c>
      <c r="R2476" s="16">
        <v>1</v>
      </c>
      <c r="S2476" s="16">
        <v>1</v>
      </c>
      <c r="T2476" s="16">
        <v>1</v>
      </c>
      <c r="U2476" s="16">
        <v>1</v>
      </c>
      <c r="V2476" s="16">
        <v>1</v>
      </c>
      <c r="W2476" s="16">
        <v>1</v>
      </c>
      <c r="X2476" s="16">
        <v>1</v>
      </c>
      <c r="Y2476" s="16">
        <v>1</v>
      </c>
      <c r="Z2476" s="16">
        <v>1</v>
      </c>
      <c r="AA2476" s="16">
        <v>1</v>
      </c>
      <c r="AB2476" s="16">
        <v>1</v>
      </c>
      <c r="AC2476" s="16">
        <v>1</v>
      </c>
      <c r="AD2476" s="16">
        <v>1</v>
      </c>
      <c r="AE2476" s="16">
        <v>1</v>
      </c>
      <c r="AF2476" s="16" t="s">
        <v>413</v>
      </c>
    </row>
    <row r="2477" spans="1:32" ht="14.25" customHeight="1" x14ac:dyDescent="0.35">
      <c r="A2477" s="14" t="s">
        <v>1689</v>
      </c>
      <c r="B2477" s="14" t="s">
        <v>424</v>
      </c>
      <c r="C2477" s="14"/>
      <c r="D2477" s="14" t="s">
        <v>409</v>
      </c>
      <c r="E2477" s="15">
        <v>41640</v>
      </c>
      <c r="F2477" s="15">
        <v>42004</v>
      </c>
      <c r="G2477" s="14" t="s">
        <v>415</v>
      </c>
      <c r="H2477" s="14">
        <v>0.7</v>
      </c>
      <c r="I2477" s="14">
        <v>0.7</v>
      </c>
      <c r="J2477" s="14">
        <v>0.7</v>
      </c>
      <c r="K2477" s="14">
        <v>0.7</v>
      </c>
      <c r="L2477" s="14">
        <v>0.7</v>
      </c>
      <c r="M2477" s="14">
        <v>0.7</v>
      </c>
      <c r="N2477" s="14">
        <v>1</v>
      </c>
      <c r="O2477" s="14">
        <v>1</v>
      </c>
      <c r="P2477" s="14">
        <v>1</v>
      </c>
      <c r="Q2477" s="14">
        <v>1</v>
      </c>
      <c r="R2477" s="14">
        <v>1</v>
      </c>
      <c r="S2477" s="14">
        <v>1</v>
      </c>
      <c r="T2477" s="14">
        <v>1</v>
      </c>
      <c r="U2477" s="14">
        <v>1</v>
      </c>
      <c r="V2477" s="14">
        <v>1</v>
      </c>
      <c r="W2477" s="14">
        <v>1</v>
      </c>
      <c r="X2477" s="14">
        <v>1</v>
      </c>
      <c r="Y2477" s="14">
        <v>1</v>
      </c>
      <c r="Z2477" s="14">
        <v>1</v>
      </c>
      <c r="AA2477" s="14">
        <v>1</v>
      </c>
      <c r="AB2477" s="14">
        <v>1</v>
      </c>
      <c r="AC2477" s="14">
        <v>1</v>
      </c>
      <c r="AD2477" s="14">
        <v>1</v>
      </c>
      <c r="AE2477" s="14">
        <v>1</v>
      </c>
      <c r="AF2477" s="14" t="s">
        <v>413</v>
      </c>
    </row>
    <row r="2478" spans="1:32" ht="14.25" customHeight="1" x14ac:dyDescent="0.35">
      <c r="A2478" s="16" t="s">
        <v>1690</v>
      </c>
      <c r="B2478" s="16" t="s">
        <v>408</v>
      </c>
      <c r="C2478" s="16" t="s">
        <v>412</v>
      </c>
      <c r="D2478" s="16" t="s">
        <v>409</v>
      </c>
      <c r="E2478" s="17">
        <v>41640</v>
      </c>
      <c r="F2478" s="17">
        <v>42004</v>
      </c>
      <c r="G2478" s="16" t="s">
        <v>410</v>
      </c>
      <c r="H2478" s="16">
        <v>60</v>
      </c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/>
      <c r="AC2478" s="16"/>
      <c r="AD2478" s="16"/>
      <c r="AE2478" s="16"/>
      <c r="AF2478" s="16" t="s">
        <v>413</v>
      </c>
    </row>
    <row r="2479" spans="1:32" ht="14.25" customHeight="1" x14ac:dyDescent="0.35">
      <c r="A2479" s="14" t="s">
        <v>1691</v>
      </c>
      <c r="B2479" s="14" t="s">
        <v>441</v>
      </c>
      <c r="C2479" s="14"/>
      <c r="D2479" s="14" t="s">
        <v>409</v>
      </c>
      <c r="E2479" s="15">
        <v>41640</v>
      </c>
      <c r="F2479" s="15">
        <v>42004</v>
      </c>
      <c r="G2479" s="14" t="s">
        <v>415</v>
      </c>
      <c r="H2479" s="14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0.14399999999999999</v>
      </c>
      <c r="Q2479" s="14">
        <v>0.14399999999999999</v>
      </c>
      <c r="R2479" s="14">
        <v>0.14399999999999999</v>
      </c>
      <c r="S2479" s="14">
        <v>0.14399999999999999</v>
      </c>
      <c r="T2479" s="14">
        <v>1</v>
      </c>
      <c r="U2479" s="14">
        <v>1</v>
      </c>
      <c r="V2479" s="14">
        <v>1</v>
      </c>
      <c r="W2479" s="14">
        <v>1</v>
      </c>
      <c r="X2479" s="14">
        <v>1</v>
      </c>
      <c r="Y2479" s="14">
        <v>1</v>
      </c>
      <c r="Z2479" s="14">
        <v>0.14399999999999999</v>
      </c>
      <c r="AA2479" s="14">
        <v>0.14399999999999999</v>
      </c>
      <c r="AB2479" s="14">
        <v>0</v>
      </c>
      <c r="AC2479" s="14">
        <v>0</v>
      </c>
      <c r="AD2479" s="14">
        <v>0</v>
      </c>
      <c r="AE2479" s="14">
        <v>0</v>
      </c>
      <c r="AF2479" s="14" t="s">
        <v>413</v>
      </c>
    </row>
    <row r="2480" spans="1:32" ht="14.25" customHeight="1" x14ac:dyDescent="0.35">
      <c r="A2480" s="16" t="s">
        <v>1692</v>
      </c>
      <c r="B2480" s="16" t="s">
        <v>550</v>
      </c>
      <c r="C2480" s="16"/>
      <c r="D2480" s="16" t="s">
        <v>409</v>
      </c>
      <c r="E2480" s="17">
        <v>41640</v>
      </c>
      <c r="F2480" s="17">
        <v>42004</v>
      </c>
      <c r="G2480" s="16" t="s">
        <v>410</v>
      </c>
      <c r="H2480" s="16">
        <v>1</v>
      </c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6"/>
      <c r="AA2480" s="16"/>
      <c r="AB2480" s="16"/>
      <c r="AC2480" s="16"/>
      <c r="AD2480" s="16"/>
      <c r="AE2480" s="16"/>
      <c r="AF2480" s="16" t="s">
        <v>413</v>
      </c>
    </row>
    <row r="2481" spans="1:32" ht="14.25" customHeight="1" x14ac:dyDescent="0.35">
      <c r="A2481" s="14" t="s">
        <v>1693</v>
      </c>
      <c r="B2481" s="14" t="s">
        <v>420</v>
      </c>
      <c r="C2481" s="14" t="s">
        <v>414</v>
      </c>
      <c r="D2481" s="14" t="s">
        <v>417</v>
      </c>
      <c r="E2481" s="15">
        <v>41640</v>
      </c>
      <c r="F2481" s="15">
        <v>42004</v>
      </c>
      <c r="G2481" s="14" t="s">
        <v>415</v>
      </c>
      <c r="H2481" s="14">
        <v>26.67</v>
      </c>
      <c r="I2481" s="14">
        <v>26.67</v>
      </c>
      <c r="J2481" s="14">
        <v>26.67</v>
      </c>
      <c r="K2481" s="14">
        <v>26.67</v>
      </c>
      <c r="L2481" s="14">
        <v>26.67</v>
      </c>
      <c r="M2481" s="14">
        <v>26.67</v>
      </c>
      <c r="N2481" s="14">
        <v>26.67</v>
      </c>
      <c r="O2481" s="14">
        <v>26.67</v>
      </c>
      <c r="P2481" s="14">
        <v>23.89</v>
      </c>
      <c r="Q2481" s="14">
        <v>23.89</v>
      </c>
      <c r="R2481" s="14">
        <v>23.89</v>
      </c>
      <c r="S2481" s="14">
        <v>23.89</v>
      </c>
      <c r="T2481" s="14">
        <v>23.89</v>
      </c>
      <c r="U2481" s="14">
        <v>23.89</v>
      </c>
      <c r="V2481" s="14">
        <v>23.89</v>
      </c>
      <c r="W2481" s="14">
        <v>23.89</v>
      </c>
      <c r="X2481" s="14">
        <v>23.89</v>
      </c>
      <c r="Y2481" s="14">
        <v>23.89</v>
      </c>
      <c r="Z2481" s="14">
        <v>23.89</v>
      </c>
      <c r="AA2481" s="14">
        <v>23.89</v>
      </c>
      <c r="AB2481" s="14">
        <v>23.89</v>
      </c>
      <c r="AC2481" s="14">
        <v>23.89</v>
      </c>
      <c r="AD2481" s="14">
        <v>23.89</v>
      </c>
      <c r="AE2481" s="14">
        <v>23.89</v>
      </c>
      <c r="AF2481" s="14" t="s">
        <v>413</v>
      </c>
    </row>
    <row r="2482" spans="1:32" ht="14.25" customHeight="1" x14ac:dyDescent="0.35">
      <c r="A2482" s="14" t="s">
        <v>1693</v>
      </c>
      <c r="B2482" s="14" t="s">
        <v>420</v>
      </c>
      <c r="C2482" s="14" t="s">
        <v>414</v>
      </c>
      <c r="D2482" s="14" t="s">
        <v>1695</v>
      </c>
      <c r="E2482" s="15">
        <v>41640</v>
      </c>
      <c r="F2482" s="15">
        <v>42004</v>
      </c>
      <c r="G2482" s="14" t="s">
        <v>415</v>
      </c>
      <c r="H2482" s="14">
        <v>29.44</v>
      </c>
      <c r="I2482" s="14">
        <v>29.44</v>
      </c>
      <c r="J2482" s="14">
        <v>29.44</v>
      </c>
      <c r="K2482" s="14">
        <v>29.44</v>
      </c>
      <c r="L2482" s="14">
        <v>29.44</v>
      </c>
      <c r="M2482" s="14">
        <v>29.44</v>
      </c>
      <c r="N2482" s="14">
        <v>29.44</v>
      </c>
      <c r="O2482" s="14">
        <v>29.44</v>
      </c>
      <c r="P2482" s="14">
        <v>23.89</v>
      </c>
      <c r="Q2482" s="14">
        <v>23.89</v>
      </c>
      <c r="R2482" s="14">
        <v>23.89</v>
      </c>
      <c r="S2482" s="14">
        <v>23.89</v>
      </c>
      <c r="T2482" s="14">
        <v>23.89</v>
      </c>
      <c r="U2482" s="14">
        <v>23.89</v>
      </c>
      <c r="V2482" s="14">
        <v>23.89</v>
      </c>
      <c r="W2482" s="14">
        <v>23.89</v>
      </c>
      <c r="X2482" s="14">
        <v>23.89</v>
      </c>
      <c r="Y2482" s="14">
        <v>23.89</v>
      </c>
      <c r="Z2482" s="14">
        <v>23.89</v>
      </c>
      <c r="AA2482" s="14">
        <v>23.89</v>
      </c>
      <c r="AB2482" s="14">
        <v>23.89</v>
      </c>
      <c r="AC2482" s="14">
        <v>23.89</v>
      </c>
      <c r="AD2482" s="14">
        <v>23.89</v>
      </c>
      <c r="AE2482" s="14">
        <v>23.89</v>
      </c>
      <c r="AF2482" s="14" t="s">
        <v>413</v>
      </c>
    </row>
    <row r="2483" spans="1:32" ht="14.25" customHeight="1" x14ac:dyDescent="0.35">
      <c r="A2483" s="16" t="s">
        <v>1693</v>
      </c>
      <c r="B2483" s="16" t="s">
        <v>420</v>
      </c>
      <c r="C2483" s="16" t="s">
        <v>414</v>
      </c>
      <c r="D2483" s="16" t="s">
        <v>1694</v>
      </c>
      <c r="E2483" s="17">
        <v>41640</v>
      </c>
      <c r="F2483" s="17">
        <v>42004</v>
      </c>
      <c r="G2483" s="16" t="s">
        <v>415</v>
      </c>
      <c r="H2483" s="16">
        <v>23.89</v>
      </c>
      <c r="I2483" s="16">
        <v>29.44</v>
      </c>
      <c r="J2483" s="16">
        <v>29.44</v>
      </c>
      <c r="K2483" s="16">
        <v>29.44</v>
      </c>
      <c r="L2483" s="16">
        <v>29.44</v>
      </c>
      <c r="M2483" s="16">
        <v>29.44</v>
      </c>
      <c r="N2483" s="16">
        <v>29.44</v>
      </c>
      <c r="O2483" s="16">
        <v>29.44</v>
      </c>
      <c r="P2483" s="16">
        <v>23.89</v>
      </c>
      <c r="Q2483" s="16">
        <v>23.89</v>
      </c>
      <c r="R2483" s="16">
        <v>23.89</v>
      </c>
      <c r="S2483" s="16">
        <v>23.89</v>
      </c>
      <c r="T2483" s="16">
        <v>23.89</v>
      </c>
      <c r="U2483" s="16">
        <v>23.89</v>
      </c>
      <c r="V2483" s="16">
        <v>23.89</v>
      </c>
      <c r="W2483" s="16">
        <v>23.89</v>
      </c>
      <c r="X2483" s="16">
        <v>23.89</v>
      </c>
      <c r="Y2483" s="16">
        <v>23.89</v>
      </c>
      <c r="Z2483" s="16">
        <v>23.89</v>
      </c>
      <c r="AA2483" s="16">
        <v>23.89</v>
      </c>
      <c r="AB2483" s="16">
        <v>23.89</v>
      </c>
      <c r="AC2483" s="16">
        <v>23.89</v>
      </c>
      <c r="AD2483" s="16">
        <v>23.89</v>
      </c>
      <c r="AE2483" s="16">
        <v>23.89</v>
      </c>
      <c r="AF2483" s="16" t="s">
        <v>413</v>
      </c>
    </row>
    <row r="2484" spans="1:32" ht="14.25" customHeight="1" x14ac:dyDescent="0.35">
      <c r="A2484" s="14" t="s">
        <v>1693</v>
      </c>
      <c r="B2484" s="14" t="s">
        <v>420</v>
      </c>
      <c r="C2484" s="14" t="s">
        <v>414</v>
      </c>
      <c r="D2484" s="14" t="s">
        <v>419</v>
      </c>
      <c r="E2484" s="15">
        <v>41640</v>
      </c>
      <c r="F2484" s="15">
        <v>42004</v>
      </c>
      <c r="G2484" s="14" t="s">
        <v>415</v>
      </c>
      <c r="H2484" s="14">
        <v>29.44</v>
      </c>
      <c r="I2484" s="14">
        <v>29.44</v>
      </c>
      <c r="J2484" s="14">
        <v>29.44</v>
      </c>
      <c r="K2484" s="14">
        <v>29.44</v>
      </c>
      <c r="L2484" s="14">
        <v>29.44</v>
      </c>
      <c r="M2484" s="14">
        <v>29.44</v>
      </c>
      <c r="N2484" s="14">
        <v>29.44</v>
      </c>
      <c r="O2484" s="14">
        <v>29.44</v>
      </c>
      <c r="P2484" s="14">
        <v>26.67</v>
      </c>
      <c r="Q2484" s="14">
        <v>23.89</v>
      </c>
      <c r="R2484" s="14">
        <v>23.89</v>
      </c>
      <c r="S2484" s="14">
        <v>23.89</v>
      </c>
      <c r="T2484" s="14">
        <v>23.89</v>
      </c>
      <c r="U2484" s="14">
        <v>23.89</v>
      </c>
      <c r="V2484" s="14">
        <v>23.89</v>
      </c>
      <c r="W2484" s="14">
        <v>23.89</v>
      </c>
      <c r="X2484" s="14">
        <v>23.89</v>
      </c>
      <c r="Y2484" s="14">
        <v>23.89</v>
      </c>
      <c r="Z2484" s="14">
        <v>23.89</v>
      </c>
      <c r="AA2484" s="14">
        <v>23.89</v>
      </c>
      <c r="AB2484" s="14">
        <v>23.89</v>
      </c>
      <c r="AC2484" s="14">
        <v>23.89</v>
      </c>
      <c r="AD2484" s="14">
        <v>23.89</v>
      </c>
      <c r="AE2484" s="14">
        <v>23.89</v>
      </c>
      <c r="AF2484" s="14" t="s">
        <v>413</v>
      </c>
    </row>
    <row r="2485" spans="1:32" ht="14.25" customHeight="1" x14ac:dyDescent="0.35">
      <c r="A2485" s="16" t="s">
        <v>1693</v>
      </c>
      <c r="B2485" s="16" t="s">
        <v>420</v>
      </c>
      <c r="C2485" s="16" t="s">
        <v>414</v>
      </c>
      <c r="D2485" s="16" t="s">
        <v>418</v>
      </c>
      <c r="E2485" s="17">
        <v>41640</v>
      </c>
      <c r="F2485" s="17">
        <v>42004</v>
      </c>
      <c r="G2485" s="16" t="s">
        <v>410</v>
      </c>
      <c r="H2485" s="16">
        <v>29.44</v>
      </c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6"/>
      <c r="AA2485" s="16"/>
      <c r="AB2485" s="16"/>
      <c r="AC2485" s="16"/>
      <c r="AD2485" s="16"/>
      <c r="AE2485" s="16"/>
      <c r="AF2485" s="16" t="s">
        <v>413</v>
      </c>
    </row>
    <row r="2486" spans="1:32" ht="14.25" customHeight="1" x14ac:dyDescent="0.35">
      <c r="A2486" s="16" t="s">
        <v>1696</v>
      </c>
      <c r="B2486" s="16" t="s">
        <v>420</v>
      </c>
      <c r="C2486" s="16" t="s">
        <v>414</v>
      </c>
      <c r="D2486" s="16" t="s">
        <v>1697</v>
      </c>
      <c r="E2486" s="17">
        <v>41640</v>
      </c>
      <c r="F2486" s="17">
        <v>42004</v>
      </c>
      <c r="G2486" s="16" t="s">
        <v>410</v>
      </c>
      <c r="H2486" s="16">
        <v>23.89</v>
      </c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 t="s">
        <v>413</v>
      </c>
    </row>
    <row r="2487" spans="1:32" ht="14.25" customHeight="1" x14ac:dyDescent="0.35">
      <c r="A2487" s="16" t="s">
        <v>1696</v>
      </c>
      <c r="B2487" s="16" t="s">
        <v>420</v>
      </c>
      <c r="C2487" s="16" t="s">
        <v>414</v>
      </c>
      <c r="D2487" s="16" t="s">
        <v>419</v>
      </c>
      <c r="E2487" s="17">
        <v>41640</v>
      </c>
      <c r="F2487" s="17">
        <v>42004</v>
      </c>
      <c r="G2487" s="16" t="s">
        <v>415</v>
      </c>
      <c r="H2487" s="16">
        <v>29.44</v>
      </c>
      <c r="I2487" s="16">
        <v>29.44</v>
      </c>
      <c r="J2487" s="16">
        <v>29.44</v>
      </c>
      <c r="K2487" s="16">
        <v>29.44</v>
      </c>
      <c r="L2487" s="16">
        <v>29.44</v>
      </c>
      <c r="M2487" s="16">
        <v>29.44</v>
      </c>
      <c r="N2487" s="16">
        <v>29.44</v>
      </c>
      <c r="O2487" s="16">
        <v>29.44</v>
      </c>
      <c r="P2487" s="16">
        <v>26.67</v>
      </c>
      <c r="Q2487" s="16">
        <v>23.89</v>
      </c>
      <c r="R2487" s="16">
        <v>23.89</v>
      </c>
      <c r="S2487" s="16">
        <v>23.89</v>
      </c>
      <c r="T2487" s="16">
        <v>23.89</v>
      </c>
      <c r="U2487" s="16">
        <v>23.89</v>
      </c>
      <c r="V2487" s="16">
        <v>23.89</v>
      </c>
      <c r="W2487" s="16">
        <v>23.89</v>
      </c>
      <c r="X2487" s="16">
        <v>23.89</v>
      </c>
      <c r="Y2487" s="16">
        <v>23.89</v>
      </c>
      <c r="Z2487" s="16">
        <v>23.89</v>
      </c>
      <c r="AA2487" s="16">
        <v>23.89</v>
      </c>
      <c r="AB2487" s="16">
        <v>23.89</v>
      </c>
      <c r="AC2487" s="16">
        <v>23.89</v>
      </c>
      <c r="AD2487" s="16">
        <v>23.89</v>
      </c>
      <c r="AE2487" s="16">
        <v>23.89</v>
      </c>
      <c r="AF2487" s="16" t="s">
        <v>413</v>
      </c>
    </row>
    <row r="2488" spans="1:32" ht="14.25" customHeight="1" x14ac:dyDescent="0.35">
      <c r="A2488" s="14" t="s">
        <v>1696</v>
      </c>
      <c r="B2488" s="14" t="s">
        <v>420</v>
      </c>
      <c r="C2488" s="14" t="s">
        <v>414</v>
      </c>
      <c r="D2488" s="14" t="s">
        <v>418</v>
      </c>
      <c r="E2488" s="15">
        <v>41640</v>
      </c>
      <c r="F2488" s="15">
        <v>42004</v>
      </c>
      <c r="G2488" s="14" t="s">
        <v>410</v>
      </c>
      <c r="H2488" s="14">
        <v>29.44</v>
      </c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 t="s">
        <v>413</v>
      </c>
    </row>
    <row r="2489" spans="1:32" ht="14.25" customHeight="1" x14ac:dyDescent="0.35">
      <c r="A2489" s="14" t="s">
        <v>1698</v>
      </c>
      <c r="B2489" s="14" t="s">
        <v>420</v>
      </c>
      <c r="C2489" s="14" t="s">
        <v>414</v>
      </c>
      <c r="D2489" s="14" t="s">
        <v>417</v>
      </c>
      <c r="E2489" s="15">
        <v>41640</v>
      </c>
      <c r="F2489" s="15">
        <v>42004</v>
      </c>
      <c r="G2489" s="14" t="s">
        <v>415</v>
      </c>
      <c r="H2489" s="14">
        <v>26.67</v>
      </c>
      <c r="I2489" s="14">
        <v>26.67</v>
      </c>
      <c r="J2489" s="14">
        <v>26.67</v>
      </c>
      <c r="K2489" s="14">
        <v>26.67</v>
      </c>
      <c r="L2489" s="14">
        <v>26.67</v>
      </c>
      <c r="M2489" s="14">
        <v>26.67</v>
      </c>
      <c r="N2489" s="14">
        <v>26.67</v>
      </c>
      <c r="O2489" s="14">
        <v>26.67</v>
      </c>
      <c r="P2489" s="14">
        <v>23.89</v>
      </c>
      <c r="Q2489" s="14">
        <v>23.89</v>
      </c>
      <c r="R2489" s="14">
        <v>23.89</v>
      </c>
      <c r="S2489" s="14">
        <v>23.89</v>
      </c>
      <c r="T2489" s="14">
        <v>23.89</v>
      </c>
      <c r="U2489" s="14">
        <v>23.89</v>
      </c>
      <c r="V2489" s="14">
        <v>23.89</v>
      </c>
      <c r="W2489" s="14">
        <v>23.89</v>
      </c>
      <c r="X2489" s="14">
        <v>23.89</v>
      </c>
      <c r="Y2489" s="14">
        <v>23.89</v>
      </c>
      <c r="Z2489" s="14">
        <v>23.89</v>
      </c>
      <c r="AA2489" s="14">
        <v>23.89</v>
      </c>
      <c r="AB2489" s="14">
        <v>23.89</v>
      </c>
      <c r="AC2489" s="14">
        <v>23.89</v>
      </c>
      <c r="AD2489" s="14">
        <v>23.89</v>
      </c>
      <c r="AE2489" s="14">
        <v>23.89</v>
      </c>
      <c r="AF2489" s="14" t="s">
        <v>413</v>
      </c>
    </row>
    <row r="2490" spans="1:32" ht="14.25" customHeight="1" x14ac:dyDescent="0.35">
      <c r="A2490" s="16" t="s">
        <v>1698</v>
      </c>
      <c r="B2490" s="16" t="s">
        <v>420</v>
      </c>
      <c r="C2490" s="16" t="s">
        <v>414</v>
      </c>
      <c r="D2490" s="16" t="s">
        <v>1694</v>
      </c>
      <c r="E2490" s="17">
        <v>41640</v>
      </c>
      <c r="F2490" s="17">
        <v>42004</v>
      </c>
      <c r="G2490" s="16" t="s">
        <v>415</v>
      </c>
      <c r="H2490" s="16">
        <v>23.89</v>
      </c>
      <c r="I2490" s="16">
        <v>29.44</v>
      </c>
      <c r="J2490" s="16">
        <v>29.44</v>
      </c>
      <c r="K2490" s="16">
        <v>29.44</v>
      </c>
      <c r="L2490" s="16">
        <v>29.44</v>
      </c>
      <c r="M2490" s="16">
        <v>29.44</v>
      </c>
      <c r="N2490" s="16">
        <v>29.44</v>
      </c>
      <c r="O2490" s="16">
        <v>29.44</v>
      </c>
      <c r="P2490" s="16">
        <v>26.67</v>
      </c>
      <c r="Q2490" s="16">
        <v>23.89</v>
      </c>
      <c r="R2490" s="16">
        <v>23.89</v>
      </c>
      <c r="S2490" s="16">
        <v>23.89</v>
      </c>
      <c r="T2490" s="16">
        <v>23.89</v>
      </c>
      <c r="U2490" s="16">
        <v>23.89</v>
      </c>
      <c r="V2490" s="16">
        <v>23.89</v>
      </c>
      <c r="W2490" s="16">
        <v>23.89</v>
      </c>
      <c r="X2490" s="16">
        <v>23.89</v>
      </c>
      <c r="Y2490" s="16">
        <v>23.89</v>
      </c>
      <c r="Z2490" s="16">
        <v>23.89</v>
      </c>
      <c r="AA2490" s="16">
        <v>23.89</v>
      </c>
      <c r="AB2490" s="16">
        <v>23.89</v>
      </c>
      <c r="AC2490" s="16">
        <v>23.89</v>
      </c>
      <c r="AD2490" s="16">
        <v>23.89</v>
      </c>
      <c r="AE2490" s="16">
        <v>23.89</v>
      </c>
      <c r="AF2490" s="16" t="s">
        <v>413</v>
      </c>
    </row>
    <row r="2491" spans="1:32" ht="14.25" customHeight="1" x14ac:dyDescent="0.35">
      <c r="A2491" s="14" t="s">
        <v>1698</v>
      </c>
      <c r="B2491" s="14" t="s">
        <v>420</v>
      </c>
      <c r="C2491" s="14" t="s">
        <v>414</v>
      </c>
      <c r="D2491" s="14" t="s">
        <v>1699</v>
      </c>
      <c r="E2491" s="15">
        <v>41640</v>
      </c>
      <c r="F2491" s="15">
        <v>42004</v>
      </c>
      <c r="G2491" s="14" t="s">
        <v>415</v>
      </c>
      <c r="H2491" s="14">
        <v>29.44</v>
      </c>
      <c r="I2491" s="14">
        <v>29.44</v>
      </c>
      <c r="J2491" s="14">
        <v>29.44</v>
      </c>
      <c r="K2491" s="14">
        <v>29.44</v>
      </c>
      <c r="L2491" s="14">
        <v>29.44</v>
      </c>
      <c r="M2491" s="14">
        <v>29.44</v>
      </c>
      <c r="N2491" s="14">
        <v>29.44</v>
      </c>
      <c r="O2491" s="14">
        <v>29.44</v>
      </c>
      <c r="P2491" s="14">
        <v>26.67</v>
      </c>
      <c r="Q2491" s="14">
        <v>23.89</v>
      </c>
      <c r="R2491" s="14">
        <v>23.89</v>
      </c>
      <c r="S2491" s="14">
        <v>23.89</v>
      </c>
      <c r="T2491" s="14">
        <v>23.89</v>
      </c>
      <c r="U2491" s="14">
        <v>23.89</v>
      </c>
      <c r="V2491" s="14">
        <v>23.89</v>
      </c>
      <c r="W2491" s="14">
        <v>23.89</v>
      </c>
      <c r="X2491" s="14">
        <v>23.89</v>
      </c>
      <c r="Y2491" s="14">
        <v>23.89</v>
      </c>
      <c r="Z2491" s="14">
        <v>23.89</v>
      </c>
      <c r="AA2491" s="14">
        <v>23.89</v>
      </c>
      <c r="AB2491" s="14">
        <v>23.89</v>
      </c>
      <c r="AC2491" s="14">
        <v>23.89</v>
      </c>
      <c r="AD2491" s="14">
        <v>23.89</v>
      </c>
      <c r="AE2491" s="14">
        <v>23.89</v>
      </c>
      <c r="AF2491" s="14" t="s">
        <v>413</v>
      </c>
    </row>
    <row r="2492" spans="1:32" ht="14.25" customHeight="1" x14ac:dyDescent="0.35">
      <c r="A2492" s="16" t="s">
        <v>1698</v>
      </c>
      <c r="B2492" s="16" t="s">
        <v>420</v>
      </c>
      <c r="C2492" s="16" t="s">
        <v>414</v>
      </c>
      <c r="D2492" s="16" t="s">
        <v>418</v>
      </c>
      <c r="E2492" s="17">
        <v>41640</v>
      </c>
      <c r="F2492" s="17">
        <v>42004</v>
      </c>
      <c r="G2492" s="16" t="s">
        <v>410</v>
      </c>
      <c r="H2492" s="16">
        <v>29.44</v>
      </c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 t="s">
        <v>413</v>
      </c>
    </row>
    <row r="2493" spans="1:32" ht="14.25" customHeight="1" x14ac:dyDescent="0.35">
      <c r="A2493" s="14" t="s">
        <v>1700</v>
      </c>
      <c r="B2493" s="14" t="s">
        <v>427</v>
      </c>
      <c r="C2493" s="14"/>
      <c r="D2493" s="14" t="s">
        <v>1701</v>
      </c>
      <c r="E2493" s="15">
        <v>41640</v>
      </c>
      <c r="F2493" s="15">
        <v>42004</v>
      </c>
      <c r="G2493" s="14" t="s">
        <v>415</v>
      </c>
      <c r="H2493" s="14">
        <v>0.05</v>
      </c>
      <c r="I2493" s="14">
        <v>0.05</v>
      </c>
      <c r="J2493" s="14">
        <v>0.05</v>
      </c>
      <c r="K2493" s="14">
        <v>0.05</v>
      </c>
      <c r="L2493" s="14">
        <v>0.05</v>
      </c>
      <c r="M2493" s="14">
        <v>0.05</v>
      </c>
      <c r="N2493" s="14">
        <v>0.05</v>
      </c>
      <c r="O2493" s="14">
        <v>0.05</v>
      </c>
      <c r="P2493" s="14">
        <v>0.05</v>
      </c>
      <c r="Q2493" s="14">
        <v>0.5</v>
      </c>
      <c r="R2493" s="14">
        <v>0.9</v>
      </c>
      <c r="S2493" s="14">
        <v>0.9</v>
      </c>
      <c r="T2493" s="14">
        <v>0.9</v>
      </c>
      <c r="U2493" s="14">
        <v>0.9</v>
      </c>
      <c r="V2493" s="14">
        <v>0.9</v>
      </c>
      <c r="W2493" s="14">
        <v>0.9</v>
      </c>
      <c r="X2493" s="14">
        <v>0.9</v>
      </c>
      <c r="Y2493" s="14">
        <v>0.9</v>
      </c>
      <c r="Z2493" s="14">
        <v>0.9</v>
      </c>
      <c r="AA2493" s="14">
        <v>0.9</v>
      </c>
      <c r="AB2493" s="14">
        <v>0.9</v>
      </c>
      <c r="AC2493" s="14">
        <v>0.9</v>
      </c>
      <c r="AD2493" s="14">
        <v>0.9</v>
      </c>
      <c r="AE2493" s="14">
        <v>0.5</v>
      </c>
      <c r="AF2493" s="14" t="s">
        <v>413</v>
      </c>
    </row>
    <row r="2494" spans="1:32" ht="14.25" customHeight="1" x14ac:dyDescent="0.35">
      <c r="A2494" s="16" t="s">
        <v>1700</v>
      </c>
      <c r="B2494" s="16" t="s">
        <v>427</v>
      </c>
      <c r="C2494" s="16"/>
      <c r="D2494" s="16" t="s">
        <v>1694</v>
      </c>
      <c r="E2494" s="17">
        <v>41640</v>
      </c>
      <c r="F2494" s="17">
        <v>42004</v>
      </c>
      <c r="G2494" s="16" t="s">
        <v>415</v>
      </c>
      <c r="H2494" s="16">
        <v>0.5</v>
      </c>
      <c r="I2494" s="16">
        <v>0.05</v>
      </c>
      <c r="J2494" s="16">
        <v>0.05</v>
      </c>
      <c r="K2494" s="16">
        <v>0.05</v>
      </c>
      <c r="L2494" s="16">
        <v>0.05</v>
      </c>
      <c r="M2494" s="16">
        <v>0.05</v>
      </c>
      <c r="N2494" s="16">
        <v>0.05</v>
      </c>
      <c r="O2494" s="16">
        <v>0.05</v>
      </c>
      <c r="P2494" s="16">
        <v>0.05</v>
      </c>
      <c r="Q2494" s="16">
        <v>0.5</v>
      </c>
      <c r="R2494" s="16">
        <v>0.9</v>
      </c>
      <c r="S2494" s="16">
        <v>0.9</v>
      </c>
      <c r="T2494" s="16">
        <v>0.9</v>
      </c>
      <c r="U2494" s="16">
        <v>0.9</v>
      </c>
      <c r="V2494" s="16">
        <v>0.9</v>
      </c>
      <c r="W2494" s="16">
        <v>0.9</v>
      </c>
      <c r="X2494" s="16">
        <v>0.9</v>
      </c>
      <c r="Y2494" s="16">
        <v>0.9</v>
      </c>
      <c r="Z2494" s="16">
        <v>0.9</v>
      </c>
      <c r="AA2494" s="16">
        <v>0.9</v>
      </c>
      <c r="AB2494" s="16">
        <v>0.9</v>
      </c>
      <c r="AC2494" s="16">
        <v>0.9</v>
      </c>
      <c r="AD2494" s="16">
        <v>0.9</v>
      </c>
      <c r="AE2494" s="16">
        <v>0.9</v>
      </c>
      <c r="AF2494" s="16" t="s">
        <v>413</v>
      </c>
    </row>
    <row r="2495" spans="1:32" ht="14.25" customHeight="1" x14ac:dyDescent="0.35">
      <c r="A2495" s="14" t="s">
        <v>1700</v>
      </c>
      <c r="B2495" s="14" t="s">
        <v>427</v>
      </c>
      <c r="C2495" s="14"/>
      <c r="D2495" s="14" t="s">
        <v>419</v>
      </c>
      <c r="E2495" s="15">
        <v>41640</v>
      </c>
      <c r="F2495" s="15">
        <v>42004</v>
      </c>
      <c r="G2495" s="14" t="s">
        <v>410</v>
      </c>
      <c r="H2495" s="14">
        <v>1</v>
      </c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 t="s">
        <v>413</v>
      </c>
    </row>
    <row r="2496" spans="1:32" ht="14.25" customHeight="1" x14ac:dyDescent="0.35">
      <c r="A2496" s="16" t="s">
        <v>1700</v>
      </c>
      <c r="B2496" s="16" t="s">
        <v>427</v>
      </c>
      <c r="C2496" s="16"/>
      <c r="D2496" s="16" t="s">
        <v>418</v>
      </c>
      <c r="E2496" s="17">
        <v>41640</v>
      </c>
      <c r="F2496" s="17">
        <v>42004</v>
      </c>
      <c r="G2496" s="16" t="s">
        <v>410</v>
      </c>
      <c r="H2496" s="16">
        <v>0</v>
      </c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6"/>
      <c r="AA2496" s="16"/>
      <c r="AB2496" s="16"/>
      <c r="AC2496" s="16"/>
      <c r="AD2496" s="16"/>
      <c r="AE2496" s="16"/>
      <c r="AF2496" s="16" t="s">
        <v>413</v>
      </c>
    </row>
    <row r="2497" spans="1:32" ht="14.25" customHeight="1" x14ac:dyDescent="0.35">
      <c r="A2497" s="14" t="s">
        <v>1702</v>
      </c>
      <c r="B2497" s="14" t="s">
        <v>408</v>
      </c>
      <c r="C2497" s="14"/>
      <c r="D2497" s="14" t="s">
        <v>1703</v>
      </c>
      <c r="E2497" s="15">
        <v>41640</v>
      </c>
      <c r="F2497" s="15">
        <v>42004</v>
      </c>
      <c r="G2497" s="14" t="s">
        <v>415</v>
      </c>
      <c r="H2497" s="14">
        <v>0</v>
      </c>
      <c r="I2497" s="14">
        <v>0</v>
      </c>
      <c r="J2497" s="14">
        <v>0</v>
      </c>
      <c r="K2497" s="14">
        <v>0</v>
      </c>
      <c r="L2497" s="14">
        <v>0</v>
      </c>
      <c r="M2497" s="14">
        <v>0</v>
      </c>
      <c r="N2497" s="14">
        <v>0</v>
      </c>
      <c r="O2497" s="14">
        <v>0</v>
      </c>
      <c r="P2497" s="14">
        <v>1</v>
      </c>
      <c r="Q2497" s="14">
        <v>1</v>
      </c>
      <c r="R2497" s="14">
        <v>1</v>
      </c>
      <c r="S2497" s="14">
        <v>1</v>
      </c>
      <c r="T2497" s="14">
        <v>1</v>
      </c>
      <c r="U2497" s="14">
        <v>1</v>
      </c>
      <c r="V2497" s="14">
        <v>1</v>
      </c>
      <c r="W2497" s="14">
        <v>1</v>
      </c>
      <c r="X2497" s="14">
        <v>1</v>
      </c>
      <c r="Y2497" s="14">
        <v>1</v>
      </c>
      <c r="Z2497" s="14">
        <v>1</v>
      </c>
      <c r="AA2497" s="14">
        <v>1</v>
      </c>
      <c r="AB2497" s="14">
        <v>1</v>
      </c>
      <c r="AC2497" s="14">
        <v>1</v>
      </c>
      <c r="AD2497" s="14">
        <v>1</v>
      </c>
      <c r="AE2497" s="14">
        <v>1</v>
      </c>
      <c r="AF2497" s="14" t="s">
        <v>413</v>
      </c>
    </row>
    <row r="2498" spans="1:32" ht="14.25" customHeight="1" x14ac:dyDescent="0.35">
      <c r="A2498" s="16" t="s">
        <v>1702</v>
      </c>
      <c r="B2498" s="16" t="s">
        <v>408</v>
      </c>
      <c r="C2498" s="16"/>
      <c r="D2498" s="16" t="s">
        <v>1704</v>
      </c>
      <c r="E2498" s="17">
        <v>41640</v>
      </c>
      <c r="F2498" s="17">
        <v>42004</v>
      </c>
      <c r="G2498" s="16" t="s">
        <v>415</v>
      </c>
      <c r="H2498" s="16">
        <v>1</v>
      </c>
      <c r="I2498" s="16">
        <v>0</v>
      </c>
      <c r="J2498" s="16">
        <v>0</v>
      </c>
      <c r="K2498" s="16">
        <v>0</v>
      </c>
      <c r="L2498" s="16">
        <v>0</v>
      </c>
      <c r="M2498" s="16">
        <v>0</v>
      </c>
      <c r="N2498" s="16">
        <v>0</v>
      </c>
      <c r="O2498" s="16">
        <v>0</v>
      </c>
      <c r="P2498" s="16">
        <v>1</v>
      </c>
      <c r="Q2498" s="16">
        <v>1</v>
      </c>
      <c r="R2498" s="16">
        <v>1</v>
      </c>
      <c r="S2498" s="16">
        <v>1</v>
      </c>
      <c r="T2498" s="16">
        <v>1</v>
      </c>
      <c r="U2498" s="16">
        <v>1</v>
      </c>
      <c r="V2498" s="16">
        <v>1</v>
      </c>
      <c r="W2498" s="16">
        <v>1</v>
      </c>
      <c r="X2498" s="16">
        <v>1</v>
      </c>
      <c r="Y2498" s="16">
        <v>1</v>
      </c>
      <c r="Z2498" s="16">
        <v>1</v>
      </c>
      <c r="AA2498" s="16">
        <v>1</v>
      </c>
      <c r="AB2498" s="16">
        <v>1</v>
      </c>
      <c r="AC2498" s="16">
        <v>1</v>
      </c>
      <c r="AD2498" s="16">
        <v>1</v>
      </c>
      <c r="AE2498" s="16">
        <v>1</v>
      </c>
      <c r="AF2498" s="16" t="s">
        <v>413</v>
      </c>
    </row>
    <row r="2499" spans="1:32" ht="14.25" customHeight="1" x14ac:dyDescent="0.35">
      <c r="A2499" s="14" t="s">
        <v>1705</v>
      </c>
      <c r="B2499" s="14" t="s">
        <v>420</v>
      </c>
      <c r="C2499" s="14" t="s">
        <v>414</v>
      </c>
      <c r="D2499" s="14" t="s">
        <v>1706</v>
      </c>
      <c r="E2499" s="15">
        <v>41640</v>
      </c>
      <c r="F2499" s="15">
        <v>42004</v>
      </c>
      <c r="G2499" s="14" t="s">
        <v>415</v>
      </c>
      <c r="H2499" s="14">
        <v>15.56</v>
      </c>
      <c r="I2499" s="14">
        <v>15.56</v>
      </c>
      <c r="J2499" s="14">
        <v>15.56</v>
      </c>
      <c r="K2499" s="14">
        <v>15.56</v>
      </c>
      <c r="L2499" s="14">
        <v>15.56</v>
      </c>
      <c r="M2499" s="14">
        <v>15.56</v>
      </c>
      <c r="N2499" s="14">
        <v>15.56</v>
      </c>
      <c r="O2499" s="14">
        <v>15.56</v>
      </c>
      <c r="P2499" s="14">
        <v>21.11</v>
      </c>
      <c r="Q2499" s="14">
        <v>21.11</v>
      </c>
      <c r="R2499" s="14">
        <v>21.11</v>
      </c>
      <c r="S2499" s="14">
        <v>21.11</v>
      </c>
      <c r="T2499" s="14">
        <v>21.11</v>
      </c>
      <c r="U2499" s="14">
        <v>21.11</v>
      </c>
      <c r="V2499" s="14">
        <v>21.11</v>
      </c>
      <c r="W2499" s="14">
        <v>21.11</v>
      </c>
      <c r="X2499" s="14">
        <v>21.11</v>
      </c>
      <c r="Y2499" s="14">
        <v>21.11</v>
      </c>
      <c r="Z2499" s="14">
        <v>21.11</v>
      </c>
      <c r="AA2499" s="14">
        <v>21.11</v>
      </c>
      <c r="AB2499" s="14">
        <v>21.11</v>
      </c>
      <c r="AC2499" s="14">
        <v>21.11</v>
      </c>
      <c r="AD2499" s="14">
        <v>21.11</v>
      </c>
      <c r="AE2499" s="14">
        <v>21.11</v>
      </c>
      <c r="AF2499" s="14" t="s">
        <v>413</v>
      </c>
    </row>
    <row r="2500" spans="1:32" ht="14.25" customHeight="1" x14ac:dyDescent="0.35">
      <c r="A2500" s="16" t="s">
        <v>1705</v>
      </c>
      <c r="B2500" s="16" t="s">
        <v>420</v>
      </c>
      <c r="C2500" s="16" t="s">
        <v>414</v>
      </c>
      <c r="D2500" s="16" t="s">
        <v>1695</v>
      </c>
      <c r="E2500" s="17">
        <v>41640</v>
      </c>
      <c r="F2500" s="17">
        <v>42004</v>
      </c>
      <c r="G2500" s="16" t="s">
        <v>415</v>
      </c>
      <c r="H2500" s="16">
        <v>21.11</v>
      </c>
      <c r="I2500" s="16">
        <v>15.56</v>
      </c>
      <c r="J2500" s="16">
        <v>15.56</v>
      </c>
      <c r="K2500" s="16">
        <v>15.56</v>
      </c>
      <c r="L2500" s="16">
        <v>15.56</v>
      </c>
      <c r="M2500" s="16">
        <v>15.56</v>
      </c>
      <c r="N2500" s="16">
        <v>15.56</v>
      </c>
      <c r="O2500" s="16">
        <v>15.56</v>
      </c>
      <c r="P2500" s="16">
        <v>21.11</v>
      </c>
      <c r="Q2500" s="16">
        <v>21.11</v>
      </c>
      <c r="R2500" s="16">
        <v>21.11</v>
      </c>
      <c r="S2500" s="16">
        <v>21.11</v>
      </c>
      <c r="T2500" s="16">
        <v>21.11</v>
      </c>
      <c r="U2500" s="16">
        <v>21.11</v>
      </c>
      <c r="V2500" s="16">
        <v>21.11</v>
      </c>
      <c r="W2500" s="16">
        <v>21.11</v>
      </c>
      <c r="X2500" s="16">
        <v>21.11</v>
      </c>
      <c r="Y2500" s="16">
        <v>21.11</v>
      </c>
      <c r="Z2500" s="16">
        <v>21.11</v>
      </c>
      <c r="AA2500" s="16">
        <v>21.11</v>
      </c>
      <c r="AB2500" s="16">
        <v>21.11</v>
      </c>
      <c r="AC2500" s="16">
        <v>21.11</v>
      </c>
      <c r="AD2500" s="16">
        <v>21.11</v>
      </c>
      <c r="AE2500" s="16">
        <v>21.11</v>
      </c>
      <c r="AF2500" s="16" t="s">
        <v>413</v>
      </c>
    </row>
    <row r="2501" spans="1:32" ht="14.25" customHeight="1" x14ac:dyDescent="0.35">
      <c r="A2501" s="14" t="s">
        <v>1705</v>
      </c>
      <c r="B2501" s="14" t="s">
        <v>420</v>
      </c>
      <c r="C2501" s="14" t="s">
        <v>414</v>
      </c>
      <c r="D2501" s="14" t="s">
        <v>419</v>
      </c>
      <c r="E2501" s="15">
        <v>41640</v>
      </c>
      <c r="F2501" s="15">
        <v>42004</v>
      </c>
      <c r="G2501" s="14" t="s">
        <v>410</v>
      </c>
      <c r="H2501" s="14">
        <v>15.56</v>
      </c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S2501" s="14"/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 t="s">
        <v>413</v>
      </c>
    </row>
    <row r="2502" spans="1:32" ht="14.25" customHeight="1" x14ac:dyDescent="0.35">
      <c r="A2502" s="16" t="s">
        <v>1705</v>
      </c>
      <c r="B2502" s="16" t="s">
        <v>420</v>
      </c>
      <c r="C2502" s="16" t="s">
        <v>414</v>
      </c>
      <c r="D2502" s="16" t="s">
        <v>418</v>
      </c>
      <c r="E2502" s="17">
        <v>41640</v>
      </c>
      <c r="F2502" s="17">
        <v>42004</v>
      </c>
      <c r="G2502" s="16" t="s">
        <v>415</v>
      </c>
      <c r="H2502" s="16">
        <v>21.11</v>
      </c>
      <c r="I2502" s="16">
        <v>15.56</v>
      </c>
      <c r="J2502" s="16">
        <v>15.56</v>
      </c>
      <c r="K2502" s="16">
        <v>15.56</v>
      </c>
      <c r="L2502" s="16">
        <v>15.56</v>
      </c>
      <c r="M2502" s="16">
        <v>15.56</v>
      </c>
      <c r="N2502" s="16">
        <v>15.56</v>
      </c>
      <c r="O2502" s="16">
        <v>15.56</v>
      </c>
      <c r="P2502" s="16">
        <v>18.329999999999998</v>
      </c>
      <c r="Q2502" s="16">
        <v>21.11</v>
      </c>
      <c r="R2502" s="16">
        <v>21.11</v>
      </c>
      <c r="S2502" s="16">
        <v>21.11</v>
      </c>
      <c r="T2502" s="16">
        <v>21.11</v>
      </c>
      <c r="U2502" s="16">
        <v>21.11</v>
      </c>
      <c r="V2502" s="16">
        <v>21.11</v>
      </c>
      <c r="W2502" s="16">
        <v>21.11</v>
      </c>
      <c r="X2502" s="16">
        <v>21.11</v>
      </c>
      <c r="Y2502" s="16">
        <v>21.11</v>
      </c>
      <c r="Z2502" s="16">
        <v>21.11</v>
      </c>
      <c r="AA2502" s="16">
        <v>21.11</v>
      </c>
      <c r="AB2502" s="16">
        <v>21.11</v>
      </c>
      <c r="AC2502" s="16">
        <v>21.11</v>
      </c>
      <c r="AD2502" s="16">
        <v>21.11</v>
      </c>
      <c r="AE2502" s="16">
        <v>21.11</v>
      </c>
      <c r="AF2502" s="16" t="s">
        <v>413</v>
      </c>
    </row>
    <row r="2503" spans="1:32" ht="14.25" customHeight="1" x14ac:dyDescent="0.35">
      <c r="A2503" s="14" t="s">
        <v>1707</v>
      </c>
      <c r="B2503" s="14" t="s">
        <v>420</v>
      </c>
      <c r="C2503" s="14" t="s">
        <v>414</v>
      </c>
      <c r="D2503" s="14" t="s">
        <v>1706</v>
      </c>
      <c r="E2503" s="15">
        <v>41640</v>
      </c>
      <c r="F2503" s="15">
        <v>42004</v>
      </c>
      <c r="G2503" s="14" t="s">
        <v>415</v>
      </c>
      <c r="H2503" s="14">
        <v>15.56</v>
      </c>
      <c r="I2503" s="14">
        <v>15.56</v>
      </c>
      <c r="J2503" s="14">
        <v>15.56</v>
      </c>
      <c r="K2503" s="14">
        <v>15.56</v>
      </c>
      <c r="L2503" s="14">
        <v>15.56</v>
      </c>
      <c r="M2503" s="14">
        <v>15.56</v>
      </c>
      <c r="N2503" s="14">
        <v>15.56</v>
      </c>
      <c r="O2503" s="14">
        <v>15.56</v>
      </c>
      <c r="P2503" s="14">
        <v>18.329999999999998</v>
      </c>
      <c r="Q2503" s="14">
        <v>21.11</v>
      </c>
      <c r="R2503" s="14">
        <v>21.11</v>
      </c>
      <c r="S2503" s="14">
        <v>21.11</v>
      </c>
      <c r="T2503" s="14">
        <v>21.11</v>
      </c>
      <c r="U2503" s="14">
        <v>21.11</v>
      </c>
      <c r="V2503" s="14">
        <v>21.11</v>
      </c>
      <c r="W2503" s="14">
        <v>21.11</v>
      </c>
      <c r="X2503" s="14">
        <v>21.11</v>
      </c>
      <c r="Y2503" s="14">
        <v>21.11</v>
      </c>
      <c r="Z2503" s="14">
        <v>21.11</v>
      </c>
      <c r="AA2503" s="14">
        <v>21.11</v>
      </c>
      <c r="AB2503" s="14">
        <v>21.11</v>
      </c>
      <c r="AC2503" s="14">
        <v>21.11</v>
      </c>
      <c r="AD2503" s="14">
        <v>21.11</v>
      </c>
      <c r="AE2503" s="14">
        <v>21.11</v>
      </c>
      <c r="AF2503" s="14" t="s">
        <v>413</v>
      </c>
    </row>
    <row r="2504" spans="1:32" ht="14.25" customHeight="1" x14ac:dyDescent="0.35">
      <c r="A2504" s="14" t="s">
        <v>1707</v>
      </c>
      <c r="B2504" s="14" t="s">
        <v>420</v>
      </c>
      <c r="C2504" s="14" t="s">
        <v>414</v>
      </c>
      <c r="D2504" s="14" t="s">
        <v>419</v>
      </c>
      <c r="E2504" s="15">
        <v>41640</v>
      </c>
      <c r="F2504" s="15">
        <v>42004</v>
      </c>
      <c r="G2504" s="14" t="s">
        <v>410</v>
      </c>
      <c r="H2504" s="14">
        <v>15.56</v>
      </c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 t="s">
        <v>413</v>
      </c>
    </row>
    <row r="2505" spans="1:32" ht="14.25" customHeight="1" x14ac:dyDescent="0.35">
      <c r="A2505" s="16" t="s">
        <v>1707</v>
      </c>
      <c r="B2505" s="16" t="s">
        <v>420</v>
      </c>
      <c r="C2505" s="16" t="s">
        <v>414</v>
      </c>
      <c r="D2505" s="16" t="s">
        <v>1708</v>
      </c>
      <c r="E2505" s="17">
        <v>41640</v>
      </c>
      <c r="F2505" s="17">
        <v>42004</v>
      </c>
      <c r="G2505" s="16" t="s">
        <v>415</v>
      </c>
      <c r="H2505" s="16">
        <v>21.11</v>
      </c>
      <c r="I2505" s="16">
        <v>15.56</v>
      </c>
      <c r="J2505" s="16">
        <v>15.56</v>
      </c>
      <c r="K2505" s="16">
        <v>15.56</v>
      </c>
      <c r="L2505" s="16">
        <v>15.56</v>
      </c>
      <c r="M2505" s="16">
        <v>15.56</v>
      </c>
      <c r="N2505" s="16">
        <v>15.56</v>
      </c>
      <c r="O2505" s="16">
        <v>15.56</v>
      </c>
      <c r="P2505" s="16">
        <v>18.329999999999998</v>
      </c>
      <c r="Q2505" s="16">
        <v>21.11</v>
      </c>
      <c r="R2505" s="16">
        <v>21.11</v>
      </c>
      <c r="S2505" s="16">
        <v>21.11</v>
      </c>
      <c r="T2505" s="16">
        <v>21.11</v>
      </c>
      <c r="U2505" s="16">
        <v>21.11</v>
      </c>
      <c r="V2505" s="16">
        <v>21.11</v>
      </c>
      <c r="W2505" s="16">
        <v>21.11</v>
      </c>
      <c r="X2505" s="16">
        <v>21.11</v>
      </c>
      <c r="Y2505" s="16">
        <v>21.11</v>
      </c>
      <c r="Z2505" s="16">
        <v>21.11</v>
      </c>
      <c r="AA2505" s="16">
        <v>21.11</v>
      </c>
      <c r="AB2505" s="16">
        <v>21.11</v>
      </c>
      <c r="AC2505" s="16">
        <v>21.11</v>
      </c>
      <c r="AD2505" s="16">
        <v>21.11</v>
      </c>
      <c r="AE2505" s="16">
        <v>21.11</v>
      </c>
      <c r="AF2505" s="16" t="s">
        <v>413</v>
      </c>
    </row>
    <row r="2506" spans="1:32" ht="14.25" customHeight="1" x14ac:dyDescent="0.35">
      <c r="A2506" s="16" t="s">
        <v>1709</v>
      </c>
      <c r="B2506" s="16" t="s">
        <v>441</v>
      </c>
      <c r="C2506" s="16"/>
      <c r="D2506" s="16" t="s">
        <v>1703</v>
      </c>
      <c r="E2506" s="17">
        <v>41640</v>
      </c>
      <c r="F2506" s="17">
        <v>42004</v>
      </c>
      <c r="G2506" s="16" t="s">
        <v>415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0.25</v>
      </c>
      <c r="Q2506" s="16">
        <v>0.25</v>
      </c>
      <c r="R2506" s="16">
        <v>0.25</v>
      </c>
      <c r="S2506" s="16">
        <v>0.25</v>
      </c>
      <c r="T2506" s="16">
        <v>0.25</v>
      </c>
      <c r="U2506" s="16">
        <v>0.25</v>
      </c>
      <c r="V2506" s="16">
        <v>0.25</v>
      </c>
      <c r="W2506" s="16">
        <v>0.25</v>
      </c>
      <c r="X2506" s="16">
        <v>0.25</v>
      </c>
      <c r="Y2506" s="16">
        <v>0.25</v>
      </c>
      <c r="Z2506" s="16">
        <v>0.25</v>
      </c>
      <c r="AA2506" s="16">
        <v>0.25</v>
      </c>
      <c r="AB2506" s="16">
        <v>0.25</v>
      </c>
      <c r="AC2506" s="16">
        <v>0.25</v>
      </c>
      <c r="AD2506" s="16">
        <v>0.25</v>
      </c>
      <c r="AE2506" s="16">
        <v>0.25</v>
      </c>
      <c r="AF2506" s="16" t="s">
        <v>413</v>
      </c>
    </row>
    <row r="2507" spans="1:32" ht="14.25" customHeight="1" x14ac:dyDescent="0.35">
      <c r="A2507" s="14" t="s">
        <v>1709</v>
      </c>
      <c r="B2507" s="14" t="s">
        <v>441</v>
      </c>
      <c r="C2507" s="14"/>
      <c r="D2507" s="14" t="s">
        <v>1704</v>
      </c>
      <c r="E2507" s="15">
        <v>41640</v>
      </c>
      <c r="F2507" s="15">
        <v>42004</v>
      </c>
      <c r="G2507" s="14" t="s">
        <v>415</v>
      </c>
      <c r="H2507" s="14">
        <v>0.25</v>
      </c>
      <c r="I2507" s="14">
        <v>1</v>
      </c>
      <c r="J2507" s="14">
        <v>1</v>
      </c>
      <c r="K2507" s="14">
        <v>1</v>
      </c>
      <c r="L2507" s="14">
        <v>1</v>
      </c>
      <c r="M2507" s="14">
        <v>1</v>
      </c>
      <c r="N2507" s="14">
        <v>1</v>
      </c>
      <c r="O2507" s="14">
        <v>1</v>
      </c>
      <c r="P2507" s="14">
        <v>0.25</v>
      </c>
      <c r="Q2507" s="14">
        <v>0.25</v>
      </c>
      <c r="R2507" s="14">
        <v>0.25</v>
      </c>
      <c r="S2507" s="14">
        <v>0.25</v>
      </c>
      <c r="T2507" s="14">
        <v>0.25</v>
      </c>
      <c r="U2507" s="14">
        <v>0.25</v>
      </c>
      <c r="V2507" s="14">
        <v>0.25</v>
      </c>
      <c r="W2507" s="14">
        <v>0.25</v>
      </c>
      <c r="X2507" s="14">
        <v>0.25</v>
      </c>
      <c r="Y2507" s="14">
        <v>0.25</v>
      </c>
      <c r="Z2507" s="14">
        <v>0.25</v>
      </c>
      <c r="AA2507" s="14">
        <v>0.25</v>
      </c>
      <c r="AB2507" s="14">
        <v>0.25</v>
      </c>
      <c r="AC2507" s="14">
        <v>0.25</v>
      </c>
      <c r="AD2507" s="14">
        <v>0.25</v>
      </c>
      <c r="AE2507" s="14">
        <v>0.25</v>
      </c>
      <c r="AF2507" s="14" t="s">
        <v>413</v>
      </c>
    </row>
    <row r="2508" spans="1:32" ht="14.25" customHeight="1" x14ac:dyDescent="0.35">
      <c r="A2508" s="16" t="s">
        <v>1710</v>
      </c>
      <c r="B2508" s="16" t="s">
        <v>424</v>
      </c>
      <c r="C2508" s="16"/>
      <c r="D2508" s="16" t="s">
        <v>1701</v>
      </c>
      <c r="E2508" s="17">
        <v>41640</v>
      </c>
      <c r="F2508" s="17">
        <v>42004</v>
      </c>
      <c r="G2508" s="16" t="s">
        <v>415</v>
      </c>
      <c r="H2508" s="16">
        <v>0.05</v>
      </c>
      <c r="I2508" s="16">
        <v>0.05</v>
      </c>
      <c r="J2508" s="16">
        <v>0.05</v>
      </c>
      <c r="K2508" s="16">
        <v>0.05</v>
      </c>
      <c r="L2508" s="16">
        <v>0.05</v>
      </c>
      <c r="M2508" s="16">
        <v>0.05</v>
      </c>
      <c r="N2508" s="16">
        <v>0.05</v>
      </c>
      <c r="O2508" s="16">
        <v>0.05</v>
      </c>
      <c r="P2508" s="16">
        <v>0.05</v>
      </c>
      <c r="Q2508" s="16">
        <v>0.5</v>
      </c>
      <c r="R2508" s="16">
        <v>0.95</v>
      </c>
      <c r="S2508" s="16">
        <v>0.95</v>
      </c>
      <c r="T2508" s="16">
        <v>0.95</v>
      </c>
      <c r="U2508" s="16">
        <v>0.95</v>
      </c>
      <c r="V2508" s="16">
        <v>0.95</v>
      </c>
      <c r="W2508" s="16">
        <v>0.95</v>
      </c>
      <c r="X2508" s="16">
        <v>0.95</v>
      </c>
      <c r="Y2508" s="16">
        <v>0.95</v>
      </c>
      <c r="Z2508" s="16">
        <v>0.95</v>
      </c>
      <c r="AA2508" s="16">
        <v>0.95</v>
      </c>
      <c r="AB2508" s="16">
        <v>0.95</v>
      </c>
      <c r="AC2508" s="16">
        <v>0.95</v>
      </c>
      <c r="AD2508" s="16">
        <v>0.95</v>
      </c>
      <c r="AE2508" s="16">
        <v>0.5</v>
      </c>
      <c r="AF2508" s="16" t="s">
        <v>413</v>
      </c>
    </row>
    <row r="2509" spans="1:32" ht="14.25" customHeight="1" x14ac:dyDescent="0.35">
      <c r="A2509" s="14" t="s">
        <v>1710</v>
      </c>
      <c r="B2509" s="14" t="s">
        <v>424</v>
      </c>
      <c r="C2509" s="14"/>
      <c r="D2509" s="14" t="s">
        <v>1694</v>
      </c>
      <c r="E2509" s="15">
        <v>41640</v>
      </c>
      <c r="F2509" s="15">
        <v>42004</v>
      </c>
      <c r="G2509" s="14" t="s">
        <v>415</v>
      </c>
      <c r="H2509" s="14">
        <v>0.5</v>
      </c>
      <c r="I2509" s="14">
        <v>0.05</v>
      </c>
      <c r="J2509" s="14">
        <v>0.05</v>
      </c>
      <c r="K2509" s="14">
        <v>0.05</v>
      </c>
      <c r="L2509" s="14">
        <v>0.05</v>
      </c>
      <c r="M2509" s="14">
        <v>0.05</v>
      </c>
      <c r="N2509" s="14">
        <v>0.05</v>
      </c>
      <c r="O2509" s="14">
        <v>0.05</v>
      </c>
      <c r="P2509" s="14">
        <v>0.05</v>
      </c>
      <c r="Q2509" s="14">
        <v>0.5</v>
      </c>
      <c r="R2509" s="14">
        <v>0.95</v>
      </c>
      <c r="S2509" s="14">
        <v>0.95</v>
      </c>
      <c r="T2509" s="14">
        <v>0.95</v>
      </c>
      <c r="U2509" s="14">
        <v>0.95</v>
      </c>
      <c r="V2509" s="14">
        <v>0.95</v>
      </c>
      <c r="W2509" s="14">
        <v>0.95</v>
      </c>
      <c r="X2509" s="14">
        <v>0.95</v>
      </c>
      <c r="Y2509" s="14">
        <v>0.95</v>
      </c>
      <c r="Z2509" s="14">
        <v>0.95</v>
      </c>
      <c r="AA2509" s="14">
        <v>0.95</v>
      </c>
      <c r="AB2509" s="14">
        <v>0.95</v>
      </c>
      <c r="AC2509" s="14">
        <v>0.95</v>
      </c>
      <c r="AD2509" s="14">
        <v>0.95</v>
      </c>
      <c r="AE2509" s="14">
        <v>0.95</v>
      </c>
      <c r="AF2509" s="14" t="s">
        <v>413</v>
      </c>
    </row>
    <row r="2510" spans="1:32" ht="14.25" customHeight="1" x14ac:dyDescent="0.35">
      <c r="A2510" s="16" t="s">
        <v>1710</v>
      </c>
      <c r="B2510" s="16" t="s">
        <v>424</v>
      </c>
      <c r="C2510" s="16"/>
      <c r="D2510" s="16" t="s">
        <v>419</v>
      </c>
      <c r="E2510" s="17">
        <v>41640</v>
      </c>
      <c r="F2510" s="17">
        <v>42004</v>
      </c>
      <c r="G2510" s="16" t="s">
        <v>410</v>
      </c>
      <c r="H2510" s="16">
        <v>1</v>
      </c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6"/>
      <c r="AE2510" s="16"/>
      <c r="AF2510" s="16" t="s">
        <v>413</v>
      </c>
    </row>
    <row r="2511" spans="1:32" ht="14.25" customHeight="1" x14ac:dyDescent="0.35">
      <c r="A2511" s="14" t="s">
        <v>1710</v>
      </c>
      <c r="B2511" s="14" t="s">
        <v>424</v>
      </c>
      <c r="C2511" s="14"/>
      <c r="D2511" s="14" t="s">
        <v>418</v>
      </c>
      <c r="E2511" s="15">
        <v>41640</v>
      </c>
      <c r="F2511" s="15">
        <v>42004</v>
      </c>
      <c r="G2511" s="14" t="s">
        <v>410</v>
      </c>
      <c r="H2511" s="14">
        <v>0</v>
      </c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 t="s">
        <v>413</v>
      </c>
    </row>
    <row r="2512" spans="1:32" ht="14.25" customHeight="1" x14ac:dyDescent="0.35">
      <c r="A2512" s="16" t="s">
        <v>1711</v>
      </c>
      <c r="B2512" s="16" t="s">
        <v>550</v>
      </c>
      <c r="C2512" s="16"/>
      <c r="D2512" s="16" t="s">
        <v>1703</v>
      </c>
      <c r="E2512" s="17">
        <v>41640</v>
      </c>
      <c r="F2512" s="17">
        <v>42004</v>
      </c>
      <c r="G2512" s="16" t="s">
        <v>415</v>
      </c>
      <c r="H2512" s="16">
        <v>0</v>
      </c>
      <c r="I2512" s="16">
        <v>0</v>
      </c>
      <c r="J2512" s="16">
        <v>0</v>
      </c>
      <c r="K2512" s="16">
        <v>0</v>
      </c>
      <c r="L2512" s="16">
        <v>0</v>
      </c>
      <c r="M2512" s="16">
        <v>0</v>
      </c>
      <c r="N2512" s="16">
        <v>0</v>
      </c>
      <c r="O2512" s="16">
        <v>0</v>
      </c>
      <c r="P2512" s="16">
        <v>0</v>
      </c>
      <c r="Q2512" s="16">
        <v>1</v>
      </c>
      <c r="R2512" s="16">
        <v>1</v>
      </c>
      <c r="S2512" s="16">
        <v>1</v>
      </c>
      <c r="T2512" s="16">
        <v>1</v>
      </c>
      <c r="U2512" s="16">
        <v>1</v>
      </c>
      <c r="V2512" s="16">
        <v>1</v>
      </c>
      <c r="W2512" s="16">
        <v>1</v>
      </c>
      <c r="X2512" s="16">
        <v>1</v>
      </c>
      <c r="Y2512" s="16">
        <v>1</v>
      </c>
      <c r="Z2512" s="16">
        <v>1</v>
      </c>
      <c r="AA2512" s="16">
        <v>1</v>
      </c>
      <c r="AB2512" s="16">
        <v>1</v>
      </c>
      <c r="AC2512" s="16">
        <v>1</v>
      </c>
      <c r="AD2512" s="16">
        <v>1</v>
      </c>
      <c r="AE2512" s="16">
        <v>1</v>
      </c>
      <c r="AF2512" s="16" t="s">
        <v>413</v>
      </c>
    </row>
    <row r="2513" spans="1:32" ht="14.25" customHeight="1" x14ac:dyDescent="0.35">
      <c r="A2513" s="14" t="s">
        <v>1711</v>
      </c>
      <c r="B2513" s="14" t="s">
        <v>550</v>
      </c>
      <c r="C2513" s="14"/>
      <c r="D2513" s="14" t="s">
        <v>1704</v>
      </c>
      <c r="E2513" s="15">
        <v>41640</v>
      </c>
      <c r="F2513" s="15">
        <v>42004</v>
      </c>
      <c r="G2513" s="14" t="s">
        <v>415</v>
      </c>
      <c r="H2513" s="14">
        <v>1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1</v>
      </c>
      <c r="R2513" s="14">
        <v>1</v>
      </c>
      <c r="S2513" s="14">
        <v>1</v>
      </c>
      <c r="T2513" s="14">
        <v>1</v>
      </c>
      <c r="U2513" s="14">
        <v>1</v>
      </c>
      <c r="V2513" s="14">
        <v>1</v>
      </c>
      <c r="W2513" s="14">
        <v>1</v>
      </c>
      <c r="X2513" s="14">
        <v>1</v>
      </c>
      <c r="Y2513" s="14">
        <v>1</v>
      </c>
      <c r="Z2513" s="14">
        <v>1</v>
      </c>
      <c r="AA2513" s="14">
        <v>1</v>
      </c>
      <c r="AB2513" s="14">
        <v>1</v>
      </c>
      <c r="AC2513" s="14">
        <v>1</v>
      </c>
      <c r="AD2513" s="14">
        <v>1</v>
      </c>
      <c r="AE2513" s="14">
        <v>1</v>
      </c>
      <c r="AF2513" s="14" t="s">
        <v>413</v>
      </c>
    </row>
    <row r="2514" spans="1:32" ht="14.25" customHeight="1" x14ac:dyDescent="0.35">
      <c r="A2514" s="16" t="s">
        <v>1712</v>
      </c>
      <c r="B2514" s="16" t="s">
        <v>448</v>
      </c>
      <c r="C2514" s="16"/>
      <c r="D2514" s="16" t="s">
        <v>417</v>
      </c>
      <c r="E2514" s="17">
        <v>41640</v>
      </c>
      <c r="F2514" s="17">
        <v>42004</v>
      </c>
      <c r="G2514" s="16" t="s">
        <v>415</v>
      </c>
      <c r="H2514" s="16">
        <v>0</v>
      </c>
      <c r="I2514" s="16">
        <v>0</v>
      </c>
      <c r="J2514" s="16">
        <v>0</v>
      </c>
      <c r="K2514" s="16">
        <v>0</v>
      </c>
      <c r="L2514" s="16">
        <v>0</v>
      </c>
      <c r="M2514" s="16">
        <v>0</v>
      </c>
      <c r="N2514" s="16">
        <v>0</v>
      </c>
      <c r="O2514" s="16">
        <v>0</v>
      </c>
      <c r="P2514" s="16">
        <v>0.05</v>
      </c>
      <c r="Q2514" s="16">
        <v>0.05</v>
      </c>
      <c r="R2514" s="16">
        <v>0.1</v>
      </c>
      <c r="S2514" s="16">
        <v>0.2</v>
      </c>
      <c r="T2514" s="16">
        <v>0.4</v>
      </c>
      <c r="U2514" s="16">
        <v>0.6</v>
      </c>
      <c r="V2514" s="16">
        <v>0.4</v>
      </c>
      <c r="W2514" s="16">
        <v>0.4</v>
      </c>
      <c r="X2514" s="16">
        <v>0.3</v>
      </c>
      <c r="Y2514" s="16">
        <v>0.6</v>
      </c>
      <c r="Z2514" s="16">
        <v>0.6</v>
      </c>
      <c r="AA2514" s="16">
        <v>0.4</v>
      </c>
      <c r="AB2514" s="16">
        <v>0.4</v>
      </c>
      <c r="AC2514" s="16">
        <v>0.3</v>
      </c>
      <c r="AD2514" s="16">
        <v>0.2</v>
      </c>
      <c r="AE2514" s="16">
        <v>0.05</v>
      </c>
      <c r="AF2514" s="16" t="s">
        <v>413</v>
      </c>
    </row>
    <row r="2515" spans="1:32" ht="14.25" customHeight="1" x14ac:dyDescent="0.35">
      <c r="A2515" s="16" t="s">
        <v>1712</v>
      </c>
      <c r="B2515" s="16" t="s">
        <v>448</v>
      </c>
      <c r="C2515" s="16"/>
      <c r="D2515" s="16" t="s">
        <v>1695</v>
      </c>
      <c r="E2515" s="17">
        <v>41640</v>
      </c>
      <c r="F2515" s="17">
        <v>42004</v>
      </c>
      <c r="G2515" s="16" t="s">
        <v>415</v>
      </c>
      <c r="H2515" s="16">
        <v>0</v>
      </c>
      <c r="I2515" s="16">
        <v>0</v>
      </c>
      <c r="J2515" s="16">
        <v>0</v>
      </c>
      <c r="K2515" s="16">
        <v>0</v>
      </c>
      <c r="L2515" s="16">
        <v>0</v>
      </c>
      <c r="M2515" s="16">
        <v>0</v>
      </c>
      <c r="N2515" s="16">
        <v>0</v>
      </c>
      <c r="O2515" s="16">
        <v>0</v>
      </c>
      <c r="P2515" s="16">
        <v>0.05</v>
      </c>
      <c r="Q2515" s="16">
        <v>0.05</v>
      </c>
      <c r="R2515" s="16">
        <v>0.1</v>
      </c>
      <c r="S2515" s="16">
        <v>0.1</v>
      </c>
      <c r="T2515" s="16">
        <v>0.2</v>
      </c>
      <c r="U2515" s="16">
        <v>0.4</v>
      </c>
      <c r="V2515" s="16">
        <v>0.4</v>
      </c>
      <c r="W2515" s="16">
        <v>0.25</v>
      </c>
      <c r="X2515" s="16">
        <v>0.25</v>
      </c>
      <c r="Y2515" s="16">
        <v>0.5</v>
      </c>
      <c r="Z2515" s="16">
        <v>0.5</v>
      </c>
      <c r="AA2515" s="16">
        <v>0.5</v>
      </c>
      <c r="AB2515" s="16">
        <v>0.3</v>
      </c>
      <c r="AC2515" s="16">
        <v>0.3</v>
      </c>
      <c r="AD2515" s="16">
        <v>0.3</v>
      </c>
      <c r="AE2515" s="16">
        <v>0.05</v>
      </c>
      <c r="AF2515" s="16" t="s">
        <v>413</v>
      </c>
    </row>
    <row r="2516" spans="1:32" ht="14.25" customHeight="1" x14ac:dyDescent="0.35">
      <c r="A2516" s="14" t="s">
        <v>1712</v>
      </c>
      <c r="B2516" s="14" t="s">
        <v>448</v>
      </c>
      <c r="C2516" s="14"/>
      <c r="D2516" s="14" t="s">
        <v>1694</v>
      </c>
      <c r="E2516" s="15">
        <v>41640</v>
      </c>
      <c r="F2516" s="15">
        <v>42004</v>
      </c>
      <c r="G2516" s="14" t="s">
        <v>415</v>
      </c>
      <c r="H2516" s="14">
        <v>0.05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0.05</v>
      </c>
      <c r="R2516" s="14">
        <v>0.1</v>
      </c>
      <c r="S2516" s="14">
        <v>0.1</v>
      </c>
      <c r="T2516" s="14">
        <v>0.2</v>
      </c>
      <c r="U2516" s="14">
        <v>0.6</v>
      </c>
      <c r="V2516" s="14">
        <v>0.4</v>
      </c>
      <c r="W2516" s="14">
        <v>0.25</v>
      </c>
      <c r="X2516" s="14">
        <v>0.25</v>
      </c>
      <c r="Y2516" s="14">
        <v>0.5</v>
      </c>
      <c r="Z2516" s="14">
        <v>0.5</v>
      </c>
      <c r="AA2516" s="14">
        <v>0.5</v>
      </c>
      <c r="AB2516" s="14">
        <v>0.3</v>
      </c>
      <c r="AC2516" s="14">
        <v>0.3</v>
      </c>
      <c r="AD2516" s="14">
        <v>0.3</v>
      </c>
      <c r="AE2516" s="14">
        <v>0.2</v>
      </c>
      <c r="AF2516" s="14" t="s">
        <v>413</v>
      </c>
    </row>
    <row r="2517" spans="1:32" ht="14.25" customHeight="1" x14ac:dyDescent="0.35">
      <c r="A2517" s="16" t="s">
        <v>1712</v>
      </c>
      <c r="B2517" s="16" t="s">
        <v>448</v>
      </c>
      <c r="C2517" s="16"/>
      <c r="D2517" s="16" t="s">
        <v>419</v>
      </c>
      <c r="E2517" s="17">
        <v>41640</v>
      </c>
      <c r="F2517" s="17">
        <v>42004</v>
      </c>
      <c r="G2517" s="16" t="s">
        <v>410</v>
      </c>
      <c r="H2517" s="16">
        <v>1</v>
      </c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/>
      <c r="AD2517" s="16"/>
      <c r="AE2517" s="16"/>
      <c r="AF2517" s="16" t="s">
        <v>413</v>
      </c>
    </row>
    <row r="2518" spans="1:32" ht="14.25" customHeight="1" x14ac:dyDescent="0.35">
      <c r="A2518" s="14" t="s">
        <v>1712</v>
      </c>
      <c r="B2518" s="14" t="s">
        <v>448</v>
      </c>
      <c r="C2518" s="14"/>
      <c r="D2518" s="14" t="s">
        <v>418</v>
      </c>
      <c r="E2518" s="15">
        <v>41640</v>
      </c>
      <c r="F2518" s="15">
        <v>42004</v>
      </c>
      <c r="G2518" s="14" t="s">
        <v>410</v>
      </c>
      <c r="H2518" s="14">
        <v>0</v>
      </c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 t="s">
        <v>413</v>
      </c>
    </row>
    <row r="2519" spans="1:32" ht="14.25" customHeight="1" x14ac:dyDescent="0.35">
      <c r="A2519" s="14" t="s">
        <v>1713</v>
      </c>
      <c r="B2519" s="14" t="s">
        <v>460</v>
      </c>
      <c r="C2519" s="14"/>
      <c r="D2519" s="14" t="s">
        <v>417</v>
      </c>
      <c r="E2519" s="15">
        <v>41640</v>
      </c>
      <c r="F2519" s="15">
        <v>42004</v>
      </c>
      <c r="G2519" s="14" t="s">
        <v>415</v>
      </c>
      <c r="H2519" s="14">
        <v>0</v>
      </c>
      <c r="I2519" s="14">
        <v>0</v>
      </c>
      <c r="J2519" s="14">
        <v>0</v>
      </c>
      <c r="K2519" s="14">
        <v>0</v>
      </c>
      <c r="L2519" s="14">
        <v>0</v>
      </c>
      <c r="M2519" s="14">
        <v>0</v>
      </c>
      <c r="N2519" s="14">
        <v>0</v>
      </c>
      <c r="O2519" s="14">
        <v>0</v>
      </c>
      <c r="P2519" s="14">
        <v>0.1</v>
      </c>
      <c r="Q2519" s="14">
        <v>0.14000000000000001</v>
      </c>
      <c r="R2519" s="14">
        <v>0.28999999999999998</v>
      </c>
      <c r="S2519" s="14">
        <v>0.31</v>
      </c>
      <c r="T2519" s="14">
        <v>0.36</v>
      </c>
      <c r="U2519" s="14">
        <v>0.36</v>
      </c>
      <c r="V2519" s="14">
        <v>0.34</v>
      </c>
      <c r="W2519" s="14">
        <v>0.35</v>
      </c>
      <c r="X2519" s="14">
        <v>0.37</v>
      </c>
      <c r="Y2519" s="14">
        <v>0.34</v>
      </c>
      <c r="Z2519" s="14">
        <v>0.25</v>
      </c>
      <c r="AA2519" s="14">
        <v>0.27</v>
      </c>
      <c r="AB2519" s="14">
        <v>0.21</v>
      </c>
      <c r="AC2519" s="14">
        <v>0.16</v>
      </c>
      <c r="AD2519" s="14">
        <v>0.16</v>
      </c>
      <c r="AE2519" s="14">
        <v>0.1</v>
      </c>
      <c r="AF2519" s="14" t="s">
        <v>413</v>
      </c>
    </row>
    <row r="2520" spans="1:32" ht="14.25" customHeight="1" x14ac:dyDescent="0.35">
      <c r="A2520" s="14" t="s">
        <v>1713</v>
      </c>
      <c r="B2520" s="14" t="s">
        <v>460</v>
      </c>
      <c r="C2520" s="14"/>
      <c r="D2520" s="14" t="s">
        <v>1699</v>
      </c>
      <c r="E2520" s="15">
        <v>41640</v>
      </c>
      <c r="F2520" s="15">
        <v>42004</v>
      </c>
      <c r="G2520" s="14" t="s">
        <v>415</v>
      </c>
      <c r="H2520" s="14">
        <v>0</v>
      </c>
      <c r="I2520" s="14">
        <v>0</v>
      </c>
      <c r="J2520" s="14">
        <v>0</v>
      </c>
      <c r="K2520" s="14">
        <v>0</v>
      </c>
      <c r="L2520" s="14">
        <v>0</v>
      </c>
      <c r="M2520" s="14">
        <v>0</v>
      </c>
      <c r="N2520" s="14">
        <v>0</v>
      </c>
      <c r="O2520" s="14">
        <v>0.04</v>
      </c>
      <c r="P2520" s="14">
        <v>0.04</v>
      </c>
      <c r="Q2520" s="14">
        <v>0.15</v>
      </c>
      <c r="R2520" s="14">
        <v>0.23</v>
      </c>
      <c r="S2520" s="14">
        <v>0.32</v>
      </c>
      <c r="T2520" s="14">
        <v>0.41</v>
      </c>
      <c r="U2520" s="14">
        <v>0.62</v>
      </c>
      <c r="V2520" s="14">
        <v>0.6</v>
      </c>
      <c r="W2520" s="14">
        <v>0.55000000000000004</v>
      </c>
      <c r="X2520" s="14">
        <v>0.45</v>
      </c>
      <c r="Y2520" s="14">
        <v>0.5</v>
      </c>
      <c r="Z2520" s="14">
        <v>0.46</v>
      </c>
      <c r="AA2520" s="14">
        <v>0.47</v>
      </c>
      <c r="AB2520" s="14">
        <v>0.34</v>
      </c>
      <c r="AC2520" s="14">
        <v>0.33</v>
      </c>
      <c r="AD2520" s="14">
        <v>0.23</v>
      </c>
      <c r="AE2520" s="14">
        <v>0.13</v>
      </c>
      <c r="AF2520" s="14" t="s">
        <v>413</v>
      </c>
    </row>
    <row r="2521" spans="1:32" ht="14.25" customHeight="1" x14ac:dyDescent="0.35">
      <c r="A2521" s="16" t="s">
        <v>1713</v>
      </c>
      <c r="B2521" s="16" t="s">
        <v>460</v>
      </c>
      <c r="C2521" s="16"/>
      <c r="D2521" s="16" t="s">
        <v>1704</v>
      </c>
      <c r="E2521" s="17">
        <v>41640</v>
      </c>
      <c r="F2521" s="17">
        <v>42004</v>
      </c>
      <c r="G2521" s="16" t="s">
        <v>415</v>
      </c>
      <c r="H2521" s="16">
        <v>0.13</v>
      </c>
      <c r="I2521" s="16">
        <v>0</v>
      </c>
      <c r="J2521" s="16">
        <v>0</v>
      </c>
      <c r="K2521" s="16">
        <v>0</v>
      </c>
      <c r="L2521" s="16">
        <v>0</v>
      </c>
      <c r="M2521" s="16">
        <v>0</v>
      </c>
      <c r="N2521" s="16">
        <v>0</v>
      </c>
      <c r="O2521" s="16">
        <v>0</v>
      </c>
      <c r="P2521" s="16">
        <v>0</v>
      </c>
      <c r="Q2521" s="16">
        <v>0.2</v>
      </c>
      <c r="R2521" s="16">
        <v>0.23</v>
      </c>
      <c r="S2521" s="16">
        <v>0.32</v>
      </c>
      <c r="T2521" s="16">
        <v>0.41</v>
      </c>
      <c r="U2521" s="16">
        <v>0.65</v>
      </c>
      <c r="V2521" s="16">
        <v>0.6</v>
      </c>
      <c r="W2521" s="16">
        <v>0.55000000000000004</v>
      </c>
      <c r="X2521" s="16">
        <v>0.45</v>
      </c>
      <c r="Y2521" s="16">
        <v>0.5</v>
      </c>
      <c r="Z2521" s="16">
        <v>0.46</v>
      </c>
      <c r="AA2521" s="16">
        <v>0.47</v>
      </c>
      <c r="AB2521" s="16">
        <v>0.34</v>
      </c>
      <c r="AC2521" s="16">
        <v>0.33</v>
      </c>
      <c r="AD2521" s="16">
        <v>0.23</v>
      </c>
      <c r="AE2521" s="16">
        <v>0.13</v>
      </c>
      <c r="AF2521" s="16" t="s">
        <v>413</v>
      </c>
    </row>
    <row r="2522" spans="1:32" ht="14.25" customHeight="1" x14ac:dyDescent="0.35">
      <c r="A2522" s="16" t="s">
        <v>1714</v>
      </c>
      <c r="B2522" s="16" t="s">
        <v>420</v>
      </c>
      <c r="C2522" s="16" t="s">
        <v>414</v>
      </c>
      <c r="D2522" s="16" t="s">
        <v>417</v>
      </c>
      <c r="E2522" s="17">
        <v>41640</v>
      </c>
      <c r="F2522" s="17">
        <v>42004</v>
      </c>
      <c r="G2522" s="16" t="s">
        <v>415</v>
      </c>
      <c r="H2522" s="16">
        <v>29.44</v>
      </c>
      <c r="I2522" s="16">
        <v>29.44</v>
      </c>
      <c r="J2522" s="16">
        <v>29.44</v>
      </c>
      <c r="K2522" s="16">
        <v>29.44</v>
      </c>
      <c r="L2522" s="16">
        <v>29.44</v>
      </c>
      <c r="M2522" s="16">
        <v>29.44</v>
      </c>
      <c r="N2522" s="16">
        <v>29.44</v>
      </c>
      <c r="O2522" s="16">
        <v>29.44</v>
      </c>
      <c r="P2522" s="16">
        <v>23.89</v>
      </c>
      <c r="Q2522" s="16">
        <v>23.89</v>
      </c>
      <c r="R2522" s="16">
        <v>23.89</v>
      </c>
      <c r="S2522" s="16">
        <v>23.89</v>
      </c>
      <c r="T2522" s="16">
        <v>23.89</v>
      </c>
      <c r="U2522" s="16">
        <v>23.89</v>
      </c>
      <c r="V2522" s="16">
        <v>23.89</v>
      </c>
      <c r="W2522" s="16">
        <v>23.89</v>
      </c>
      <c r="X2522" s="16">
        <v>23.89</v>
      </c>
      <c r="Y2522" s="16">
        <v>29.44</v>
      </c>
      <c r="Z2522" s="16">
        <v>29.44</v>
      </c>
      <c r="AA2522" s="16">
        <v>29.44</v>
      </c>
      <c r="AB2522" s="16">
        <v>29.44</v>
      </c>
      <c r="AC2522" s="16">
        <v>29.44</v>
      </c>
      <c r="AD2522" s="16">
        <v>29.44</v>
      </c>
      <c r="AE2522" s="16">
        <v>29.44</v>
      </c>
      <c r="AF2522" s="16" t="s">
        <v>413</v>
      </c>
    </row>
    <row r="2523" spans="1:32" ht="14.25" customHeight="1" x14ac:dyDescent="0.35">
      <c r="A2523" s="14" t="s">
        <v>1714</v>
      </c>
      <c r="B2523" s="14" t="s">
        <v>420</v>
      </c>
      <c r="C2523" s="14" t="s">
        <v>414</v>
      </c>
      <c r="D2523" s="14" t="s">
        <v>512</v>
      </c>
      <c r="E2523" s="15">
        <v>41640</v>
      </c>
      <c r="F2523" s="15">
        <v>42004</v>
      </c>
      <c r="G2523" s="14" t="s">
        <v>415</v>
      </c>
      <c r="H2523" s="14">
        <v>29.44</v>
      </c>
      <c r="I2523" s="14">
        <v>29.44</v>
      </c>
      <c r="J2523" s="14">
        <v>29.44</v>
      </c>
      <c r="K2523" s="14">
        <v>29.44</v>
      </c>
      <c r="L2523" s="14">
        <v>29.44</v>
      </c>
      <c r="M2523" s="14">
        <v>29.44</v>
      </c>
      <c r="N2523" s="14">
        <v>29.44</v>
      </c>
      <c r="O2523" s="14">
        <v>23.89</v>
      </c>
      <c r="P2523" s="14">
        <v>23.89</v>
      </c>
      <c r="Q2523" s="14">
        <v>23.89</v>
      </c>
      <c r="R2523" s="14">
        <v>23.89</v>
      </c>
      <c r="S2523" s="14">
        <v>23.89</v>
      </c>
      <c r="T2523" s="14">
        <v>23.89</v>
      </c>
      <c r="U2523" s="14">
        <v>23.89</v>
      </c>
      <c r="V2523" s="14">
        <v>23.89</v>
      </c>
      <c r="W2523" s="14">
        <v>23.89</v>
      </c>
      <c r="X2523" s="14">
        <v>23.89</v>
      </c>
      <c r="Y2523" s="14">
        <v>23.89</v>
      </c>
      <c r="Z2523" s="14">
        <v>29.44</v>
      </c>
      <c r="AA2523" s="14">
        <v>29.44</v>
      </c>
      <c r="AB2523" s="14">
        <v>29.44</v>
      </c>
      <c r="AC2523" s="14">
        <v>29.44</v>
      </c>
      <c r="AD2523" s="14">
        <v>29.44</v>
      </c>
      <c r="AE2523" s="14">
        <v>29.44</v>
      </c>
      <c r="AF2523" s="14" t="s">
        <v>413</v>
      </c>
    </row>
    <row r="2524" spans="1:32" ht="14.25" customHeight="1" x14ac:dyDescent="0.35">
      <c r="A2524" s="16" t="s">
        <v>1714</v>
      </c>
      <c r="B2524" s="16" t="s">
        <v>420</v>
      </c>
      <c r="C2524" s="16" t="s">
        <v>414</v>
      </c>
      <c r="D2524" s="16" t="s">
        <v>419</v>
      </c>
      <c r="E2524" s="17">
        <v>41640</v>
      </c>
      <c r="F2524" s="17">
        <v>42004</v>
      </c>
      <c r="G2524" s="16" t="s">
        <v>415</v>
      </c>
      <c r="H2524" s="16">
        <v>29.44</v>
      </c>
      <c r="I2524" s="16">
        <v>29.44</v>
      </c>
      <c r="J2524" s="16">
        <v>29.44</v>
      </c>
      <c r="K2524" s="16">
        <v>29.44</v>
      </c>
      <c r="L2524" s="16">
        <v>29.44</v>
      </c>
      <c r="M2524" s="16">
        <v>29.44</v>
      </c>
      <c r="N2524" s="16">
        <v>29.44</v>
      </c>
      <c r="O2524" s="16">
        <v>26.67</v>
      </c>
      <c r="P2524" s="16">
        <v>23.89</v>
      </c>
      <c r="Q2524" s="16">
        <v>23.89</v>
      </c>
      <c r="R2524" s="16">
        <v>23.89</v>
      </c>
      <c r="S2524" s="16">
        <v>23.89</v>
      </c>
      <c r="T2524" s="16">
        <v>23.89</v>
      </c>
      <c r="U2524" s="16">
        <v>23.89</v>
      </c>
      <c r="V2524" s="16">
        <v>23.89</v>
      </c>
      <c r="W2524" s="16">
        <v>23.89</v>
      </c>
      <c r="X2524" s="16">
        <v>23.89</v>
      </c>
      <c r="Y2524" s="16">
        <v>23.89</v>
      </c>
      <c r="Z2524" s="16">
        <v>23.89</v>
      </c>
      <c r="AA2524" s="16">
        <v>23.89</v>
      </c>
      <c r="AB2524" s="16">
        <v>29.44</v>
      </c>
      <c r="AC2524" s="16">
        <v>29.44</v>
      </c>
      <c r="AD2524" s="16">
        <v>29.44</v>
      </c>
      <c r="AE2524" s="16">
        <v>29.44</v>
      </c>
      <c r="AF2524" s="16" t="s">
        <v>413</v>
      </c>
    </row>
    <row r="2525" spans="1:32" ht="14.25" customHeight="1" x14ac:dyDescent="0.35">
      <c r="A2525" s="16" t="s">
        <v>1714</v>
      </c>
      <c r="B2525" s="16" t="s">
        <v>420</v>
      </c>
      <c r="C2525" s="16" t="s">
        <v>414</v>
      </c>
      <c r="D2525" s="16" t="s">
        <v>429</v>
      </c>
      <c r="E2525" s="17">
        <v>41640</v>
      </c>
      <c r="F2525" s="17">
        <v>42004</v>
      </c>
      <c r="G2525" s="16" t="s">
        <v>415</v>
      </c>
      <c r="H2525" s="16">
        <v>29.44</v>
      </c>
      <c r="I2525" s="16">
        <v>29.44</v>
      </c>
      <c r="J2525" s="16">
        <v>29.44</v>
      </c>
      <c r="K2525" s="16">
        <v>29.44</v>
      </c>
      <c r="L2525" s="16">
        <v>29.44</v>
      </c>
      <c r="M2525" s="16">
        <v>29.44</v>
      </c>
      <c r="N2525" s="16">
        <v>29.44</v>
      </c>
      <c r="O2525" s="16">
        <v>23.89</v>
      </c>
      <c r="P2525" s="16">
        <v>23.89</v>
      </c>
      <c r="Q2525" s="16">
        <v>23.89</v>
      </c>
      <c r="R2525" s="16">
        <v>23.89</v>
      </c>
      <c r="S2525" s="16">
        <v>23.89</v>
      </c>
      <c r="T2525" s="16">
        <v>23.89</v>
      </c>
      <c r="U2525" s="16">
        <v>23.89</v>
      </c>
      <c r="V2525" s="16">
        <v>23.89</v>
      </c>
      <c r="W2525" s="16">
        <v>23.89</v>
      </c>
      <c r="X2525" s="16">
        <v>23.89</v>
      </c>
      <c r="Y2525" s="16">
        <v>23.89</v>
      </c>
      <c r="Z2525" s="16">
        <v>23.89</v>
      </c>
      <c r="AA2525" s="16">
        <v>23.89</v>
      </c>
      <c r="AB2525" s="16">
        <v>29.44</v>
      </c>
      <c r="AC2525" s="16">
        <v>29.44</v>
      </c>
      <c r="AD2525" s="16">
        <v>29.44</v>
      </c>
      <c r="AE2525" s="16">
        <v>29.44</v>
      </c>
      <c r="AF2525" s="16" t="s">
        <v>413</v>
      </c>
    </row>
    <row r="2526" spans="1:32" ht="14.25" customHeight="1" x14ac:dyDescent="0.35">
      <c r="A2526" s="14" t="s">
        <v>1714</v>
      </c>
      <c r="B2526" s="14" t="s">
        <v>420</v>
      </c>
      <c r="C2526" s="14" t="s">
        <v>414</v>
      </c>
      <c r="D2526" s="14" t="s">
        <v>418</v>
      </c>
      <c r="E2526" s="15">
        <v>41640</v>
      </c>
      <c r="F2526" s="15">
        <v>42004</v>
      </c>
      <c r="G2526" s="14" t="s">
        <v>410</v>
      </c>
      <c r="H2526" s="14">
        <v>29.44</v>
      </c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 t="s">
        <v>413</v>
      </c>
    </row>
    <row r="2527" spans="1:32" ht="14.25" customHeight="1" x14ac:dyDescent="0.35">
      <c r="A2527" s="14" t="s">
        <v>1715</v>
      </c>
      <c r="B2527" s="14" t="s">
        <v>420</v>
      </c>
      <c r="C2527" s="14" t="s">
        <v>414</v>
      </c>
      <c r="D2527" s="14" t="s">
        <v>821</v>
      </c>
      <c r="E2527" s="15">
        <v>41640</v>
      </c>
      <c r="F2527" s="15">
        <v>42004</v>
      </c>
      <c r="G2527" s="14" t="s">
        <v>410</v>
      </c>
      <c r="H2527" s="14">
        <v>23.89</v>
      </c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 t="s">
        <v>413</v>
      </c>
    </row>
    <row r="2528" spans="1:32" ht="14.25" customHeight="1" x14ac:dyDescent="0.35">
      <c r="A2528" s="14" t="s">
        <v>1715</v>
      </c>
      <c r="B2528" s="14" t="s">
        <v>420</v>
      </c>
      <c r="C2528" s="14" t="s">
        <v>414</v>
      </c>
      <c r="D2528" s="14" t="s">
        <v>419</v>
      </c>
      <c r="E2528" s="15">
        <v>41640</v>
      </c>
      <c r="F2528" s="15">
        <v>42004</v>
      </c>
      <c r="G2528" s="14" t="s">
        <v>415</v>
      </c>
      <c r="H2528" s="14">
        <v>29.44</v>
      </c>
      <c r="I2528" s="14">
        <v>29.44</v>
      </c>
      <c r="J2528" s="14">
        <v>29.44</v>
      </c>
      <c r="K2528" s="14">
        <v>29.44</v>
      </c>
      <c r="L2528" s="14">
        <v>29.44</v>
      </c>
      <c r="M2528" s="14">
        <v>29.44</v>
      </c>
      <c r="N2528" s="14">
        <v>29.44</v>
      </c>
      <c r="O2528" s="14">
        <v>26.67</v>
      </c>
      <c r="P2528" s="14">
        <v>23.89</v>
      </c>
      <c r="Q2528" s="14">
        <v>23.89</v>
      </c>
      <c r="R2528" s="14">
        <v>23.89</v>
      </c>
      <c r="S2528" s="14">
        <v>23.89</v>
      </c>
      <c r="T2528" s="14">
        <v>23.89</v>
      </c>
      <c r="U2528" s="14">
        <v>23.89</v>
      </c>
      <c r="V2528" s="14">
        <v>23.89</v>
      </c>
      <c r="W2528" s="14">
        <v>23.89</v>
      </c>
      <c r="X2528" s="14">
        <v>23.89</v>
      </c>
      <c r="Y2528" s="14">
        <v>23.89</v>
      </c>
      <c r="Z2528" s="14">
        <v>23.89</v>
      </c>
      <c r="AA2528" s="14">
        <v>23.89</v>
      </c>
      <c r="AB2528" s="14">
        <v>29.44</v>
      </c>
      <c r="AC2528" s="14">
        <v>29.44</v>
      </c>
      <c r="AD2528" s="14">
        <v>29.44</v>
      </c>
      <c r="AE2528" s="14">
        <v>29.44</v>
      </c>
      <c r="AF2528" s="14" t="s">
        <v>413</v>
      </c>
    </row>
    <row r="2529" spans="1:32" ht="14.25" customHeight="1" x14ac:dyDescent="0.35">
      <c r="A2529" s="16" t="s">
        <v>1715</v>
      </c>
      <c r="B2529" s="16" t="s">
        <v>420</v>
      </c>
      <c r="C2529" s="16" t="s">
        <v>414</v>
      </c>
      <c r="D2529" s="16" t="s">
        <v>418</v>
      </c>
      <c r="E2529" s="17">
        <v>41640</v>
      </c>
      <c r="F2529" s="17">
        <v>42004</v>
      </c>
      <c r="G2529" s="16" t="s">
        <v>410</v>
      </c>
      <c r="H2529" s="16">
        <v>29.44</v>
      </c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16"/>
      <c r="AA2529" s="16"/>
      <c r="AB2529" s="16"/>
      <c r="AC2529" s="16"/>
      <c r="AD2529" s="16"/>
      <c r="AE2529" s="16"/>
      <c r="AF2529" s="16" t="s">
        <v>413</v>
      </c>
    </row>
    <row r="2530" spans="1:32" ht="14.25" customHeight="1" x14ac:dyDescent="0.35">
      <c r="A2530" s="16" t="s">
        <v>1716</v>
      </c>
      <c r="B2530" s="16" t="s">
        <v>420</v>
      </c>
      <c r="C2530" s="16" t="s">
        <v>414</v>
      </c>
      <c r="D2530" s="16" t="s">
        <v>417</v>
      </c>
      <c r="E2530" s="17">
        <v>41640</v>
      </c>
      <c r="F2530" s="17">
        <v>42004</v>
      </c>
      <c r="G2530" s="16" t="s">
        <v>415</v>
      </c>
      <c r="H2530" s="16">
        <v>29.44</v>
      </c>
      <c r="I2530" s="16">
        <v>29.44</v>
      </c>
      <c r="J2530" s="16">
        <v>29.44</v>
      </c>
      <c r="K2530" s="16">
        <v>29.44</v>
      </c>
      <c r="L2530" s="16">
        <v>29.44</v>
      </c>
      <c r="M2530" s="16">
        <v>29.44</v>
      </c>
      <c r="N2530" s="16">
        <v>29.44</v>
      </c>
      <c r="O2530" s="16">
        <v>29.44</v>
      </c>
      <c r="P2530" s="16">
        <v>26.67</v>
      </c>
      <c r="Q2530" s="16">
        <v>23.89</v>
      </c>
      <c r="R2530" s="16">
        <v>23.89</v>
      </c>
      <c r="S2530" s="16">
        <v>23.89</v>
      </c>
      <c r="T2530" s="16">
        <v>23.89</v>
      </c>
      <c r="U2530" s="16">
        <v>23.89</v>
      </c>
      <c r="V2530" s="16">
        <v>23.89</v>
      </c>
      <c r="W2530" s="16">
        <v>23.89</v>
      </c>
      <c r="X2530" s="16">
        <v>23.89</v>
      </c>
      <c r="Y2530" s="16">
        <v>29.44</v>
      </c>
      <c r="Z2530" s="16">
        <v>29.44</v>
      </c>
      <c r="AA2530" s="16">
        <v>29.44</v>
      </c>
      <c r="AB2530" s="16">
        <v>29.44</v>
      </c>
      <c r="AC2530" s="16">
        <v>29.44</v>
      </c>
      <c r="AD2530" s="16">
        <v>29.44</v>
      </c>
      <c r="AE2530" s="16">
        <v>29.44</v>
      </c>
      <c r="AF2530" s="16" t="s">
        <v>413</v>
      </c>
    </row>
    <row r="2531" spans="1:32" ht="14.25" customHeight="1" x14ac:dyDescent="0.35">
      <c r="A2531" s="14" t="s">
        <v>1716</v>
      </c>
      <c r="B2531" s="14" t="s">
        <v>420</v>
      </c>
      <c r="C2531" s="14" t="s">
        <v>414</v>
      </c>
      <c r="D2531" s="14" t="s">
        <v>512</v>
      </c>
      <c r="E2531" s="15">
        <v>41640</v>
      </c>
      <c r="F2531" s="15">
        <v>42004</v>
      </c>
      <c r="G2531" s="14" t="s">
        <v>415</v>
      </c>
      <c r="H2531" s="14">
        <v>29.44</v>
      </c>
      <c r="I2531" s="14">
        <v>29.44</v>
      </c>
      <c r="J2531" s="14">
        <v>29.44</v>
      </c>
      <c r="K2531" s="14">
        <v>29.44</v>
      </c>
      <c r="L2531" s="14">
        <v>29.44</v>
      </c>
      <c r="M2531" s="14">
        <v>29.44</v>
      </c>
      <c r="N2531" s="14">
        <v>29.44</v>
      </c>
      <c r="O2531" s="14">
        <v>26.67</v>
      </c>
      <c r="P2531" s="14">
        <v>23.89</v>
      </c>
      <c r="Q2531" s="14">
        <v>23.89</v>
      </c>
      <c r="R2531" s="14">
        <v>23.89</v>
      </c>
      <c r="S2531" s="14">
        <v>23.89</v>
      </c>
      <c r="T2531" s="14">
        <v>23.89</v>
      </c>
      <c r="U2531" s="14">
        <v>23.89</v>
      </c>
      <c r="V2531" s="14">
        <v>23.89</v>
      </c>
      <c r="W2531" s="14">
        <v>23.89</v>
      </c>
      <c r="X2531" s="14">
        <v>23.89</v>
      </c>
      <c r="Y2531" s="14">
        <v>23.89</v>
      </c>
      <c r="Z2531" s="14">
        <v>29.44</v>
      </c>
      <c r="AA2531" s="14">
        <v>29.44</v>
      </c>
      <c r="AB2531" s="14">
        <v>29.44</v>
      </c>
      <c r="AC2531" s="14">
        <v>29.44</v>
      </c>
      <c r="AD2531" s="14">
        <v>29.44</v>
      </c>
      <c r="AE2531" s="14">
        <v>29.44</v>
      </c>
      <c r="AF2531" s="14" t="s">
        <v>413</v>
      </c>
    </row>
    <row r="2532" spans="1:32" ht="14.25" customHeight="1" x14ac:dyDescent="0.35">
      <c r="A2532" s="16" t="s">
        <v>1716</v>
      </c>
      <c r="B2532" s="16" t="s">
        <v>420</v>
      </c>
      <c r="C2532" s="16" t="s">
        <v>414</v>
      </c>
      <c r="D2532" s="16" t="s">
        <v>556</v>
      </c>
      <c r="E2532" s="17">
        <v>41640</v>
      </c>
      <c r="F2532" s="17">
        <v>42004</v>
      </c>
      <c r="G2532" s="16" t="s">
        <v>415</v>
      </c>
      <c r="H2532" s="16">
        <v>29.44</v>
      </c>
      <c r="I2532" s="16">
        <v>29.44</v>
      </c>
      <c r="J2532" s="16">
        <v>29.44</v>
      </c>
      <c r="K2532" s="16">
        <v>29.44</v>
      </c>
      <c r="L2532" s="16">
        <v>29.44</v>
      </c>
      <c r="M2532" s="16">
        <v>29.44</v>
      </c>
      <c r="N2532" s="16">
        <v>29.44</v>
      </c>
      <c r="O2532" s="16">
        <v>26.67</v>
      </c>
      <c r="P2532" s="16">
        <v>23.89</v>
      </c>
      <c r="Q2532" s="16">
        <v>23.89</v>
      </c>
      <c r="R2532" s="16">
        <v>23.89</v>
      </c>
      <c r="S2532" s="16">
        <v>23.89</v>
      </c>
      <c r="T2532" s="16">
        <v>23.89</v>
      </c>
      <c r="U2532" s="16">
        <v>23.89</v>
      </c>
      <c r="V2532" s="16">
        <v>23.89</v>
      </c>
      <c r="W2532" s="16">
        <v>23.89</v>
      </c>
      <c r="X2532" s="16">
        <v>23.89</v>
      </c>
      <c r="Y2532" s="16">
        <v>23.89</v>
      </c>
      <c r="Z2532" s="16">
        <v>23.89</v>
      </c>
      <c r="AA2532" s="16">
        <v>23.89</v>
      </c>
      <c r="AB2532" s="16">
        <v>29.44</v>
      </c>
      <c r="AC2532" s="16">
        <v>29.44</v>
      </c>
      <c r="AD2532" s="16">
        <v>29.44</v>
      </c>
      <c r="AE2532" s="16">
        <v>29.44</v>
      </c>
      <c r="AF2532" s="16" t="s">
        <v>413</v>
      </c>
    </row>
    <row r="2533" spans="1:32" ht="14.25" customHeight="1" x14ac:dyDescent="0.35">
      <c r="A2533" s="14" t="s">
        <v>1716</v>
      </c>
      <c r="B2533" s="14" t="s">
        <v>420</v>
      </c>
      <c r="C2533" s="14" t="s">
        <v>414</v>
      </c>
      <c r="D2533" s="14" t="s">
        <v>418</v>
      </c>
      <c r="E2533" s="15">
        <v>41640</v>
      </c>
      <c r="F2533" s="15">
        <v>42004</v>
      </c>
      <c r="G2533" s="14" t="s">
        <v>410</v>
      </c>
      <c r="H2533" s="14">
        <v>29.44</v>
      </c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 t="s">
        <v>413</v>
      </c>
    </row>
    <row r="2534" spans="1:32" ht="14.25" customHeight="1" x14ac:dyDescent="0.35">
      <c r="A2534" s="16" t="s">
        <v>1717</v>
      </c>
      <c r="B2534" s="16" t="s">
        <v>427</v>
      </c>
      <c r="C2534" s="16"/>
      <c r="D2534" s="16" t="s">
        <v>417</v>
      </c>
      <c r="E2534" s="17">
        <v>41640</v>
      </c>
      <c r="F2534" s="17">
        <v>42004</v>
      </c>
      <c r="G2534" s="16" t="s">
        <v>415</v>
      </c>
      <c r="H2534" s="16">
        <v>0.05</v>
      </c>
      <c r="I2534" s="16">
        <v>0.05</v>
      </c>
      <c r="J2534" s="16">
        <v>0.05</v>
      </c>
      <c r="K2534" s="16">
        <v>0.05</v>
      </c>
      <c r="L2534" s="16">
        <v>0.05</v>
      </c>
      <c r="M2534" s="16">
        <v>0.05</v>
      </c>
      <c r="N2534" s="16">
        <v>0.05</v>
      </c>
      <c r="O2534" s="16">
        <v>0.05</v>
      </c>
      <c r="P2534" s="16">
        <v>0.05</v>
      </c>
      <c r="Q2534" s="16">
        <v>0.5</v>
      </c>
      <c r="R2534" s="16">
        <v>0.9</v>
      </c>
      <c r="S2534" s="16">
        <v>0.9</v>
      </c>
      <c r="T2534" s="16">
        <v>0.9</v>
      </c>
      <c r="U2534" s="16">
        <v>0.9</v>
      </c>
      <c r="V2534" s="16">
        <v>0.9</v>
      </c>
      <c r="W2534" s="16">
        <v>0.9</v>
      </c>
      <c r="X2534" s="16">
        <v>0.9</v>
      </c>
      <c r="Y2534" s="16">
        <v>0.5</v>
      </c>
      <c r="Z2534" s="16">
        <v>0.05</v>
      </c>
      <c r="AA2534" s="16">
        <v>0.05</v>
      </c>
      <c r="AB2534" s="16">
        <v>0.05</v>
      </c>
      <c r="AC2534" s="16">
        <v>0.05</v>
      </c>
      <c r="AD2534" s="16">
        <v>0.05</v>
      </c>
      <c r="AE2534" s="16">
        <v>0.05</v>
      </c>
      <c r="AF2534" s="16" t="s">
        <v>413</v>
      </c>
    </row>
    <row r="2535" spans="1:32" ht="14.25" customHeight="1" x14ac:dyDescent="0.35">
      <c r="A2535" s="14" t="s">
        <v>1717</v>
      </c>
      <c r="B2535" s="14" t="s">
        <v>427</v>
      </c>
      <c r="C2535" s="14"/>
      <c r="D2535" s="14" t="s">
        <v>512</v>
      </c>
      <c r="E2535" s="15">
        <v>41640</v>
      </c>
      <c r="F2535" s="15">
        <v>42004</v>
      </c>
      <c r="G2535" s="14" t="s">
        <v>415</v>
      </c>
      <c r="H2535" s="14">
        <v>0.05</v>
      </c>
      <c r="I2535" s="14">
        <v>0.05</v>
      </c>
      <c r="J2535" s="14">
        <v>0.05</v>
      </c>
      <c r="K2535" s="14">
        <v>0.05</v>
      </c>
      <c r="L2535" s="14">
        <v>0.05</v>
      </c>
      <c r="M2535" s="14">
        <v>0.05</v>
      </c>
      <c r="N2535" s="14">
        <v>0.05</v>
      </c>
      <c r="O2535" s="14">
        <v>0.05</v>
      </c>
      <c r="P2535" s="14">
        <v>0.5</v>
      </c>
      <c r="Q2535" s="14">
        <v>0.9</v>
      </c>
      <c r="R2535" s="14">
        <v>0.9</v>
      </c>
      <c r="S2535" s="14">
        <v>0.9</v>
      </c>
      <c r="T2535" s="14">
        <v>0.9</v>
      </c>
      <c r="U2535" s="14">
        <v>0.9</v>
      </c>
      <c r="V2535" s="14">
        <v>0.9</v>
      </c>
      <c r="W2535" s="14">
        <v>0.9</v>
      </c>
      <c r="X2535" s="14">
        <v>0.9</v>
      </c>
      <c r="Y2535" s="14">
        <v>0.9</v>
      </c>
      <c r="Z2535" s="14">
        <v>0.5</v>
      </c>
      <c r="AA2535" s="14">
        <v>0.05</v>
      </c>
      <c r="AB2535" s="14">
        <v>0.05</v>
      </c>
      <c r="AC2535" s="14">
        <v>0.05</v>
      </c>
      <c r="AD2535" s="14">
        <v>0.05</v>
      </c>
      <c r="AE2535" s="14">
        <v>0.05</v>
      </c>
      <c r="AF2535" s="14" t="s">
        <v>413</v>
      </c>
    </row>
    <row r="2536" spans="1:32" ht="14.25" customHeight="1" x14ac:dyDescent="0.35">
      <c r="A2536" s="16" t="s">
        <v>1717</v>
      </c>
      <c r="B2536" s="16" t="s">
        <v>427</v>
      </c>
      <c r="C2536" s="16"/>
      <c r="D2536" s="16" t="s">
        <v>419</v>
      </c>
      <c r="E2536" s="17">
        <v>41640</v>
      </c>
      <c r="F2536" s="17">
        <v>42004</v>
      </c>
      <c r="G2536" s="16" t="s">
        <v>410</v>
      </c>
      <c r="H2536" s="16">
        <v>1</v>
      </c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  <c r="AC2536" s="16"/>
      <c r="AD2536" s="16"/>
      <c r="AE2536" s="16"/>
      <c r="AF2536" s="16" t="s">
        <v>413</v>
      </c>
    </row>
    <row r="2537" spans="1:32" ht="14.25" customHeight="1" x14ac:dyDescent="0.35">
      <c r="A2537" s="16" t="s">
        <v>1717</v>
      </c>
      <c r="B2537" s="16" t="s">
        <v>427</v>
      </c>
      <c r="C2537" s="16"/>
      <c r="D2537" s="16" t="s">
        <v>429</v>
      </c>
      <c r="E2537" s="17">
        <v>41640</v>
      </c>
      <c r="F2537" s="17">
        <v>42004</v>
      </c>
      <c r="G2537" s="16" t="s">
        <v>415</v>
      </c>
      <c r="H2537" s="16">
        <v>0.05</v>
      </c>
      <c r="I2537" s="16">
        <v>0.05</v>
      </c>
      <c r="J2537" s="16">
        <v>0.05</v>
      </c>
      <c r="K2537" s="16">
        <v>0.05</v>
      </c>
      <c r="L2537" s="16">
        <v>0.05</v>
      </c>
      <c r="M2537" s="16">
        <v>0.05</v>
      </c>
      <c r="N2537" s="16">
        <v>0.05</v>
      </c>
      <c r="O2537" s="16">
        <v>0.05</v>
      </c>
      <c r="P2537" s="16">
        <v>0.5</v>
      </c>
      <c r="Q2537" s="16">
        <v>0.9</v>
      </c>
      <c r="R2537" s="16">
        <v>0.9</v>
      </c>
      <c r="S2537" s="16">
        <v>0.9</v>
      </c>
      <c r="T2537" s="16">
        <v>0.9</v>
      </c>
      <c r="U2537" s="16">
        <v>0.9</v>
      </c>
      <c r="V2537" s="16">
        <v>0.9</v>
      </c>
      <c r="W2537" s="16">
        <v>0.9</v>
      </c>
      <c r="X2537" s="16">
        <v>0.9</v>
      </c>
      <c r="Y2537" s="16">
        <v>0.9</v>
      </c>
      <c r="Z2537" s="16">
        <v>0.9</v>
      </c>
      <c r="AA2537" s="16">
        <v>0.9</v>
      </c>
      <c r="AB2537" s="16">
        <v>0.5</v>
      </c>
      <c r="AC2537" s="16">
        <v>0.05</v>
      </c>
      <c r="AD2537" s="16">
        <v>0.05</v>
      </c>
      <c r="AE2537" s="16">
        <v>0.05</v>
      </c>
      <c r="AF2537" s="16" t="s">
        <v>413</v>
      </c>
    </row>
    <row r="2538" spans="1:32" ht="14.25" customHeight="1" x14ac:dyDescent="0.35">
      <c r="A2538" s="14" t="s">
        <v>1717</v>
      </c>
      <c r="B2538" s="14" t="s">
        <v>427</v>
      </c>
      <c r="C2538" s="14"/>
      <c r="D2538" s="14" t="s">
        <v>418</v>
      </c>
      <c r="E2538" s="15">
        <v>41640</v>
      </c>
      <c r="F2538" s="15">
        <v>42004</v>
      </c>
      <c r="G2538" s="14" t="s">
        <v>410</v>
      </c>
      <c r="H2538" s="14">
        <v>0</v>
      </c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 t="s">
        <v>413</v>
      </c>
    </row>
    <row r="2539" spans="1:32" ht="14.25" customHeight="1" x14ac:dyDescent="0.35">
      <c r="A2539" s="14" t="s">
        <v>1718</v>
      </c>
      <c r="B2539" s="14" t="s">
        <v>408</v>
      </c>
      <c r="C2539" s="14"/>
      <c r="D2539" s="14" t="s">
        <v>417</v>
      </c>
      <c r="E2539" s="15">
        <v>41640</v>
      </c>
      <c r="F2539" s="15">
        <v>42004</v>
      </c>
      <c r="G2539" s="14" t="s">
        <v>415</v>
      </c>
      <c r="H2539" s="14">
        <v>0</v>
      </c>
      <c r="I2539" s="14">
        <v>0</v>
      </c>
      <c r="J2539" s="14">
        <v>0</v>
      </c>
      <c r="K2539" s="14">
        <v>0</v>
      </c>
      <c r="L2539" s="14">
        <v>0</v>
      </c>
      <c r="M2539" s="14">
        <v>0</v>
      </c>
      <c r="N2539" s="14">
        <v>0</v>
      </c>
      <c r="O2539" s="14">
        <v>0</v>
      </c>
      <c r="P2539" s="14">
        <v>1</v>
      </c>
      <c r="Q2539" s="14">
        <v>1</v>
      </c>
      <c r="R2539" s="14">
        <v>1</v>
      </c>
      <c r="S2539" s="14">
        <v>1</v>
      </c>
      <c r="T2539" s="14">
        <v>1</v>
      </c>
      <c r="U2539" s="14">
        <v>1</v>
      </c>
      <c r="V2539" s="14">
        <v>1</v>
      </c>
      <c r="W2539" s="14">
        <v>1</v>
      </c>
      <c r="X2539" s="14">
        <v>1</v>
      </c>
      <c r="Y2539" s="14">
        <v>1</v>
      </c>
      <c r="Z2539" s="14">
        <v>0</v>
      </c>
      <c r="AA2539" s="14">
        <v>0</v>
      </c>
      <c r="AB2539" s="14">
        <v>0</v>
      </c>
      <c r="AC2539" s="14">
        <v>0</v>
      </c>
      <c r="AD2539" s="14">
        <v>0</v>
      </c>
      <c r="AE2539" s="14">
        <v>0</v>
      </c>
      <c r="AF2539" s="14" t="s">
        <v>413</v>
      </c>
    </row>
    <row r="2540" spans="1:32" ht="14.25" customHeight="1" x14ac:dyDescent="0.35">
      <c r="A2540" s="14" t="s">
        <v>1718</v>
      </c>
      <c r="B2540" s="14" t="s">
        <v>408</v>
      </c>
      <c r="C2540" s="14"/>
      <c r="D2540" s="14" t="s">
        <v>556</v>
      </c>
      <c r="E2540" s="15">
        <v>41640</v>
      </c>
      <c r="F2540" s="15">
        <v>42004</v>
      </c>
      <c r="G2540" s="14" t="s">
        <v>415</v>
      </c>
      <c r="H2540" s="14">
        <v>0</v>
      </c>
      <c r="I2540" s="14">
        <v>0</v>
      </c>
      <c r="J2540" s="14">
        <v>0</v>
      </c>
      <c r="K2540" s="14">
        <v>0</v>
      </c>
      <c r="L2540" s="14">
        <v>0</v>
      </c>
      <c r="M2540" s="14">
        <v>0</v>
      </c>
      <c r="N2540" s="14">
        <v>0</v>
      </c>
      <c r="O2540" s="14">
        <v>1</v>
      </c>
      <c r="P2540" s="14">
        <v>1</v>
      </c>
      <c r="Q2540" s="14">
        <v>1</v>
      </c>
      <c r="R2540" s="14">
        <v>1</v>
      </c>
      <c r="S2540" s="14">
        <v>1</v>
      </c>
      <c r="T2540" s="14">
        <v>1</v>
      </c>
      <c r="U2540" s="14">
        <v>1</v>
      </c>
      <c r="V2540" s="14">
        <v>1</v>
      </c>
      <c r="W2540" s="14">
        <v>1</v>
      </c>
      <c r="X2540" s="14">
        <v>1</v>
      </c>
      <c r="Y2540" s="14">
        <v>1</v>
      </c>
      <c r="Z2540" s="14">
        <v>1</v>
      </c>
      <c r="AA2540" s="14">
        <v>1</v>
      </c>
      <c r="AB2540" s="14">
        <v>1</v>
      </c>
      <c r="AC2540" s="14">
        <v>0</v>
      </c>
      <c r="AD2540" s="14">
        <v>0</v>
      </c>
      <c r="AE2540" s="14">
        <v>0</v>
      </c>
      <c r="AF2540" s="14" t="s">
        <v>413</v>
      </c>
    </row>
    <row r="2541" spans="1:32" ht="14.25" customHeight="1" x14ac:dyDescent="0.35">
      <c r="A2541" s="16" t="s">
        <v>1718</v>
      </c>
      <c r="B2541" s="16" t="s">
        <v>408</v>
      </c>
      <c r="C2541" s="16"/>
      <c r="D2541" s="16" t="s">
        <v>514</v>
      </c>
      <c r="E2541" s="17">
        <v>41640</v>
      </c>
      <c r="F2541" s="17">
        <v>42004</v>
      </c>
      <c r="G2541" s="16" t="s">
        <v>415</v>
      </c>
      <c r="H2541" s="16">
        <v>0</v>
      </c>
      <c r="I2541" s="16">
        <v>0</v>
      </c>
      <c r="J2541" s="16">
        <v>0</v>
      </c>
      <c r="K2541" s="16">
        <v>0</v>
      </c>
      <c r="L2541" s="16">
        <v>0</v>
      </c>
      <c r="M2541" s="16">
        <v>0</v>
      </c>
      <c r="N2541" s="16">
        <v>0</v>
      </c>
      <c r="O2541" s="16">
        <v>1</v>
      </c>
      <c r="P2541" s="16">
        <v>1</v>
      </c>
      <c r="Q2541" s="16">
        <v>1</v>
      </c>
      <c r="R2541" s="16">
        <v>1</v>
      </c>
      <c r="S2541" s="16">
        <v>1</v>
      </c>
      <c r="T2541" s="16">
        <v>1</v>
      </c>
      <c r="U2541" s="16">
        <v>1</v>
      </c>
      <c r="V2541" s="16">
        <v>1</v>
      </c>
      <c r="W2541" s="16">
        <v>1</v>
      </c>
      <c r="X2541" s="16">
        <v>1</v>
      </c>
      <c r="Y2541" s="16">
        <v>1</v>
      </c>
      <c r="Z2541" s="16">
        <v>1</v>
      </c>
      <c r="AA2541" s="16">
        <v>0</v>
      </c>
      <c r="AB2541" s="16">
        <v>0</v>
      </c>
      <c r="AC2541" s="16">
        <v>0</v>
      </c>
      <c r="AD2541" s="16">
        <v>0</v>
      </c>
      <c r="AE2541" s="16">
        <v>0</v>
      </c>
      <c r="AF2541" s="16" t="s">
        <v>413</v>
      </c>
    </row>
    <row r="2542" spans="1:32" ht="14.25" customHeight="1" x14ac:dyDescent="0.35">
      <c r="A2542" s="16" t="s">
        <v>1719</v>
      </c>
      <c r="B2542" s="16" t="s">
        <v>420</v>
      </c>
      <c r="C2542" s="16" t="s">
        <v>414</v>
      </c>
      <c r="D2542" s="16" t="s">
        <v>417</v>
      </c>
      <c r="E2542" s="17">
        <v>41640</v>
      </c>
      <c r="F2542" s="17">
        <v>42004</v>
      </c>
      <c r="G2542" s="16" t="s">
        <v>415</v>
      </c>
      <c r="H2542" s="16">
        <v>15.56</v>
      </c>
      <c r="I2542" s="16">
        <v>15.56</v>
      </c>
      <c r="J2542" s="16">
        <v>15.56</v>
      </c>
      <c r="K2542" s="16">
        <v>15.56</v>
      </c>
      <c r="L2542" s="16">
        <v>15.56</v>
      </c>
      <c r="M2542" s="16">
        <v>15.56</v>
      </c>
      <c r="N2542" s="16">
        <v>15.56</v>
      </c>
      <c r="O2542" s="16">
        <v>15.56</v>
      </c>
      <c r="P2542" s="16">
        <v>21.11</v>
      </c>
      <c r="Q2542" s="16">
        <v>21.11</v>
      </c>
      <c r="R2542" s="16">
        <v>21.11</v>
      </c>
      <c r="S2542" s="16">
        <v>21.11</v>
      </c>
      <c r="T2542" s="16">
        <v>21.11</v>
      </c>
      <c r="U2542" s="16">
        <v>21.11</v>
      </c>
      <c r="V2542" s="16">
        <v>21.11</v>
      </c>
      <c r="W2542" s="16">
        <v>21.11</v>
      </c>
      <c r="X2542" s="16">
        <v>21.11</v>
      </c>
      <c r="Y2542" s="16">
        <v>21.11</v>
      </c>
      <c r="Z2542" s="16">
        <v>15.56</v>
      </c>
      <c r="AA2542" s="16">
        <v>15.56</v>
      </c>
      <c r="AB2542" s="16">
        <v>15.56</v>
      </c>
      <c r="AC2542" s="16">
        <v>15.56</v>
      </c>
      <c r="AD2542" s="16">
        <v>15.56</v>
      </c>
      <c r="AE2542" s="16">
        <v>15.56</v>
      </c>
      <c r="AF2542" s="16" t="s">
        <v>413</v>
      </c>
    </row>
    <row r="2543" spans="1:32" ht="14.25" customHeight="1" x14ac:dyDescent="0.35">
      <c r="A2543" s="14" t="s">
        <v>1719</v>
      </c>
      <c r="B2543" s="14" t="s">
        <v>420</v>
      </c>
      <c r="C2543" s="14" t="s">
        <v>414</v>
      </c>
      <c r="D2543" s="14" t="s">
        <v>512</v>
      </c>
      <c r="E2543" s="15">
        <v>41640</v>
      </c>
      <c r="F2543" s="15">
        <v>42004</v>
      </c>
      <c r="G2543" s="14" t="s">
        <v>415</v>
      </c>
      <c r="H2543" s="14">
        <v>15.56</v>
      </c>
      <c r="I2543" s="14">
        <v>15.56</v>
      </c>
      <c r="J2543" s="14">
        <v>15.56</v>
      </c>
      <c r="K2543" s="14">
        <v>15.56</v>
      </c>
      <c r="L2543" s="14">
        <v>15.56</v>
      </c>
      <c r="M2543" s="14">
        <v>15.56</v>
      </c>
      <c r="N2543" s="14">
        <v>15.56</v>
      </c>
      <c r="O2543" s="14">
        <v>21.11</v>
      </c>
      <c r="P2543" s="14">
        <v>21.11</v>
      </c>
      <c r="Q2543" s="14">
        <v>21.11</v>
      </c>
      <c r="R2543" s="14">
        <v>21.11</v>
      </c>
      <c r="S2543" s="14">
        <v>21.11</v>
      </c>
      <c r="T2543" s="14">
        <v>21.11</v>
      </c>
      <c r="U2543" s="14">
        <v>21.11</v>
      </c>
      <c r="V2543" s="14">
        <v>21.11</v>
      </c>
      <c r="W2543" s="14">
        <v>21.11</v>
      </c>
      <c r="X2543" s="14">
        <v>21.11</v>
      </c>
      <c r="Y2543" s="14">
        <v>21.11</v>
      </c>
      <c r="Z2543" s="14">
        <v>21.11</v>
      </c>
      <c r="AA2543" s="14">
        <v>15.56</v>
      </c>
      <c r="AB2543" s="14">
        <v>15.56</v>
      </c>
      <c r="AC2543" s="14">
        <v>15.56</v>
      </c>
      <c r="AD2543" s="14">
        <v>15.56</v>
      </c>
      <c r="AE2543" s="14">
        <v>15.56</v>
      </c>
      <c r="AF2543" s="14" t="s">
        <v>413</v>
      </c>
    </row>
    <row r="2544" spans="1:32" ht="14.25" customHeight="1" x14ac:dyDescent="0.35">
      <c r="A2544" s="16" t="s">
        <v>1719</v>
      </c>
      <c r="B2544" s="16" t="s">
        <v>420</v>
      </c>
      <c r="C2544" s="16" t="s">
        <v>414</v>
      </c>
      <c r="D2544" s="16" t="s">
        <v>419</v>
      </c>
      <c r="E2544" s="17">
        <v>41640</v>
      </c>
      <c r="F2544" s="17">
        <v>42004</v>
      </c>
      <c r="G2544" s="16" t="s">
        <v>410</v>
      </c>
      <c r="H2544" s="16">
        <v>15.56</v>
      </c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6"/>
      <c r="AA2544" s="16"/>
      <c r="AB2544" s="16"/>
      <c r="AC2544" s="16"/>
      <c r="AD2544" s="16"/>
      <c r="AE2544" s="16"/>
      <c r="AF2544" s="16" t="s">
        <v>413</v>
      </c>
    </row>
    <row r="2545" spans="1:32" ht="14.25" customHeight="1" x14ac:dyDescent="0.35">
      <c r="A2545" s="16" t="s">
        <v>1719</v>
      </c>
      <c r="B2545" s="16" t="s">
        <v>420</v>
      </c>
      <c r="C2545" s="16" t="s">
        <v>414</v>
      </c>
      <c r="D2545" s="16" t="s">
        <v>429</v>
      </c>
      <c r="E2545" s="17">
        <v>41640</v>
      </c>
      <c r="F2545" s="17">
        <v>42004</v>
      </c>
      <c r="G2545" s="16" t="s">
        <v>415</v>
      </c>
      <c r="H2545" s="16">
        <v>15.56</v>
      </c>
      <c r="I2545" s="16">
        <v>15.56</v>
      </c>
      <c r="J2545" s="16">
        <v>15.56</v>
      </c>
      <c r="K2545" s="16">
        <v>15.56</v>
      </c>
      <c r="L2545" s="16">
        <v>15.56</v>
      </c>
      <c r="M2545" s="16">
        <v>15.56</v>
      </c>
      <c r="N2545" s="16">
        <v>15.56</v>
      </c>
      <c r="O2545" s="16">
        <v>21.11</v>
      </c>
      <c r="P2545" s="16">
        <v>21.11</v>
      </c>
      <c r="Q2545" s="16">
        <v>21.11</v>
      </c>
      <c r="R2545" s="16">
        <v>21.11</v>
      </c>
      <c r="S2545" s="16">
        <v>21.11</v>
      </c>
      <c r="T2545" s="16">
        <v>21.11</v>
      </c>
      <c r="U2545" s="16">
        <v>21.11</v>
      </c>
      <c r="V2545" s="16">
        <v>21.11</v>
      </c>
      <c r="W2545" s="16">
        <v>21.11</v>
      </c>
      <c r="X2545" s="16">
        <v>21.11</v>
      </c>
      <c r="Y2545" s="16">
        <v>21.11</v>
      </c>
      <c r="Z2545" s="16">
        <v>21.11</v>
      </c>
      <c r="AA2545" s="16">
        <v>21.11</v>
      </c>
      <c r="AB2545" s="16">
        <v>21.11</v>
      </c>
      <c r="AC2545" s="16">
        <v>15.56</v>
      </c>
      <c r="AD2545" s="16">
        <v>15.56</v>
      </c>
      <c r="AE2545" s="16">
        <v>15.56</v>
      </c>
      <c r="AF2545" s="16" t="s">
        <v>413</v>
      </c>
    </row>
    <row r="2546" spans="1:32" ht="14.25" customHeight="1" x14ac:dyDescent="0.35">
      <c r="A2546" s="14" t="s">
        <v>1719</v>
      </c>
      <c r="B2546" s="14" t="s">
        <v>420</v>
      </c>
      <c r="C2546" s="14" t="s">
        <v>414</v>
      </c>
      <c r="D2546" s="14" t="s">
        <v>418</v>
      </c>
      <c r="E2546" s="15">
        <v>41640</v>
      </c>
      <c r="F2546" s="15">
        <v>42004</v>
      </c>
      <c r="G2546" s="14" t="s">
        <v>415</v>
      </c>
      <c r="H2546" s="14">
        <v>15.56</v>
      </c>
      <c r="I2546" s="14">
        <v>15.56</v>
      </c>
      <c r="J2546" s="14">
        <v>15.56</v>
      </c>
      <c r="K2546" s="14">
        <v>15.56</v>
      </c>
      <c r="L2546" s="14">
        <v>15.56</v>
      </c>
      <c r="M2546" s="14">
        <v>15.56</v>
      </c>
      <c r="N2546" s="14">
        <v>15.56</v>
      </c>
      <c r="O2546" s="14">
        <v>18.329999999999998</v>
      </c>
      <c r="P2546" s="14">
        <v>21.11</v>
      </c>
      <c r="Q2546" s="14">
        <v>21.11</v>
      </c>
      <c r="R2546" s="14">
        <v>21.11</v>
      </c>
      <c r="S2546" s="14">
        <v>21.11</v>
      </c>
      <c r="T2546" s="14">
        <v>21.11</v>
      </c>
      <c r="U2546" s="14">
        <v>21.11</v>
      </c>
      <c r="V2546" s="14">
        <v>21.11</v>
      </c>
      <c r="W2546" s="14">
        <v>21.11</v>
      </c>
      <c r="X2546" s="14">
        <v>21.11</v>
      </c>
      <c r="Y2546" s="14">
        <v>21.11</v>
      </c>
      <c r="Z2546" s="14">
        <v>21.11</v>
      </c>
      <c r="AA2546" s="14">
        <v>21.11</v>
      </c>
      <c r="AB2546" s="14">
        <v>21.11</v>
      </c>
      <c r="AC2546" s="14">
        <v>15.56</v>
      </c>
      <c r="AD2546" s="14">
        <v>15.56</v>
      </c>
      <c r="AE2546" s="14">
        <v>15.56</v>
      </c>
      <c r="AF2546" s="14" t="s">
        <v>413</v>
      </c>
    </row>
    <row r="2547" spans="1:32" ht="14.25" customHeight="1" x14ac:dyDescent="0.35">
      <c r="A2547" s="14" t="s">
        <v>1720</v>
      </c>
      <c r="B2547" s="14" t="s">
        <v>420</v>
      </c>
      <c r="C2547" s="14" t="s">
        <v>414</v>
      </c>
      <c r="D2547" s="14" t="s">
        <v>417</v>
      </c>
      <c r="E2547" s="15">
        <v>41640</v>
      </c>
      <c r="F2547" s="15">
        <v>42004</v>
      </c>
      <c r="G2547" s="14" t="s">
        <v>415</v>
      </c>
      <c r="H2547" s="14">
        <v>15.56</v>
      </c>
      <c r="I2547" s="14">
        <v>15.56</v>
      </c>
      <c r="J2547" s="14">
        <v>15.56</v>
      </c>
      <c r="K2547" s="14">
        <v>15.56</v>
      </c>
      <c r="L2547" s="14">
        <v>15.56</v>
      </c>
      <c r="M2547" s="14">
        <v>15.56</v>
      </c>
      <c r="N2547" s="14">
        <v>15.56</v>
      </c>
      <c r="O2547" s="14">
        <v>15.56</v>
      </c>
      <c r="P2547" s="14">
        <v>18.329999999999998</v>
      </c>
      <c r="Q2547" s="14">
        <v>21.11</v>
      </c>
      <c r="R2547" s="14">
        <v>21.11</v>
      </c>
      <c r="S2547" s="14">
        <v>21.11</v>
      </c>
      <c r="T2547" s="14">
        <v>21.11</v>
      </c>
      <c r="U2547" s="14">
        <v>21.11</v>
      </c>
      <c r="V2547" s="14">
        <v>21.11</v>
      </c>
      <c r="W2547" s="14">
        <v>21.11</v>
      </c>
      <c r="X2547" s="14">
        <v>21.11</v>
      </c>
      <c r="Y2547" s="14">
        <v>21.11</v>
      </c>
      <c r="Z2547" s="14">
        <v>15.56</v>
      </c>
      <c r="AA2547" s="14">
        <v>15.56</v>
      </c>
      <c r="AB2547" s="14">
        <v>15.56</v>
      </c>
      <c r="AC2547" s="14">
        <v>15.56</v>
      </c>
      <c r="AD2547" s="14">
        <v>15.56</v>
      </c>
      <c r="AE2547" s="14">
        <v>15.56</v>
      </c>
      <c r="AF2547" s="14" t="s">
        <v>413</v>
      </c>
    </row>
    <row r="2548" spans="1:32" ht="14.25" customHeight="1" x14ac:dyDescent="0.35">
      <c r="A2548" s="16" t="s">
        <v>1720</v>
      </c>
      <c r="B2548" s="16" t="s">
        <v>420</v>
      </c>
      <c r="C2548" s="16" t="s">
        <v>414</v>
      </c>
      <c r="D2548" s="16" t="s">
        <v>512</v>
      </c>
      <c r="E2548" s="17">
        <v>41640</v>
      </c>
      <c r="F2548" s="17">
        <v>42004</v>
      </c>
      <c r="G2548" s="16" t="s">
        <v>415</v>
      </c>
      <c r="H2548" s="16">
        <v>15.56</v>
      </c>
      <c r="I2548" s="16">
        <v>15.56</v>
      </c>
      <c r="J2548" s="16">
        <v>15.56</v>
      </c>
      <c r="K2548" s="16">
        <v>15.56</v>
      </c>
      <c r="L2548" s="16">
        <v>15.56</v>
      </c>
      <c r="M2548" s="16">
        <v>15.56</v>
      </c>
      <c r="N2548" s="16">
        <v>15.56</v>
      </c>
      <c r="O2548" s="16">
        <v>18.329999999999998</v>
      </c>
      <c r="P2548" s="16">
        <v>21.11</v>
      </c>
      <c r="Q2548" s="16">
        <v>21.11</v>
      </c>
      <c r="R2548" s="16">
        <v>21.11</v>
      </c>
      <c r="S2548" s="16">
        <v>21.11</v>
      </c>
      <c r="T2548" s="16">
        <v>21.11</v>
      </c>
      <c r="U2548" s="16">
        <v>21.11</v>
      </c>
      <c r="V2548" s="16">
        <v>21.11</v>
      </c>
      <c r="W2548" s="16">
        <v>21.11</v>
      </c>
      <c r="X2548" s="16">
        <v>21.11</v>
      </c>
      <c r="Y2548" s="16">
        <v>21.11</v>
      </c>
      <c r="Z2548" s="16">
        <v>21.11</v>
      </c>
      <c r="AA2548" s="16">
        <v>15.56</v>
      </c>
      <c r="AB2548" s="16">
        <v>15.56</v>
      </c>
      <c r="AC2548" s="16">
        <v>15.56</v>
      </c>
      <c r="AD2548" s="16">
        <v>15.56</v>
      </c>
      <c r="AE2548" s="16">
        <v>15.56</v>
      </c>
      <c r="AF2548" s="16" t="s">
        <v>413</v>
      </c>
    </row>
    <row r="2549" spans="1:32" ht="14.25" customHeight="1" x14ac:dyDescent="0.35">
      <c r="A2549" s="14" t="s">
        <v>1720</v>
      </c>
      <c r="B2549" s="14" t="s">
        <v>420</v>
      </c>
      <c r="C2549" s="14" t="s">
        <v>414</v>
      </c>
      <c r="D2549" s="14" t="s">
        <v>419</v>
      </c>
      <c r="E2549" s="15">
        <v>41640</v>
      </c>
      <c r="F2549" s="15">
        <v>42004</v>
      </c>
      <c r="G2549" s="14" t="s">
        <v>410</v>
      </c>
      <c r="H2549" s="14">
        <v>15.56</v>
      </c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 t="s">
        <v>413</v>
      </c>
    </row>
    <row r="2550" spans="1:32" ht="14.25" customHeight="1" x14ac:dyDescent="0.35">
      <c r="A2550" s="16" t="s">
        <v>1720</v>
      </c>
      <c r="B2550" s="16" t="s">
        <v>420</v>
      </c>
      <c r="C2550" s="16" t="s">
        <v>414</v>
      </c>
      <c r="D2550" s="16" t="s">
        <v>1663</v>
      </c>
      <c r="E2550" s="17">
        <v>41640</v>
      </c>
      <c r="F2550" s="17">
        <v>42004</v>
      </c>
      <c r="G2550" s="16" t="s">
        <v>415</v>
      </c>
      <c r="H2550" s="16">
        <v>15.56</v>
      </c>
      <c r="I2550" s="16">
        <v>15.56</v>
      </c>
      <c r="J2550" s="16">
        <v>15.56</v>
      </c>
      <c r="K2550" s="16">
        <v>15.56</v>
      </c>
      <c r="L2550" s="16">
        <v>15.56</v>
      </c>
      <c r="M2550" s="16">
        <v>15.56</v>
      </c>
      <c r="N2550" s="16">
        <v>15.56</v>
      </c>
      <c r="O2550" s="16">
        <v>18.329999999999998</v>
      </c>
      <c r="P2550" s="16">
        <v>21.11</v>
      </c>
      <c r="Q2550" s="16">
        <v>21.11</v>
      </c>
      <c r="R2550" s="16">
        <v>21.11</v>
      </c>
      <c r="S2550" s="16">
        <v>21.11</v>
      </c>
      <c r="T2550" s="16">
        <v>21.11</v>
      </c>
      <c r="U2550" s="16">
        <v>21.11</v>
      </c>
      <c r="V2550" s="16">
        <v>21.11</v>
      </c>
      <c r="W2550" s="16">
        <v>21.11</v>
      </c>
      <c r="X2550" s="16">
        <v>21.11</v>
      </c>
      <c r="Y2550" s="16">
        <v>21.11</v>
      </c>
      <c r="Z2550" s="16">
        <v>21.11</v>
      </c>
      <c r="AA2550" s="16">
        <v>21.11</v>
      </c>
      <c r="AB2550" s="16">
        <v>21.11</v>
      </c>
      <c r="AC2550" s="16">
        <v>15.56</v>
      </c>
      <c r="AD2550" s="16">
        <v>15.56</v>
      </c>
      <c r="AE2550" s="16">
        <v>15.56</v>
      </c>
      <c r="AF2550" s="16" t="s">
        <v>413</v>
      </c>
    </row>
    <row r="2551" spans="1:32" ht="14.25" customHeight="1" x14ac:dyDescent="0.35">
      <c r="A2551" s="14" t="s">
        <v>1721</v>
      </c>
      <c r="B2551" s="14" t="s">
        <v>441</v>
      </c>
      <c r="C2551" s="14"/>
      <c r="D2551" s="14" t="s">
        <v>417</v>
      </c>
      <c r="E2551" s="15">
        <v>41640</v>
      </c>
      <c r="F2551" s="15">
        <v>42004</v>
      </c>
      <c r="G2551" s="14" t="s">
        <v>415</v>
      </c>
      <c r="H2551" s="14">
        <v>1</v>
      </c>
      <c r="I2551" s="14">
        <v>1</v>
      </c>
      <c r="J2551" s="14">
        <v>1</v>
      </c>
      <c r="K2551" s="14">
        <v>1</v>
      </c>
      <c r="L2551" s="14">
        <v>1</v>
      </c>
      <c r="M2551" s="14">
        <v>1</v>
      </c>
      <c r="N2551" s="14">
        <v>1</v>
      </c>
      <c r="O2551" s="14">
        <v>1</v>
      </c>
      <c r="P2551" s="14">
        <v>0.25</v>
      </c>
      <c r="Q2551" s="14">
        <v>0.25</v>
      </c>
      <c r="R2551" s="14">
        <v>0.25</v>
      </c>
      <c r="S2551" s="14">
        <v>0.25</v>
      </c>
      <c r="T2551" s="14">
        <v>0.25</v>
      </c>
      <c r="U2551" s="14">
        <v>0.25</v>
      </c>
      <c r="V2551" s="14">
        <v>0.25</v>
      </c>
      <c r="W2551" s="14">
        <v>0.25</v>
      </c>
      <c r="X2551" s="14">
        <v>0.25</v>
      </c>
      <c r="Y2551" s="14">
        <v>0.25</v>
      </c>
      <c r="Z2551" s="14">
        <v>1</v>
      </c>
      <c r="AA2551" s="14">
        <v>1</v>
      </c>
      <c r="AB2551" s="14">
        <v>1</v>
      </c>
      <c r="AC2551" s="14">
        <v>1</v>
      </c>
      <c r="AD2551" s="14">
        <v>1</v>
      </c>
      <c r="AE2551" s="14">
        <v>1</v>
      </c>
      <c r="AF2551" s="14" t="s">
        <v>413</v>
      </c>
    </row>
    <row r="2552" spans="1:32" ht="14.25" customHeight="1" x14ac:dyDescent="0.35">
      <c r="A2552" s="14" t="s">
        <v>1721</v>
      </c>
      <c r="B2552" s="14" t="s">
        <v>441</v>
      </c>
      <c r="C2552" s="14"/>
      <c r="D2552" s="14" t="s">
        <v>556</v>
      </c>
      <c r="E2552" s="15">
        <v>41640</v>
      </c>
      <c r="F2552" s="15">
        <v>42004</v>
      </c>
      <c r="G2552" s="14" t="s">
        <v>415</v>
      </c>
      <c r="H2552" s="14">
        <v>1</v>
      </c>
      <c r="I2552" s="14">
        <v>1</v>
      </c>
      <c r="J2552" s="14">
        <v>1</v>
      </c>
      <c r="K2552" s="14">
        <v>1</v>
      </c>
      <c r="L2552" s="14">
        <v>1</v>
      </c>
      <c r="M2552" s="14">
        <v>1</v>
      </c>
      <c r="N2552" s="14">
        <v>1</v>
      </c>
      <c r="O2552" s="14">
        <v>0.25</v>
      </c>
      <c r="P2552" s="14">
        <v>0.25</v>
      </c>
      <c r="Q2552" s="14">
        <v>0.25</v>
      </c>
      <c r="R2552" s="14">
        <v>0.25</v>
      </c>
      <c r="S2552" s="14">
        <v>0.25</v>
      </c>
      <c r="T2552" s="14">
        <v>0.25</v>
      </c>
      <c r="U2552" s="14">
        <v>0.25</v>
      </c>
      <c r="V2552" s="14">
        <v>0.25</v>
      </c>
      <c r="W2552" s="14">
        <v>0.25</v>
      </c>
      <c r="X2552" s="14">
        <v>0.25</v>
      </c>
      <c r="Y2552" s="14">
        <v>0.25</v>
      </c>
      <c r="Z2552" s="14">
        <v>0.25</v>
      </c>
      <c r="AA2552" s="14">
        <v>0.25</v>
      </c>
      <c r="AB2552" s="14">
        <v>0.25</v>
      </c>
      <c r="AC2552" s="14">
        <v>1</v>
      </c>
      <c r="AD2552" s="14">
        <v>1</v>
      </c>
      <c r="AE2552" s="14">
        <v>1</v>
      </c>
      <c r="AF2552" s="14" t="s">
        <v>413</v>
      </c>
    </row>
    <row r="2553" spans="1:32" ht="14.25" customHeight="1" x14ac:dyDescent="0.35">
      <c r="A2553" s="16" t="s">
        <v>1721</v>
      </c>
      <c r="B2553" s="16" t="s">
        <v>441</v>
      </c>
      <c r="C2553" s="16"/>
      <c r="D2553" s="16" t="s">
        <v>514</v>
      </c>
      <c r="E2553" s="17">
        <v>41640</v>
      </c>
      <c r="F2553" s="17">
        <v>42004</v>
      </c>
      <c r="G2553" s="16" t="s">
        <v>415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0.25</v>
      </c>
      <c r="P2553" s="16">
        <v>0.25</v>
      </c>
      <c r="Q2553" s="16">
        <v>0.25</v>
      </c>
      <c r="R2553" s="16">
        <v>0.25</v>
      </c>
      <c r="S2553" s="16">
        <v>0.25</v>
      </c>
      <c r="T2553" s="16">
        <v>0.25</v>
      </c>
      <c r="U2553" s="16">
        <v>0.25</v>
      </c>
      <c r="V2553" s="16">
        <v>0.25</v>
      </c>
      <c r="W2553" s="16">
        <v>0.25</v>
      </c>
      <c r="X2553" s="16">
        <v>0.25</v>
      </c>
      <c r="Y2553" s="16">
        <v>0.25</v>
      </c>
      <c r="Z2553" s="16">
        <v>0.25</v>
      </c>
      <c r="AA2553" s="16">
        <v>1</v>
      </c>
      <c r="AB2553" s="16">
        <v>1</v>
      </c>
      <c r="AC2553" s="16">
        <v>1</v>
      </c>
      <c r="AD2553" s="16">
        <v>1</v>
      </c>
      <c r="AE2553" s="16">
        <v>1</v>
      </c>
      <c r="AF2553" s="16" t="s">
        <v>413</v>
      </c>
    </row>
    <row r="2554" spans="1:32" ht="14.25" customHeight="1" x14ac:dyDescent="0.35">
      <c r="A2554" s="16" t="s">
        <v>1722</v>
      </c>
      <c r="B2554" s="16" t="s">
        <v>424</v>
      </c>
      <c r="C2554" s="16"/>
      <c r="D2554" s="16" t="s">
        <v>417</v>
      </c>
      <c r="E2554" s="17">
        <v>41640</v>
      </c>
      <c r="F2554" s="17">
        <v>42004</v>
      </c>
      <c r="G2554" s="16" t="s">
        <v>415</v>
      </c>
      <c r="H2554" s="16">
        <v>0.05</v>
      </c>
      <c r="I2554" s="16">
        <v>0.05</v>
      </c>
      <c r="J2554" s="16">
        <v>0.05</v>
      </c>
      <c r="K2554" s="16">
        <v>0.05</v>
      </c>
      <c r="L2554" s="16">
        <v>0.05</v>
      </c>
      <c r="M2554" s="16">
        <v>0.05</v>
      </c>
      <c r="N2554" s="16">
        <v>0.05</v>
      </c>
      <c r="O2554" s="16">
        <v>0.05</v>
      </c>
      <c r="P2554" s="16">
        <v>0.05</v>
      </c>
      <c r="Q2554" s="16">
        <v>0.5</v>
      </c>
      <c r="R2554" s="16">
        <v>0.95</v>
      </c>
      <c r="S2554" s="16">
        <v>0.95</v>
      </c>
      <c r="T2554" s="16">
        <v>0.95</v>
      </c>
      <c r="U2554" s="16">
        <v>0.95</v>
      </c>
      <c r="V2554" s="16">
        <v>0.95</v>
      </c>
      <c r="W2554" s="16">
        <v>0.95</v>
      </c>
      <c r="X2554" s="16">
        <v>0.95</v>
      </c>
      <c r="Y2554" s="16">
        <v>0.5</v>
      </c>
      <c r="Z2554" s="16">
        <v>0.05</v>
      </c>
      <c r="AA2554" s="16">
        <v>0.05</v>
      </c>
      <c r="AB2554" s="16">
        <v>0.05</v>
      </c>
      <c r="AC2554" s="16">
        <v>0.05</v>
      </c>
      <c r="AD2554" s="16">
        <v>0.05</v>
      </c>
      <c r="AE2554" s="16">
        <v>0.05</v>
      </c>
      <c r="AF2554" s="16" t="s">
        <v>413</v>
      </c>
    </row>
    <row r="2555" spans="1:32" ht="14.25" customHeight="1" x14ac:dyDescent="0.35">
      <c r="A2555" s="14" t="s">
        <v>1722</v>
      </c>
      <c r="B2555" s="14" t="s">
        <v>424</v>
      </c>
      <c r="C2555" s="14"/>
      <c r="D2555" s="14" t="s">
        <v>512</v>
      </c>
      <c r="E2555" s="15">
        <v>41640</v>
      </c>
      <c r="F2555" s="15">
        <v>42004</v>
      </c>
      <c r="G2555" s="14" t="s">
        <v>415</v>
      </c>
      <c r="H2555" s="14">
        <v>0.05</v>
      </c>
      <c r="I2555" s="14">
        <v>0.05</v>
      </c>
      <c r="J2555" s="14">
        <v>0.05</v>
      </c>
      <c r="K2555" s="14">
        <v>0.05</v>
      </c>
      <c r="L2555" s="14">
        <v>0.05</v>
      </c>
      <c r="M2555" s="14">
        <v>0.05</v>
      </c>
      <c r="N2555" s="14">
        <v>0.05</v>
      </c>
      <c r="O2555" s="14">
        <v>0.05</v>
      </c>
      <c r="P2555" s="14">
        <v>0.5</v>
      </c>
      <c r="Q2555" s="14">
        <v>0.95</v>
      </c>
      <c r="R2555" s="14">
        <v>0.95</v>
      </c>
      <c r="S2555" s="14">
        <v>0.95</v>
      </c>
      <c r="T2555" s="14">
        <v>0.95</v>
      </c>
      <c r="U2555" s="14">
        <v>0.95</v>
      </c>
      <c r="V2555" s="14">
        <v>0.95</v>
      </c>
      <c r="W2555" s="14">
        <v>0.95</v>
      </c>
      <c r="X2555" s="14">
        <v>0.95</v>
      </c>
      <c r="Y2555" s="14">
        <v>0.95</v>
      </c>
      <c r="Z2555" s="14">
        <v>0.5</v>
      </c>
      <c r="AA2555" s="14">
        <v>0.05</v>
      </c>
      <c r="AB2555" s="14">
        <v>0.05</v>
      </c>
      <c r="AC2555" s="14">
        <v>0.05</v>
      </c>
      <c r="AD2555" s="14">
        <v>0.05</v>
      </c>
      <c r="AE2555" s="14">
        <v>0.05</v>
      </c>
      <c r="AF2555" s="14" t="s">
        <v>413</v>
      </c>
    </row>
    <row r="2556" spans="1:32" ht="14.25" customHeight="1" x14ac:dyDescent="0.35">
      <c r="A2556" s="16" t="s">
        <v>1722</v>
      </c>
      <c r="B2556" s="16" t="s">
        <v>424</v>
      </c>
      <c r="C2556" s="16"/>
      <c r="D2556" s="16" t="s">
        <v>419</v>
      </c>
      <c r="E2556" s="17">
        <v>41640</v>
      </c>
      <c r="F2556" s="17">
        <v>42004</v>
      </c>
      <c r="G2556" s="16" t="s">
        <v>410</v>
      </c>
      <c r="H2556" s="16">
        <v>1</v>
      </c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6"/>
      <c r="AA2556" s="16"/>
      <c r="AB2556" s="16"/>
      <c r="AC2556" s="16"/>
      <c r="AD2556" s="16"/>
      <c r="AE2556" s="16"/>
      <c r="AF2556" s="16" t="s">
        <v>413</v>
      </c>
    </row>
    <row r="2557" spans="1:32" ht="14.25" customHeight="1" x14ac:dyDescent="0.35">
      <c r="A2557" s="16" t="s">
        <v>1722</v>
      </c>
      <c r="B2557" s="16" t="s">
        <v>424</v>
      </c>
      <c r="C2557" s="16"/>
      <c r="D2557" s="16" t="s">
        <v>429</v>
      </c>
      <c r="E2557" s="17">
        <v>41640</v>
      </c>
      <c r="F2557" s="17">
        <v>42004</v>
      </c>
      <c r="G2557" s="16" t="s">
        <v>415</v>
      </c>
      <c r="H2557" s="16">
        <v>0.05</v>
      </c>
      <c r="I2557" s="16">
        <v>0.05</v>
      </c>
      <c r="J2557" s="16">
        <v>0.05</v>
      </c>
      <c r="K2557" s="16">
        <v>0.05</v>
      </c>
      <c r="L2557" s="16">
        <v>0.05</v>
      </c>
      <c r="M2557" s="16">
        <v>0.05</v>
      </c>
      <c r="N2557" s="16">
        <v>0.05</v>
      </c>
      <c r="O2557" s="16">
        <v>0.05</v>
      </c>
      <c r="P2557" s="16">
        <v>0.5</v>
      </c>
      <c r="Q2557" s="16">
        <v>0.95</v>
      </c>
      <c r="R2557" s="16">
        <v>0.95</v>
      </c>
      <c r="S2557" s="16">
        <v>0.95</v>
      </c>
      <c r="T2557" s="16">
        <v>0.95</v>
      </c>
      <c r="U2557" s="16">
        <v>0.95</v>
      </c>
      <c r="V2557" s="16">
        <v>0.95</v>
      </c>
      <c r="W2557" s="16">
        <v>0.95</v>
      </c>
      <c r="X2557" s="16">
        <v>0.95</v>
      </c>
      <c r="Y2557" s="16">
        <v>0.95</v>
      </c>
      <c r="Z2557" s="16">
        <v>0.95</v>
      </c>
      <c r="AA2557" s="16">
        <v>0.95</v>
      </c>
      <c r="AB2557" s="16">
        <v>0.5</v>
      </c>
      <c r="AC2557" s="16">
        <v>0.05</v>
      </c>
      <c r="AD2557" s="16">
        <v>0.05</v>
      </c>
      <c r="AE2557" s="16">
        <v>0.05</v>
      </c>
      <c r="AF2557" s="16" t="s">
        <v>413</v>
      </c>
    </row>
    <row r="2558" spans="1:32" ht="14.25" customHeight="1" x14ac:dyDescent="0.35">
      <c r="A2558" s="14" t="s">
        <v>1722</v>
      </c>
      <c r="B2558" s="14" t="s">
        <v>424</v>
      </c>
      <c r="C2558" s="14"/>
      <c r="D2558" s="14" t="s">
        <v>418</v>
      </c>
      <c r="E2558" s="15">
        <v>41640</v>
      </c>
      <c r="F2558" s="15">
        <v>42004</v>
      </c>
      <c r="G2558" s="14" t="s">
        <v>410</v>
      </c>
      <c r="H2558" s="14">
        <v>0</v>
      </c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S2558" s="14"/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 t="s">
        <v>413</v>
      </c>
    </row>
    <row r="2559" spans="1:32" ht="14.25" customHeight="1" x14ac:dyDescent="0.35">
      <c r="A2559" s="14" t="s">
        <v>1723</v>
      </c>
      <c r="B2559" s="14" t="s">
        <v>550</v>
      </c>
      <c r="C2559" s="14"/>
      <c r="D2559" s="14" t="s">
        <v>417</v>
      </c>
      <c r="E2559" s="15">
        <v>41640</v>
      </c>
      <c r="F2559" s="15">
        <v>42004</v>
      </c>
      <c r="G2559" s="14" t="s">
        <v>415</v>
      </c>
      <c r="H2559" s="14">
        <v>0</v>
      </c>
      <c r="I2559" s="14">
        <v>0</v>
      </c>
      <c r="J2559" s="14">
        <v>0</v>
      </c>
      <c r="K2559" s="14">
        <v>0</v>
      </c>
      <c r="L2559" s="14">
        <v>0</v>
      </c>
      <c r="M2559" s="14">
        <v>0</v>
      </c>
      <c r="N2559" s="14">
        <v>0</v>
      </c>
      <c r="O2559" s="14">
        <v>0</v>
      </c>
      <c r="P2559" s="14">
        <v>0</v>
      </c>
      <c r="Q2559" s="14">
        <v>1</v>
      </c>
      <c r="R2559" s="14">
        <v>1</v>
      </c>
      <c r="S2559" s="14">
        <v>1</v>
      </c>
      <c r="T2559" s="14">
        <v>1</v>
      </c>
      <c r="U2559" s="14">
        <v>1</v>
      </c>
      <c r="V2559" s="14">
        <v>1</v>
      </c>
      <c r="W2559" s="14">
        <v>1</v>
      </c>
      <c r="X2559" s="14">
        <v>1</v>
      </c>
      <c r="Y2559" s="14">
        <v>1</v>
      </c>
      <c r="Z2559" s="14">
        <v>0</v>
      </c>
      <c r="AA2559" s="14">
        <v>0</v>
      </c>
      <c r="AB2559" s="14">
        <v>0</v>
      </c>
      <c r="AC2559" s="14">
        <v>0</v>
      </c>
      <c r="AD2559" s="14">
        <v>0</v>
      </c>
      <c r="AE2559" s="14">
        <v>0</v>
      </c>
      <c r="AF2559" s="14" t="s">
        <v>413</v>
      </c>
    </row>
    <row r="2560" spans="1:32" ht="14.25" customHeight="1" x14ac:dyDescent="0.35">
      <c r="A2560" s="14" t="s">
        <v>1723</v>
      </c>
      <c r="B2560" s="14" t="s">
        <v>550</v>
      </c>
      <c r="C2560" s="14"/>
      <c r="D2560" s="14" t="s">
        <v>556</v>
      </c>
      <c r="E2560" s="15">
        <v>41640</v>
      </c>
      <c r="F2560" s="15">
        <v>42004</v>
      </c>
      <c r="G2560" s="14" t="s">
        <v>415</v>
      </c>
      <c r="H2560" s="14">
        <v>0</v>
      </c>
      <c r="I2560" s="14">
        <v>0</v>
      </c>
      <c r="J2560" s="14">
        <v>0</v>
      </c>
      <c r="K2560" s="14">
        <v>0</v>
      </c>
      <c r="L2560" s="14">
        <v>0</v>
      </c>
      <c r="M2560" s="14">
        <v>0</v>
      </c>
      <c r="N2560" s="14">
        <v>0</v>
      </c>
      <c r="O2560" s="14">
        <v>0</v>
      </c>
      <c r="P2560" s="14">
        <v>1</v>
      </c>
      <c r="Q2560" s="14">
        <v>1</v>
      </c>
      <c r="R2560" s="14">
        <v>1</v>
      </c>
      <c r="S2560" s="14">
        <v>1</v>
      </c>
      <c r="T2560" s="14">
        <v>1</v>
      </c>
      <c r="U2560" s="14">
        <v>1</v>
      </c>
      <c r="V2560" s="14">
        <v>1</v>
      </c>
      <c r="W2560" s="14">
        <v>1</v>
      </c>
      <c r="X2560" s="14">
        <v>1</v>
      </c>
      <c r="Y2560" s="14">
        <v>1</v>
      </c>
      <c r="Z2560" s="14">
        <v>1</v>
      </c>
      <c r="AA2560" s="14">
        <v>1</v>
      </c>
      <c r="AB2560" s="14">
        <v>1</v>
      </c>
      <c r="AC2560" s="14">
        <v>0</v>
      </c>
      <c r="AD2560" s="14">
        <v>0</v>
      </c>
      <c r="AE2560" s="14">
        <v>0</v>
      </c>
      <c r="AF2560" s="14" t="s">
        <v>413</v>
      </c>
    </row>
    <row r="2561" spans="1:32" ht="14.25" customHeight="1" x14ac:dyDescent="0.35">
      <c r="A2561" s="16" t="s">
        <v>1723</v>
      </c>
      <c r="B2561" s="16" t="s">
        <v>550</v>
      </c>
      <c r="C2561" s="16"/>
      <c r="D2561" s="16" t="s">
        <v>514</v>
      </c>
      <c r="E2561" s="17">
        <v>41640</v>
      </c>
      <c r="F2561" s="17">
        <v>42004</v>
      </c>
      <c r="G2561" s="16" t="s">
        <v>415</v>
      </c>
      <c r="H2561" s="16">
        <v>0</v>
      </c>
      <c r="I2561" s="16">
        <v>0</v>
      </c>
      <c r="J2561" s="16">
        <v>0</v>
      </c>
      <c r="K2561" s="16">
        <v>0</v>
      </c>
      <c r="L2561" s="16">
        <v>0</v>
      </c>
      <c r="M2561" s="16">
        <v>0</v>
      </c>
      <c r="N2561" s="16">
        <v>0</v>
      </c>
      <c r="O2561" s="16">
        <v>0</v>
      </c>
      <c r="P2561" s="16">
        <v>1</v>
      </c>
      <c r="Q2561" s="16">
        <v>1</v>
      </c>
      <c r="R2561" s="16">
        <v>1</v>
      </c>
      <c r="S2561" s="16">
        <v>1</v>
      </c>
      <c r="T2561" s="16">
        <v>1</v>
      </c>
      <c r="U2561" s="16">
        <v>1</v>
      </c>
      <c r="V2561" s="16">
        <v>1</v>
      </c>
      <c r="W2561" s="16">
        <v>1</v>
      </c>
      <c r="X2561" s="16">
        <v>1</v>
      </c>
      <c r="Y2561" s="16">
        <v>1</v>
      </c>
      <c r="Z2561" s="16">
        <v>1</v>
      </c>
      <c r="AA2561" s="16">
        <v>0</v>
      </c>
      <c r="AB2561" s="16">
        <v>0</v>
      </c>
      <c r="AC2561" s="16">
        <v>0</v>
      </c>
      <c r="AD2561" s="16">
        <v>0</v>
      </c>
      <c r="AE2561" s="16">
        <v>0</v>
      </c>
      <c r="AF2561" s="16" t="s">
        <v>413</v>
      </c>
    </row>
    <row r="2562" spans="1:32" ht="14.25" customHeight="1" x14ac:dyDescent="0.35">
      <c r="A2562" s="16" t="s">
        <v>1724</v>
      </c>
      <c r="B2562" s="16" t="s">
        <v>448</v>
      </c>
      <c r="C2562" s="16"/>
      <c r="D2562" s="16" t="s">
        <v>417</v>
      </c>
      <c r="E2562" s="17">
        <v>41640</v>
      </c>
      <c r="F2562" s="17">
        <v>42004</v>
      </c>
      <c r="G2562" s="16" t="s">
        <v>415</v>
      </c>
      <c r="H2562" s="16">
        <v>0</v>
      </c>
      <c r="I2562" s="16">
        <v>0</v>
      </c>
      <c r="J2562" s="16">
        <v>0</v>
      </c>
      <c r="K2562" s="16">
        <v>0</v>
      </c>
      <c r="L2562" s="16">
        <v>0</v>
      </c>
      <c r="M2562" s="16">
        <v>0</v>
      </c>
      <c r="N2562" s="16">
        <v>0</v>
      </c>
      <c r="O2562" s="16">
        <v>0</v>
      </c>
      <c r="P2562" s="16">
        <v>0</v>
      </c>
      <c r="Q2562" s="16">
        <v>0.05</v>
      </c>
      <c r="R2562" s="16">
        <v>0.1</v>
      </c>
      <c r="S2562" s="16">
        <v>0.2</v>
      </c>
      <c r="T2562" s="16">
        <v>0.4</v>
      </c>
      <c r="U2562" s="16">
        <v>0.4</v>
      </c>
      <c r="V2562" s="16">
        <v>0.3</v>
      </c>
      <c r="W2562" s="16">
        <v>0.2</v>
      </c>
      <c r="X2562" s="16">
        <v>0.1</v>
      </c>
      <c r="Y2562" s="16">
        <v>0.05</v>
      </c>
      <c r="Z2562" s="16">
        <v>0</v>
      </c>
      <c r="AA2562" s="16">
        <v>0</v>
      </c>
      <c r="AB2562" s="16">
        <v>0</v>
      </c>
      <c r="AC2562" s="16">
        <v>0</v>
      </c>
      <c r="AD2562" s="16">
        <v>0</v>
      </c>
      <c r="AE2562" s="16">
        <v>0</v>
      </c>
      <c r="AF2562" s="16" t="s">
        <v>413</v>
      </c>
    </row>
    <row r="2563" spans="1:32" ht="14.25" customHeight="1" x14ac:dyDescent="0.35">
      <c r="A2563" s="14" t="s">
        <v>1724</v>
      </c>
      <c r="B2563" s="14" t="s">
        <v>448</v>
      </c>
      <c r="C2563" s="14"/>
      <c r="D2563" s="14" t="s">
        <v>512</v>
      </c>
      <c r="E2563" s="15">
        <v>41640</v>
      </c>
      <c r="F2563" s="15">
        <v>42004</v>
      </c>
      <c r="G2563" s="14" t="s">
        <v>415</v>
      </c>
      <c r="H2563" s="14">
        <v>0</v>
      </c>
      <c r="I2563" s="14">
        <v>0</v>
      </c>
      <c r="J2563" s="14">
        <v>0</v>
      </c>
      <c r="K2563" s="14">
        <v>0</v>
      </c>
      <c r="L2563" s="14">
        <v>0</v>
      </c>
      <c r="M2563" s="14">
        <v>0</v>
      </c>
      <c r="N2563" s="14">
        <v>0</v>
      </c>
      <c r="O2563" s="14">
        <v>0</v>
      </c>
      <c r="P2563" s="14">
        <v>0.05</v>
      </c>
      <c r="Q2563" s="14">
        <v>0.1</v>
      </c>
      <c r="R2563" s="14">
        <v>0.1</v>
      </c>
      <c r="S2563" s="14">
        <v>0.2</v>
      </c>
      <c r="T2563" s="14">
        <v>0.4</v>
      </c>
      <c r="U2563" s="14">
        <v>0.6</v>
      </c>
      <c r="V2563" s="14">
        <v>0.4</v>
      </c>
      <c r="W2563" s="14">
        <v>0.3</v>
      </c>
      <c r="X2563" s="14">
        <v>0.3</v>
      </c>
      <c r="Y2563" s="14">
        <v>0.3</v>
      </c>
      <c r="Z2563" s="14">
        <v>0.05</v>
      </c>
      <c r="AA2563" s="14">
        <v>0</v>
      </c>
      <c r="AB2563" s="14">
        <v>0</v>
      </c>
      <c r="AC2563" s="14">
        <v>0</v>
      </c>
      <c r="AD2563" s="14">
        <v>0</v>
      </c>
      <c r="AE2563" s="14">
        <v>0</v>
      </c>
      <c r="AF2563" s="14" t="s">
        <v>413</v>
      </c>
    </row>
    <row r="2564" spans="1:32" ht="14.25" customHeight="1" x14ac:dyDescent="0.35">
      <c r="A2564" s="16" t="s">
        <v>1724</v>
      </c>
      <c r="B2564" s="16" t="s">
        <v>448</v>
      </c>
      <c r="C2564" s="16"/>
      <c r="D2564" s="16" t="s">
        <v>419</v>
      </c>
      <c r="E2564" s="17">
        <v>41640</v>
      </c>
      <c r="F2564" s="17">
        <v>42004</v>
      </c>
      <c r="G2564" s="16" t="s">
        <v>410</v>
      </c>
      <c r="H2564" s="16">
        <v>1</v>
      </c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6"/>
      <c r="AA2564" s="16"/>
      <c r="AB2564" s="16"/>
      <c r="AC2564" s="16"/>
      <c r="AD2564" s="16"/>
      <c r="AE2564" s="16"/>
      <c r="AF2564" s="16" t="s">
        <v>413</v>
      </c>
    </row>
    <row r="2565" spans="1:32" ht="14.25" customHeight="1" x14ac:dyDescent="0.35">
      <c r="A2565" s="16" t="s">
        <v>1724</v>
      </c>
      <c r="B2565" s="16" t="s">
        <v>448</v>
      </c>
      <c r="C2565" s="16"/>
      <c r="D2565" s="16" t="s">
        <v>429</v>
      </c>
      <c r="E2565" s="17">
        <v>41640</v>
      </c>
      <c r="F2565" s="17">
        <v>42004</v>
      </c>
      <c r="G2565" s="16" t="s">
        <v>415</v>
      </c>
      <c r="H2565" s="16">
        <v>0</v>
      </c>
      <c r="I2565" s="16">
        <v>0</v>
      </c>
      <c r="J2565" s="16">
        <v>0</v>
      </c>
      <c r="K2565" s="16">
        <v>0</v>
      </c>
      <c r="L2565" s="16">
        <v>0</v>
      </c>
      <c r="M2565" s="16">
        <v>0</v>
      </c>
      <c r="N2565" s="16">
        <v>0</v>
      </c>
      <c r="O2565" s="16">
        <v>0</v>
      </c>
      <c r="P2565" s="16">
        <v>0.05</v>
      </c>
      <c r="Q2565" s="16">
        <v>0.1</v>
      </c>
      <c r="R2565" s="16">
        <v>0.1</v>
      </c>
      <c r="S2565" s="16">
        <v>0.1</v>
      </c>
      <c r="T2565" s="16">
        <v>0.2</v>
      </c>
      <c r="U2565" s="16">
        <v>0.4</v>
      </c>
      <c r="V2565" s="16">
        <v>0.3</v>
      </c>
      <c r="W2565" s="16">
        <v>0.2</v>
      </c>
      <c r="X2565" s="16">
        <v>0.2</v>
      </c>
      <c r="Y2565" s="16">
        <v>0.5</v>
      </c>
      <c r="Z2565" s="16">
        <v>0.5</v>
      </c>
      <c r="AA2565" s="16">
        <v>0.2</v>
      </c>
      <c r="AB2565" s="16">
        <v>0.05</v>
      </c>
      <c r="AC2565" s="16">
        <v>0</v>
      </c>
      <c r="AD2565" s="16">
        <v>0</v>
      </c>
      <c r="AE2565" s="16">
        <v>0</v>
      </c>
      <c r="AF2565" s="16" t="s">
        <v>413</v>
      </c>
    </row>
    <row r="2566" spans="1:32" ht="14.25" customHeight="1" x14ac:dyDescent="0.35">
      <c r="A2566" s="14" t="s">
        <v>1724</v>
      </c>
      <c r="B2566" s="14" t="s">
        <v>448</v>
      </c>
      <c r="C2566" s="14"/>
      <c r="D2566" s="14" t="s">
        <v>418</v>
      </c>
      <c r="E2566" s="15">
        <v>41640</v>
      </c>
      <c r="F2566" s="15">
        <v>42004</v>
      </c>
      <c r="G2566" s="14" t="s">
        <v>410</v>
      </c>
      <c r="H2566" s="14">
        <v>0</v>
      </c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S2566" s="14"/>
      <c r="T2566" s="14"/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 t="s">
        <v>413</v>
      </c>
    </row>
    <row r="2567" spans="1:32" ht="14.25" customHeight="1" x14ac:dyDescent="0.35">
      <c r="A2567" s="14" t="s">
        <v>1725</v>
      </c>
      <c r="B2567" s="14" t="s">
        <v>460</v>
      </c>
      <c r="C2567" s="14"/>
      <c r="D2567" s="14" t="s">
        <v>417</v>
      </c>
      <c r="E2567" s="15">
        <v>41640</v>
      </c>
      <c r="F2567" s="15">
        <v>42004</v>
      </c>
      <c r="G2567" s="14" t="s">
        <v>415</v>
      </c>
      <c r="H2567" s="14">
        <v>0</v>
      </c>
      <c r="I2567" s="14">
        <v>0</v>
      </c>
      <c r="J2567" s="14">
        <v>0</v>
      </c>
      <c r="K2567" s="14">
        <v>0</v>
      </c>
      <c r="L2567" s="14">
        <v>0</v>
      </c>
      <c r="M2567" s="14">
        <v>0</v>
      </c>
      <c r="N2567" s="14">
        <v>0</v>
      </c>
      <c r="O2567" s="14">
        <v>0</v>
      </c>
      <c r="P2567" s="14">
        <v>0</v>
      </c>
      <c r="Q2567" s="14">
        <v>0.12</v>
      </c>
      <c r="R2567" s="14">
        <v>0.14000000000000001</v>
      </c>
      <c r="S2567" s="14">
        <v>0.28999999999999998</v>
      </c>
      <c r="T2567" s="14">
        <v>0.33</v>
      </c>
      <c r="U2567" s="14">
        <v>0.4</v>
      </c>
      <c r="V2567" s="14">
        <v>0.36</v>
      </c>
      <c r="W2567" s="14">
        <v>0.37</v>
      </c>
      <c r="X2567" s="14">
        <v>0.35</v>
      </c>
      <c r="Y2567" s="14">
        <v>0.37</v>
      </c>
      <c r="Z2567" s="14">
        <v>0</v>
      </c>
      <c r="AA2567" s="14">
        <v>0</v>
      </c>
      <c r="AB2567" s="14">
        <v>0</v>
      </c>
      <c r="AC2567" s="14">
        <v>0</v>
      </c>
      <c r="AD2567" s="14">
        <v>0</v>
      </c>
      <c r="AE2567" s="14">
        <v>0</v>
      </c>
      <c r="AF2567" s="14" t="s">
        <v>413</v>
      </c>
    </row>
    <row r="2568" spans="1:32" ht="14.25" customHeight="1" x14ac:dyDescent="0.35">
      <c r="A2568" s="14" t="s">
        <v>1725</v>
      </c>
      <c r="B2568" s="14" t="s">
        <v>460</v>
      </c>
      <c r="C2568" s="14"/>
      <c r="D2568" s="14" t="s">
        <v>556</v>
      </c>
      <c r="E2568" s="15">
        <v>41640</v>
      </c>
      <c r="F2568" s="15">
        <v>42004</v>
      </c>
      <c r="G2568" s="14" t="s">
        <v>415</v>
      </c>
      <c r="H2568" s="14">
        <v>0</v>
      </c>
      <c r="I2568" s="14">
        <v>0</v>
      </c>
      <c r="J2568" s="14">
        <v>0</v>
      </c>
      <c r="K2568" s="14">
        <v>0</v>
      </c>
      <c r="L2568" s="14">
        <v>0</v>
      </c>
      <c r="M2568" s="14">
        <v>0</v>
      </c>
      <c r="N2568" s="14">
        <v>0</v>
      </c>
      <c r="O2568" s="14">
        <v>0</v>
      </c>
      <c r="P2568" s="14">
        <v>0.15</v>
      </c>
      <c r="Q2568" s="14">
        <v>0.23</v>
      </c>
      <c r="R2568" s="14">
        <v>0.32</v>
      </c>
      <c r="S2568" s="14">
        <v>0.41</v>
      </c>
      <c r="T2568" s="14">
        <v>0.56999999999999995</v>
      </c>
      <c r="U2568" s="14">
        <v>0.62</v>
      </c>
      <c r="V2568" s="14">
        <v>0.61</v>
      </c>
      <c r="W2568" s="14">
        <v>0.5</v>
      </c>
      <c r="X2568" s="14">
        <v>0.45</v>
      </c>
      <c r="Y2568" s="14">
        <v>0.46</v>
      </c>
      <c r="Z2568" s="14">
        <v>0.47</v>
      </c>
      <c r="AA2568" s="14">
        <v>0.42</v>
      </c>
      <c r="AB2568" s="14">
        <v>0.34</v>
      </c>
      <c r="AC2568" s="14">
        <v>0</v>
      </c>
      <c r="AD2568" s="14">
        <v>0</v>
      </c>
      <c r="AE2568" s="14">
        <v>0</v>
      </c>
      <c r="AF2568" s="14" t="s">
        <v>413</v>
      </c>
    </row>
    <row r="2569" spans="1:32" ht="14.25" customHeight="1" x14ac:dyDescent="0.35">
      <c r="A2569" s="16" t="s">
        <v>1725</v>
      </c>
      <c r="B2569" s="16" t="s">
        <v>460</v>
      </c>
      <c r="C2569" s="16"/>
      <c r="D2569" s="16" t="s">
        <v>514</v>
      </c>
      <c r="E2569" s="17">
        <v>41640</v>
      </c>
      <c r="F2569" s="17">
        <v>42004</v>
      </c>
      <c r="G2569" s="16" t="s">
        <v>415</v>
      </c>
      <c r="H2569" s="16">
        <v>0</v>
      </c>
      <c r="I2569" s="16">
        <v>0</v>
      </c>
      <c r="J2569" s="16">
        <v>0</v>
      </c>
      <c r="K2569" s="16">
        <v>0</v>
      </c>
      <c r="L2569" s="16">
        <v>0</v>
      </c>
      <c r="M2569" s="16">
        <v>0</v>
      </c>
      <c r="N2569" s="16">
        <v>0</v>
      </c>
      <c r="O2569" s="16">
        <v>0</v>
      </c>
      <c r="P2569" s="16">
        <v>0.2</v>
      </c>
      <c r="Q2569" s="16">
        <v>0.24</v>
      </c>
      <c r="R2569" s="16">
        <v>0.27</v>
      </c>
      <c r="S2569" s="16">
        <v>0.42</v>
      </c>
      <c r="T2569" s="16">
        <v>0.54</v>
      </c>
      <c r="U2569" s="16">
        <v>0.62</v>
      </c>
      <c r="V2569" s="16">
        <v>0.6</v>
      </c>
      <c r="W2569" s="16">
        <v>0.5</v>
      </c>
      <c r="X2569" s="16">
        <v>0.48</v>
      </c>
      <c r="Y2569" s="16">
        <v>0.47</v>
      </c>
      <c r="Z2569" s="16">
        <v>0.34</v>
      </c>
      <c r="AA2569" s="16">
        <v>0</v>
      </c>
      <c r="AB2569" s="16">
        <v>0</v>
      </c>
      <c r="AC2569" s="16">
        <v>0</v>
      </c>
      <c r="AD2569" s="16">
        <v>0</v>
      </c>
      <c r="AE2569" s="16">
        <v>0</v>
      </c>
      <c r="AF2569" s="16" t="s">
        <v>413</v>
      </c>
    </row>
    <row r="2570" spans="1:32" ht="14.25" customHeight="1" x14ac:dyDescent="0.35">
      <c r="A2570" s="16" t="s">
        <v>1726</v>
      </c>
      <c r="B2570" s="16" t="s">
        <v>420</v>
      </c>
      <c r="C2570" s="16" t="s">
        <v>414</v>
      </c>
      <c r="D2570" s="16" t="s">
        <v>417</v>
      </c>
      <c r="E2570" s="17">
        <v>41640</v>
      </c>
      <c r="F2570" s="17">
        <v>42004</v>
      </c>
      <c r="G2570" s="16" t="s">
        <v>415</v>
      </c>
      <c r="H2570" s="16">
        <v>29.44</v>
      </c>
      <c r="I2570" s="16">
        <v>29.44</v>
      </c>
      <c r="J2570" s="16">
        <v>29.44</v>
      </c>
      <c r="K2570" s="16">
        <v>29.44</v>
      </c>
      <c r="L2570" s="16">
        <v>29.44</v>
      </c>
      <c r="M2570" s="16">
        <v>29.44</v>
      </c>
      <c r="N2570" s="16">
        <v>29.44</v>
      </c>
      <c r="O2570" s="16">
        <v>29.44</v>
      </c>
      <c r="P2570" s="16">
        <v>29.44</v>
      </c>
      <c r="Q2570" s="16">
        <v>23.89</v>
      </c>
      <c r="R2570" s="16">
        <v>23.89</v>
      </c>
      <c r="S2570" s="16">
        <v>23.89</v>
      </c>
      <c r="T2570" s="16">
        <v>23.89</v>
      </c>
      <c r="U2570" s="16">
        <v>23.89</v>
      </c>
      <c r="V2570" s="16">
        <v>23.89</v>
      </c>
      <c r="W2570" s="16">
        <v>23.89</v>
      </c>
      <c r="X2570" s="16">
        <v>23.89</v>
      </c>
      <c r="Y2570" s="16">
        <v>29.44</v>
      </c>
      <c r="Z2570" s="16">
        <v>29.44</v>
      </c>
      <c r="AA2570" s="16">
        <v>29.44</v>
      </c>
      <c r="AB2570" s="16">
        <v>29.44</v>
      </c>
      <c r="AC2570" s="16">
        <v>29.44</v>
      </c>
      <c r="AD2570" s="16">
        <v>29.44</v>
      </c>
      <c r="AE2570" s="16">
        <v>29.44</v>
      </c>
      <c r="AF2570" s="16" t="s">
        <v>413</v>
      </c>
    </row>
    <row r="2571" spans="1:32" ht="14.25" customHeight="1" x14ac:dyDescent="0.35">
      <c r="A2571" s="14" t="s">
        <v>1726</v>
      </c>
      <c r="B2571" s="14" t="s">
        <v>420</v>
      </c>
      <c r="C2571" s="14" t="s">
        <v>414</v>
      </c>
      <c r="D2571" s="14" t="s">
        <v>512</v>
      </c>
      <c r="E2571" s="15">
        <v>41640</v>
      </c>
      <c r="F2571" s="15">
        <v>42004</v>
      </c>
      <c r="G2571" s="14" t="s">
        <v>415</v>
      </c>
      <c r="H2571" s="14">
        <v>29.44</v>
      </c>
      <c r="I2571" s="14">
        <v>29.44</v>
      </c>
      <c r="J2571" s="14">
        <v>29.44</v>
      </c>
      <c r="K2571" s="14">
        <v>29.44</v>
      </c>
      <c r="L2571" s="14">
        <v>29.44</v>
      </c>
      <c r="M2571" s="14">
        <v>29.44</v>
      </c>
      <c r="N2571" s="14">
        <v>29.44</v>
      </c>
      <c r="O2571" s="14">
        <v>29.44</v>
      </c>
      <c r="P2571" s="14">
        <v>23.89</v>
      </c>
      <c r="Q2571" s="14">
        <v>23.89</v>
      </c>
      <c r="R2571" s="14">
        <v>23.89</v>
      </c>
      <c r="S2571" s="14">
        <v>23.89</v>
      </c>
      <c r="T2571" s="14">
        <v>23.89</v>
      </c>
      <c r="U2571" s="14">
        <v>23.89</v>
      </c>
      <c r="V2571" s="14">
        <v>23.89</v>
      </c>
      <c r="W2571" s="14">
        <v>23.89</v>
      </c>
      <c r="X2571" s="14">
        <v>23.89</v>
      </c>
      <c r="Y2571" s="14">
        <v>23.89</v>
      </c>
      <c r="Z2571" s="14">
        <v>29.44</v>
      </c>
      <c r="AA2571" s="14">
        <v>29.44</v>
      </c>
      <c r="AB2571" s="14">
        <v>29.44</v>
      </c>
      <c r="AC2571" s="14">
        <v>29.44</v>
      </c>
      <c r="AD2571" s="14">
        <v>29.44</v>
      </c>
      <c r="AE2571" s="14">
        <v>29.44</v>
      </c>
      <c r="AF2571" s="14" t="s">
        <v>413</v>
      </c>
    </row>
    <row r="2572" spans="1:32" ht="14.25" customHeight="1" x14ac:dyDescent="0.35">
      <c r="A2572" s="16" t="s">
        <v>1726</v>
      </c>
      <c r="B2572" s="16" t="s">
        <v>420</v>
      </c>
      <c r="C2572" s="16" t="s">
        <v>414</v>
      </c>
      <c r="D2572" s="16" t="s">
        <v>419</v>
      </c>
      <c r="E2572" s="17">
        <v>41640</v>
      </c>
      <c r="F2572" s="17">
        <v>42004</v>
      </c>
      <c r="G2572" s="16" t="s">
        <v>415</v>
      </c>
      <c r="H2572" s="16">
        <v>29.44</v>
      </c>
      <c r="I2572" s="16">
        <v>29.44</v>
      </c>
      <c r="J2572" s="16">
        <v>29.44</v>
      </c>
      <c r="K2572" s="16">
        <v>29.44</v>
      </c>
      <c r="L2572" s="16">
        <v>29.44</v>
      </c>
      <c r="M2572" s="16">
        <v>29.44</v>
      </c>
      <c r="N2572" s="16">
        <v>29.44</v>
      </c>
      <c r="O2572" s="16">
        <v>29.44</v>
      </c>
      <c r="P2572" s="16">
        <v>26.67</v>
      </c>
      <c r="Q2572" s="16">
        <v>23.89</v>
      </c>
      <c r="R2572" s="16">
        <v>23.89</v>
      </c>
      <c r="S2572" s="16">
        <v>23.89</v>
      </c>
      <c r="T2572" s="16">
        <v>23.89</v>
      </c>
      <c r="U2572" s="16">
        <v>23.89</v>
      </c>
      <c r="V2572" s="16">
        <v>23.89</v>
      </c>
      <c r="W2572" s="16">
        <v>23.89</v>
      </c>
      <c r="X2572" s="16">
        <v>23.89</v>
      </c>
      <c r="Y2572" s="16">
        <v>23.89</v>
      </c>
      <c r="Z2572" s="16">
        <v>23.89</v>
      </c>
      <c r="AA2572" s="16">
        <v>23.89</v>
      </c>
      <c r="AB2572" s="16">
        <v>23.89</v>
      </c>
      <c r="AC2572" s="16">
        <v>29.44</v>
      </c>
      <c r="AD2572" s="16">
        <v>29.44</v>
      </c>
      <c r="AE2572" s="16">
        <v>29.44</v>
      </c>
      <c r="AF2572" s="16" t="s">
        <v>413</v>
      </c>
    </row>
    <row r="2573" spans="1:32" ht="14.25" customHeight="1" x14ac:dyDescent="0.35">
      <c r="A2573" s="16" t="s">
        <v>1726</v>
      </c>
      <c r="B2573" s="16" t="s">
        <v>420</v>
      </c>
      <c r="C2573" s="16" t="s">
        <v>414</v>
      </c>
      <c r="D2573" s="16" t="s">
        <v>429</v>
      </c>
      <c r="E2573" s="17">
        <v>41640</v>
      </c>
      <c r="F2573" s="17">
        <v>42004</v>
      </c>
      <c r="G2573" s="16" t="s">
        <v>415</v>
      </c>
      <c r="H2573" s="16">
        <v>29.44</v>
      </c>
      <c r="I2573" s="16">
        <v>29.44</v>
      </c>
      <c r="J2573" s="16">
        <v>29.44</v>
      </c>
      <c r="K2573" s="16">
        <v>29.44</v>
      </c>
      <c r="L2573" s="16">
        <v>29.44</v>
      </c>
      <c r="M2573" s="16">
        <v>29.44</v>
      </c>
      <c r="N2573" s="16">
        <v>29.44</v>
      </c>
      <c r="O2573" s="16">
        <v>29.44</v>
      </c>
      <c r="P2573" s="16">
        <v>23.89</v>
      </c>
      <c r="Q2573" s="16">
        <v>23.89</v>
      </c>
      <c r="R2573" s="16">
        <v>23.89</v>
      </c>
      <c r="S2573" s="16">
        <v>23.89</v>
      </c>
      <c r="T2573" s="16">
        <v>23.89</v>
      </c>
      <c r="U2573" s="16">
        <v>23.89</v>
      </c>
      <c r="V2573" s="16">
        <v>23.89</v>
      </c>
      <c r="W2573" s="16">
        <v>23.89</v>
      </c>
      <c r="X2573" s="16">
        <v>23.89</v>
      </c>
      <c r="Y2573" s="16">
        <v>23.89</v>
      </c>
      <c r="Z2573" s="16">
        <v>23.89</v>
      </c>
      <c r="AA2573" s="16">
        <v>23.89</v>
      </c>
      <c r="AB2573" s="16">
        <v>23.89</v>
      </c>
      <c r="AC2573" s="16">
        <v>29.44</v>
      </c>
      <c r="AD2573" s="16">
        <v>29.44</v>
      </c>
      <c r="AE2573" s="16">
        <v>29.44</v>
      </c>
      <c r="AF2573" s="16" t="s">
        <v>413</v>
      </c>
    </row>
    <row r="2574" spans="1:32" ht="14.25" customHeight="1" x14ac:dyDescent="0.35">
      <c r="A2574" s="14" t="s">
        <v>1726</v>
      </c>
      <c r="B2574" s="14" t="s">
        <v>420</v>
      </c>
      <c r="C2574" s="14" t="s">
        <v>414</v>
      </c>
      <c r="D2574" s="14" t="s">
        <v>418</v>
      </c>
      <c r="E2574" s="15">
        <v>41640</v>
      </c>
      <c r="F2574" s="15">
        <v>42004</v>
      </c>
      <c r="G2574" s="14" t="s">
        <v>410</v>
      </c>
      <c r="H2574" s="14">
        <v>29.44</v>
      </c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 t="s">
        <v>413</v>
      </c>
    </row>
    <row r="2575" spans="1:32" ht="14.25" customHeight="1" x14ac:dyDescent="0.35">
      <c r="A2575" s="14" t="s">
        <v>1727</v>
      </c>
      <c r="B2575" s="14" t="s">
        <v>420</v>
      </c>
      <c r="C2575" s="14" t="s">
        <v>414</v>
      </c>
      <c r="D2575" s="14" t="s">
        <v>821</v>
      </c>
      <c r="E2575" s="15">
        <v>41640</v>
      </c>
      <c r="F2575" s="15">
        <v>42004</v>
      </c>
      <c r="G2575" s="14" t="s">
        <v>410</v>
      </c>
      <c r="H2575" s="14">
        <v>23.89</v>
      </c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 t="s">
        <v>413</v>
      </c>
    </row>
    <row r="2576" spans="1:32" ht="14.25" customHeight="1" x14ac:dyDescent="0.35">
      <c r="A2576" s="14" t="s">
        <v>1727</v>
      </c>
      <c r="B2576" s="14" t="s">
        <v>420</v>
      </c>
      <c r="C2576" s="14" t="s">
        <v>414</v>
      </c>
      <c r="D2576" s="14" t="s">
        <v>419</v>
      </c>
      <c r="E2576" s="15">
        <v>41640</v>
      </c>
      <c r="F2576" s="15">
        <v>42004</v>
      </c>
      <c r="G2576" s="14" t="s">
        <v>415</v>
      </c>
      <c r="H2576" s="14">
        <v>29.44</v>
      </c>
      <c r="I2576" s="14">
        <v>29.44</v>
      </c>
      <c r="J2576" s="14">
        <v>29.44</v>
      </c>
      <c r="K2576" s="14">
        <v>29.44</v>
      </c>
      <c r="L2576" s="14">
        <v>29.44</v>
      </c>
      <c r="M2576" s="14">
        <v>29.44</v>
      </c>
      <c r="N2576" s="14">
        <v>29.44</v>
      </c>
      <c r="O2576" s="14">
        <v>29.44</v>
      </c>
      <c r="P2576" s="14">
        <v>26.67</v>
      </c>
      <c r="Q2576" s="14">
        <v>23.89</v>
      </c>
      <c r="R2576" s="14">
        <v>23.89</v>
      </c>
      <c r="S2576" s="14">
        <v>23.89</v>
      </c>
      <c r="T2576" s="14">
        <v>23.89</v>
      </c>
      <c r="U2576" s="14">
        <v>23.89</v>
      </c>
      <c r="V2576" s="14">
        <v>23.89</v>
      </c>
      <c r="W2576" s="14">
        <v>23.89</v>
      </c>
      <c r="X2576" s="14">
        <v>23.89</v>
      </c>
      <c r="Y2576" s="14">
        <v>23.89</v>
      </c>
      <c r="Z2576" s="14">
        <v>23.89</v>
      </c>
      <c r="AA2576" s="14">
        <v>23.89</v>
      </c>
      <c r="AB2576" s="14">
        <v>23.89</v>
      </c>
      <c r="AC2576" s="14">
        <v>29.44</v>
      </c>
      <c r="AD2576" s="14">
        <v>29.44</v>
      </c>
      <c r="AE2576" s="14">
        <v>29.44</v>
      </c>
      <c r="AF2576" s="14" t="s">
        <v>413</v>
      </c>
    </row>
    <row r="2577" spans="1:32" ht="14.25" customHeight="1" x14ac:dyDescent="0.35">
      <c r="A2577" s="16" t="s">
        <v>1727</v>
      </c>
      <c r="B2577" s="16" t="s">
        <v>420</v>
      </c>
      <c r="C2577" s="16" t="s">
        <v>414</v>
      </c>
      <c r="D2577" s="16" t="s">
        <v>418</v>
      </c>
      <c r="E2577" s="17">
        <v>41640</v>
      </c>
      <c r="F2577" s="17">
        <v>42004</v>
      </c>
      <c r="G2577" s="16" t="s">
        <v>410</v>
      </c>
      <c r="H2577" s="16">
        <v>29.44</v>
      </c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 t="s">
        <v>413</v>
      </c>
    </row>
    <row r="2578" spans="1:32" ht="14.25" customHeight="1" x14ac:dyDescent="0.35">
      <c r="A2578" s="16" t="s">
        <v>1728</v>
      </c>
      <c r="B2578" s="16" t="s">
        <v>420</v>
      </c>
      <c r="C2578" s="16" t="s">
        <v>414</v>
      </c>
      <c r="D2578" s="16" t="s">
        <v>417</v>
      </c>
      <c r="E2578" s="17">
        <v>41640</v>
      </c>
      <c r="F2578" s="17">
        <v>42004</v>
      </c>
      <c r="G2578" s="16" t="s">
        <v>415</v>
      </c>
      <c r="H2578" s="16">
        <v>29.44</v>
      </c>
      <c r="I2578" s="16">
        <v>29.44</v>
      </c>
      <c r="J2578" s="16">
        <v>29.44</v>
      </c>
      <c r="K2578" s="16">
        <v>29.44</v>
      </c>
      <c r="L2578" s="16">
        <v>29.44</v>
      </c>
      <c r="M2578" s="16">
        <v>29.44</v>
      </c>
      <c r="N2578" s="16">
        <v>29.44</v>
      </c>
      <c r="O2578" s="16">
        <v>29.44</v>
      </c>
      <c r="P2578" s="16">
        <v>29.44</v>
      </c>
      <c r="Q2578" s="16">
        <v>26.67</v>
      </c>
      <c r="R2578" s="16">
        <v>23.89</v>
      </c>
      <c r="S2578" s="16">
        <v>23.89</v>
      </c>
      <c r="T2578" s="16">
        <v>23.89</v>
      </c>
      <c r="U2578" s="16">
        <v>23.89</v>
      </c>
      <c r="V2578" s="16">
        <v>23.89</v>
      </c>
      <c r="W2578" s="16">
        <v>23.89</v>
      </c>
      <c r="X2578" s="16">
        <v>23.89</v>
      </c>
      <c r="Y2578" s="16">
        <v>29.44</v>
      </c>
      <c r="Z2578" s="16">
        <v>29.44</v>
      </c>
      <c r="AA2578" s="16">
        <v>29.44</v>
      </c>
      <c r="AB2578" s="16">
        <v>29.44</v>
      </c>
      <c r="AC2578" s="16">
        <v>29.44</v>
      </c>
      <c r="AD2578" s="16">
        <v>29.44</v>
      </c>
      <c r="AE2578" s="16">
        <v>29.44</v>
      </c>
      <c r="AF2578" s="16" t="s">
        <v>413</v>
      </c>
    </row>
    <row r="2579" spans="1:32" ht="14.25" customHeight="1" x14ac:dyDescent="0.35">
      <c r="A2579" s="14" t="s">
        <v>1728</v>
      </c>
      <c r="B2579" s="14" t="s">
        <v>420</v>
      </c>
      <c r="C2579" s="14" t="s">
        <v>414</v>
      </c>
      <c r="D2579" s="14" t="s">
        <v>512</v>
      </c>
      <c r="E2579" s="15">
        <v>41640</v>
      </c>
      <c r="F2579" s="15">
        <v>42004</v>
      </c>
      <c r="G2579" s="14" t="s">
        <v>415</v>
      </c>
      <c r="H2579" s="14">
        <v>29.44</v>
      </c>
      <c r="I2579" s="14">
        <v>29.44</v>
      </c>
      <c r="J2579" s="14">
        <v>29.44</v>
      </c>
      <c r="K2579" s="14">
        <v>29.44</v>
      </c>
      <c r="L2579" s="14">
        <v>29.44</v>
      </c>
      <c r="M2579" s="14">
        <v>29.44</v>
      </c>
      <c r="N2579" s="14">
        <v>29.44</v>
      </c>
      <c r="O2579" s="14">
        <v>29.44</v>
      </c>
      <c r="P2579" s="14">
        <v>26.67</v>
      </c>
      <c r="Q2579" s="14">
        <v>23.89</v>
      </c>
      <c r="R2579" s="14">
        <v>23.89</v>
      </c>
      <c r="S2579" s="14">
        <v>23.89</v>
      </c>
      <c r="T2579" s="14">
        <v>23.89</v>
      </c>
      <c r="U2579" s="14">
        <v>23.89</v>
      </c>
      <c r="V2579" s="14">
        <v>23.89</v>
      </c>
      <c r="W2579" s="14">
        <v>23.89</v>
      </c>
      <c r="X2579" s="14">
        <v>23.89</v>
      </c>
      <c r="Y2579" s="14">
        <v>23.89</v>
      </c>
      <c r="Z2579" s="14">
        <v>29.44</v>
      </c>
      <c r="AA2579" s="14">
        <v>29.44</v>
      </c>
      <c r="AB2579" s="14">
        <v>29.44</v>
      </c>
      <c r="AC2579" s="14">
        <v>29.44</v>
      </c>
      <c r="AD2579" s="14">
        <v>29.44</v>
      </c>
      <c r="AE2579" s="14">
        <v>29.44</v>
      </c>
      <c r="AF2579" s="14" t="s">
        <v>413</v>
      </c>
    </row>
    <row r="2580" spans="1:32" ht="14.25" customHeight="1" x14ac:dyDescent="0.35">
      <c r="A2580" s="16" t="s">
        <v>1728</v>
      </c>
      <c r="B2580" s="16" t="s">
        <v>420</v>
      </c>
      <c r="C2580" s="16" t="s">
        <v>414</v>
      </c>
      <c r="D2580" s="16" t="s">
        <v>556</v>
      </c>
      <c r="E2580" s="17">
        <v>41640</v>
      </c>
      <c r="F2580" s="17">
        <v>42004</v>
      </c>
      <c r="G2580" s="16" t="s">
        <v>415</v>
      </c>
      <c r="H2580" s="16">
        <v>29.44</v>
      </c>
      <c r="I2580" s="16">
        <v>29.44</v>
      </c>
      <c r="J2580" s="16">
        <v>29.44</v>
      </c>
      <c r="K2580" s="16">
        <v>29.44</v>
      </c>
      <c r="L2580" s="16">
        <v>29.44</v>
      </c>
      <c r="M2580" s="16">
        <v>29.44</v>
      </c>
      <c r="N2580" s="16">
        <v>29.44</v>
      </c>
      <c r="O2580" s="16">
        <v>29.44</v>
      </c>
      <c r="P2580" s="16">
        <v>26.67</v>
      </c>
      <c r="Q2580" s="16">
        <v>23.89</v>
      </c>
      <c r="R2580" s="16">
        <v>23.89</v>
      </c>
      <c r="S2580" s="16">
        <v>23.89</v>
      </c>
      <c r="T2580" s="16">
        <v>23.89</v>
      </c>
      <c r="U2580" s="16">
        <v>23.89</v>
      </c>
      <c r="V2580" s="16">
        <v>23.89</v>
      </c>
      <c r="W2580" s="16">
        <v>23.89</v>
      </c>
      <c r="X2580" s="16">
        <v>23.89</v>
      </c>
      <c r="Y2580" s="16">
        <v>23.89</v>
      </c>
      <c r="Z2580" s="16">
        <v>23.89</v>
      </c>
      <c r="AA2580" s="16">
        <v>23.89</v>
      </c>
      <c r="AB2580" s="16">
        <v>23.89</v>
      </c>
      <c r="AC2580" s="16">
        <v>29.44</v>
      </c>
      <c r="AD2580" s="16">
        <v>29.44</v>
      </c>
      <c r="AE2580" s="16">
        <v>29.44</v>
      </c>
      <c r="AF2580" s="16" t="s">
        <v>413</v>
      </c>
    </row>
    <row r="2581" spans="1:32" ht="14.25" customHeight="1" x14ac:dyDescent="0.35">
      <c r="A2581" s="14" t="s">
        <v>1728</v>
      </c>
      <c r="B2581" s="14" t="s">
        <v>420</v>
      </c>
      <c r="C2581" s="14" t="s">
        <v>414</v>
      </c>
      <c r="D2581" s="14" t="s">
        <v>418</v>
      </c>
      <c r="E2581" s="15">
        <v>41640</v>
      </c>
      <c r="F2581" s="15">
        <v>42004</v>
      </c>
      <c r="G2581" s="14" t="s">
        <v>410</v>
      </c>
      <c r="H2581" s="14">
        <v>29.44</v>
      </c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 t="s">
        <v>413</v>
      </c>
    </row>
    <row r="2582" spans="1:32" ht="14.25" customHeight="1" x14ac:dyDescent="0.35">
      <c r="A2582" s="16" t="s">
        <v>1729</v>
      </c>
      <c r="B2582" s="16" t="s">
        <v>427</v>
      </c>
      <c r="C2582" s="16"/>
      <c r="D2582" s="16" t="s">
        <v>417</v>
      </c>
      <c r="E2582" s="17">
        <v>41640</v>
      </c>
      <c r="F2582" s="17">
        <v>42004</v>
      </c>
      <c r="G2582" s="16" t="s">
        <v>415</v>
      </c>
      <c r="H2582" s="16">
        <v>0.05</v>
      </c>
      <c r="I2582" s="16">
        <v>0.05</v>
      </c>
      <c r="J2582" s="16">
        <v>0.05</v>
      </c>
      <c r="K2582" s="16">
        <v>0.05</v>
      </c>
      <c r="L2582" s="16">
        <v>0.05</v>
      </c>
      <c r="M2582" s="16">
        <v>0.05</v>
      </c>
      <c r="N2582" s="16">
        <v>0.05</v>
      </c>
      <c r="O2582" s="16">
        <v>0.05</v>
      </c>
      <c r="P2582" s="16">
        <v>0.05</v>
      </c>
      <c r="Q2582" s="16">
        <v>0.05</v>
      </c>
      <c r="R2582" s="16">
        <v>0.5</v>
      </c>
      <c r="S2582" s="16">
        <v>0.9</v>
      </c>
      <c r="T2582" s="16">
        <v>0.9</v>
      </c>
      <c r="U2582" s="16">
        <v>0.9</v>
      </c>
      <c r="V2582" s="16">
        <v>0.9</v>
      </c>
      <c r="W2582" s="16">
        <v>0.9</v>
      </c>
      <c r="X2582" s="16">
        <v>0.9</v>
      </c>
      <c r="Y2582" s="16">
        <v>0.5</v>
      </c>
      <c r="Z2582" s="16">
        <v>0.05</v>
      </c>
      <c r="AA2582" s="16">
        <v>0.05</v>
      </c>
      <c r="AB2582" s="16">
        <v>0.05</v>
      </c>
      <c r="AC2582" s="16">
        <v>0.05</v>
      </c>
      <c r="AD2582" s="16">
        <v>0.05</v>
      </c>
      <c r="AE2582" s="16">
        <v>0.05</v>
      </c>
      <c r="AF2582" s="16" t="s">
        <v>413</v>
      </c>
    </row>
    <row r="2583" spans="1:32" ht="14.25" customHeight="1" x14ac:dyDescent="0.35">
      <c r="A2583" s="14" t="s">
        <v>1729</v>
      </c>
      <c r="B2583" s="14" t="s">
        <v>427</v>
      </c>
      <c r="C2583" s="14"/>
      <c r="D2583" s="14" t="s">
        <v>512</v>
      </c>
      <c r="E2583" s="15">
        <v>41640</v>
      </c>
      <c r="F2583" s="15">
        <v>42004</v>
      </c>
      <c r="G2583" s="14" t="s">
        <v>415</v>
      </c>
      <c r="H2583" s="14">
        <v>0.05</v>
      </c>
      <c r="I2583" s="14">
        <v>0.05</v>
      </c>
      <c r="J2583" s="14">
        <v>0.05</v>
      </c>
      <c r="K2583" s="14">
        <v>0.05</v>
      </c>
      <c r="L2583" s="14">
        <v>0.05</v>
      </c>
      <c r="M2583" s="14">
        <v>0.05</v>
      </c>
      <c r="N2583" s="14">
        <v>0.05</v>
      </c>
      <c r="O2583" s="14">
        <v>0.05</v>
      </c>
      <c r="P2583" s="14">
        <v>0.05</v>
      </c>
      <c r="Q2583" s="14">
        <v>0.5</v>
      </c>
      <c r="R2583" s="14">
        <v>0.9</v>
      </c>
      <c r="S2583" s="14">
        <v>0.9</v>
      </c>
      <c r="T2583" s="14">
        <v>0.9</v>
      </c>
      <c r="U2583" s="14">
        <v>0.9</v>
      </c>
      <c r="V2583" s="14">
        <v>0.9</v>
      </c>
      <c r="W2583" s="14">
        <v>0.9</v>
      </c>
      <c r="X2583" s="14">
        <v>0.9</v>
      </c>
      <c r="Y2583" s="14">
        <v>0.9</v>
      </c>
      <c r="Z2583" s="14">
        <v>0.5</v>
      </c>
      <c r="AA2583" s="14">
        <v>0.05</v>
      </c>
      <c r="AB2583" s="14">
        <v>0.05</v>
      </c>
      <c r="AC2583" s="14">
        <v>0.05</v>
      </c>
      <c r="AD2583" s="14">
        <v>0.05</v>
      </c>
      <c r="AE2583" s="14">
        <v>0.05</v>
      </c>
      <c r="AF2583" s="14" t="s">
        <v>413</v>
      </c>
    </row>
    <row r="2584" spans="1:32" ht="14.25" customHeight="1" x14ac:dyDescent="0.35">
      <c r="A2584" s="16" t="s">
        <v>1729</v>
      </c>
      <c r="B2584" s="16" t="s">
        <v>427</v>
      </c>
      <c r="C2584" s="16"/>
      <c r="D2584" s="16" t="s">
        <v>419</v>
      </c>
      <c r="E2584" s="17">
        <v>41640</v>
      </c>
      <c r="F2584" s="17">
        <v>42004</v>
      </c>
      <c r="G2584" s="16" t="s">
        <v>410</v>
      </c>
      <c r="H2584" s="16">
        <v>1</v>
      </c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  <c r="AC2584" s="16"/>
      <c r="AD2584" s="16"/>
      <c r="AE2584" s="16"/>
      <c r="AF2584" s="16" t="s">
        <v>413</v>
      </c>
    </row>
    <row r="2585" spans="1:32" ht="14.25" customHeight="1" x14ac:dyDescent="0.35">
      <c r="A2585" s="16" t="s">
        <v>1729</v>
      </c>
      <c r="B2585" s="16" t="s">
        <v>427</v>
      </c>
      <c r="C2585" s="16"/>
      <c r="D2585" s="16" t="s">
        <v>429</v>
      </c>
      <c r="E2585" s="17">
        <v>41640</v>
      </c>
      <c r="F2585" s="17">
        <v>42004</v>
      </c>
      <c r="G2585" s="16" t="s">
        <v>415</v>
      </c>
      <c r="H2585" s="16">
        <v>0.05</v>
      </c>
      <c r="I2585" s="16">
        <v>0.05</v>
      </c>
      <c r="J2585" s="16">
        <v>0.05</v>
      </c>
      <c r="K2585" s="16">
        <v>0.05</v>
      </c>
      <c r="L2585" s="16">
        <v>0.05</v>
      </c>
      <c r="M2585" s="16">
        <v>0.05</v>
      </c>
      <c r="N2585" s="16">
        <v>0.05</v>
      </c>
      <c r="O2585" s="16">
        <v>0.05</v>
      </c>
      <c r="P2585" s="16">
        <v>0.05</v>
      </c>
      <c r="Q2585" s="16">
        <v>0.5</v>
      </c>
      <c r="R2585" s="16">
        <v>0.9</v>
      </c>
      <c r="S2585" s="16">
        <v>0.9</v>
      </c>
      <c r="T2585" s="16">
        <v>0.9</v>
      </c>
      <c r="U2585" s="16">
        <v>0.9</v>
      </c>
      <c r="V2585" s="16">
        <v>0.9</v>
      </c>
      <c r="W2585" s="16">
        <v>0.9</v>
      </c>
      <c r="X2585" s="16">
        <v>0.9</v>
      </c>
      <c r="Y2585" s="16">
        <v>0.9</v>
      </c>
      <c r="Z2585" s="16">
        <v>0.9</v>
      </c>
      <c r="AA2585" s="16">
        <v>0.9</v>
      </c>
      <c r="AB2585" s="16">
        <v>0.5</v>
      </c>
      <c r="AC2585" s="16">
        <v>0.05</v>
      </c>
      <c r="AD2585" s="16">
        <v>0.05</v>
      </c>
      <c r="AE2585" s="16">
        <v>0.05</v>
      </c>
      <c r="AF2585" s="16" t="s">
        <v>413</v>
      </c>
    </row>
    <row r="2586" spans="1:32" ht="14.25" customHeight="1" x14ac:dyDescent="0.35">
      <c r="A2586" s="14" t="s">
        <v>1729</v>
      </c>
      <c r="B2586" s="14" t="s">
        <v>427</v>
      </c>
      <c r="C2586" s="14"/>
      <c r="D2586" s="14" t="s">
        <v>418</v>
      </c>
      <c r="E2586" s="15">
        <v>41640</v>
      </c>
      <c r="F2586" s="15">
        <v>42004</v>
      </c>
      <c r="G2586" s="14" t="s">
        <v>410</v>
      </c>
      <c r="H2586" s="14">
        <v>0</v>
      </c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 t="s">
        <v>413</v>
      </c>
    </row>
    <row r="2587" spans="1:32" ht="14.25" customHeight="1" x14ac:dyDescent="0.35">
      <c r="A2587" s="14" t="s">
        <v>1730</v>
      </c>
      <c r="B2587" s="14" t="s">
        <v>408</v>
      </c>
      <c r="C2587" s="14"/>
      <c r="D2587" s="14" t="s">
        <v>417</v>
      </c>
      <c r="E2587" s="15">
        <v>41640</v>
      </c>
      <c r="F2587" s="15">
        <v>42004</v>
      </c>
      <c r="G2587" s="14" t="s">
        <v>415</v>
      </c>
      <c r="H2587" s="14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1</v>
      </c>
      <c r="R2587" s="14">
        <v>1</v>
      </c>
      <c r="S2587" s="14">
        <v>1</v>
      </c>
      <c r="T2587" s="14">
        <v>1</v>
      </c>
      <c r="U2587" s="14">
        <v>1</v>
      </c>
      <c r="V2587" s="14">
        <v>1</v>
      </c>
      <c r="W2587" s="14">
        <v>1</v>
      </c>
      <c r="X2587" s="14">
        <v>1</v>
      </c>
      <c r="Y2587" s="14">
        <v>1</v>
      </c>
      <c r="Z2587" s="14">
        <v>0</v>
      </c>
      <c r="AA2587" s="14">
        <v>0</v>
      </c>
      <c r="AB2587" s="14">
        <v>0</v>
      </c>
      <c r="AC2587" s="14">
        <v>0</v>
      </c>
      <c r="AD2587" s="14">
        <v>0</v>
      </c>
      <c r="AE2587" s="14">
        <v>0</v>
      </c>
      <c r="AF2587" s="14" t="s">
        <v>413</v>
      </c>
    </row>
    <row r="2588" spans="1:32" ht="14.25" customHeight="1" x14ac:dyDescent="0.35">
      <c r="A2588" s="14" t="s">
        <v>1730</v>
      </c>
      <c r="B2588" s="14" t="s">
        <v>408</v>
      </c>
      <c r="C2588" s="14"/>
      <c r="D2588" s="14" t="s">
        <v>556</v>
      </c>
      <c r="E2588" s="15">
        <v>41640</v>
      </c>
      <c r="F2588" s="15">
        <v>42004</v>
      </c>
      <c r="G2588" s="14" t="s">
        <v>415</v>
      </c>
      <c r="H2588" s="14">
        <v>0</v>
      </c>
      <c r="I2588" s="14">
        <v>0</v>
      </c>
      <c r="J2588" s="14">
        <v>0</v>
      </c>
      <c r="K2588" s="14">
        <v>0</v>
      </c>
      <c r="L2588" s="14">
        <v>0</v>
      </c>
      <c r="M2588" s="14">
        <v>0</v>
      </c>
      <c r="N2588" s="14">
        <v>0</v>
      </c>
      <c r="O2588" s="14">
        <v>0</v>
      </c>
      <c r="P2588" s="14">
        <v>1</v>
      </c>
      <c r="Q2588" s="14">
        <v>1</v>
      </c>
      <c r="R2588" s="14">
        <v>1</v>
      </c>
      <c r="S2588" s="14">
        <v>1</v>
      </c>
      <c r="T2588" s="14">
        <v>1</v>
      </c>
      <c r="U2588" s="14">
        <v>1</v>
      </c>
      <c r="V2588" s="14">
        <v>1</v>
      </c>
      <c r="W2588" s="14">
        <v>1</v>
      </c>
      <c r="X2588" s="14">
        <v>1</v>
      </c>
      <c r="Y2588" s="14">
        <v>1</v>
      </c>
      <c r="Z2588" s="14">
        <v>1</v>
      </c>
      <c r="AA2588" s="14">
        <v>1</v>
      </c>
      <c r="AB2588" s="14">
        <v>1</v>
      </c>
      <c r="AC2588" s="14">
        <v>0</v>
      </c>
      <c r="AD2588" s="14">
        <v>0</v>
      </c>
      <c r="AE2588" s="14">
        <v>0</v>
      </c>
      <c r="AF2588" s="14" t="s">
        <v>413</v>
      </c>
    </row>
    <row r="2589" spans="1:32" ht="14.25" customHeight="1" x14ac:dyDescent="0.35">
      <c r="A2589" s="16" t="s">
        <v>1730</v>
      </c>
      <c r="B2589" s="16" t="s">
        <v>408</v>
      </c>
      <c r="C2589" s="16"/>
      <c r="D2589" s="16" t="s">
        <v>514</v>
      </c>
      <c r="E2589" s="17">
        <v>41640</v>
      </c>
      <c r="F2589" s="17">
        <v>42004</v>
      </c>
      <c r="G2589" s="16" t="s">
        <v>415</v>
      </c>
      <c r="H2589" s="16">
        <v>0</v>
      </c>
      <c r="I2589" s="16">
        <v>0</v>
      </c>
      <c r="J2589" s="16">
        <v>0</v>
      </c>
      <c r="K2589" s="16">
        <v>0</v>
      </c>
      <c r="L2589" s="16">
        <v>0</v>
      </c>
      <c r="M2589" s="16">
        <v>0</v>
      </c>
      <c r="N2589" s="16">
        <v>0</v>
      </c>
      <c r="O2589" s="16">
        <v>0</v>
      </c>
      <c r="P2589" s="16">
        <v>1</v>
      </c>
      <c r="Q2589" s="16">
        <v>1</v>
      </c>
      <c r="R2589" s="16">
        <v>1</v>
      </c>
      <c r="S2589" s="16">
        <v>1</v>
      </c>
      <c r="T2589" s="16">
        <v>1</v>
      </c>
      <c r="U2589" s="16">
        <v>1</v>
      </c>
      <c r="V2589" s="16">
        <v>1</v>
      </c>
      <c r="W2589" s="16">
        <v>1</v>
      </c>
      <c r="X2589" s="16">
        <v>1</v>
      </c>
      <c r="Y2589" s="16">
        <v>1</v>
      </c>
      <c r="Z2589" s="16">
        <v>1</v>
      </c>
      <c r="AA2589" s="16">
        <v>0</v>
      </c>
      <c r="AB2589" s="16">
        <v>0</v>
      </c>
      <c r="AC2589" s="16">
        <v>0</v>
      </c>
      <c r="AD2589" s="16">
        <v>0</v>
      </c>
      <c r="AE2589" s="16">
        <v>0</v>
      </c>
      <c r="AF2589" s="16" t="s">
        <v>413</v>
      </c>
    </row>
    <row r="2590" spans="1:32" ht="14.25" customHeight="1" x14ac:dyDescent="0.35">
      <c r="A2590" s="16" t="s">
        <v>1731</v>
      </c>
      <c r="B2590" s="16" t="s">
        <v>420</v>
      </c>
      <c r="C2590" s="16" t="s">
        <v>414</v>
      </c>
      <c r="D2590" s="16" t="s">
        <v>417</v>
      </c>
      <c r="E2590" s="17">
        <v>41640</v>
      </c>
      <c r="F2590" s="17">
        <v>42004</v>
      </c>
      <c r="G2590" s="16" t="s">
        <v>415</v>
      </c>
      <c r="H2590" s="16">
        <v>15.56</v>
      </c>
      <c r="I2590" s="16">
        <v>15.56</v>
      </c>
      <c r="J2590" s="16">
        <v>15.56</v>
      </c>
      <c r="K2590" s="16">
        <v>15.56</v>
      </c>
      <c r="L2590" s="16">
        <v>15.56</v>
      </c>
      <c r="M2590" s="16">
        <v>15.56</v>
      </c>
      <c r="N2590" s="16">
        <v>15.56</v>
      </c>
      <c r="O2590" s="16">
        <v>15.56</v>
      </c>
      <c r="P2590" s="16">
        <v>15.56</v>
      </c>
      <c r="Q2590" s="16">
        <v>21.11</v>
      </c>
      <c r="R2590" s="16">
        <v>21.11</v>
      </c>
      <c r="S2590" s="16">
        <v>21.11</v>
      </c>
      <c r="T2590" s="16">
        <v>21.11</v>
      </c>
      <c r="U2590" s="16">
        <v>21.11</v>
      </c>
      <c r="V2590" s="16">
        <v>21.11</v>
      </c>
      <c r="W2590" s="16">
        <v>21.11</v>
      </c>
      <c r="X2590" s="16">
        <v>21.11</v>
      </c>
      <c r="Y2590" s="16">
        <v>21.11</v>
      </c>
      <c r="Z2590" s="16">
        <v>15.56</v>
      </c>
      <c r="AA2590" s="16">
        <v>15.56</v>
      </c>
      <c r="AB2590" s="16">
        <v>15.56</v>
      </c>
      <c r="AC2590" s="16">
        <v>15.56</v>
      </c>
      <c r="AD2590" s="16">
        <v>15.56</v>
      </c>
      <c r="AE2590" s="16">
        <v>15.56</v>
      </c>
      <c r="AF2590" s="16" t="s">
        <v>413</v>
      </c>
    </row>
    <row r="2591" spans="1:32" ht="14.25" customHeight="1" x14ac:dyDescent="0.35">
      <c r="A2591" s="14" t="s">
        <v>1731</v>
      </c>
      <c r="B2591" s="14" t="s">
        <v>420</v>
      </c>
      <c r="C2591" s="14" t="s">
        <v>414</v>
      </c>
      <c r="D2591" s="14" t="s">
        <v>512</v>
      </c>
      <c r="E2591" s="15">
        <v>41640</v>
      </c>
      <c r="F2591" s="15">
        <v>42004</v>
      </c>
      <c r="G2591" s="14" t="s">
        <v>415</v>
      </c>
      <c r="H2591" s="14">
        <v>15.56</v>
      </c>
      <c r="I2591" s="14">
        <v>15.56</v>
      </c>
      <c r="J2591" s="14">
        <v>15.56</v>
      </c>
      <c r="K2591" s="14">
        <v>15.56</v>
      </c>
      <c r="L2591" s="14">
        <v>15.56</v>
      </c>
      <c r="M2591" s="14">
        <v>15.56</v>
      </c>
      <c r="N2591" s="14">
        <v>15.56</v>
      </c>
      <c r="O2591" s="14">
        <v>15.56</v>
      </c>
      <c r="P2591" s="14">
        <v>21.11</v>
      </c>
      <c r="Q2591" s="14">
        <v>21.11</v>
      </c>
      <c r="R2591" s="14">
        <v>21.11</v>
      </c>
      <c r="S2591" s="14">
        <v>21.11</v>
      </c>
      <c r="T2591" s="14">
        <v>21.11</v>
      </c>
      <c r="U2591" s="14">
        <v>21.11</v>
      </c>
      <c r="V2591" s="14">
        <v>21.11</v>
      </c>
      <c r="W2591" s="14">
        <v>21.11</v>
      </c>
      <c r="X2591" s="14">
        <v>21.11</v>
      </c>
      <c r="Y2591" s="14">
        <v>21.11</v>
      </c>
      <c r="Z2591" s="14">
        <v>21.11</v>
      </c>
      <c r="AA2591" s="14">
        <v>15.56</v>
      </c>
      <c r="AB2591" s="14">
        <v>15.56</v>
      </c>
      <c r="AC2591" s="14">
        <v>15.56</v>
      </c>
      <c r="AD2591" s="14">
        <v>15.56</v>
      </c>
      <c r="AE2591" s="14">
        <v>15.56</v>
      </c>
      <c r="AF2591" s="14" t="s">
        <v>413</v>
      </c>
    </row>
    <row r="2592" spans="1:32" ht="14.25" customHeight="1" x14ac:dyDescent="0.35">
      <c r="A2592" s="16" t="s">
        <v>1731</v>
      </c>
      <c r="B2592" s="16" t="s">
        <v>420</v>
      </c>
      <c r="C2592" s="16" t="s">
        <v>414</v>
      </c>
      <c r="D2592" s="16" t="s">
        <v>419</v>
      </c>
      <c r="E2592" s="17">
        <v>41640</v>
      </c>
      <c r="F2592" s="17">
        <v>42004</v>
      </c>
      <c r="G2592" s="16" t="s">
        <v>410</v>
      </c>
      <c r="H2592" s="16">
        <v>15.56</v>
      </c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 t="s">
        <v>413</v>
      </c>
    </row>
    <row r="2593" spans="1:32" ht="14.25" customHeight="1" x14ac:dyDescent="0.35">
      <c r="A2593" s="16" t="s">
        <v>1731</v>
      </c>
      <c r="B2593" s="16" t="s">
        <v>420</v>
      </c>
      <c r="C2593" s="16" t="s">
        <v>414</v>
      </c>
      <c r="D2593" s="16" t="s">
        <v>429</v>
      </c>
      <c r="E2593" s="17">
        <v>41640</v>
      </c>
      <c r="F2593" s="17">
        <v>42004</v>
      </c>
      <c r="G2593" s="16" t="s">
        <v>415</v>
      </c>
      <c r="H2593" s="16">
        <v>15.56</v>
      </c>
      <c r="I2593" s="16">
        <v>15.56</v>
      </c>
      <c r="J2593" s="16">
        <v>15.56</v>
      </c>
      <c r="K2593" s="16">
        <v>15.56</v>
      </c>
      <c r="L2593" s="16">
        <v>15.56</v>
      </c>
      <c r="M2593" s="16">
        <v>15.56</v>
      </c>
      <c r="N2593" s="16">
        <v>15.56</v>
      </c>
      <c r="O2593" s="16">
        <v>15.56</v>
      </c>
      <c r="P2593" s="16">
        <v>21.11</v>
      </c>
      <c r="Q2593" s="16">
        <v>21.11</v>
      </c>
      <c r="R2593" s="16">
        <v>21.11</v>
      </c>
      <c r="S2593" s="16">
        <v>21.11</v>
      </c>
      <c r="T2593" s="16">
        <v>21.11</v>
      </c>
      <c r="U2593" s="16">
        <v>21.11</v>
      </c>
      <c r="V2593" s="16">
        <v>21.11</v>
      </c>
      <c r="W2593" s="16">
        <v>21.11</v>
      </c>
      <c r="X2593" s="16">
        <v>21.11</v>
      </c>
      <c r="Y2593" s="16">
        <v>21.11</v>
      </c>
      <c r="Z2593" s="16">
        <v>21.11</v>
      </c>
      <c r="AA2593" s="16">
        <v>21.11</v>
      </c>
      <c r="AB2593" s="16">
        <v>21.11</v>
      </c>
      <c r="AC2593" s="16">
        <v>15.56</v>
      </c>
      <c r="AD2593" s="16">
        <v>15.56</v>
      </c>
      <c r="AE2593" s="16">
        <v>15.56</v>
      </c>
      <c r="AF2593" s="16" t="s">
        <v>413</v>
      </c>
    </row>
    <row r="2594" spans="1:32" ht="14.25" customHeight="1" x14ac:dyDescent="0.35">
      <c r="A2594" s="14" t="s">
        <v>1731</v>
      </c>
      <c r="B2594" s="14" t="s">
        <v>420</v>
      </c>
      <c r="C2594" s="14" t="s">
        <v>414</v>
      </c>
      <c r="D2594" s="14" t="s">
        <v>418</v>
      </c>
      <c r="E2594" s="15">
        <v>41640</v>
      </c>
      <c r="F2594" s="15">
        <v>42004</v>
      </c>
      <c r="G2594" s="14" t="s">
        <v>415</v>
      </c>
      <c r="H2594" s="14">
        <v>15.56</v>
      </c>
      <c r="I2594" s="14">
        <v>15.56</v>
      </c>
      <c r="J2594" s="14">
        <v>15.56</v>
      </c>
      <c r="K2594" s="14">
        <v>15.56</v>
      </c>
      <c r="L2594" s="14">
        <v>15.56</v>
      </c>
      <c r="M2594" s="14">
        <v>15.56</v>
      </c>
      <c r="N2594" s="14">
        <v>15.56</v>
      </c>
      <c r="O2594" s="14">
        <v>15.56</v>
      </c>
      <c r="P2594" s="14">
        <v>18.329999999999998</v>
      </c>
      <c r="Q2594" s="14">
        <v>21.11</v>
      </c>
      <c r="R2594" s="14">
        <v>21.11</v>
      </c>
      <c r="S2594" s="14">
        <v>21.11</v>
      </c>
      <c r="T2594" s="14">
        <v>21.11</v>
      </c>
      <c r="U2594" s="14">
        <v>21.11</v>
      </c>
      <c r="V2594" s="14">
        <v>21.11</v>
      </c>
      <c r="W2594" s="14">
        <v>21.11</v>
      </c>
      <c r="X2594" s="14">
        <v>21.11</v>
      </c>
      <c r="Y2594" s="14">
        <v>21.11</v>
      </c>
      <c r="Z2594" s="14">
        <v>21.11</v>
      </c>
      <c r="AA2594" s="14">
        <v>21.11</v>
      </c>
      <c r="AB2594" s="14">
        <v>21.11</v>
      </c>
      <c r="AC2594" s="14">
        <v>15.56</v>
      </c>
      <c r="AD2594" s="14">
        <v>15.56</v>
      </c>
      <c r="AE2594" s="14">
        <v>15.56</v>
      </c>
      <c r="AF2594" s="14" t="s">
        <v>413</v>
      </c>
    </row>
    <row r="2595" spans="1:32" ht="14.25" customHeight="1" x14ac:dyDescent="0.35">
      <c r="A2595" s="14" t="s">
        <v>1732</v>
      </c>
      <c r="B2595" s="14" t="s">
        <v>420</v>
      </c>
      <c r="C2595" s="14" t="s">
        <v>414</v>
      </c>
      <c r="D2595" s="14" t="s">
        <v>417</v>
      </c>
      <c r="E2595" s="15">
        <v>41640</v>
      </c>
      <c r="F2595" s="15">
        <v>42004</v>
      </c>
      <c r="G2595" s="14" t="s">
        <v>415</v>
      </c>
      <c r="H2595" s="14">
        <v>15.56</v>
      </c>
      <c r="I2595" s="14">
        <v>15.56</v>
      </c>
      <c r="J2595" s="14">
        <v>15.56</v>
      </c>
      <c r="K2595" s="14">
        <v>15.56</v>
      </c>
      <c r="L2595" s="14">
        <v>15.56</v>
      </c>
      <c r="M2595" s="14">
        <v>15.56</v>
      </c>
      <c r="N2595" s="14">
        <v>15.56</v>
      </c>
      <c r="O2595" s="14">
        <v>15.56</v>
      </c>
      <c r="P2595" s="14">
        <v>15.56</v>
      </c>
      <c r="Q2595" s="14">
        <v>18.329999999999998</v>
      </c>
      <c r="R2595" s="14">
        <v>21.11</v>
      </c>
      <c r="S2595" s="14">
        <v>21.11</v>
      </c>
      <c r="T2595" s="14">
        <v>21.11</v>
      </c>
      <c r="U2595" s="14">
        <v>21.11</v>
      </c>
      <c r="V2595" s="14">
        <v>21.11</v>
      </c>
      <c r="W2595" s="14">
        <v>21.11</v>
      </c>
      <c r="X2595" s="14">
        <v>21.11</v>
      </c>
      <c r="Y2595" s="14">
        <v>21.11</v>
      </c>
      <c r="Z2595" s="14">
        <v>15.56</v>
      </c>
      <c r="AA2595" s="14">
        <v>15.56</v>
      </c>
      <c r="AB2595" s="14">
        <v>15.56</v>
      </c>
      <c r="AC2595" s="14">
        <v>15.56</v>
      </c>
      <c r="AD2595" s="14">
        <v>15.56</v>
      </c>
      <c r="AE2595" s="14">
        <v>15.56</v>
      </c>
      <c r="AF2595" s="14" t="s">
        <v>413</v>
      </c>
    </row>
    <row r="2596" spans="1:32" ht="14.25" customHeight="1" x14ac:dyDescent="0.35">
      <c r="A2596" s="16" t="s">
        <v>1732</v>
      </c>
      <c r="B2596" s="16" t="s">
        <v>420</v>
      </c>
      <c r="C2596" s="16" t="s">
        <v>414</v>
      </c>
      <c r="D2596" s="16" t="s">
        <v>512</v>
      </c>
      <c r="E2596" s="17">
        <v>41640</v>
      </c>
      <c r="F2596" s="17">
        <v>42004</v>
      </c>
      <c r="G2596" s="16" t="s">
        <v>415</v>
      </c>
      <c r="H2596" s="16">
        <v>15.56</v>
      </c>
      <c r="I2596" s="16">
        <v>15.56</v>
      </c>
      <c r="J2596" s="16">
        <v>15.56</v>
      </c>
      <c r="K2596" s="16">
        <v>15.56</v>
      </c>
      <c r="L2596" s="16">
        <v>15.56</v>
      </c>
      <c r="M2596" s="16">
        <v>15.56</v>
      </c>
      <c r="N2596" s="16">
        <v>15.56</v>
      </c>
      <c r="O2596" s="16">
        <v>15.56</v>
      </c>
      <c r="P2596" s="16">
        <v>18.329999999999998</v>
      </c>
      <c r="Q2596" s="16">
        <v>21.11</v>
      </c>
      <c r="R2596" s="16">
        <v>21.11</v>
      </c>
      <c r="S2596" s="16">
        <v>21.11</v>
      </c>
      <c r="T2596" s="16">
        <v>21.11</v>
      </c>
      <c r="U2596" s="16">
        <v>21.11</v>
      </c>
      <c r="V2596" s="16">
        <v>21.11</v>
      </c>
      <c r="W2596" s="16">
        <v>21.11</v>
      </c>
      <c r="X2596" s="16">
        <v>21.11</v>
      </c>
      <c r="Y2596" s="16">
        <v>21.11</v>
      </c>
      <c r="Z2596" s="16">
        <v>21.11</v>
      </c>
      <c r="AA2596" s="16">
        <v>15.56</v>
      </c>
      <c r="AB2596" s="16">
        <v>15.56</v>
      </c>
      <c r="AC2596" s="16">
        <v>15.56</v>
      </c>
      <c r="AD2596" s="16">
        <v>15.56</v>
      </c>
      <c r="AE2596" s="16">
        <v>15.56</v>
      </c>
      <c r="AF2596" s="16" t="s">
        <v>413</v>
      </c>
    </row>
    <row r="2597" spans="1:32" ht="14.25" customHeight="1" x14ac:dyDescent="0.35">
      <c r="A2597" s="14" t="s">
        <v>1732</v>
      </c>
      <c r="B2597" s="14" t="s">
        <v>420</v>
      </c>
      <c r="C2597" s="14" t="s">
        <v>414</v>
      </c>
      <c r="D2597" s="14" t="s">
        <v>419</v>
      </c>
      <c r="E2597" s="15">
        <v>41640</v>
      </c>
      <c r="F2597" s="15">
        <v>42004</v>
      </c>
      <c r="G2597" s="14" t="s">
        <v>410</v>
      </c>
      <c r="H2597" s="14">
        <v>15.56</v>
      </c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4"/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 t="s">
        <v>413</v>
      </c>
    </row>
    <row r="2598" spans="1:32" ht="14.25" customHeight="1" x14ac:dyDescent="0.35">
      <c r="A2598" s="16" t="s">
        <v>1732</v>
      </c>
      <c r="B2598" s="16" t="s">
        <v>420</v>
      </c>
      <c r="C2598" s="16" t="s">
        <v>414</v>
      </c>
      <c r="D2598" s="16" t="s">
        <v>1663</v>
      </c>
      <c r="E2598" s="17">
        <v>41640</v>
      </c>
      <c r="F2598" s="17">
        <v>42004</v>
      </c>
      <c r="G2598" s="16" t="s">
        <v>415</v>
      </c>
      <c r="H2598" s="16">
        <v>15.56</v>
      </c>
      <c r="I2598" s="16">
        <v>15.56</v>
      </c>
      <c r="J2598" s="16">
        <v>15.56</v>
      </c>
      <c r="K2598" s="16">
        <v>15.56</v>
      </c>
      <c r="L2598" s="16">
        <v>15.56</v>
      </c>
      <c r="M2598" s="16">
        <v>15.56</v>
      </c>
      <c r="N2598" s="16">
        <v>15.56</v>
      </c>
      <c r="O2598" s="16">
        <v>15.56</v>
      </c>
      <c r="P2598" s="16">
        <v>18.329999999999998</v>
      </c>
      <c r="Q2598" s="16">
        <v>21.11</v>
      </c>
      <c r="R2598" s="16">
        <v>21.11</v>
      </c>
      <c r="S2598" s="16">
        <v>21.11</v>
      </c>
      <c r="T2598" s="16">
        <v>21.11</v>
      </c>
      <c r="U2598" s="16">
        <v>21.11</v>
      </c>
      <c r="V2598" s="16">
        <v>21.11</v>
      </c>
      <c r="W2598" s="16">
        <v>21.11</v>
      </c>
      <c r="X2598" s="16">
        <v>21.11</v>
      </c>
      <c r="Y2598" s="16">
        <v>21.11</v>
      </c>
      <c r="Z2598" s="16">
        <v>21.11</v>
      </c>
      <c r="AA2598" s="16">
        <v>21.11</v>
      </c>
      <c r="AB2598" s="16">
        <v>21.11</v>
      </c>
      <c r="AC2598" s="16">
        <v>15.56</v>
      </c>
      <c r="AD2598" s="16">
        <v>15.56</v>
      </c>
      <c r="AE2598" s="16">
        <v>15.56</v>
      </c>
      <c r="AF2598" s="16" t="s">
        <v>413</v>
      </c>
    </row>
    <row r="2599" spans="1:32" ht="14.25" customHeight="1" x14ac:dyDescent="0.35">
      <c r="A2599" s="14" t="s">
        <v>1733</v>
      </c>
      <c r="B2599" s="14" t="s">
        <v>441</v>
      </c>
      <c r="C2599" s="14"/>
      <c r="D2599" s="14" t="s">
        <v>417</v>
      </c>
      <c r="E2599" s="15">
        <v>41640</v>
      </c>
      <c r="F2599" s="15">
        <v>42004</v>
      </c>
      <c r="G2599" s="14" t="s">
        <v>415</v>
      </c>
      <c r="H2599" s="14">
        <v>1</v>
      </c>
      <c r="I2599" s="14">
        <v>1</v>
      </c>
      <c r="J2599" s="14">
        <v>1</v>
      </c>
      <c r="K2599" s="14">
        <v>1</v>
      </c>
      <c r="L2599" s="14">
        <v>1</v>
      </c>
      <c r="M2599" s="14">
        <v>1</v>
      </c>
      <c r="N2599" s="14">
        <v>1</v>
      </c>
      <c r="O2599" s="14">
        <v>1</v>
      </c>
      <c r="P2599" s="14">
        <v>1</v>
      </c>
      <c r="Q2599" s="14">
        <v>0.25</v>
      </c>
      <c r="R2599" s="14">
        <v>0.25</v>
      </c>
      <c r="S2599" s="14">
        <v>0.25</v>
      </c>
      <c r="T2599" s="14">
        <v>0.25</v>
      </c>
      <c r="U2599" s="14">
        <v>0.25</v>
      </c>
      <c r="V2599" s="14">
        <v>0.25</v>
      </c>
      <c r="W2599" s="14">
        <v>0.25</v>
      </c>
      <c r="X2599" s="14">
        <v>0.25</v>
      </c>
      <c r="Y2599" s="14">
        <v>0.25</v>
      </c>
      <c r="Z2599" s="14">
        <v>1</v>
      </c>
      <c r="AA2599" s="14">
        <v>1</v>
      </c>
      <c r="AB2599" s="14">
        <v>1</v>
      </c>
      <c r="AC2599" s="14">
        <v>1</v>
      </c>
      <c r="AD2599" s="14">
        <v>1</v>
      </c>
      <c r="AE2599" s="14">
        <v>1</v>
      </c>
      <c r="AF2599" s="14" t="s">
        <v>413</v>
      </c>
    </row>
    <row r="2600" spans="1:32" ht="14.25" customHeight="1" x14ac:dyDescent="0.35">
      <c r="A2600" s="14" t="s">
        <v>1733</v>
      </c>
      <c r="B2600" s="14" t="s">
        <v>441</v>
      </c>
      <c r="C2600" s="14"/>
      <c r="D2600" s="14" t="s">
        <v>556</v>
      </c>
      <c r="E2600" s="15">
        <v>41640</v>
      </c>
      <c r="F2600" s="15">
        <v>42004</v>
      </c>
      <c r="G2600" s="14" t="s">
        <v>415</v>
      </c>
      <c r="H2600" s="14">
        <v>1</v>
      </c>
      <c r="I2600" s="14">
        <v>1</v>
      </c>
      <c r="J2600" s="14">
        <v>1</v>
      </c>
      <c r="K2600" s="14">
        <v>1</v>
      </c>
      <c r="L2600" s="14">
        <v>1</v>
      </c>
      <c r="M2600" s="14">
        <v>1</v>
      </c>
      <c r="N2600" s="14">
        <v>1</v>
      </c>
      <c r="O2600" s="14">
        <v>1</v>
      </c>
      <c r="P2600" s="14">
        <v>0.25</v>
      </c>
      <c r="Q2600" s="14">
        <v>0.25</v>
      </c>
      <c r="R2600" s="14">
        <v>0.25</v>
      </c>
      <c r="S2600" s="14">
        <v>0.25</v>
      </c>
      <c r="T2600" s="14">
        <v>0.25</v>
      </c>
      <c r="U2600" s="14">
        <v>0.25</v>
      </c>
      <c r="V2600" s="14">
        <v>0.25</v>
      </c>
      <c r="W2600" s="14">
        <v>0.25</v>
      </c>
      <c r="X2600" s="14">
        <v>0.25</v>
      </c>
      <c r="Y2600" s="14">
        <v>0.25</v>
      </c>
      <c r="Z2600" s="14">
        <v>0.25</v>
      </c>
      <c r="AA2600" s="14">
        <v>0.25</v>
      </c>
      <c r="AB2600" s="14">
        <v>0.25</v>
      </c>
      <c r="AC2600" s="14">
        <v>1</v>
      </c>
      <c r="AD2600" s="14">
        <v>1</v>
      </c>
      <c r="AE2600" s="14">
        <v>1</v>
      </c>
      <c r="AF2600" s="14" t="s">
        <v>413</v>
      </c>
    </row>
    <row r="2601" spans="1:32" ht="14.25" customHeight="1" x14ac:dyDescent="0.35">
      <c r="A2601" s="16" t="s">
        <v>1733</v>
      </c>
      <c r="B2601" s="16" t="s">
        <v>441</v>
      </c>
      <c r="C2601" s="16"/>
      <c r="D2601" s="16" t="s">
        <v>514</v>
      </c>
      <c r="E2601" s="17">
        <v>41640</v>
      </c>
      <c r="F2601" s="17">
        <v>42004</v>
      </c>
      <c r="G2601" s="16" t="s">
        <v>415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0.25</v>
      </c>
      <c r="Q2601" s="16">
        <v>0.25</v>
      </c>
      <c r="R2601" s="16">
        <v>0.25</v>
      </c>
      <c r="S2601" s="16">
        <v>0.25</v>
      </c>
      <c r="T2601" s="16">
        <v>0.25</v>
      </c>
      <c r="U2601" s="16">
        <v>0.25</v>
      </c>
      <c r="V2601" s="16">
        <v>0.25</v>
      </c>
      <c r="W2601" s="16">
        <v>0.25</v>
      </c>
      <c r="X2601" s="16">
        <v>0.25</v>
      </c>
      <c r="Y2601" s="16">
        <v>0.25</v>
      </c>
      <c r="Z2601" s="16">
        <v>0.25</v>
      </c>
      <c r="AA2601" s="16">
        <v>1</v>
      </c>
      <c r="AB2601" s="16">
        <v>1</v>
      </c>
      <c r="AC2601" s="16">
        <v>1</v>
      </c>
      <c r="AD2601" s="16">
        <v>1</v>
      </c>
      <c r="AE2601" s="16">
        <v>1</v>
      </c>
      <c r="AF2601" s="16" t="s">
        <v>413</v>
      </c>
    </row>
    <row r="2602" spans="1:32" ht="14.25" customHeight="1" x14ac:dyDescent="0.35">
      <c r="A2602" s="16" t="s">
        <v>1734</v>
      </c>
      <c r="B2602" s="16" t="s">
        <v>424</v>
      </c>
      <c r="C2602" s="16"/>
      <c r="D2602" s="16" t="s">
        <v>417</v>
      </c>
      <c r="E2602" s="17">
        <v>41640</v>
      </c>
      <c r="F2602" s="17">
        <v>42004</v>
      </c>
      <c r="G2602" s="16" t="s">
        <v>415</v>
      </c>
      <c r="H2602" s="16">
        <v>0.05</v>
      </c>
      <c r="I2602" s="16">
        <v>0.05</v>
      </c>
      <c r="J2602" s="16">
        <v>0.05</v>
      </c>
      <c r="K2602" s="16">
        <v>0.05</v>
      </c>
      <c r="L2602" s="16">
        <v>0.05</v>
      </c>
      <c r="M2602" s="16">
        <v>0.05</v>
      </c>
      <c r="N2602" s="16">
        <v>0.05</v>
      </c>
      <c r="O2602" s="16">
        <v>0.05</v>
      </c>
      <c r="P2602" s="16">
        <v>0.05</v>
      </c>
      <c r="Q2602" s="16">
        <v>0.05</v>
      </c>
      <c r="R2602" s="16">
        <v>0.5</v>
      </c>
      <c r="S2602" s="16">
        <v>0.95</v>
      </c>
      <c r="T2602" s="16">
        <v>0.95</v>
      </c>
      <c r="U2602" s="16">
        <v>0.95</v>
      </c>
      <c r="V2602" s="16">
        <v>0.95</v>
      </c>
      <c r="W2602" s="16">
        <v>0.95</v>
      </c>
      <c r="X2602" s="16">
        <v>0.95</v>
      </c>
      <c r="Y2602" s="16">
        <v>0.5</v>
      </c>
      <c r="Z2602" s="16">
        <v>0.05</v>
      </c>
      <c r="AA2602" s="16">
        <v>0.05</v>
      </c>
      <c r="AB2602" s="16">
        <v>0.05</v>
      </c>
      <c r="AC2602" s="16">
        <v>0.05</v>
      </c>
      <c r="AD2602" s="16">
        <v>0.05</v>
      </c>
      <c r="AE2602" s="16">
        <v>0.05</v>
      </c>
      <c r="AF2602" s="16" t="s">
        <v>413</v>
      </c>
    </row>
    <row r="2603" spans="1:32" ht="14.25" customHeight="1" x14ac:dyDescent="0.35">
      <c r="A2603" s="14" t="s">
        <v>1734</v>
      </c>
      <c r="B2603" s="14" t="s">
        <v>424</v>
      </c>
      <c r="C2603" s="14"/>
      <c r="D2603" s="14" t="s">
        <v>512</v>
      </c>
      <c r="E2603" s="15">
        <v>41640</v>
      </c>
      <c r="F2603" s="15">
        <v>42004</v>
      </c>
      <c r="G2603" s="14" t="s">
        <v>415</v>
      </c>
      <c r="H2603" s="14">
        <v>0.05</v>
      </c>
      <c r="I2603" s="14">
        <v>0.05</v>
      </c>
      <c r="J2603" s="14">
        <v>0.05</v>
      </c>
      <c r="K2603" s="14">
        <v>0.05</v>
      </c>
      <c r="L2603" s="14">
        <v>0.05</v>
      </c>
      <c r="M2603" s="14">
        <v>0.05</v>
      </c>
      <c r="N2603" s="14">
        <v>0.05</v>
      </c>
      <c r="O2603" s="14">
        <v>0.05</v>
      </c>
      <c r="P2603" s="14">
        <v>0.05</v>
      </c>
      <c r="Q2603" s="14">
        <v>0.5</v>
      </c>
      <c r="R2603" s="14">
        <v>0.95</v>
      </c>
      <c r="S2603" s="14">
        <v>0.95</v>
      </c>
      <c r="T2603" s="14">
        <v>0.95</v>
      </c>
      <c r="U2603" s="14">
        <v>0.95</v>
      </c>
      <c r="V2603" s="14">
        <v>0.95</v>
      </c>
      <c r="W2603" s="14">
        <v>0.95</v>
      </c>
      <c r="X2603" s="14">
        <v>0.95</v>
      </c>
      <c r="Y2603" s="14">
        <v>0.95</v>
      </c>
      <c r="Z2603" s="14">
        <v>0.5</v>
      </c>
      <c r="AA2603" s="14">
        <v>0.05</v>
      </c>
      <c r="AB2603" s="14">
        <v>0.05</v>
      </c>
      <c r="AC2603" s="14">
        <v>0.05</v>
      </c>
      <c r="AD2603" s="14">
        <v>0.05</v>
      </c>
      <c r="AE2603" s="14">
        <v>0.05</v>
      </c>
      <c r="AF2603" s="14" t="s">
        <v>413</v>
      </c>
    </row>
    <row r="2604" spans="1:32" ht="14.25" customHeight="1" x14ac:dyDescent="0.35">
      <c r="A2604" s="16" t="s">
        <v>1734</v>
      </c>
      <c r="B2604" s="16" t="s">
        <v>424</v>
      </c>
      <c r="C2604" s="16"/>
      <c r="D2604" s="16" t="s">
        <v>419</v>
      </c>
      <c r="E2604" s="17">
        <v>41640</v>
      </c>
      <c r="F2604" s="17">
        <v>42004</v>
      </c>
      <c r="G2604" s="16" t="s">
        <v>410</v>
      </c>
      <c r="H2604" s="16">
        <v>1</v>
      </c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6"/>
      <c r="AA2604" s="16"/>
      <c r="AB2604" s="16"/>
      <c r="AC2604" s="16"/>
      <c r="AD2604" s="16"/>
      <c r="AE2604" s="16"/>
      <c r="AF2604" s="16" t="s">
        <v>413</v>
      </c>
    </row>
    <row r="2605" spans="1:32" ht="14.25" customHeight="1" x14ac:dyDescent="0.35">
      <c r="A2605" s="16" t="s">
        <v>1734</v>
      </c>
      <c r="B2605" s="16" t="s">
        <v>424</v>
      </c>
      <c r="C2605" s="16"/>
      <c r="D2605" s="16" t="s">
        <v>429</v>
      </c>
      <c r="E2605" s="17">
        <v>41640</v>
      </c>
      <c r="F2605" s="17">
        <v>42004</v>
      </c>
      <c r="G2605" s="16" t="s">
        <v>415</v>
      </c>
      <c r="H2605" s="16">
        <v>0.05</v>
      </c>
      <c r="I2605" s="16">
        <v>0.05</v>
      </c>
      <c r="J2605" s="16">
        <v>0.05</v>
      </c>
      <c r="K2605" s="16">
        <v>0.05</v>
      </c>
      <c r="L2605" s="16">
        <v>0.05</v>
      </c>
      <c r="M2605" s="16">
        <v>0.05</v>
      </c>
      <c r="N2605" s="16">
        <v>0.05</v>
      </c>
      <c r="O2605" s="16">
        <v>0.05</v>
      </c>
      <c r="P2605" s="16">
        <v>0.05</v>
      </c>
      <c r="Q2605" s="16">
        <v>0.5</v>
      </c>
      <c r="R2605" s="16">
        <v>0.95</v>
      </c>
      <c r="S2605" s="16">
        <v>0.95</v>
      </c>
      <c r="T2605" s="16">
        <v>0.95</v>
      </c>
      <c r="U2605" s="16">
        <v>0.95</v>
      </c>
      <c r="V2605" s="16">
        <v>0.95</v>
      </c>
      <c r="W2605" s="16">
        <v>0.95</v>
      </c>
      <c r="X2605" s="16">
        <v>0.95</v>
      </c>
      <c r="Y2605" s="16">
        <v>0.95</v>
      </c>
      <c r="Z2605" s="16">
        <v>0.95</v>
      </c>
      <c r="AA2605" s="16">
        <v>0.95</v>
      </c>
      <c r="AB2605" s="16">
        <v>0.5</v>
      </c>
      <c r="AC2605" s="16">
        <v>0.05</v>
      </c>
      <c r="AD2605" s="16">
        <v>0.05</v>
      </c>
      <c r="AE2605" s="16">
        <v>0.05</v>
      </c>
      <c r="AF2605" s="16" t="s">
        <v>413</v>
      </c>
    </row>
    <row r="2606" spans="1:32" ht="14.25" customHeight="1" x14ac:dyDescent="0.35">
      <c r="A2606" s="14" t="s">
        <v>1734</v>
      </c>
      <c r="B2606" s="14" t="s">
        <v>424</v>
      </c>
      <c r="C2606" s="14"/>
      <c r="D2606" s="14" t="s">
        <v>418</v>
      </c>
      <c r="E2606" s="15">
        <v>41640</v>
      </c>
      <c r="F2606" s="15">
        <v>42004</v>
      </c>
      <c r="G2606" s="14" t="s">
        <v>410</v>
      </c>
      <c r="H2606" s="14">
        <v>0</v>
      </c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  <c r="AB2606" s="14"/>
      <c r="AC2606" s="14"/>
      <c r="AD2606" s="14"/>
      <c r="AE2606" s="14"/>
      <c r="AF2606" s="14" t="s">
        <v>413</v>
      </c>
    </row>
    <row r="2607" spans="1:32" ht="14.25" customHeight="1" x14ac:dyDescent="0.35">
      <c r="A2607" s="14" t="s">
        <v>1735</v>
      </c>
      <c r="B2607" s="14" t="s">
        <v>550</v>
      </c>
      <c r="C2607" s="14"/>
      <c r="D2607" s="14" t="s">
        <v>417</v>
      </c>
      <c r="E2607" s="15">
        <v>41640</v>
      </c>
      <c r="F2607" s="15">
        <v>42004</v>
      </c>
      <c r="G2607" s="14" t="s">
        <v>415</v>
      </c>
      <c r="H2607" s="14">
        <v>0</v>
      </c>
      <c r="I2607" s="14">
        <v>0</v>
      </c>
      <c r="J2607" s="14">
        <v>0</v>
      </c>
      <c r="K2607" s="14">
        <v>0</v>
      </c>
      <c r="L2607" s="14">
        <v>0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4">
        <v>1</v>
      </c>
      <c r="S2607" s="14">
        <v>1</v>
      </c>
      <c r="T2607" s="14">
        <v>1</v>
      </c>
      <c r="U2607" s="14">
        <v>1</v>
      </c>
      <c r="V2607" s="14">
        <v>1</v>
      </c>
      <c r="W2607" s="14">
        <v>1</v>
      </c>
      <c r="X2607" s="14">
        <v>1</v>
      </c>
      <c r="Y2607" s="14">
        <v>1</v>
      </c>
      <c r="Z2607" s="14">
        <v>0</v>
      </c>
      <c r="AA2607" s="14">
        <v>0</v>
      </c>
      <c r="AB2607" s="14">
        <v>0</v>
      </c>
      <c r="AC2607" s="14">
        <v>0</v>
      </c>
      <c r="AD2607" s="14">
        <v>0</v>
      </c>
      <c r="AE2607" s="14">
        <v>0</v>
      </c>
      <c r="AF2607" s="14" t="s">
        <v>413</v>
      </c>
    </row>
    <row r="2608" spans="1:32" ht="14.25" customHeight="1" x14ac:dyDescent="0.35">
      <c r="A2608" s="14" t="s">
        <v>1735</v>
      </c>
      <c r="B2608" s="14" t="s">
        <v>550</v>
      </c>
      <c r="C2608" s="14"/>
      <c r="D2608" s="14" t="s">
        <v>556</v>
      </c>
      <c r="E2608" s="15">
        <v>41640</v>
      </c>
      <c r="F2608" s="15">
        <v>42004</v>
      </c>
      <c r="G2608" s="14" t="s">
        <v>415</v>
      </c>
      <c r="H2608" s="14">
        <v>0</v>
      </c>
      <c r="I2608" s="14">
        <v>0</v>
      </c>
      <c r="J2608" s="14">
        <v>0</v>
      </c>
      <c r="K2608" s="14">
        <v>0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1</v>
      </c>
      <c r="R2608" s="14">
        <v>1</v>
      </c>
      <c r="S2608" s="14">
        <v>1</v>
      </c>
      <c r="T2608" s="14">
        <v>1</v>
      </c>
      <c r="U2608" s="14">
        <v>1</v>
      </c>
      <c r="V2608" s="14">
        <v>1</v>
      </c>
      <c r="W2608" s="14">
        <v>1</v>
      </c>
      <c r="X2608" s="14">
        <v>1</v>
      </c>
      <c r="Y2608" s="14">
        <v>1</v>
      </c>
      <c r="Z2608" s="14">
        <v>1</v>
      </c>
      <c r="AA2608" s="14">
        <v>1</v>
      </c>
      <c r="AB2608" s="14">
        <v>1</v>
      </c>
      <c r="AC2608" s="14">
        <v>0</v>
      </c>
      <c r="AD2608" s="14">
        <v>0</v>
      </c>
      <c r="AE2608" s="14">
        <v>0</v>
      </c>
      <c r="AF2608" s="14" t="s">
        <v>413</v>
      </c>
    </row>
    <row r="2609" spans="1:32" ht="14.25" customHeight="1" x14ac:dyDescent="0.35">
      <c r="A2609" s="16" t="s">
        <v>1735</v>
      </c>
      <c r="B2609" s="16" t="s">
        <v>550</v>
      </c>
      <c r="C2609" s="16"/>
      <c r="D2609" s="16" t="s">
        <v>514</v>
      </c>
      <c r="E2609" s="17">
        <v>41640</v>
      </c>
      <c r="F2609" s="17">
        <v>42004</v>
      </c>
      <c r="G2609" s="16" t="s">
        <v>415</v>
      </c>
      <c r="H2609" s="16">
        <v>0</v>
      </c>
      <c r="I2609" s="16">
        <v>0</v>
      </c>
      <c r="J2609" s="16">
        <v>0</v>
      </c>
      <c r="K2609" s="16">
        <v>0</v>
      </c>
      <c r="L2609" s="16">
        <v>0</v>
      </c>
      <c r="M2609" s="16">
        <v>0</v>
      </c>
      <c r="N2609" s="16">
        <v>0</v>
      </c>
      <c r="O2609" s="16">
        <v>0</v>
      </c>
      <c r="P2609" s="16">
        <v>0</v>
      </c>
      <c r="Q2609" s="16">
        <v>1</v>
      </c>
      <c r="R2609" s="16">
        <v>1</v>
      </c>
      <c r="S2609" s="16">
        <v>1</v>
      </c>
      <c r="T2609" s="16">
        <v>1</v>
      </c>
      <c r="U2609" s="16">
        <v>1</v>
      </c>
      <c r="V2609" s="16">
        <v>1</v>
      </c>
      <c r="W2609" s="16">
        <v>1</v>
      </c>
      <c r="X2609" s="16">
        <v>1</v>
      </c>
      <c r="Y2609" s="16">
        <v>1</v>
      </c>
      <c r="Z2609" s="16">
        <v>1</v>
      </c>
      <c r="AA2609" s="16">
        <v>0</v>
      </c>
      <c r="AB2609" s="16">
        <v>0</v>
      </c>
      <c r="AC2609" s="16">
        <v>0</v>
      </c>
      <c r="AD2609" s="16">
        <v>0</v>
      </c>
      <c r="AE2609" s="16">
        <v>0</v>
      </c>
      <c r="AF2609" s="16" t="s">
        <v>413</v>
      </c>
    </row>
    <row r="2610" spans="1:32" ht="14.25" customHeight="1" x14ac:dyDescent="0.35">
      <c r="A2610" s="16" t="s">
        <v>1736</v>
      </c>
      <c r="B2610" s="16" t="s">
        <v>448</v>
      </c>
      <c r="C2610" s="16"/>
      <c r="D2610" s="16" t="s">
        <v>417</v>
      </c>
      <c r="E2610" s="17">
        <v>41640</v>
      </c>
      <c r="F2610" s="17">
        <v>42004</v>
      </c>
      <c r="G2610" s="16" t="s">
        <v>415</v>
      </c>
      <c r="H2610" s="16">
        <v>0</v>
      </c>
      <c r="I2610" s="16">
        <v>0</v>
      </c>
      <c r="J2610" s="16">
        <v>0</v>
      </c>
      <c r="K2610" s="16">
        <v>0</v>
      </c>
      <c r="L2610" s="16">
        <v>0</v>
      </c>
      <c r="M2610" s="16">
        <v>0</v>
      </c>
      <c r="N2610" s="16">
        <v>0</v>
      </c>
      <c r="O2610" s="16">
        <v>0</v>
      </c>
      <c r="P2610" s="16">
        <v>0</v>
      </c>
      <c r="Q2610" s="16">
        <v>0</v>
      </c>
      <c r="R2610" s="16">
        <v>0.11</v>
      </c>
      <c r="S2610" s="16">
        <v>0.11</v>
      </c>
      <c r="T2610" s="16">
        <v>0.43</v>
      </c>
      <c r="U2610" s="16">
        <v>0.46</v>
      </c>
      <c r="V2610" s="16">
        <v>0.5</v>
      </c>
      <c r="W2610" s="16">
        <v>0.69</v>
      </c>
      <c r="X2610" s="16">
        <v>0.34</v>
      </c>
      <c r="Y2610" s="16">
        <v>0.11</v>
      </c>
      <c r="Z2610" s="16">
        <v>0</v>
      </c>
      <c r="AA2610" s="16">
        <v>0</v>
      </c>
      <c r="AB2610" s="16">
        <v>0</v>
      </c>
      <c r="AC2610" s="16">
        <v>0</v>
      </c>
      <c r="AD2610" s="16">
        <v>0</v>
      </c>
      <c r="AE2610" s="16">
        <v>0</v>
      </c>
      <c r="AF2610" s="16" t="s">
        <v>413</v>
      </c>
    </row>
    <row r="2611" spans="1:32" ht="14.25" customHeight="1" x14ac:dyDescent="0.35">
      <c r="A2611" s="14" t="s">
        <v>1736</v>
      </c>
      <c r="B2611" s="14" t="s">
        <v>448</v>
      </c>
      <c r="C2611" s="14"/>
      <c r="D2611" s="14" t="s">
        <v>512</v>
      </c>
      <c r="E2611" s="15">
        <v>41640</v>
      </c>
      <c r="F2611" s="15">
        <v>42004</v>
      </c>
      <c r="G2611" s="14" t="s">
        <v>415</v>
      </c>
      <c r="H2611" s="14">
        <v>0</v>
      </c>
      <c r="I2611" s="14">
        <v>0</v>
      </c>
      <c r="J2611" s="14">
        <v>0</v>
      </c>
      <c r="K2611" s="14">
        <v>0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0.11</v>
      </c>
      <c r="R2611" s="14">
        <v>0.11</v>
      </c>
      <c r="S2611" s="14">
        <v>0.57999999999999996</v>
      </c>
      <c r="T2611" s="14">
        <v>0.71</v>
      </c>
      <c r="U2611" s="14">
        <v>0.74</v>
      </c>
      <c r="V2611" s="14">
        <v>0.77</v>
      </c>
      <c r="W2611" s="14">
        <v>0.8</v>
      </c>
      <c r="X2611" s="14">
        <v>0.74</v>
      </c>
      <c r="Y2611" s="14">
        <v>0.54</v>
      </c>
      <c r="Z2611" s="14">
        <v>0.11</v>
      </c>
      <c r="AA2611" s="14">
        <v>0</v>
      </c>
      <c r="AB2611" s="14">
        <v>0</v>
      </c>
      <c r="AC2611" s="14">
        <v>0</v>
      </c>
      <c r="AD2611" s="14">
        <v>0</v>
      </c>
      <c r="AE2611" s="14">
        <v>0</v>
      </c>
      <c r="AF2611" s="14" t="s">
        <v>413</v>
      </c>
    </row>
    <row r="2612" spans="1:32" ht="14.25" customHeight="1" x14ac:dyDescent="0.35">
      <c r="A2612" s="16" t="s">
        <v>1736</v>
      </c>
      <c r="B2612" s="16" t="s">
        <v>448</v>
      </c>
      <c r="C2612" s="16"/>
      <c r="D2612" s="16" t="s">
        <v>419</v>
      </c>
      <c r="E2612" s="17">
        <v>41640</v>
      </c>
      <c r="F2612" s="17">
        <v>42004</v>
      </c>
      <c r="G2612" s="16" t="s">
        <v>410</v>
      </c>
      <c r="H2612" s="16">
        <v>1</v>
      </c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6"/>
      <c r="AA2612" s="16"/>
      <c r="AB2612" s="16"/>
      <c r="AC2612" s="16"/>
      <c r="AD2612" s="16"/>
      <c r="AE2612" s="16"/>
      <c r="AF2612" s="16" t="s">
        <v>413</v>
      </c>
    </row>
    <row r="2613" spans="1:32" ht="14.25" customHeight="1" x14ac:dyDescent="0.35">
      <c r="A2613" s="16" t="s">
        <v>1736</v>
      </c>
      <c r="B2613" s="16" t="s">
        <v>448</v>
      </c>
      <c r="C2613" s="16"/>
      <c r="D2613" s="16" t="s">
        <v>429</v>
      </c>
      <c r="E2613" s="17">
        <v>41640</v>
      </c>
      <c r="F2613" s="17">
        <v>42004</v>
      </c>
      <c r="G2613" s="16" t="s">
        <v>415</v>
      </c>
      <c r="H2613" s="16">
        <v>0</v>
      </c>
      <c r="I2613" s="16">
        <v>0</v>
      </c>
      <c r="J2613" s="16">
        <v>0</v>
      </c>
      <c r="K2613" s="16">
        <v>0</v>
      </c>
      <c r="L2613" s="16">
        <v>0</v>
      </c>
      <c r="M2613" s="16">
        <v>0</v>
      </c>
      <c r="N2613" s="16">
        <v>0</v>
      </c>
      <c r="O2613" s="16">
        <v>0</v>
      </c>
      <c r="P2613" s="16">
        <v>0</v>
      </c>
      <c r="Q2613" s="16">
        <v>0.11</v>
      </c>
      <c r="R2613" s="16">
        <v>0.11</v>
      </c>
      <c r="S2613" s="16">
        <v>0.43</v>
      </c>
      <c r="T2613" s="16">
        <v>0.46</v>
      </c>
      <c r="U2613" s="16">
        <v>0.71</v>
      </c>
      <c r="V2613" s="16">
        <v>0.5</v>
      </c>
      <c r="W2613" s="16">
        <v>0.69</v>
      </c>
      <c r="X2613" s="16">
        <v>0.54</v>
      </c>
      <c r="Y2613" s="16">
        <v>0.71</v>
      </c>
      <c r="Z2613" s="16">
        <v>0.34</v>
      </c>
      <c r="AA2613" s="16">
        <v>0.26</v>
      </c>
      <c r="AB2613" s="16">
        <v>0.11</v>
      </c>
      <c r="AC2613" s="16">
        <v>0</v>
      </c>
      <c r="AD2613" s="16">
        <v>0</v>
      </c>
      <c r="AE2613" s="16">
        <v>0</v>
      </c>
      <c r="AF2613" s="16" t="s">
        <v>413</v>
      </c>
    </row>
    <row r="2614" spans="1:32" ht="14.25" customHeight="1" x14ac:dyDescent="0.35">
      <c r="A2614" s="14" t="s">
        <v>1736</v>
      </c>
      <c r="B2614" s="14" t="s">
        <v>448</v>
      </c>
      <c r="C2614" s="14"/>
      <c r="D2614" s="14" t="s">
        <v>418</v>
      </c>
      <c r="E2614" s="15">
        <v>41640</v>
      </c>
      <c r="F2614" s="15">
        <v>42004</v>
      </c>
      <c r="G2614" s="14" t="s">
        <v>410</v>
      </c>
      <c r="H2614" s="14">
        <v>0</v>
      </c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 t="s">
        <v>413</v>
      </c>
    </row>
    <row r="2615" spans="1:32" ht="14.25" customHeight="1" x14ac:dyDescent="0.35">
      <c r="A2615" s="14" t="s">
        <v>1737</v>
      </c>
      <c r="B2615" s="14" t="s">
        <v>460</v>
      </c>
      <c r="C2615" s="14"/>
      <c r="D2615" s="14" t="s">
        <v>417</v>
      </c>
      <c r="E2615" s="15">
        <v>41640</v>
      </c>
      <c r="F2615" s="15">
        <v>42004</v>
      </c>
      <c r="G2615" s="14" t="s">
        <v>415</v>
      </c>
      <c r="H2615" s="14">
        <v>0</v>
      </c>
      <c r="I2615" s="14">
        <v>0</v>
      </c>
      <c r="J2615" s="14">
        <v>0</v>
      </c>
      <c r="K2615" s="14">
        <v>0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0.12</v>
      </c>
      <c r="S2615" s="14">
        <v>0.28999999999999998</v>
      </c>
      <c r="T2615" s="14">
        <v>0.31</v>
      </c>
      <c r="U2615" s="14">
        <v>0.36</v>
      </c>
      <c r="V2615" s="14">
        <v>0.36</v>
      </c>
      <c r="W2615" s="14">
        <v>0.34</v>
      </c>
      <c r="X2615" s="14">
        <v>0.35</v>
      </c>
      <c r="Y2615" s="14">
        <v>0.37</v>
      </c>
      <c r="Z2615" s="14">
        <v>0</v>
      </c>
      <c r="AA2615" s="14">
        <v>0</v>
      </c>
      <c r="AB2615" s="14">
        <v>0</v>
      </c>
      <c r="AC2615" s="14">
        <v>0</v>
      </c>
      <c r="AD2615" s="14">
        <v>0</v>
      </c>
      <c r="AE2615" s="14">
        <v>0</v>
      </c>
      <c r="AF2615" s="14" t="s">
        <v>413</v>
      </c>
    </row>
    <row r="2616" spans="1:32" ht="14.25" customHeight="1" x14ac:dyDescent="0.35">
      <c r="A2616" s="14" t="s">
        <v>1737</v>
      </c>
      <c r="B2616" s="14" t="s">
        <v>460</v>
      </c>
      <c r="C2616" s="14"/>
      <c r="D2616" s="14" t="s">
        <v>556</v>
      </c>
      <c r="E2616" s="15">
        <v>41640</v>
      </c>
      <c r="F2616" s="15">
        <v>42004</v>
      </c>
      <c r="G2616" s="14" t="s">
        <v>415</v>
      </c>
      <c r="H2616" s="14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0</v>
      </c>
      <c r="N2616" s="14">
        <v>0</v>
      </c>
      <c r="O2616" s="14">
        <v>0</v>
      </c>
      <c r="P2616" s="14">
        <v>0</v>
      </c>
      <c r="Q2616" s="14">
        <v>0.15</v>
      </c>
      <c r="R2616" s="14">
        <v>0.25</v>
      </c>
      <c r="S2616" s="14">
        <v>0.41</v>
      </c>
      <c r="T2616" s="14">
        <v>0.56999999999999995</v>
      </c>
      <c r="U2616" s="14">
        <v>0.62</v>
      </c>
      <c r="V2616" s="14">
        <v>0.61</v>
      </c>
      <c r="W2616" s="14">
        <v>0.5</v>
      </c>
      <c r="X2616" s="14">
        <v>0.45</v>
      </c>
      <c r="Y2616" s="14">
        <v>0.46</v>
      </c>
      <c r="Z2616" s="14">
        <v>0.47</v>
      </c>
      <c r="AA2616" s="14">
        <v>0.42</v>
      </c>
      <c r="AB2616" s="14">
        <v>0.34</v>
      </c>
      <c r="AC2616" s="14">
        <v>0</v>
      </c>
      <c r="AD2616" s="14">
        <v>0</v>
      </c>
      <c r="AE2616" s="14">
        <v>0</v>
      </c>
      <c r="AF2616" s="14" t="s">
        <v>413</v>
      </c>
    </row>
    <row r="2617" spans="1:32" ht="14.25" customHeight="1" x14ac:dyDescent="0.35">
      <c r="A2617" s="16" t="s">
        <v>1737</v>
      </c>
      <c r="B2617" s="16" t="s">
        <v>460</v>
      </c>
      <c r="C2617" s="16"/>
      <c r="D2617" s="16" t="s">
        <v>514</v>
      </c>
      <c r="E2617" s="17">
        <v>41640</v>
      </c>
      <c r="F2617" s="17">
        <v>42004</v>
      </c>
      <c r="G2617" s="16" t="s">
        <v>415</v>
      </c>
      <c r="H2617" s="16">
        <v>0</v>
      </c>
      <c r="I2617" s="16">
        <v>0</v>
      </c>
      <c r="J2617" s="16">
        <v>0</v>
      </c>
      <c r="K2617" s="16">
        <v>0</v>
      </c>
      <c r="L2617" s="16">
        <v>0</v>
      </c>
      <c r="M2617" s="16">
        <v>0</v>
      </c>
      <c r="N2617" s="16">
        <v>0</v>
      </c>
      <c r="O2617" s="16">
        <v>0</v>
      </c>
      <c r="P2617" s="16">
        <v>0</v>
      </c>
      <c r="Q2617" s="16">
        <v>0.2</v>
      </c>
      <c r="R2617" s="16">
        <v>0.27</v>
      </c>
      <c r="S2617" s="16">
        <v>0.42</v>
      </c>
      <c r="T2617" s="16">
        <v>0.54</v>
      </c>
      <c r="U2617" s="16">
        <v>0.59</v>
      </c>
      <c r="V2617" s="16">
        <v>0.6</v>
      </c>
      <c r="W2617" s="16">
        <v>0.49</v>
      </c>
      <c r="X2617" s="16">
        <v>0.48</v>
      </c>
      <c r="Y2617" s="16">
        <v>0.47</v>
      </c>
      <c r="Z2617" s="16">
        <v>0.46</v>
      </c>
      <c r="AA2617" s="16">
        <v>0</v>
      </c>
      <c r="AB2617" s="16">
        <v>0</v>
      </c>
      <c r="AC2617" s="16">
        <v>0</v>
      </c>
      <c r="AD2617" s="16">
        <v>0</v>
      </c>
      <c r="AE2617" s="16">
        <v>0</v>
      </c>
      <c r="AF2617" s="16" t="s">
        <v>413</v>
      </c>
    </row>
    <row r="2618" spans="1:32" ht="14.25" customHeight="1" x14ac:dyDescent="0.35">
      <c r="A2618" s="16" t="s">
        <v>1738</v>
      </c>
      <c r="B2618" s="16" t="s">
        <v>408</v>
      </c>
      <c r="C2618" s="16"/>
      <c r="D2618" s="16" t="s">
        <v>409</v>
      </c>
      <c r="E2618" s="17">
        <v>41640</v>
      </c>
      <c r="F2618" s="17">
        <v>42004</v>
      </c>
      <c r="G2618" s="16" t="s">
        <v>410</v>
      </c>
      <c r="H2618" s="16">
        <v>0</v>
      </c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 t="s">
        <v>413</v>
      </c>
    </row>
    <row r="2619" spans="1:32" ht="14.25" customHeight="1" x14ac:dyDescent="0.35">
      <c r="A2619" s="16" t="s">
        <v>1739</v>
      </c>
      <c r="B2619" s="16" t="s">
        <v>408</v>
      </c>
      <c r="C2619" s="16"/>
      <c r="D2619" s="16" t="s">
        <v>453</v>
      </c>
      <c r="E2619" s="17">
        <v>41640</v>
      </c>
      <c r="F2619" s="17">
        <v>42004</v>
      </c>
      <c r="G2619" s="16" t="s">
        <v>415</v>
      </c>
      <c r="H2619" s="16">
        <v>0.1</v>
      </c>
      <c r="I2619" s="16">
        <v>0.1</v>
      </c>
      <c r="J2619" s="16">
        <v>0.1</v>
      </c>
      <c r="K2619" s="16">
        <v>0.1</v>
      </c>
      <c r="L2619" s="16">
        <v>0.3</v>
      </c>
      <c r="M2619" s="16">
        <v>0.3</v>
      </c>
      <c r="N2619" s="16">
        <v>0.6</v>
      </c>
      <c r="O2619" s="16">
        <v>0.9</v>
      </c>
      <c r="P2619" s="16">
        <v>0.9</v>
      </c>
      <c r="Q2619" s="16">
        <v>0.9</v>
      </c>
      <c r="R2619" s="16">
        <v>0.9</v>
      </c>
      <c r="S2619" s="16">
        <v>0.9</v>
      </c>
      <c r="T2619" s="16">
        <v>0.9</v>
      </c>
      <c r="U2619" s="16">
        <v>0.9</v>
      </c>
      <c r="V2619" s="16">
        <v>0.9</v>
      </c>
      <c r="W2619" s="16">
        <v>0.9</v>
      </c>
      <c r="X2619" s="16">
        <v>0.9</v>
      </c>
      <c r="Y2619" s="16">
        <v>0.9</v>
      </c>
      <c r="Z2619" s="16">
        <v>0.6</v>
      </c>
      <c r="AA2619" s="16">
        <v>0.6</v>
      </c>
      <c r="AB2619" s="16">
        <v>0.3</v>
      </c>
      <c r="AC2619" s="16">
        <v>0.3</v>
      </c>
      <c r="AD2619" s="16">
        <v>0.1</v>
      </c>
      <c r="AE2619" s="16">
        <v>0.1</v>
      </c>
      <c r="AF2619" s="16" t="s">
        <v>411</v>
      </c>
    </row>
    <row r="2620" spans="1:32" ht="14.25" customHeight="1" x14ac:dyDescent="0.35">
      <c r="A2620" s="16" t="s">
        <v>1739</v>
      </c>
      <c r="B2620" s="16" t="s">
        <v>408</v>
      </c>
      <c r="C2620" s="16"/>
      <c r="D2620" s="16" t="s">
        <v>511</v>
      </c>
      <c r="E2620" s="17">
        <v>41640</v>
      </c>
      <c r="F2620" s="17">
        <v>42004</v>
      </c>
      <c r="G2620" s="16" t="s">
        <v>415</v>
      </c>
      <c r="H2620" s="16">
        <v>0.05</v>
      </c>
      <c r="I2620" s="16">
        <v>0.05</v>
      </c>
      <c r="J2620" s="16">
        <v>0.05</v>
      </c>
      <c r="K2620" s="16">
        <v>0.05</v>
      </c>
      <c r="L2620" s="16">
        <v>0.05</v>
      </c>
      <c r="M2620" s="16">
        <v>0.05</v>
      </c>
      <c r="N2620" s="16">
        <v>0.05</v>
      </c>
      <c r="O2620" s="16">
        <v>0.05</v>
      </c>
      <c r="P2620" s="16">
        <v>0.1</v>
      </c>
      <c r="Q2620" s="16">
        <v>0.1</v>
      </c>
      <c r="R2620" s="16">
        <v>0.1</v>
      </c>
      <c r="S2620" s="16">
        <v>0.1</v>
      </c>
      <c r="T2620" s="16">
        <v>0.1</v>
      </c>
      <c r="U2620" s="16">
        <v>0.1</v>
      </c>
      <c r="V2620" s="16">
        <v>0.1</v>
      </c>
      <c r="W2620" s="16">
        <v>0.1</v>
      </c>
      <c r="X2620" s="16">
        <v>0.1</v>
      </c>
      <c r="Y2620" s="16">
        <v>0.05</v>
      </c>
      <c r="Z2620" s="16">
        <v>0.05</v>
      </c>
      <c r="AA2620" s="16">
        <v>0.05</v>
      </c>
      <c r="AB2620" s="16">
        <v>0.05</v>
      </c>
      <c r="AC2620" s="16">
        <v>0.05</v>
      </c>
      <c r="AD2620" s="16">
        <v>0.05</v>
      </c>
      <c r="AE2620" s="16">
        <v>0.05</v>
      </c>
      <c r="AF2620" s="16" t="s">
        <v>411</v>
      </c>
    </row>
    <row r="2621" spans="1:32" ht="14.25" customHeight="1" x14ac:dyDescent="0.35">
      <c r="A2621" s="14" t="s">
        <v>1739</v>
      </c>
      <c r="B2621" s="14" t="s">
        <v>408</v>
      </c>
      <c r="C2621" s="14"/>
      <c r="D2621" s="14" t="s">
        <v>514</v>
      </c>
      <c r="E2621" s="15">
        <v>41640</v>
      </c>
      <c r="F2621" s="15">
        <v>42004</v>
      </c>
      <c r="G2621" s="14" t="s">
        <v>415</v>
      </c>
      <c r="H2621" s="14">
        <v>0.1</v>
      </c>
      <c r="I2621" s="14">
        <v>0.1</v>
      </c>
      <c r="J2621" s="14">
        <v>0.1</v>
      </c>
      <c r="K2621" s="14">
        <v>0.1</v>
      </c>
      <c r="L2621" s="14">
        <v>0.1</v>
      </c>
      <c r="M2621" s="14">
        <v>0.1</v>
      </c>
      <c r="N2621" s="14">
        <v>0.1</v>
      </c>
      <c r="O2621" s="14">
        <v>0.3</v>
      </c>
      <c r="P2621" s="14">
        <v>0.3</v>
      </c>
      <c r="Q2621" s="14">
        <v>0.4</v>
      </c>
      <c r="R2621" s="14">
        <v>0.4</v>
      </c>
      <c r="S2621" s="14">
        <v>0.4</v>
      </c>
      <c r="T2621" s="14">
        <v>0.4</v>
      </c>
      <c r="U2621" s="14">
        <v>0.4</v>
      </c>
      <c r="V2621" s="14">
        <v>0.4</v>
      </c>
      <c r="W2621" s="14">
        <v>0.3</v>
      </c>
      <c r="X2621" s="14">
        <v>0.3</v>
      </c>
      <c r="Y2621" s="14">
        <v>0.3</v>
      </c>
      <c r="Z2621" s="14">
        <v>0.3</v>
      </c>
      <c r="AA2621" s="14">
        <v>0.3</v>
      </c>
      <c r="AB2621" s="14">
        <v>0.1</v>
      </c>
      <c r="AC2621" s="14">
        <v>0.1</v>
      </c>
      <c r="AD2621" s="14">
        <v>0.1</v>
      </c>
      <c r="AE2621" s="14">
        <v>0.1</v>
      </c>
      <c r="AF2621" s="14" t="s">
        <v>411</v>
      </c>
    </row>
    <row r="2622" spans="1:32" ht="14.25" customHeight="1" x14ac:dyDescent="0.35">
      <c r="A2622" s="16" t="s">
        <v>1740</v>
      </c>
      <c r="B2622" s="16" t="s">
        <v>408</v>
      </c>
      <c r="C2622" s="16" t="s">
        <v>412</v>
      </c>
      <c r="D2622" s="16" t="s">
        <v>409</v>
      </c>
      <c r="E2622" s="17">
        <v>41640</v>
      </c>
      <c r="F2622" s="17">
        <v>42004</v>
      </c>
      <c r="G2622" s="16" t="s">
        <v>410</v>
      </c>
      <c r="H2622" s="16">
        <v>0.2</v>
      </c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6"/>
      <c r="AA2622" s="16"/>
      <c r="AB2622" s="16"/>
      <c r="AC2622" s="16"/>
      <c r="AD2622" s="16"/>
      <c r="AE2622" s="16"/>
      <c r="AF2622" s="16" t="s">
        <v>413</v>
      </c>
    </row>
    <row r="2623" spans="1:32" ht="14.25" customHeight="1" x14ac:dyDescent="0.35">
      <c r="A2623" s="14" t="s">
        <v>1741</v>
      </c>
      <c r="B2623" s="14" t="s">
        <v>408</v>
      </c>
      <c r="C2623" s="14"/>
      <c r="D2623" s="14" t="s">
        <v>409</v>
      </c>
      <c r="E2623" s="15">
        <v>41640</v>
      </c>
      <c r="F2623" s="15">
        <v>42004</v>
      </c>
      <c r="G2623" s="14" t="s">
        <v>410</v>
      </c>
      <c r="H2623" s="14">
        <v>0</v>
      </c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  <c r="AA2623" s="14"/>
      <c r="AB2623" s="14"/>
      <c r="AC2623" s="14"/>
      <c r="AD2623" s="14"/>
      <c r="AE2623" s="14"/>
      <c r="AF2623" s="14" t="s">
        <v>413</v>
      </c>
    </row>
    <row r="2624" spans="1:32" ht="14.25" customHeight="1" x14ac:dyDescent="0.35">
      <c r="A2624" s="16" t="s">
        <v>1742</v>
      </c>
      <c r="B2624" s="16" t="s">
        <v>408</v>
      </c>
      <c r="C2624" s="16"/>
      <c r="D2624" s="16" t="s">
        <v>409</v>
      </c>
      <c r="E2624" s="17">
        <v>41640</v>
      </c>
      <c r="F2624" s="17">
        <v>42004</v>
      </c>
      <c r="G2624" s="16" t="s">
        <v>410</v>
      </c>
      <c r="H2624" s="16">
        <v>1</v>
      </c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6"/>
      <c r="AA2624" s="16"/>
      <c r="AB2624" s="16"/>
      <c r="AC2624" s="16"/>
      <c r="AD2624" s="16"/>
      <c r="AE2624" s="16"/>
      <c r="AF2624" s="16" t="s">
        <v>413</v>
      </c>
    </row>
    <row r="2625" spans="1:32" ht="14.25" customHeight="1" x14ac:dyDescent="0.35">
      <c r="A2625" s="14" t="s">
        <v>1743</v>
      </c>
      <c r="B2625" s="14" t="s">
        <v>460</v>
      </c>
      <c r="C2625" s="14" t="s">
        <v>414</v>
      </c>
      <c r="D2625" s="14" t="s">
        <v>409</v>
      </c>
      <c r="E2625" s="15">
        <v>41640</v>
      </c>
      <c r="F2625" s="15">
        <v>42004</v>
      </c>
      <c r="G2625" s="14" t="s">
        <v>410</v>
      </c>
      <c r="H2625" s="14">
        <v>55</v>
      </c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S2625" s="14"/>
      <c r="T2625" s="14"/>
      <c r="U2625" s="14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 t="s">
        <v>413</v>
      </c>
    </row>
    <row r="2626" spans="1:32" ht="14.25" customHeight="1" x14ac:dyDescent="0.35">
      <c r="A2626" s="16" t="s">
        <v>1744</v>
      </c>
      <c r="B2626" s="16" t="s">
        <v>460</v>
      </c>
      <c r="C2626" s="16"/>
      <c r="D2626" s="16" t="s">
        <v>409</v>
      </c>
      <c r="E2626" s="17">
        <v>41640</v>
      </c>
      <c r="F2626" s="17">
        <v>42004</v>
      </c>
      <c r="G2626" s="16" t="s">
        <v>410</v>
      </c>
      <c r="H2626" s="16">
        <v>0.05</v>
      </c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/>
      <c r="AD2626" s="16"/>
      <c r="AE2626" s="16"/>
      <c r="AF2626" s="16" t="s">
        <v>413</v>
      </c>
    </row>
    <row r="2627" spans="1:32" ht="14.25" customHeight="1" x14ac:dyDescent="0.35">
      <c r="A2627" s="14" t="s">
        <v>1745</v>
      </c>
      <c r="B2627" s="14" t="s">
        <v>460</v>
      </c>
      <c r="C2627" s="14"/>
      <c r="D2627" s="14" t="s">
        <v>409</v>
      </c>
      <c r="E2627" s="15">
        <v>41640</v>
      </c>
      <c r="F2627" s="15">
        <v>42004</v>
      </c>
      <c r="G2627" s="14" t="s">
        <v>410</v>
      </c>
      <c r="H2627" s="14">
        <v>0.2</v>
      </c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4"/>
      <c r="U2627" s="14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 t="s">
        <v>413</v>
      </c>
    </row>
    <row r="2628" spans="1:32" ht="14.25" customHeight="1" x14ac:dyDescent="0.35">
      <c r="A2628" s="16" t="s">
        <v>1746</v>
      </c>
      <c r="B2628" s="16" t="s">
        <v>460</v>
      </c>
      <c r="C2628" s="16" t="s">
        <v>414</v>
      </c>
      <c r="D2628" s="16" t="s">
        <v>409</v>
      </c>
      <c r="E2628" s="17">
        <v>41640</v>
      </c>
      <c r="F2628" s="17">
        <v>42004</v>
      </c>
      <c r="G2628" s="16" t="s">
        <v>410</v>
      </c>
      <c r="H2628" s="16">
        <v>60</v>
      </c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6"/>
      <c r="AA2628" s="16"/>
      <c r="AB2628" s="16"/>
      <c r="AC2628" s="16"/>
      <c r="AD2628" s="16"/>
      <c r="AE2628" s="16"/>
      <c r="AF2628" s="16" t="s">
        <v>413</v>
      </c>
    </row>
    <row r="2629" spans="1:32" ht="14.25" customHeight="1" x14ac:dyDescent="0.35">
      <c r="A2629" s="14" t="s">
        <v>1747</v>
      </c>
      <c r="B2629" s="14" t="s">
        <v>427</v>
      </c>
      <c r="C2629" s="14"/>
      <c r="D2629" s="14" t="s">
        <v>476</v>
      </c>
      <c r="E2629" s="15">
        <v>41640</v>
      </c>
      <c r="F2629" s="15">
        <v>42004</v>
      </c>
      <c r="G2629" s="14" t="s">
        <v>410</v>
      </c>
      <c r="H2629" s="14">
        <v>0.35</v>
      </c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S2629" s="14"/>
      <c r="T2629" s="14"/>
      <c r="U2629" s="14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 t="s">
        <v>413</v>
      </c>
    </row>
    <row r="2630" spans="1:32" ht="14.25" customHeight="1" x14ac:dyDescent="0.35">
      <c r="A2630" s="16" t="s">
        <v>1747</v>
      </c>
      <c r="B2630" s="16" t="s">
        <v>427</v>
      </c>
      <c r="C2630" s="16"/>
      <c r="D2630" s="16" t="s">
        <v>419</v>
      </c>
      <c r="E2630" s="17">
        <v>41640</v>
      </c>
      <c r="F2630" s="17">
        <v>42004</v>
      </c>
      <c r="G2630" s="16" t="s">
        <v>415</v>
      </c>
      <c r="H2630" s="14">
        <v>0.25</v>
      </c>
      <c r="I2630" s="14">
        <v>0.25</v>
      </c>
      <c r="J2630" s="14">
        <v>0.25</v>
      </c>
      <c r="K2630" s="14">
        <v>0.25</v>
      </c>
      <c r="L2630" s="14">
        <v>0.25</v>
      </c>
      <c r="M2630" s="14">
        <v>0.25</v>
      </c>
      <c r="N2630" s="14">
        <v>0.25</v>
      </c>
      <c r="O2630" s="14">
        <v>0.25</v>
      </c>
      <c r="P2630" s="14">
        <v>0.5</v>
      </c>
      <c r="Q2630" s="14">
        <v>0.5</v>
      </c>
      <c r="R2630" s="14">
        <v>0.5</v>
      </c>
      <c r="S2630" s="14">
        <v>0.5</v>
      </c>
      <c r="T2630" s="14">
        <v>0.5</v>
      </c>
      <c r="U2630" s="14">
        <v>0.5</v>
      </c>
      <c r="V2630" s="14">
        <v>0.5</v>
      </c>
      <c r="W2630" s="14">
        <v>0.5</v>
      </c>
      <c r="X2630" s="14">
        <v>0.5</v>
      </c>
      <c r="Y2630" s="14">
        <v>0.25</v>
      </c>
      <c r="Z2630" s="14">
        <v>0.25</v>
      </c>
      <c r="AA2630" s="14">
        <v>0.25</v>
      </c>
      <c r="AB2630" s="14">
        <v>0.25</v>
      </c>
      <c r="AC2630" s="14">
        <v>0.25</v>
      </c>
      <c r="AD2630" s="14">
        <v>0.25</v>
      </c>
      <c r="AE2630" s="14">
        <v>0.25</v>
      </c>
      <c r="AF2630" s="16" t="s">
        <v>413</v>
      </c>
    </row>
    <row r="2631" spans="1:32" ht="14.25" customHeight="1" x14ac:dyDescent="0.35">
      <c r="A2631" s="14" t="s">
        <v>1747</v>
      </c>
      <c r="B2631" s="14" t="s">
        <v>427</v>
      </c>
      <c r="C2631" s="14"/>
      <c r="D2631" s="14" t="s">
        <v>429</v>
      </c>
      <c r="E2631" s="15">
        <v>41883</v>
      </c>
      <c r="F2631" s="15">
        <v>42004</v>
      </c>
      <c r="G2631" s="14" t="s">
        <v>415</v>
      </c>
      <c r="H2631" s="14">
        <v>0.35</v>
      </c>
      <c r="I2631" s="14">
        <v>0.35</v>
      </c>
      <c r="J2631" s="14">
        <v>0.35</v>
      </c>
      <c r="K2631" s="14">
        <v>0.35</v>
      </c>
      <c r="L2631" s="14">
        <v>0.35</v>
      </c>
      <c r="M2631" s="14">
        <v>0.35</v>
      </c>
      <c r="N2631" s="14">
        <v>0.35</v>
      </c>
      <c r="O2631" s="14">
        <v>0.35</v>
      </c>
      <c r="P2631" s="14">
        <v>0.95</v>
      </c>
      <c r="Q2631" s="14">
        <v>0.95</v>
      </c>
      <c r="R2631" s="14">
        <v>0.95</v>
      </c>
      <c r="S2631" s="14">
        <v>0.95</v>
      </c>
      <c r="T2631" s="14">
        <v>0.95</v>
      </c>
      <c r="U2631" s="14">
        <v>0.95</v>
      </c>
      <c r="V2631" s="14">
        <v>0.95</v>
      </c>
      <c r="W2631" s="14">
        <v>0.95</v>
      </c>
      <c r="X2631" s="14">
        <v>0.95</v>
      </c>
      <c r="Y2631" s="14">
        <v>0.35</v>
      </c>
      <c r="Z2631" s="14">
        <v>0.35</v>
      </c>
      <c r="AA2631" s="14">
        <v>0.35</v>
      </c>
      <c r="AB2631" s="14">
        <v>0.35</v>
      </c>
      <c r="AC2631" s="14">
        <v>0.35</v>
      </c>
      <c r="AD2631" s="14">
        <v>0.35</v>
      </c>
      <c r="AE2631" s="14">
        <v>0.35</v>
      </c>
      <c r="AF2631" s="14" t="s">
        <v>413</v>
      </c>
    </row>
    <row r="2632" spans="1:32" ht="14.25" customHeight="1" x14ac:dyDescent="0.35">
      <c r="A2632" s="14" t="s">
        <v>1747</v>
      </c>
      <c r="B2632" s="14" t="s">
        <v>427</v>
      </c>
      <c r="C2632" s="14"/>
      <c r="D2632" s="14" t="s">
        <v>429</v>
      </c>
      <c r="E2632" s="15">
        <v>41821</v>
      </c>
      <c r="F2632" s="15">
        <v>41883</v>
      </c>
      <c r="G2632" s="14" t="s">
        <v>415</v>
      </c>
      <c r="H2632" s="14">
        <v>0.25</v>
      </c>
      <c r="I2632" s="14">
        <v>0.25</v>
      </c>
      <c r="J2632" s="14">
        <v>0.25</v>
      </c>
      <c r="K2632" s="14">
        <v>0.25</v>
      </c>
      <c r="L2632" s="14">
        <v>0.25</v>
      </c>
      <c r="M2632" s="14">
        <v>0.25</v>
      </c>
      <c r="N2632" s="14">
        <v>0.25</v>
      </c>
      <c r="O2632" s="14">
        <v>0.25</v>
      </c>
      <c r="P2632" s="14">
        <v>0.5</v>
      </c>
      <c r="Q2632" s="14">
        <v>0.5</v>
      </c>
      <c r="R2632" s="14">
        <v>0.5</v>
      </c>
      <c r="S2632" s="14">
        <v>0.5</v>
      </c>
      <c r="T2632" s="14">
        <v>0.5</v>
      </c>
      <c r="U2632" s="14">
        <v>0.5</v>
      </c>
      <c r="V2632" s="14">
        <v>0.5</v>
      </c>
      <c r="W2632" s="14">
        <v>0.5</v>
      </c>
      <c r="X2632" s="14">
        <v>0.5</v>
      </c>
      <c r="Y2632" s="14">
        <v>0.25</v>
      </c>
      <c r="Z2632" s="14">
        <v>0.25</v>
      </c>
      <c r="AA2632" s="14">
        <v>0.25</v>
      </c>
      <c r="AB2632" s="14">
        <v>0.25</v>
      </c>
      <c r="AC2632" s="14">
        <v>0.25</v>
      </c>
      <c r="AD2632" s="14">
        <v>0.25</v>
      </c>
      <c r="AE2632" s="14">
        <v>0.25</v>
      </c>
      <c r="AF2632" s="14" t="s">
        <v>413</v>
      </c>
    </row>
    <row r="2633" spans="1:32" ht="14.25" customHeight="1" x14ac:dyDescent="0.35">
      <c r="A2633" s="14" t="s">
        <v>1747</v>
      </c>
      <c r="B2633" s="14" t="s">
        <v>427</v>
      </c>
      <c r="C2633" s="14"/>
      <c r="D2633" s="14" t="s">
        <v>429</v>
      </c>
      <c r="E2633" s="15">
        <v>41640</v>
      </c>
      <c r="F2633" s="15">
        <v>41820</v>
      </c>
      <c r="G2633" s="14" t="s">
        <v>415</v>
      </c>
      <c r="H2633" s="14">
        <v>0.35</v>
      </c>
      <c r="I2633" s="14">
        <v>0.35</v>
      </c>
      <c r="J2633" s="14">
        <v>0.35</v>
      </c>
      <c r="K2633" s="14">
        <v>0.35</v>
      </c>
      <c r="L2633" s="14">
        <v>0.35</v>
      </c>
      <c r="M2633" s="14">
        <v>0.35</v>
      </c>
      <c r="N2633" s="14">
        <v>0.35</v>
      </c>
      <c r="O2633" s="14">
        <v>0.35</v>
      </c>
      <c r="P2633" s="14">
        <v>0.95</v>
      </c>
      <c r="Q2633" s="14">
        <v>0.95</v>
      </c>
      <c r="R2633" s="14">
        <v>0.95</v>
      </c>
      <c r="S2633" s="14">
        <v>0.95</v>
      </c>
      <c r="T2633" s="14">
        <v>0.95</v>
      </c>
      <c r="U2633" s="14">
        <v>0.95</v>
      </c>
      <c r="V2633" s="14">
        <v>0.95</v>
      </c>
      <c r="W2633" s="14">
        <v>0.95</v>
      </c>
      <c r="X2633" s="14">
        <v>0.95</v>
      </c>
      <c r="Y2633" s="14">
        <v>0.35</v>
      </c>
      <c r="Z2633" s="14">
        <v>0.35</v>
      </c>
      <c r="AA2633" s="14">
        <v>0.35</v>
      </c>
      <c r="AB2633" s="14">
        <v>0.35</v>
      </c>
      <c r="AC2633" s="14">
        <v>0.35</v>
      </c>
      <c r="AD2633" s="14">
        <v>0.35</v>
      </c>
      <c r="AE2633" s="14">
        <v>0.35</v>
      </c>
      <c r="AF2633" s="14" t="s">
        <v>413</v>
      </c>
    </row>
    <row r="2634" spans="1:32" ht="14.25" customHeight="1" x14ac:dyDescent="0.35">
      <c r="A2634" s="16" t="s">
        <v>1747</v>
      </c>
      <c r="B2634" s="16" t="s">
        <v>427</v>
      </c>
      <c r="C2634" s="16"/>
      <c r="D2634" s="16" t="s">
        <v>530</v>
      </c>
      <c r="E2634" s="17">
        <v>41821</v>
      </c>
      <c r="F2634" s="17">
        <v>41883</v>
      </c>
      <c r="G2634" s="16" t="s">
        <v>410</v>
      </c>
      <c r="H2634" s="16">
        <v>0.25</v>
      </c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  <c r="AC2634" s="16"/>
      <c r="AD2634" s="16"/>
      <c r="AE2634" s="16"/>
      <c r="AF2634" s="16" t="s">
        <v>413</v>
      </c>
    </row>
    <row r="2635" spans="1:32" ht="14.25" customHeight="1" x14ac:dyDescent="0.35">
      <c r="A2635" s="16" t="s">
        <v>1747</v>
      </c>
      <c r="B2635" s="16" t="s">
        <v>427</v>
      </c>
      <c r="C2635" s="16"/>
      <c r="D2635" s="16" t="s">
        <v>530</v>
      </c>
      <c r="E2635" s="17">
        <v>41640</v>
      </c>
      <c r="F2635" s="17">
        <v>41820</v>
      </c>
      <c r="G2635" s="16" t="s">
        <v>410</v>
      </c>
      <c r="H2635" s="16">
        <v>0.35</v>
      </c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16"/>
      <c r="AA2635" s="16"/>
      <c r="AB2635" s="16"/>
      <c r="AC2635" s="16"/>
      <c r="AD2635" s="16"/>
      <c r="AE2635" s="16"/>
      <c r="AF2635" s="16" t="s">
        <v>413</v>
      </c>
    </row>
    <row r="2636" spans="1:32" ht="14.25" customHeight="1" x14ac:dyDescent="0.35">
      <c r="A2636" s="16" t="s">
        <v>1748</v>
      </c>
      <c r="B2636" s="16" t="s">
        <v>424</v>
      </c>
      <c r="C2636" s="16"/>
      <c r="D2636" s="16" t="s">
        <v>417</v>
      </c>
      <c r="E2636" s="17">
        <v>41640</v>
      </c>
      <c r="F2636" s="17">
        <v>42004</v>
      </c>
      <c r="G2636" s="16" t="s">
        <v>410</v>
      </c>
      <c r="H2636" s="16">
        <v>0.17730000000000001</v>
      </c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6"/>
      <c r="AA2636" s="16"/>
      <c r="AB2636" s="16"/>
      <c r="AC2636" s="16"/>
      <c r="AD2636" s="16"/>
      <c r="AE2636" s="16"/>
      <c r="AF2636" s="16" t="s">
        <v>413</v>
      </c>
    </row>
    <row r="2637" spans="1:32" ht="14.25" customHeight="1" x14ac:dyDescent="0.35">
      <c r="A2637" s="16" t="s">
        <v>1748</v>
      </c>
      <c r="B2637" s="16" t="s">
        <v>424</v>
      </c>
      <c r="C2637" s="16"/>
      <c r="D2637" s="16" t="s">
        <v>419</v>
      </c>
      <c r="E2637" s="17">
        <v>41640</v>
      </c>
      <c r="F2637" s="17">
        <v>42004</v>
      </c>
      <c r="G2637" s="16" t="s">
        <v>410</v>
      </c>
      <c r="H2637" s="16">
        <v>1</v>
      </c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16"/>
      <c r="AA2637" s="16"/>
      <c r="AB2637" s="16"/>
      <c r="AC2637" s="16"/>
      <c r="AD2637" s="16"/>
      <c r="AE2637" s="16"/>
      <c r="AF2637" s="16" t="s">
        <v>413</v>
      </c>
    </row>
    <row r="2638" spans="1:32" ht="14.25" customHeight="1" x14ac:dyDescent="0.35">
      <c r="A2638" s="14" t="s">
        <v>1748</v>
      </c>
      <c r="B2638" s="14" t="s">
        <v>424</v>
      </c>
      <c r="C2638" s="14"/>
      <c r="D2638" s="14" t="s">
        <v>429</v>
      </c>
      <c r="E2638" s="15">
        <v>41883</v>
      </c>
      <c r="F2638" s="15">
        <v>42004</v>
      </c>
      <c r="G2638" s="14" t="s">
        <v>415</v>
      </c>
      <c r="H2638" s="14">
        <v>0.17730000000000001</v>
      </c>
      <c r="I2638" s="14">
        <v>0.17730000000000001</v>
      </c>
      <c r="J2638" s="14">
        <v>0.17730000000000001</v>
      </c>
      <c r="K2638" s="14">
        <v>0.17730000000000001</v>
      </c>
      <c r="L2638" s="14">
        <v>0.17730000000000001</v>
      </c>
      <c r="M2638" s="14">
        <v>0.17730000000000001</v>
      </c>
      <c r="N2638" s="14">
        <v>0.17730000000000001</v>
      </c>
      <c r="O2638" s="14">
        <v>0.9</v>
      </c>
      <c r="P2638" s="14">
        <v>0.9</v>
      </c>
      <c r="Q2638" s="14">
        <v>0.9</v>
      </c>
      <c r="R2638" s="14">
        <v>0.9</v>
      </c>
      <c r="S2638" s="14">
        <v>0.9</v>
      </c>
      <c r="T2638" s="14">
        <v>0.9</v>
      </c>
      <c r="U2638" s="14">
        <v>0.9</v>
      </c>
      <c r="V2638" s="14">
        <v>0.9</v>
      </c>
      <c r="W2638" s="14">
        <v>0.9</v>
      </c>
      <c r="X2638" s="14">
        <v>0.9</v>
      </c>
      <c r="Y2638" s="14">
        <v>0.9</v>
      </c>
      <c r="Z2638" s="14">
        <v>0.9</v>
      </c>
      <c r="AA2638" s="14">
        <v>0.9</v>
      </c>
      <c r="AB2638" s="14">
        <v>0.9</v>
      </c>
      <c r="AC2638" s="14">
        <v>0.17730000000000001</v>
      </c>
      <c r="AD2638" s="14">
        <v>0.17730000000000001</v>
      </c>
      <c r="AE2638" s="14">
        <v>0.17730000000000001</v>
      </c>
      <c r="AF2638" s="14" t="s">
        <v>413</v>
      </c>
    </row>
    <row r="2639" spans="1:32" ht="14.25" customHeight="1" x14ac:dyDescent="0.35">
      <c r="A2639" s="14" t="s">
        <v>1748</v>
      </c>
      <c r="B2639" s="14" t="s">
        <v>424</v>
      </c>
      <c r="C2639" s="14"/>
      <c r="D2639" s="14" t="s">
        <v>429</v>
      </c>
      <c r="E2639" s="15">
        <v>41821</v>
      </c>
      <c r="F2639" s="15">
        <v>41883</v>
      </c>
      <c r="G2639" s="14" t="s">
        <v>415</v>
      </c>
      <c r="H2639" s="14">
        <v>0.17730000000000001</v>
      </c>
      <c r="I2639" s="14">
        <v>0.17730000000000001</v>
      </c>
      <c r="J2639" s="14">
        <v>0.17730000000000001</v>
      </c>
      <c r="K2639" s="14">
        <v>0.17730000000000001</v>
      </c>
      <c r="L2639" s="14">
        <v>0.17730000000000001</v>
      </c>
      <c r="M2639" s="14">
        <v>0.17730000000000001</v>
      </c>
      <c r="N2639" s="14">
        <v>0.17730000000000001</v>
      </c>
      <c r="O2639" s="14">
        <v>0.17730000000000001</v>
      </c>
      <c r="P2639" s="14">
        <v>0.5</v>
      </c>
      <c r="Q2639" s="14">
        <v>0.5</v>
      </c>
      <c r="R2639" s="14">
        <v>0.5</v>
      </c>
      <c r="S2639" s="14">
        <v>0.5</v>
      </c>
      <c r="T2639" s="14">
        <v>0.5</v>
      </c>
      <c r="U2639" s="14">
        <v>0.5</v>
      </c>
      <c r="V2639" s="14">
        <v>0.5</v>
      </c>
      <c r="W2639" s="14">
        <v>0.5</v>
      </c>
      <c r="X2639" s="14">
        <v>0.5</v>
      </c>
      <c r="Y2639" s="14">
        <v>0.5</v>
      </c>
      <c r="Z2639" s="14">
        <v>0.5</v>
      </c>
      <c r="AA2639" s="14">
        <v>0.5</v>
      </c>
      <c r="AB2639" s="14">
        <v>0.17730000000000001</v>
      </c>
      <c r="AC2639" s="14">
        <v>0.17730000000000001</v>
      </c>
      <c r="AD2639" s="14">
        <v>0.17730000000000001</v>
      </c>
      <c r="AE2639" s="14">
        <v>0.17730000000000001</v>
      </c>
      <c r="AF2639" s="14" t="s">
        <v>413</v>
      </c>
    </row>
    <row r="2640" spans="1:32" ht="14.25" customHeight="1" x14ac:dyDescent="0.35">
      <c r="A2640" s="14" t="s">
        <v>1748</v>
      </c>
      <c r="B2640" s="14" t="s">
        <v>424</v>
      </c>
      <c r="C2640" s="14"/>
      <c r="D2640" s="14" t="s">
        <v>429</v>
      </c>
      <c r="E2640" s="15">
        <v>41640</v>
      </c>
      <c r="F2640" s="15">
        <v>41820</v>
      </c>
      <c r="G2640" s="14" t="s">
        <v>415</v>
      </c>
      <c r="H2640" s="14">
        <v>0.17730000000000001</v>
      </c>
      <c r="I2640" s="14">
        <v>0.17730000000000001</v>
      </c>
      <c r="J2640" s="14">
        <v>0.17730000000000001</v>
      </c>
      <c r="K2640" s="14">
        <v>0.17730000000000001</v>
      </c>
      <c r="L2640" s="14">
        <v>0.17730000000000001</v>
      </c>
      <c r="M2640" s="14">
        <v>0.17730000000000001</v>
      </c>
      <c r="N2640" s="14">
        <v>0.17730000000000001</v>
      </c>
      <c r="O2640" s="14">
        <v>0.9</v>
      </c>
      <c r="P2640" s="14">
        <v>0.9</v>
      </c>
      <c r="Q2640" s="14">
        <v>0.9</v>
      </c>
      <c r="R2640" s="14">
        <v>0.9</v>
      </c>
      <c r="S2640" s="14">
        <v>0.9</v>
      </c>
      <c r="T2640" s="14">
        <v>0.9</v>
      </c>
      <c r="U2640" s="14">
        <v>0.9</v>
      </c>
      <c r="V2640" s="14">
        <v>0.9</v>
      </c>
      <c r="W2640" s="14">
        <v>0.9</v>
      </c>
      <c r="X2640" s="14">
        <v>0.9</v>
      </c>
      <c r="Y2640" s="14">
        <v>0.9</v>
      </c>
      <c r="Z2640" s="14">
        <v>0.9</v>
      </c>
      <c r="AA2640" s="14">
        <v>0.9</v>
      </c>
      <c r="AB2640" s="14">
        <v>0.9</v>
      </c>
      <c r="AC2640" s="14">
        <v>0.17730000000000001</v>
      </c>
      <c r="AD2640" s="14">
        <v>0.17730000000000001</v>
      </c>
      <c r="AE2640" s="14">
        <v>0.17730000000000001</v>
      </c>
      <c r="AF2640" s="14" t="s">
        <v>413</v>
      </c>
    </row>
    <row r="2641" spans="1:32" ht="14.25" customHeight="1" x14ac:dyDescent="0.35">
      <c r="A2641" s="16" t="s">
        <v>1748</v>
      </c>
      <c r="B2641" s="16" t="s">
        <v>424</v>
      </c>
      <c r="C2641" s="16"/>
      <c r="D2641" s="16" t="s">
        <v>530</v>
      </c>
      <c r="E2641" s="17">
        <v>41821</v>
      </c>
      <c r="F2641" s="17">
        <v>41883</v>
      </c>
      <c r="G2641" s="16" t="s">
        <v>410</v>
      </c>
      <c r="H2641" s="16">
        <v>0.17730000000000001</v>
      </c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6"/>
      <c r="AA2641" s="16"/>
      <c r="AB2641" s="16"/>
      <c r="AC2641" s="16"/>
      <c r="AD2641" s="16"/>
      <c r="AE2641" s="16"/>
      <c r="AF2641" s="16" t="s">
        <v>413</v>
      </c>
    </row>
    <row r="2642" spans="1:32" ht="14.25" customHeight="1" x14ac:dyDescent="0.35">
      <c r="A2642" s="16" t="s">
        <v>1748</v>
      </c>
      <c r="B2642" s="16" t="s">
        <v>424</v>
      </c>
      <c r="C2642" s="16"/>
      <c r="D2642" s="16" t="s">
        <v>530</v>
      </c>
      <c r="E2642" s="17">
        <v>41640</v>
      </c>
      <c r="F2642" s="17">
        <v>41820</v>
      </c>
      <c r="G2642" s="16" t="s">
        <v>410</v>
      </c>
      <c r="H2642" s="16">
        <v>0.17730000000000001</v>
      </c>
      <c r="I2642" s="16"/>
      <c r="J2642" s="16"/>
      <c r="K2642" s="16"/>
      <c r="L2642" s="16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 t="s">
        <v>413</v>
      </c>
    </row>
    <row r="2643" spans="1:32" ht="14.25" customHeight="1" x14ac:dyDescent="0.35">
      <c r="A2643" s="14" t="s">
        <v>1748</v>
      </c>
      <c r="B2643" s="14" t="s">
        <v>424</v>
      </c>
      <c r="C2643" s="14"/>
      <c r="D2643" s="14" t="s">
        <v>418</v>
      </c>
      <c r="E2643" s="15">
        <v>41640</v>
      </c>
      <c r="F2643" s="15">
        <v>42004</v>
      </c>
      <c r="G2643" s="14" t="s">
        <v>410</v>
      </c>
      <c r="H2643" s="14">
        <v>0</v>
      </c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 t="s">
        <v>413</v>
      </c>
    </row>
    <row r="2644" spans="1:32" ht="14.25" customHeight="1" x14ac:dyDescent="0.35">
      <c r="A2644" s="16" t="s">
        <v>1749</v>
      </c>
      <c r="B2644" s="16" t="s">
        <v>424</v>
      </c>
      <c r="C2644" s="16"/>
      <c r="D2644" s="16" t="s">
        <v>417</v>
      </c>
      <c r="E2644" s="17">
        <v>41640</v>
      </c>
      <c r="F2644" s="17">
        <v>42004</v>
      </c>
      <c r="G2644" s="16" t="s">
        <v>410</v>
      </c>
      <c r="H2644" s="16">
        <v>0.17730000000000001</v>
      </c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6"/>
      <c r="AA2644" s="16"/>
      <c r="AB2644" s="16"/>
      <c r="AC2644" s="16"/>
      <c r="AD2644" s="16"/>
      <c r="AE2644" s="16"/>
      <c r="AF2644" s="16" t="s">
        <v>413</v>
      </c>
    </row>
    <row r="2645" spans="1:32" ht="14.25" customHeight="1" x14ac:dyDescent="0.35">
      <c r="A2645" s="16" t="s">
        <v>1749</v>
      </c>
      <c r="B2645" s="16" t="s">
        <v>424</v>
      </c>
      <c r="C2645" s="16"/>
      <c r="D2645" s="16" t="s">
        <v>419</v>
      </c>
      <c r="E2645" s="17">
        <v>41640</v>
      </c>
      <c r="F2645" s="17">
        <v>42004</v>
      </c>
      <c r="G2645" s="16" t="s">
        <v>410</v>
      </c>
      <c r="H2645" s="16">
        <v>1</v>
      </c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16"/>
      <c r="AA2645" s="16"/>
      <c r="AB2645" s="16"/>
      <c r="AC2645" s="16"/>
      <c r="AD2645" s="16"/>
      <c r="AE2645" s="16"/>
      <c r="AF2645" s="16" t="s">
        <v>413</v>
      </c>
    </row>
    <row r="2646" spans="1:32" ht="14.25" customHeight="1" x14ac:dyDescent="0.35">
      <c r="A2646" s="14" t="s">
        <v>1749</v>
      </c>
      <c r="B2646" s="14" t="s">
        <v>424</v>
      </c>
      <c r="C2646" s="14"/>
      <c r="D2646" s="14" t="s">
        <v>429</v>
      </c>
      <c r="E2646" s="15">
        <v>41883</v>
      </c>
      <c r="F2646" s="15">
        <v>42004</v>
      </c>
      <c r="G2646" s="14" t="s">
        <v>415</v>
      </c>
      <c r="H2646" s="14">
        <v>0.17730000000000001</v>
      </c>
      <c r="I2646" s="14">
        <v>0.17730000000000001</v>
      </c>
      <c r="J2646" s="14">
        <v>0.17730000000000001</v>
      </c>
      <c r="K2646" s="14">
        <v>0.17730000000000001</v>
      </c>
      <c r="L2646" s="14">
        <v>0.17730000000000001</v>
      </c>
      <c r="M2646" s="14">
        <v>0.17730000000000001</v>
      </c>
      <c r="N2646" s="14">
        <v>0.17730000000000001</v>
      </c>
      <c r="O2646" s="14">
        <v>0.9</v>
      </c>
      <c r="P2646" s="14">
        <v>0.9</v>
      </c>
      <c r="Q2646" s="14">
        <v>0.9</v>
      </c>
      <c r="R2646" s="14">
        <v>0.9</v>
      </c>
      <c r="S2646" s="14">
        <v>0.9</v>
      </c>
      <c r="T2646" s="14">
        <v>0.9</v>
      </c>
      <c r="U2646" s="14">
        <v>0.9</v>
      </c>
      <c r="V2646" s="14">
        <v>0.9</v>
      </c>
      <c r="W2646" s="14">
        <v>0.9</v>
      </c>
      <c r="X2646" s="14">
        <v>0.9</v>
      </c>
      <c r="Y2646" s="14">
        <v>0.9</v>
      </c>
      <c r="Z2646" s="14">
        <v>0.9</v>
      </c>
      <c r="AA2646" s="14">
        <v>0.9</v>
      </c>
      <c r="AB2646" s="14">
        <v>0.9</v>
      </c>
      <c r="AC2646" s="14">
        <v>0.17730000000000001</v>
      </c>
      <c r="AD2646" s="14">
        <v>0.17730000000000001</v>
      </c>
      <c r="AE2646" s="14">
        <v>0.17730000000000001</v>
      </c>
      <c r="AF2646" s="14" t="s">
        <v>413</v>
      </c>
    </row>
    <row r="2647" spans="1:32" ht="14.25" customHeight="1" x14ac:dyDescent="0.35">
      <c r="A2647" s="14" t="s">
        <v>1749</v>
      </c>
      <c r="B2647" s="14" t="s">
        <v>424</v>
      </c>
      <c r="C2647" s="14"/>
      <c r="D2647" s="14" t="s">
        <v>429</v>
      </c>
      <c r="E2647" s="15">
        <v>41821</v>
      </c>
      <c r="F2647" s="15">
        <v>41883</v>
      </c>
      <c r="G2647" s="14" t="s">
        <v>415</v>
      </c>
      <c r="H2647" s="14">
        <v>0.17730000000000001</v>
      </c>
      <c r="I2647" s="14">
        <v>0.17730000000000001</v>
      </c>
      <c r="J2647" s="14">
        <v>0.17730000000000001</v>
      </c>
      <c r="K2647" s="14">
        <v>0.17730000000000001</v>
      </c>
      <c r="L2647" s="14">
        <v>0.17730000000000001</v>
      </c>
      <c r="M2647" s="14">
        <v>0.17730000000000001</v>
      </c>
      <c r="N2647" s="14">
        <v>0.17730000000000001</v>
      </c>
      <c r="O2647" s="14">
        <v>0.17730000000000001</v>
      </c>
      <c r="P2647" s="14">
        <v>0.5</v>
      </c>
      <c r="Q2647" s="14">
        <v>0.5</v>
      </c>
      <c r="R2647" s="14">
        <v>0.5</v>
      </c>
      <c r="S2647" s="14">
        <v>0.5</v>
      </c>
      <c r="T2647" s="14">
        <v>0.5</v>
      </c>
      <c r="U2647" s="14">
        <v>0.5</v>
      </c>
      <c r="V2647" s="14">
        <v>0.5</v>
      </c>
      <c r="W2647" s="14">
        <v>0.5</v>
      </c>
      <c r="X2647" s="14">
        <v>0.5</v>
      </c>
      <c r="Y2647" s="14">
        <v>0.5</v>
      </c>
      <c r="Z2647" s="14">
        <v>0.5</v>
      </c>
      <c r="AA2647" s="14">
        <v>0.5</v>
      </c>
      <c r="AB2647" s="14">
        <v>0.17730000000000001</v>
      </c>
      <c r="AC2647" s="14">
        <v>0.17730000000000001</v>
      </c>
      <c r="AD2647" s="14">
        <v>0.17730000000000001</v>
      </c>
      <c r="AE2647" s="14">
        <v>0.17730000000000001</v>
      </c>
      <c r="AF2647" s="14" t="s">
        <v>413</v>
      </c>
    </row>
    <row r="2648" spans="1:32" ht="14.25" customHeight="1" x14ac:dyDescent="0.35">
      <c r="A2648" s="14" t="s">
        <v>1749</v>
      </c>
      <c r="B2648" s="14" t="s">
        <v>424</v>
      </c>
      <c r="C2648" s="14"/>
      <c r="D2648" s="14" t="s">
        <v>429</v>
      </c>
      <c r="E2648" s="15">
        <v>41640</v>
      </c>
      <c r="F2648" s="15">
        <v>41820</v>
      </c>
      <c r="G2648" s="14" t="s">
        <v>415</v>
      </c>
      <c r="H2648" s="14">
        <v>0.17730000000000001</v>
      </c>
      <c r="I2648" s="14">
        <v>0.17730000000000001</v>
      </c>
      <c r="J2648" s="14">
        <v>0.17730000000000001</v>
      </c>
      <c r="K2648" s="14">
        <v>0.17730000000000001</v>
      </c>
      <c r="L2648" s="14">
        <v>0.17730000000000001</v>
      </c>
      <c r="M2648" s="14">
        <v>0.17730000000000001</v>
      </c>
      <c r="N2648" s="14">
        <v>0.17730000000000001</v>
      </c>
      <c r="O2648" s="14">
        <v>0.9</v>
      </c>
      <c r="P2648" s="14">
        <v>0.9</v>
      </c>
      <c r="Q2648" s="14">
        <v>0.9</v>
      </c>
      <c r="R2648" s="14">
        <v>0.9</v>
      </c>
      <c r="S2648" s="14">
        <v>0.9</v>
      </c>
      <c r="T2648" s="14">
        <v>0.9</v>
      </c>
      <c r="U2648" s="14">
        <v>0.9</v>
      </c>
      <c r="V2648" s="14">
        <v>0.9</v>
      </c>
      <c r="W2648" s="14">
        <v>0.9</v>
      </c>
      <c r="X2648" s="14">
        <v>0.9</v>
      </c>
      <c r="Y2648" s="14">
        <v>0.9</v>
      </c>
      <c r="Z2648" s="14">
        <v>0.9</v>
      </c>
      <c r="AA2648" s="14">
        <v>0.9</v>
      </c>
      <c r="AB2648" s="14">
        <v>0.9</v>
      </c>
      <c r="AC2648" s="14">
        <v>0.17730000000000001</v>
      </c>
      <c r="AD2648" s="14">
        <v>0.17730000000000001</v>
      </c>
      <c r="AE2648" s="14">
        <v>0.17730000000000001</v>
      </c>
      <c r="AF2648" s="14" t="s">
        <v>413</v>
      </c>
    </row>
    <row r="2649" spans="1:32" ht="14.25" customHeight="1" x14ac:dyDescent="0.35">
      <c r="A2649" s="16" t="s">
        <v>1749</v>
      </c>
      <c r="B2649" s="16" t="s">
        <v>424</v>
      </c>
      <c r="C2649" s="16"/>
      <c r="D2649" s="16" t="s">
        <v>530</v>
      </c>
      <c r="E2649" s="17">
        <v>41821</v>
      </c>
      <c r="F2649" s="17">
        <v>41883</v>
      </c>
      <c r="G2649" s="16" t="s">
        <v>410</v>
      </c>
      <c r="H2649" s="16">
        <v>0.17730000000000001</v>
      </c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  <c r="AC2649" s="16"/>
      <c r="AD2649" s="16"/>
      <c r="AE2649" s="16"/>
      <c r="AF2649" s="16" t="s">
        <v>413</v>
      </c>
    </row>
    <row r="2650" spans="1:32" ht="14.25" customHeight="1" x14ac:dyDescent="0.35">
      <c r="A2650" s="16" t="s">
        <v>1749</v>
      </c>
      <c r="B2650" s="16" t="s">
        <v>424</v>
      </c>
      <c r="C2650" s="16"/>
      <c r="D2650" s="16" t="s">
        <v>530</v>
      </c>
      <c r="E2650" s="17">
        <v>41640</v>
      </c>
      <c r="F2650" s="17">
        <v>41820</v>
      </c>
      <c r="G2650" s="16" t="s">
        <v>410</v>
      </c>
      <c r="H2650" s="16">
        <v>0.17730000000000001</v>
      </c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 t="s">
        <v>413</v>
      </c>
    </row>
    <row r="2651" spans="1:32" ht="14.25" customHeight="1" x14ac:dyDescent="0.35">
      <c r="A2651" s="14" t="s">
        <v>1749</v>
      </c>
      <c r="B2651" s="14" t="s">
        <v>424</v>
      </c>
      <c r="C2651" s="14"/>
      <c r="D2651" s="14" t="s">
        <v>418</v>
      </c>
      <c r="E2651" s="15">
        <v>41640</v>
      </c>
      <c r="F2651" s="15">
        <v>42004</v>
      </c>
      <c r="G2651" s="14" t="s">
        <v>410</v>
      </c>
      <c r="H2651" s="14">
        <v>0</v>
      </c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 t="s">
        <v>413</v>
      </c>
    </row>
    <row r="2652" spans="1:32" ht="14.25" customHeight="1" x14ac:dyDescent="0.35">
      <c r="A2652" s="16" t="s">
        <v>1750</v>
      </c>
      <c r="B2652" s="16" t="s">
        <v>424</v>
      </c>
      <c r="C2652" s="16"/>
      <c r="D2652" s="16" t="s">
        <v>417</v>
      </c>
      <c r="E2652" s="17">
        <v>41640</v>
      </c>
      <c r="F2652" s="17">
        <v>42004</v>
      </c>
      <c r="G2652" s="16" t="s">
        <v>410</v>
      </c>
      <c r="H2652" s="16">
        <v>0.17730000000000001</v>
      </c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16"/>
      <c r="AA2652" s="16"/>
      <c r="AB2652" s="16"/>
      <c r="AC2652" s="16"/>
      <c r="AD2652" s="16"/>
      <c r="AE2652" s="16"/>
      <c r="AF2652" s="16" t="s">
        <v>413</v>
      </c>
    </row>
    <row r="2653" spans="1:32" ht="14.25" customHeight="1" x14ac:dyDescent="0.35">
      <c r="A2653" s="16" t="s">
        <v>1750</v>
      </c>
      <c r="B2653" s="16" t="s">
        <v>424</v>
      </c>
      <c r="C2653" s="16"/>
      <c r="D2653" s="16" t="s">
        <v>419</v>
      </c>
      <c r="E2653" s="17">
        <v>41640</v>
      </c>
      <c r="F2653" s="17">
        <v>42004</v>
      </c>
      <c r="G2653" s="16" t="s">
        <v>410</v>
      </c>
      <c r="H2653" s="16">
        <v>1</v>
      </c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16"/>
      <c r="AA2653" s="16"/>
      <c r="AB2653" s="16"/>
      <c r="AC2653" s="16"/>
      <c r="AD2653" s="16"/>
      <c r="AE2653" s="16"/>
      <c r="AF2653" s="16" t="s">
        <v>413</v>
      </c>
    </row>
    <row r="2654" spans="1:32" ht="14.25" customHeight="1" x14ac:dyDescent="0.35">
      <c r="A2654" s="14" t="s">
        <v>1750</v>
      </c>
      <c r="B2654" s="14" t="s">
        <v>424</v>
      </c>
      <c r="C2654" s="14"/>
      <c r="D2654" s="14" t="s">
        <v>429</v>
      </c>
      <c r="E2654" s="15">
        <v>41883</v>
      </c>
      <c r="F2654" s="15">
        <v>42004</v>
      </c>
      <c r="G2654" s="14" t="s">
        <v>415</v>
      </c>
      <c r="H2654" s="14">
        <v>0.17730000000000001</v>
      </c>
      <c r="I2654" s="14">
        <v>0.17730000000000001</v>
      </c>
      <c r="J2654" s="14">
        <v>0.17730000000000001</v>
      </c>
      <c r="K2654" s="14">
        <v>0.17730000000000001</v>
      </c>
      <c r="L2654" s="14">
        <v>0.17730000000000001</v>
      </c>
      <c r="M2654" s="14">
        <v>0.17730000000000001</v>
      </c>
      <c r="N2654" s="14">
        <v>0.17730000000000001</v>
      </c>
      <c r="O2654" s="14">
        <v>0.9</v>
      </c>
      <c r="P2654" s="14">
        <v>0.9</v>
      </c>
      <c r="Q2654" s="14">
        <v>0.9</v>
      </c>
      <c r="R2654" s="14">
        <v>0.9</v>
      </c>
      <c r="S2654" s="14">
        <v>0.9</v>
      </c>
      <c r="T2654" s="14">
        <v>0.9</v>
      </c>
      <c r="U2654" s="14">
        <v>0.9</v>
      </c>
      <c r="V2654" s="14">
        <v>0.9</v>
      </c>
      <c r="W2654" s="14">
        <v>0.9</v>
      </c>
      <c r="X2654" s="14">
        <v>0.9</v>
      </c>
      <c r="Y2654" s="14">
        <v>0.9</v>
      </c>
      <c r="Z2654" s="14">
        <v>0.9</v>
      </c>
      <c r="AA2654" s="14">
        <v>0.9</v>
      </c>
      <c r="AB2654" s="14">
        <v>0.9</v>
      </c>
      <c r="AC2654" s="14">
        <v>0.17730000000000001</v>
      </c>
      <c r="AD2654" s="14">
        <v>0.17730000000000001</v>
      </c>
      <c r="AE2654" s="14">
        <v>0.17730000000000001</v>
      </c>
      <c r="AF2654" s="14" t="s">
        <v>413</v>
      </c>
    </row>
    <row r="2655" spans="1:32" ht="14.25" customHeight="1" x14ac:dyDescent="0.35">
      <c r="A2655" s="14" t="s">
        <v>1750</v>
      </c>
      <c r="B2655" s="14" t="s">
        <v>424</v>
      </c>
      <c r="C2655" s="14"/>
      <c r="D2655" s="14" t="s">
        <v>429</v>
      </c>
      <c r="E2655" s="15">
        <v>41821</v>
      </c>
      <c r="F2655" s="15">
        <v>41883</v>
      </c>
      <c r="G2655" s="14" t="s">
        <v>415</v>
      </c>
      <c r="H2655" s="14">
        <v>0.17730000000000001</v>
      </c>
      <c r="I2655" s="14">
        <v>0.17730000000000001</v>
      </c>
      <c r="J2655" s="14">
        <v>0.17730000000000001</v>
      </c>
      <c r="K2655" s="14">
        <v>0.17730000000000001</v>
      </c>
      <c r="L2655" s="14">
        <v>0.17730000000000001</v>
      </c>
      <c r="M2655" s="14">
        <v>0.17730000000000001</v>
      </c>
      <c r="N2655" s="14">
        <v>0.17730000000000001</v>
      </c>
      <c r="O2655" s="14">
        <v>0.17730000000000001</v>
      </c>
      <c r="P2655" s="14">
        <v>0.5</v>
      </c>
      <c r="Q2655" s="14">
        <v>0.5</v>
      </c>
      <c r="R2655" s="14">
        <v>0.5</v>
      </c>
      <c r="S2655" s="14">
        <v>0.5</v>
      </c>
      <c r="T2655" s="14">
        <v>0.5</v>
      </c>
      <c r="U2655" s="14">
        <v>0.5</v>
      </c>
      <c r="V2655" s="14">
        <v>0.5</v>
      </c>
      <c r="W2655" s="14">
        <v>0.5</v>
      </c>
      <c r="X2655" s="14">
        <v>0.5</v>
      </c>
      <c r="Y2655" s="14">
        <v>0.5</v>
      </c>
      <c r="Z2655" s="14">
        <v>0.5</v>
      </c>
      <c r="AA2655" s="14">
        <v>0.5</v>
      </c>
      <c r="AB2655" s="14">
        <v>0.17730000000000001</v>
      </c>
      <c r="AC2655" s="14">
        <v>0.17730000000000001</v>
      </c>
      <c r="AD2655" s="14">
        <v>0.17730000000000001</v>
      </c>
      <c r="AE2655" s="14">
        <v>0.17730000000000001</v>
      </c>
      <c r="AF2655" s="14" t="s">
        <v>413</v>
      </c>
    </row>
    <row r="2656" spans="1:32" ht="14.25" customHeight="1" x14ac:dyDescent="0.35">
      <c r="A2656" s="14" t="s">
        <v>1750</v>
      </c>
      <c r="B2656" s="14" t="s">
        <v>424</v>
      </c>
      <c r="C2656" s="14"/>
      <c r="D2656" s="14" t="s">
        <v>429</v>
      </c>
      <c r="E2656" s="15">
        <v>41640</v>
      </c>
      <c r="F2656" s="15">
        <v>41820</v>
      </c>
      <c r="G2656" s="14" t="s">
        <v>415</v>
      </c>
      <c r="H2656" s="14">
        <v>0.17730000000000001</v>
      </c>
      <c r="I2656" s="14">
        <v>0.17730000000000001</v>
      </c>
      <c r="J2656" s="14">
        <v>0.17730000000000001</v>
      </c>
      <c r="K2656" s="14">
        <v>0.17730000000000001</v>
      </c>
      <c r="L2656" s="14">
        <v>0.17730000000000001</v>
      </c>
      <c r="M2656" s="14">
        <v>0.17730000000000001</v>
      </c>
      <c r="N2656" s="14">
        <v>0.17730000000000001</v>
      </c>
      <c r="O2656" s="14">
        <v>0.9</v>
      </c>
      <c r="P2656" s="14">
        <v>0.9</v>
      </c>
      <c r="Q2656" s="14">
        <v>0.9</v>
      </c>
      <c r="R2656" s="14">
        <v>0.9</v>
      </c>
      <c r="S2656" s="14">
        <v>0.9</v>
      </c>
      <c r="T2656" s="14">
        <v>0.9</v>
      </c>
      <c r="U2656" s="14">
        <v>0.9</v>
      </c>
      <c r="V2656" s="14">
        <v>0.9</v>
      </c>
      <c r="W2656" s="14">
        <v>0.9</v>
      </c>
      <c r="X2656" s="14">
        <v>0.9</v>
      </c>
      <c r="Y2656" s="14">
        <v>0.9</v>
      </c>
      <c r="Z2656" s="14">
        <v>0.9</v>
      </c>
      <c r="AA2656" s="14">
        <v>0.9</v>
      </c>
      <c r="AB2656" s="14">
        <v>0.9</v>
      </c>
      <c r="AC2656" s="14">
        <v>0.17730000000000001</v>
      </c>
      <c r="AD2656" s="14">
        <v>0.17730000000000001</v>
      </c>
      <c r="AE2656" s="14">
        <v>0.17730000000000001</v>
      </c>
      <c r="AF2656" s="14" t="s">
        <v>413</v>
      </c>
    </row>
    <row r="2657" spans="1:32" ht="14.25" customHeight="1" x14ac:dyDescent="0.35">
      <c r="A2657" s="16" t="s">
        <v>1750</v>
      </c>
      <c r="B2657" s="16" t="s">
        <v>424</v>
      </c>
      <c r="C2657" s="16"/>
      <c r="D2657" s="16" t="s">
        <v>530</v>
      </c>
      <c r="E2657" s="17">
        <v>41821</v>
      </c>
      <c r="F2657" s="17">
        <v>41883</v>
      </c>
      <c r="G2657" s="16" t="s">
        <v>410</v>
      </c>
      <c r="H2657" s="16">
        <v>0.17730000000000001</v>
      </c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 t="s">
        <v>413</v>
      </c>
    </row>
    <row r="2658" spans="1:32" ht="14.25" customHeight="1" x14ac:dyDescent="0.35">
      <c r="A2658" s="16" t="s">
        <v>1750</v>
      </c>
      <c r="B2658" s="16" t="s">
        <v>424</v>
      </c>
      <c r="C2658" s="16"/>
      <c r="D2658" s="16" t="s">
        <v>530</v>
      </c>
      <c r="E2658" s="17">
        <v>41640</v>
      </c>
      <c r="F2658" s="17">
        <v>41820</v>
      </c>
      <c r="G2658" s="16" t="s">
        <v>410</v>
      </c>
      <c r="H2658" s="16">
        <v>0.17730000000000001</v>
      </c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 t="s">
        <v>413</v>
      </c>
    </row>
    <row r="2659" spans="1:32" ht="14.25" customHeight="1" x14ac:dyDescent="0.35">
      <c r="A2659" s="14" t="s">
        <v>1750</v>
      </c>
      <c r="B2659" s="14" t="s">
        <v>424</v>
      </c>
      <c r="C2659" s="14"/>
      <c r="D2659" s="14" t="s">
        <v>418</v>
      </c>
      <c r="E2659" s="15">
        <v>41640</v>
      </c>
      <c r="F2659" s="15">
        <v>42004</v>
      </c>
      <c r="G2659" s="14" t="s">
        <v>410</v>
      </c>
      <c r="H2659" s="14">
        <v>0</v>
      </c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 t="s">
        <v>413</v>
      </c>
    </row>
    <row r="2660" spans="1:32" ht="14.25" customHeight="1" x14ac:dyDescent="0.35">
      <c r="A2660" s="16" t="s">
        <v>1751</v>
      </c>
      <c r="B2660" s="16" t="s">
        <v>424</v>
      </c>
      <c r="C2660" s="16"/>
      <c r="D2660" s="16" t="s">
        <v>417</v>
      </c>
      <c r="E2660" s="17">
        <v>41640</v>
      </c>
      <c r="F2660" s="17">
        <v>42004</v>
      </c>
      <c r="G2660" s="16" t="s">
        <v>410</v>
      </c>
      <c r="H2660" s="16">
        <v>0.17730000000000001</v>
      </c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16"/>
      <c r="AA2660" s="16"/>
      <c r="AB2660" s="16"/>
      <c r="AC2660" s="16"/>
      <c r="AD2660" s="16"/>
      <c r="AE2660" s="16"/>
      <c r="AF2660" s="16" t="s">
        <v>413</v>
      </c>
    </row>
    <row r="2661" spans="1:32" ht="14.25" customHeight="1" x14ac:dyDescent="0.35">
      <c r="A2661" s="16" t="s">
        <v>1751</v>
      </c>
      <c r="B2661" s="16" t="s">
        <v>424</v>
      </c>
      <c r="C2661" s="16"/>
      <c r="D2661" s="16" t="s">
        <v>419</v>
      </c>
      <c r="E2661" s="17">
        <v>41640</v>
      </c>
      <c r="F2661" s="17">
        <v>42004</v>
      </c>
      <c r="G2661" s="16" t="s">
        <v>410</v>
      </c>
      <c r="H2661" s="16">
        <v>1</v>
      </c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16"/>
      <c r="AA2661" s="16"/>
      <c r="AB2661" s="16"/>
      <c r="AC2661" s="16"/>
      <c r="AD2661" s="16"/>
      <c r="AE2661" s="16"/>
      <c r="AF2661" s="16" t="s">
        <v>413</v>
      </c>
    </row>
    <row r="2662" spans="1:32" ht="14.25" customHeight="1" x14ac:dyDescent="0.35">
      <c r="A2662" s="14" t="s">
        <v>1751</v>
      </c>
      <c r="B2662" s="14" t="s">
        <v>424</v>
      </c>
      <c r="C2662" s="14"/>
      <c r="D2662" s="14" t="s">
        <v>429</v>
      </c>
      <c r="E2662" s="15">
        <v>41883</v>
      </c>
      <c r="F2662" s="15">
        <v>42004</v>
      </c>
      <c r="G2662" s="14" t="s">
        <v>415</v>
      </c>
      <c r="H2662" s="14">
        <v>0.17730000000000001</v>
      </c>
      <c r="I2662" s="14">
        <v>0.17730000000000001</v>
      </c>
      <c r="J2662" s="14">
        <v>0.17730000000000001</v>
      </c>
      <c r="K2662" s="14">
        <v>0.17730000000000001</v>
      </c>
      <c r="L2662" s="14">
        <v>0.17730000000000001</v>
      </c>
      <c r="M2662" s="14">
        <v>0.17730000000000001</v>
      </c>
      <c r="N2662" s="14">
        <v>0.17730000000000001</v>
      </c>
      <c r="O2662" s="14">
        <v>0.9</v>
      </c>
      <c r="P2662" s="14">
        <v>0.9</v>
      </c>
      <c r="Q2662" s="14">
        <v>0.9</v>
      </c>
      <c r="R2662" s="14">
        <v>0.9</v>
      </c>
      <c r="S2662" s="14">
        <v>0.9</v>
      </c>
      <c r="T2662" s="14">
        <v>0.9</v>
      </c>
      <c r="U2662" s="14">
        <v>0.9</v>
      </c>
      <c r="V2662" s="14">
        <v>0.9</v>
      </c>
      <c r="W2662" s="14">
        <v>0.9</v>
      </c>
      <c r="X2662" s="14">
        <v>0.9</v>
      </c>
      <c r="Y2662" s="14">
        <v>0.9</v>
      </c>
      <c r="Z2662" s="14">
        <v>0.9</v>
      </c>
      <c r="AA2662" s="14">
        <v>0.9</v>
      </c>
      <c r="AB2662" s="14">
        <v>0.9</v>
      </c>
      <c r="AC2662" s="14">
        <v>0.17730000000000001</v>
      </c>
      <c r="AD2662" s="14">
        <v>0.17730000000000001</v>
      </c>
      <c r="AE2662" s="14">
        <v>0.17730000000000001</v>
      </c>
      <c r="AF2662" s="14" t="s">
        <v>413</v>
      </c>
    </row>
    <row r="2663" spans="1:32" ht="14.25" customHeight="1" x14ac:dyDescent="0.35">
      <c r="A2663" s="14" t="s">
        <v>1751</v>
      </c>
      <c r="B2663" s="14" t="s">
        <v>424</v>
      </c>
      <c r="C2663" s="14"/>
      <c r="D2663" s="14" t="s">
        <v>429</v>
      </c>
      <c r="E2663" s="15">
        <v>41821</v>
      </c>
      <c r="F2663" s="15">
        <v>41883</v>
      </c>
      <c r="G2663" s="14" t="s">
        <v>415</v>
      </c>
      <c r="H2663" s="14">
        <v>0.17730000000000001</v>
      </c>
      <c r="I2663" s="14">
        <v>0.17730000000000001</v>
      </c>
      <c r="J2663" s="14">
        <v>0.17730000000000001</v>
      </c>
      <c r="K2663" s="14">
        <v>0.17730000000000001</v>
      </c>
      <c r="L2663" s="14">
        <v>0.17730000000000001</v>
      </c>
      <c r="M2663" s="14">
        <v>0.17730000000000001</v>
      </c>
      <c r="N2663" s="14">
        <v>0.17730000000000001</v>
      </c>
      <c r="O2663" s="14">
        <v>0.17730000000000001</v>
      </c>
      <c r="P2663" s="14">
        <v>0.5</v>
      </c>
      <c r="Q2663" s="14">
        <v>0.5</v>
      </c>
      <c r="R2663" s="14">
        <v>0.5</v>
      </c>
      <c r="S2663" s="14">
        <v>0.5</v>
      </c>
      <c r="T2663" s="14">
        <v>0.5</v>
      </c>
      <c r="U2663" s="14">
        <v>0.5</v>
      </c>
      <c r="V2663" s="14">
        <v>0.5</v>
      </c>
      <c r="W2663" s="14">
        <v>0.5</v>
      </c>
      <c r="X2663" s="14">
        <v>0.5</v>
      </c>
      <c r="Y2663" s="14">
        <v>0.5</v>
      </c>
      <c r="Z2663" s="14">
        <v>0.5</v>
      </c>
      <c r="AA2663" s="14">
        <v>0.5</v>
      </c>
      <c r="AB2663" s="14">
        <v>0.17730000000000001</v>
      </c>
      <c r="AC2663" s="14">
        <v>0.17730000000000001</v>
      </c>
      <c r="AD2663" s="14">
        <v>0.17730000000000001</v>
      </c>
      <c r="AE2663" s="14">
        <v>0.17730000000000001</v>
      </c>
      <c r="AF2663" s="14" t="s">
        <v>413</v>
      </c>
    </row>
    <row r="2664" spans="1:32" ht="14.25" customHeight="1" x14ac:dyDescent="0.35">
      <c r="A2664" s="14" t="s">
        <v>1751</v>
      </c>
      <c r="B2664" s="14" t="s">
        <v>424</v>
      </c>
      <c r="C2664" s="14"/>
      <c r="D2664" s="14" t="s">
        <v>429</v>
      </c>
      <c r="E2664" s="15">
        <v>41640</v>
      </c>
      <c r="F2664" s="15">
        <v>41820</v>
      </c>
      <c r="G2664" s="14" t="s">
        <v>415</v>
      </c>
      <c r="H2664" s="14">
        <v>0.17730000000000001</v>
      </c>
      <c r="I2664" s="14">
        <v>0.17730000000000001</v>
      </c>
      <c r="J2664" s="14">
        <v>0.17730000000000001</v>
      </c>
      <c r="K2664" s="14">
        <v>0.17730000000000001</v>
      </c>
      <c r="L2664" s="14">
        <v>0.17730000000000001</v>
      </c>
      <c r="M2664" s="14">
        <v>0.17730000000000001</v>
      </c>
      <c r="N2664" s="14">
        <v>0.17730000000000001</v>
      </c>
      <c r="O2664" s="14">
        <v>0.9</v>
      </c>
      <c r="P2664" s="14">
        <v>0.9</v>
      </c>
      <c r="Q2664" s="14">
        <v>0.9</v>
      </c>
      <c r="R2664" s="14">
        <v>0.9</v>
      </c>
      <c r="S2664" s="14">
        <v>0.9</v>
      </c>
      <c r="T2664" s="14">
        <v>0.9</v>
      </c>
      <c r="U2664" s="14">
        <v>0.9</v>
      </c>
      <c r="V2664" s="14">
        <v>0.9</v>
      </c>
      <c r="W2664" s="14">
        <v>0.9</v>
      </c>
      <c r="X2664" s="14">
        <v>0.9</v>
      </c>
      <c r="Y2664" s="14">
        <v>0.9</v>
      </c>
      <c r="Z2664" s="14">
        <v>0.9</v>
      </c>
      <c r="AA2664" s="14">
        <v>0.9</v>
      </c>
      <c r="AB2664" s="14">
        <v>0.9</v>
      </c>
      <c r="AC2664" s="14">
        <v>0.17730000000000001</v>
      </c>
      <c r="AD2664" s="14">
        <v>0.17730000000000001</v>
      </c>
      <c r="AE2664" s="14">
        <v>0.17730000000000001</v>
      </c>
      <c r="AF2664" s="14" t="s">
        <v>413</v>
      </c>
    </row>
    <row r="2665" spans="1:32" ht="14.25" customHeight="1" x14ac:dyDescent="0.35">
      <c r="A2665" s="16" t="s">
        <v>1751</v>
      </c>
      <c r="B2665" s="16" t="s">
        <v>424</v>
      </c>
      <c r="C2665" s="16"/>
      <c r="D2665" s="16" t="s">
        <v>530</v>
      </c>
      <c r="E2665" s="17">
        <v>41821</v>
      </c>
      <c r="F2665" s="17">
        <v>41883</v>
      </c>
      <c r="G2665" s="16" t="s">
        <v>410</v>
      </c>
      <c r="H2665" s="16">
        <v>0.17730000000000001</v>
      </c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  <c r="AC2665" s="16"/>
      <c r="AD2665" s="16"/>
      <c r="AE2665" s="16"/>
      <c r="AF2665" s="16" t="s">
        <v>413</v>
      </c>
    </row>
    <row r="2666" spans="1:32" ht="14.25" customHeight="1" x14ac:dyDescent="0.35">
      <c r="A2666" s="16" t="s">
        <v>1751</v>
      </c>
      <c r="B2666" s="16" t="s">
        <v>424</v>
      </c>
      <c r="C2666" s="16"/>
      <c r="D2666" s="16" t="s">
        <v>530</v>
      </c>
      <c r="E2666" s="17">
        <v>41640</v>
      </c>
      <c r="F2666" s="17">
        <v>41820</v>
      </c>
      <c r="G2666" s="16" t="s">
        <v>410</v>
      </c>
      <c r="H2666" s="16">
        <v>0.17730000000000001</v>
      </c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 t="s">
        <v>413</v>
      </c>
    </row>
    <row r="2667" spans="1:32" ht="14.25" customHeight="1" x14ac:dyDescent="0.35">
      <c r="A2667" s="14" t="s">
        <v>1751</v>
      </c>
      <c r="B2667" s="14" t="s">
        <v>424</v>
      </c>
      <c r="C2667" s="14"/>
      <c r="D2667" s="14" t="s">
        <v>418</v>
      </c>
      <c r="E2667" s="15">
        <v>41640</v>
      </c>
      <c r="F2667" s="15">
        <v>42004</v>
      </c>
      <c r="G2667" s="14" t="s">
        <v>410</v>
      </c>
      <c r="H2667" s="14">
        <v>0</v>
      </c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 t="s">
        <v>413</v>
      </c>
    </row>
    <row r="2668" spans="1:32" ht="14.25" customHeight="1" x14ac:dyDescent="0.35">
      <c r="A2668" s="16" t="s">
        <v>1752</v>
      </c>
      <c r="B2668" s="16" t="s">
        <v>424</v>
      </c>
      <c r="C2668" s="16"/>
      <c r="D2668" s="16" t="s">
        <v>417</v>
      </c>
      <c r="E2668" s="17">
        <v>41640</v>
      </c>
      <c r="F2668" s="17">
        <v>42004</v>
      </c>
      <c r="G2668" s="16" t="s">
        <v>410</v>
      </c>
      <c r="H2668" s="16">
        <v>0.17730000000000001</v>
      </c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6"/>
      <c r="AA2668" s="16"/>
      <c r="AB2668" s="16"/>
      <c r="AC2668" s="16"/>
      <c r="AD2668" s="16"/>
      <c r="AE2668" s="16"/>
      <c r="AF2668" s="16" t="s">
        <v>413</v>
      </c>
    </row>
    <row r="2669" spans="1:32" ht="14.25" customHeight="1" x14ac:dyDescent="0.35">
      <c r="A2669" s="16" t="s">
        <v>1752</v>
      </c>
      <c r="B2669" s="16" t="s">
        <v>424</v>
      </c>
      <c r="C2669" s="16"/>
      <c r="D2669" s="16" t="s">
        <v>419</v>
      </c>
      <c r="E2669" s="17">
        <v>41640</v>
      </c>
      <c r="F2669" s="17">
        <v>42004</v>
      </c>
      <c r="G2669" s="16" t="s">
        <v>410</v>
      </c>
      <c r="H2669" s="16">
        <v>1</v>
      </c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16"/>
      <c r="AA2669" s="16"/>
      <c r="AB2669" s="16"/>
      <c r="AC2669" s="16"/>
      <c r="AD2669" s="16"/>
      <c r="AE2669" s="16"/>
      <c r="AF2669" s="16" t="s">
        <v>413</v>
      </c>
    </row>
    <row r="2670" spans="1:32" ht="14.25" customHeight="1" x14ac:dyDescent="0.35">
      <c r="A2670" s="14" t="s">
        <v>1752</v>
      </c>
      <c r="B2670" s="14" t="s">
        <v>424</v>
      </c>
      <c r="C2670" s="14"/>
      <c r="D2670" s="14" t="s">
        <v>429</v>
      </c>
      <c r="E2670" s="15">
        <v>41883</v>
      </c>
      <c r="F2670" s="15">
        <v>42004</v>
      </c>
      <c r="G2670" s="14" t="s">
        <v>415</v>
      </c>
      <c r="H2670" s="14">
        <v>0.17730000000000001</v>
      </c>
      <c r="I2670" s="14">
        <v>0.17730000000000001</v>
      </c>
      <c r="J2670" s="14">
        <v>0.17730000000000001</v>
      </c>
      <c r="K2670" s="14">
        <v>0.17730000000000001</v>
      </c>
      <c r="L2670" s="14">
        <v>0.17730000000000001</v>
      </c>
      <c r="M2670" s="14">
        <v>0.17730000000000001</v>
      </c>
      <c r="N2670" s="14">
        <v>0.17730000000000001</v>
      </c>
      <c r="O2670" s="14">
        <v>0.9</v>
      </c>
      <c r="P2670" s="14">
        <v>0.9</v>
      </c>
      <c r="Q2670" s="14">
        <v>0.9</v>
      </c>
      <c r="R2670" s="14">
        <v>0.9</v>
      </c>
      <c r="S2670" s="14">
        <v>0.9</v>
      </c>
      <c r="T2670" s="14">
        <v>0.9</v>
      </c>
      <c r="U2670" s="14">
        <v>0.9</v>
      </c>
      <c r="V2670" s="14">
        <v>0.9</v>
      </c>
      <c r="W2670" s="14">
        <v>0.9</v>
      </c>
      <c r="X2670" s="14">
        <v>0.9</v>
      </c>
      <c r="Y2670" s="14">
        <v>0.9</v>
      </c>
      <c r="Z2670" s="14">
        <v>0.9</v>
      </c>
      <c r="AA2670" s="14">
        <v>0.9</v>
      </c>
      <c r="AB2670" s="14">
        <v>0.9</v>
      </c>
      <c r="AC2670" s="14">
        <v>0.17730000000000001</v>
      </c>
      <c r="AD2670" s="14">
        <v>0.17730000000000001</v>
      </c>
      <c r="AE2670" s="14">
        <v>0.17730000000000001</v>
      </c>
      <c r="AF2670" s="14" t="s">
        <v>413</v>
      </c>
    </row>
    <row r="2671" spans="1:32" ht="14.25" customHeight="1" x14ac:dyDescent="0.35">
      <c r="A2671" s="14" t="s">
        <v>1752</v>
      </c>
      <c r="B2671" s="14" t="s">
        <v>424</v>
      </c>
      <c r="C2671" s="14"/>
      <c r="D2671" s="14" t="s">
        <v>429</v>
      </c>
      <c r="E2671" s="15">
        <v>41821</v>
      </c>
      <c r="F2671" s="15">
        <v>41883</v>
      </c>
      <c r="G2671" s="14" t="s">
        <v>415</v>
      </c>
      <c r="H2671" s="14">
        <v>0.17730000000000001</v>
      </c>
      <c r="I2671" s="14">
        <v>0.17730000000000001</v>
      </c>
      <c r="J2671" s="14">
        <v>0.17730000000000001</v>
      </c>
      <c r="K2671" s="14">
        <v>0.17730000000000001</v>
      </c>
      <c r="L2671" s="14">
        <v>0.17730000000000001</v>
      </c>
      <c r="M2671" s="14">
        <v>0.17730000000000001</v>
      </c>
      <c r="N2671" s="14">
        <v>0.17730000000000001</v>
      </c>
      <c r="O2671" s="14">
        <v>0.17730000000000001</v>
      </c>
      <c r="P2671" s="14">
        <v>0.5</v>
      </c>
      <c r="Q2671" s="14">
        <v>0.5</v>
      </c>
      <c r="R2671" s="14">
        <v>0.5</v>
      </c>
      <c r="S2671" s="14">
        <v>0.5</v>
      </c>
      <c r="T2671" s="14">
        <v>0.5</v>
      </c>
      <c r="U2671" s="14">
        <v>0.5</v>
      </c>
      <c r="V2671" s="14">
        <v>0.5</v>
      </c>
      <c r="W2671" s="14">
        <v>0.5</v>
      </c>
      <c r="X2671" s="14">
        <v>0.5</v>
      </c>
      <c r="Y2671" s="14">
        <v>0.5</v>
      </c>
      <c r="Z2671" s="14">
        <v>0.5</v>
      </c>
      <c r="AA2671" s="14">
        <v>0.5</v>
      </c>
      <c r="AB2671" s="14">
        <v>0.17730000000000001</v>
      </c>
      <c r="AC2671" s="14">
        <v>0.17730000000000001</v>
      </c>
      <c r="AD2671" s="14">
        <v>0.17730000000000001</v>
      </c>
      <c r="AE2671" s="14">
        <v>0.17730000000000001</v>
      </c>
      <c r="AF2671" s="14" t="s">
        <v>413</v>
      </c>
    </row>
    <row r="2672" spans="1:32" ht="14.25" customHeight="1" x14ac:dyDescent="0.35">
      <c r="A2672" s="14" t="s">
        <v>1752</v>
      </c>
      <c r="B2672" s="14" t="s">
        <v>424</v>
      </c>
      <c r="C2672" s="14"/>
      <c r="D2672" s="14" t="s">
        <v>429</v>
      </c>
      <c r="E2672" s="15">
        <v>41640</v>
      </c>
      <c r="F2672" s="15">
        <v>41820</v>
      </c>
      <c r="G2672" s="14" t="s">
        <v>415</v>
      </c>
      <c r="H2672" s="14">
        <v>0.17730000000000001</v>
      </c>
      <c r="I2672" s="14">
        <v>0.17730000000000001</v>
      </c>
      <c r="J2672" s="14">
        <v>0.17730000000000001</v>
      </c>
      <c r="K2672" s="14">
        <v>0.17730000000000001</v>
      </c>
      <c r="L2672" s="14">
        <v>0.17730000000000001</v>
      </c>
      <c r="M2672" s="14">
        <v>0.17730000000000001</v>
      </c>
      <c r="N2672" s="14">
        <v>0.17730000000000001</v>
      </c>
      <c r="O2672" s="14">
        <v>0.9</v>
      </c>
      <c r="P2672" s="14">
        <v>0.9</v>
      </c>
      <c r="Q2672" s="14">
        <v>0.9</v>
      </c>
      <c r="R2672" s="14">
        <v>0.9</v>
      </c>
      <c r="S2672" s="14">
        <v>0.9</v>
      </c>
      <c r="T2672" s="14">
        <v>0.9</v>
      </c>
      <c r="U2672" s="14">
        <v>0.9</v>
      </c>
      <c r="V2672" s="14">
        <v>0.9</v>
      </c>
      <c r="W2672" s="14">
        <v>0.9</v>
      </c>
      <c r="X2672" s="14">
        <v>0.9</v>
      </c>
      <c r="Y2672" s="14">
        <v>0.9</v>
      </c>
      <c r="Z2672" s="14">
        <v>0.9</v>
      </c>
      <c r="AA2672" s="14">
        <v>0.9</v>
      </c>
      <c r="AB2672" s="14">
        <v>0.9</v>
      </c>
      <c r="AC2672" s="14">
        <v>0.17730000000000001</v>
      </c>
      <c r="AD2672" s="14">
        <v>0.17730000000000001</v>
      </c>
      <c r="AE2672" s="14">
        <v>0.17730000000000001</v>
      </c>
      <c r="AF2672" s="14" t="s">
        <v>413</v>
      </c>
    </row>
    <row r="2673" spans="1:32" ht="14.25" customHeight="1" x14ac:dyDescent="0.35">
      <c r="A2673" s="16" t="s">
        <v>1752</v>
      </c>
      <c r="B2673" s="16" t="s">
        <v>424</v>
      </c>
      <c r="C2673" s="16"/>
      <c r="D2673" s="16" t="s">
        <v>530</v>
      </c>
      <c r="E2673" s="17">
        <v>41821</v>
      </c>
      <c r="F2673" s="17">
        <v>41883</v>
      </c>
      <c r="G2673" s="16" t="s">
        <v>410</v>
      </c>
      <c r="H2673" s="16">
        <v>0.17730000000000001</v>
      </c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 t="s">
        <v>413</v>
      </c>
    </row>
    <row r="2674" spans="1:32" ht="14.25" customHeight="1" x14ac:dyDescent="0.35">
      <c r="A2674" s="16" t="s">
        <v>1752</v>
      </c>
      <c r="B2674" s="16" t="s">
        <v>424</v>
      </c>
      <c r="C2674" s="16"/>
      <c r="D2674" s="16" t="s">
        <v>530</v>
      </c>
      <c r="E2674" s="17">
        <v>41640</v>
      </c>
      <c r="F2674" s="17">
        <v>41820</v>
      </c>
      <c r="G2674" s="16" t="s">
        <v>410</v>
      </c>
      <c r="H2674" s="16">
        <v>0.17730000000000001</v>
      </c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 t="s">
        <v>413</v>
      </c>
    </row>
    <row r="2675" spans="1:32" ht="14.25" customHeight="1" x14ac:dyDescent="0.35">
      <c r="A2675" s="14" t="s">
        <v>1752</v>
      </c>
      <c r="B2675" s="14" t="s">
        <v>424</v>
      </c>
      <c r="C2675" s="14"/>
      <c r="D2675" s="14" t="s">
        <v>418</v>
      </c>
      <c r="E2675" s="15">
        <v>41640</v>
      </c>
      <c r="F2675" s="15">
        <v>42004</v>
      </c>
      <c r="G2675" s="14" t="s">
        <v>410</v>
      </c>
      <c r="H2675" s="14">
        <v>0</v>
      </c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4"/>
      <c r="U2675" s="14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 t="s">
        <v>413</v>
      </c>
    </row>
    <row r="2676" spans="1:32" ht="14.25" customHeight="1" x14ac:dyDescent="0.35">
      <c r="A2676" s="16" t="s">
        <v>1753</v>
      </c>
      <c r="B2676" s="16" t="s">
        <v>424</v>
      </c>
      <c r="C2676" s="16"/>
      <c r="D2676" s="16" t="s">
        <v>417</v>
      </c>
      <c r="E2676" s="17">
        <v>41640</v>
      </c>
      <c r="F2676" s="17">
        <v>42004</v>
      </c>
      <c r="G2676" s="16" t="s">
        <v>410</v>
      </c>
      <c r="H2676" s="16">
        <v>0.17730000000000001</v>
      </c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16"/>
      <c r="AA2676" s="16"/>
      <c r="AB2676" s="16"/>
      <c r="AC2676" s="16"/>
      <c r="AD2676" s="16"/>
      <c r="AE2676" s="16"/>
      <c r="AF2676" s="16" t="s">
        <v>413</v>
      </c>
    </row>
    <row r="2677" spans="1:32" ht="14.25" customHeight="1" x14ac:dyDescent="0.35">
      <c r="A2677" s="16" t="s">
        <v>1753</v>
      </c>
      <c r="B2677" s="16" t="s">
        <v>424</v>
      </c>
      <c r="C2677" s="16"/>
      <c r="D2677" s="16" t="s">
        <v>419</v>
      </c>
      <c r="E2677" s="17">
        <v>41640</v>
      </c>
      <c r="F2677" s="17">
        <v>42004</v>
      </c>
      <c r="G2677" s="16" t="s">
        <v>410</v>
      </c>
      <c r="H2677" s="16">
        <v>1</v>
      </c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16"/>
      <c r="AA2677" s="16"/>
      <c r="AB2677" s="16"/>
      <c r="AC2677" s="16"/>
      <c r="AD2677" s="16"/>
      <c r="AE2677" s="16"/>
      <c r="AF2677" s="16" t="s">
        <v>413</v>
      </c>
    </row>
    <row r="2678" spans="1:32" ht="14.25" customHeight="1" x14ac:dyDescent="0.35">
      <c r="A2678" s="14" t="s">
        <v>1753</v>
      </c>
      <c r="B2678" s="14" t="s">
        <v>424</v>
      </c>
      <c r="C2678" s="14"/>
      <c r="D2678" s="14" t="s">
        <v>429</v>
      </c>
      <c r="E2678" s="15">
        <v>41883</v>
      </c>
      <c r="F2678" s="15">
        <v>42004</v>
      </c>
      <c r="G2678" s="14" t="s">
        <v>415</v>
      </c>
      <c r="H2678" s="14">
        <v>0.17730000000000001</v>
      </c>
      <c r="I2678" s="14">
        <v>0.17730000000000001</v>
      </c>
      <c r="J2678" s="14">
        <v>0.17730000000000001</v>
      </c>
      <c r="K2678" s="14">
        <v>0.17730000000000001</v>
      </c>
      <c r="L2678" s="14">
        <v>0.17730000000000001</v>
      </c>
      <c r="M2678" s="14">
        <v>0.17730000000000001</v>
      </c>
      <c r="N2678" s="14">
        <v>0.17730000000000001</v>
      </c>
      <c r="O2678" s="14">
        <v>0.9</v>
      </c>
      <c r="P2678" s="14">
        <v>0.9</v>
      </c>
      <c r="Q2678" s="14">
        <v>0.9</v>
      </c>
      <c r="R2678" s="14">
        <v>0.9</v>
      </c>
      <c r="S2678" s="14">
        <v>0.9</v>
      </c>
      <c r="T2678" s="14">
        <v>0.9</v>
      </c>
      <c r="U2678" s="14">
        <v>0.9</v>
      </c>
      <c r="V2678" s="14">
        <v>0.9</v>
      </c>
      <c r="W2678" s="14">
        <v>0.9</v>
      </c>
      <c r="X2678" s="14">
        <v>0.9</v>
      </c>
      <c r="Y2678" s="14">
        <v>0.9</v>
      </c>
      <c r="Z2678" s="14">
        <v>0.9</v>
      </c>
      <c r="AA2678" s="14">
        <v>0.9</v>
      </c>
      <c r="AB2678" s="14">
        <v>0.9</v>
      </c>
      <c r="AC2678" s="14">
        <v>0.17730000000000001</v>
      </c>
      <c r="AD2678" s="14">
        <v>0.17730000000000001</v>
      </c>
      <c r="AE2678" s="14">
        <v>0.17730000000000001</v>
      </c>
      <c r="AF2678" s="14" t="s">
        <v>413</v>
      </c>
    </row>
    <row r="2679" spans="1:32" ht="14.25" customHeight="1" x14ac:dyDescent="0.35">
      <c r="A2679" s="14" t="s">
        <v>1753</v>
      </c>
      <c r="B2679" s="14" t="s">
        <v>424</v>
      </c>
      <c r="C2679" s="14"/>
      <c r="D2679" s="14" t="s">
        <v>429</v>
      </c>
      <c r="E2679" s="15">
        <v>41821</v>
      </c>
      <c r="F2679" s="15">
        <v>41883</v>
      </c>
      <c r="G2679" s="14" t="s">
        <v>415</v>
      </c>
      <c r="H2679" s="14">
        <v>0.17730000000000001</v>
      </c>
      <c r="I2679" s="14">
        <v>0.17730000000000001</v>
      </c>
      <c r="J2679" s="14">
        <v>0.17730000000000001</v>
      </c>
      <c r="K2679" s="14">
        <v>0.17730000000000001</v>
      </c>
      <c r="L2679" s="14">
        <v>0.17730000000000001</v>
      </c>
      <c r="M2679" s="14">
        <v>0.17730000000000001</v>
      </c>
      <c r="N2679" s="14">
        <v>0.17730000000000001</v>
      </c>
      <c r="O2679" s="14">
        <v>0.17730000000000001</v>
      </c>
      <c r="P2679" s="14">
        <v>0.5</v>
      </c>
      <c r="Q2679" s="14">
        <v>0.5</v>
      </c>
      <c r="R2679" s="14">
        <v>0.5</v>
      </c>
      <c r="S2679" s="14">
        <v>0.5</v>
      </c>
      <c r="T2679" s="14">
        <v>0.5</v>
      </c>
      <c r="U2679" s="14">
        <v>0.5</v>
      </c>
      <c r="V2679" s="14">
        <v>0.5</v>
      </c>
      <c r="W2679" s="14">
        <v>0.5</v>
      </c>
      <c r="X2679" s="14">
        <v>0.5</v>
      </c>
      <c r="Y2679" s="14">
        <v>0.5</v>
      </c>
      <c r="Z2679" s="14">
        <v>0.5</v>
      </c>
      <c r="AA2679" s="14">
        <v>0.5</v>
      </c>
      <c r="AB2679" s="14">
        <v>0.17730000000000001</v>
      </c>
      <c r="AC2679" s="14">
        <v>0.17730000000000001</v>
      </c>
      <c r="AD2679" s="14">
        <v>0.17730000000000001</v>
      </c>
      <c r="AE2679" s="14">
        <v>0.17730000000000001</v>
      </c>
      <c r="AF2679" s="14" t="s">
        <v>413</v>
      </c>
    </row>
    <row r="2680" spans="1:32" ht="14.25" customHeight="1" x14ac:dyDescent="0.35">
      <c r="A2680" s="14" t="s">
        <v>1753</v>
      </c>
      <c r="B2680" s="14" t="s">
        <v>424</v>
      </c>
      <c r="C2680" s="14"/>
      <c r="D2680" s="14" t="s">
        <v>429</v>
      </c>
      <c r="E2680" s="15">
        <v>41640</v>
      </c>
      <c r="F2680" s="15">
        <v>41820</v>
      </c>
      <c r="G2680" s="14" t="s">
        <v>415</v>
      </c>
      <c r="H2680" s="14">
        <v>0.17730000000000001</v>
      </c>
      <c r="I2680" s="14">
        <v>0.17730000000000001</v>
      </c>
      <c r="J2680" s="14">
        <v>0.17730000000000001</v>
      </c>
      <c r="K2680" s="14">
        <v>0.17730000000000001</v>
      </c>
      <c r="L2680" s="14">
        <v>0.17730000000000001</v>
      </c>
      <c r="M2680" s="14">
        <v>0.17730000000000001</v>
      </c>
      <c r="N2680" s="14">
        <v>0.17730000000000001</v>
      </c>
      <c r="O2680" s="14">
        <v>0.9</v>
      </c>
      <c r="P2680" s="14">
        <v>0.9</v>
      </c>
      <c r="Q2680" s="14">
        <v>0.9</v>
      </c>
      <c r="R2680" s="14">
        <v>0.9</v>
      </c>
      <c r="S2680" s="14">
        <v>0.9</v>
      </c>
      <c r="T2680" s="14">
        <v>0.9</v>
      </c>
      <c r="U2680" s="14">
        <v>0.9</v>
      </c>
      <c r="V2680" s="14">
        <v>0.9</v>
      </c>
      <c r="W2680" s="14">
        <v>0.9</v>
      </c>
      <c r="X2680" s="14">
        <v>0.9</v>
      </c>
      <c r="Y2680" s="14">
        <v>0.9</v>
      </c>
      <c r="Z2680" s="14">
        <v>0.9</v>
      </c>
      <c r="AA2680" s="14">
        <v>0.9</v>
      </c>
      <c r="AB2680" s="14">
        <v>0.9</v>
      </c>
      <c r="AC2680" s="14">
        <v>0.17730000000000001</v>
      </c>
      <c r="AD2680" s="14">
        <v>0.17730000000000001</v>
      </c>
      <c r="AE2680" s="14">
        <v>0.17730000000000001</v>
      </c>
      <c r="AF2680" s="14" t="s">
        <v>413</v>
      </c>
    </row>
    <row r="2681" spans="1:32" ht="14.25" customHeight="1" x14ac:dyDescent="0.35">
      <c r="A2681" s="16" t="s">
        <v>1753</v>
      </c>
      <c r="B2681" s="16" t="s">
        <v>424</v>
      </c>
      <c r="C2681" s="16"/>
      <c r="D2681" s="16" t="s">
        <v>530</v>
      </c>
      <c r="E2681" s="17">
        <v>41821</v>
      </c>
      <c r="F2681" s="17">
        <v>41883</v>
      </c>
      <c r="G2681" s="16" t="s">
        <v>410</v>
      </c>
      <c r="H2681" s="16">
        <v>0.17730000000000001</v>
      </c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 t="s">
        <v>413</v>
      </c>
    </row>
    <row r="2682" spans="1:32" ht="14.25" customHeight="1" x14ac:dyDescent="0.35">
      <c r="A2682" s="16" t="s">
        <v>1753</v>
      </c>
      <c r="B2682" s="16" t="s">
        <v>424</v>
      </c>
      <c r="C2682" s="16"/>
      <c r="D2682" s="16" t="s">
        <v>530</v>
      </c>
      <c r="E2682" s="17">
        <v>41640</v>
      </c>
      <c r="F2682" s="17">
        <v>41820</v>
      </c>
      <c r="G2682" s="16" t="s">
        <v>410</v>
      </c>
      <c r="H2682" s="16">
        <v>0.17730000000000001</v>
      </c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6"/>
      <c r="AA2682" s="16"/>
      <c r="AB2682" s="16"/>
      <c r="AC2682" s="16"/>
      <c r="AD2682" s="16"/>
      <c r="AE2682" s="16"/>
      <c r="AF2682" s="16" t="s">
        <v>413</v>
      </c>
    </row>
    <row r="2683" spans="1:32" ht="14.25" customHeight="1" x14ac:dyDescent="0.35">
      <c r="A2683" s="14" t="s">
        <v>1753</v>
      </c>
      <c r="B2683" s="14" t="s">
        <v>424</v>
      </c>
      <c r="C2683" s="14"/>
      <c r="D2683" s="14" t="s">
        <v>418</v>
      </c>
      <c r="E2683" s="15">
        <v>41640</v>
      </c>
      <c r="F2683" s="15">
        <v>42004</v>
      </c>
      <c r="G2683" s="14" t="s">
        <v>410</v>
      </c>
      <c r="H2683" s="14">
        <v>0</v>
      </c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S2683" s="14"/>
      <c r="T2683" s="14"/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 t="s">
        <v>413</v>
      </c>
    </row>
    <row r="2684" spans="1:32" ht="14.25" customHeight="1" x14ac:dyDescent="0.35">
      <c r="A2684" s="16" t="s">
        <v>1754</v>
      </c>
      <c r="B2684" s="16" t="s">
        <v>424</v>
      </c>
      <c r="C2684" s="16"/>
      <c r="D2684" s="16" t="s">
        <v>417</v>
      </c>
      <c r="E2684" s="17">
        <v>41640</v>
      </c>
      <c r="F2684" s="17">
        <v>42004</v>
      </c>
      <c r="G2684" s="16" t="s">
        <v>410</v>
      </c>
      <c r="H2684" s="16">
        <v>0.17730000000000001</v>
      </c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16"/>
      <c r="AA2684" s="16"/>
      <c r="AB2684" s="16"/>
      <c r="AC2684" s="16"/>
      <c r="AD2684" s="16"/>
      <c r="AE2684" s="16"/>
      <c r="AF2684" s="16" t="s">
        <v>413</v>
      </c>
    </row>
    <row r="2685" spans="1:32" ht="14.25" customHeight="1" x14ac:dyDescent="0.35">
      <c r="A2685" s="16" t="s">
        <v>1754</v>
      </c>
      <c r="B2685" s="16" t="s">
        <v>424</v>
      </c>
      <c r="C2685" s="16"/>
      <c r="D2685" s="16" t="s">
        <v>419</v>
      </c>
      <c r="E2685" s="17">
        <v>41640</v>
      </c>
      <c r="F2685" s="17">
        <v>42004</v>
      </c>
      <c r="G2685" s="16" t="s">
        <v>410</v>
      </c>
      <c r="H2685" s="16">
        <v>1</v>
      </c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6"/>
      <c r="AA2685" s="16"/>
      <c r="AB2685" s="16"/>
      <c r="AC2685" s="16"/>
      <c r="AD2685" s="16"/>
      <c r="AE2685" s="16"/>
      <c r="AF2685" s="16" t="s">
        <v>413</v>
      </c>
    </row>
    <row r="2686" spans="1:32" ht="14.25" customHeight="1" x14ac:dyDescent="0.35">
      <c r="A2686" s="14" t="s">
        <v>1754</v>
      </c>
      <c r="B2686" s="14" t="s">
        <v>424</v>
      </c>
      <c r="C2686" s="14"/>
      <c r="D2686" s="14" t="s">
        <v>429</v>
      </c>
      <c r="E2686" s="15">
        <v>41883</v>
      </c>
      <c r="F2686" s="15">
        <v>42004</v>
      </c>
      <c r="G2686" s="14" t="s">
        <v>415</v>
      </c>
      <c r="H2686" s="14">
        <v>0.17730000000000001</v>
      </c>
      <c r="I2686" s="14">
        <v>0.17730000000000001</v>
      </c>
      <c r="J2686" s="14">
        <v>0.17730000000000001</v>
      </c>
      <c r="K2686" s="14">
        <v>0.17730000000000001</v>
      </c>
      <c r="L2686" s="14">
        <v>0.17730000000000001</v>
      </c>
      <c r="M2686" s="14">
        <v>0.17730000000000001</v>
      </c>
      <c r="N2686" s="14">
        <v>0.17730000000000001</v>
      </c>
      <c r="O2686" s="14">
        <v>0.9</v>
      </c>
      <c r="P2686" s="14">
        <v>0.9</v>
      </c>
      <c r="Q2686" s="14">
        <v>0.9</v>
      </c>
      <c r="R2686" s="14">
        <v>0.9</v>
      </c>
      <c r="S2686" s="14">
        <v>0.9</v>
      </c>
      <c r="T2686" s="14">
        <v>0.9</v>
      </c>
      <c r="U2686" s="14">
        <v>0.9</v>
      </c>
      <c r="V2686" s="14">
        <v>0.9</v>
      </c>
      <c r="W2686" s="14">
        <v>0.9</v>
      </c>
      <c r="X2686" s="14">
        <v>0.9</v>
      </c>
      <c r="Y2686" s="14">
        <v>0.9</v>
      </c>
      <c r="Z2686" s="14">
        <v>0.9</v>
      </c>
      <c r="AA2686" s="14">
        <v>0.9</v>
      </c>
      <c r="AB2686" s="14">
        <v>0.9</v>
      </c>
      <c r="AC2686" s="14">
        <v>0.17730000000000001</v>
      </c>
      <c r="AD2686" s="14">
        <v>0.17730000000000001</v>
      </c>
      <c r="AE2686" s="14">
        <v>0.17730000000000001</v>
      </c>
      <c r="AF2686" s="14" t="s">
        <v>413</v>
      </c>
    </row>
    <row r="2687" spans="1:32" ht="14.25" customHeight="1" x14ac:dyDescent="0.35">
      <c r="A2687" s="14" t="s">
        <v>1754</v>
      </c>
      <c r="B2687" s="14" t="s">
        <v>424</v>
      </c>
      <c r="C2687" s="14"/>
      <c r="D2687" s="14" t="s">
        <v>429</v>
      </c>
      <c r="E2687" s="15">
        <v>41821</v>
      </c>
      <c r="F2687" s="15">
        <v>41883</v>
      </c>
      <c r="G2687" s="14" t="s">
        <v>415</v>
      </c>
      <c r="H2687" s="14">
        <v>0.17730000000000001</v>
      </c>
      <c r="I2687" s="14">
        <v>0.17730000000000001</v>
      </c>
      <c r="J2687" s="14">
        <v>0.17730000000000001</v>
      </c>
      <c r="K2687" s="14">
        <v>0.17730000000000001</v>
      </c>
      <c r="L2687" s="14">
        <v>0.17730000000000001</v>
      </c>
      <c r="M2687" s="14">
        <v>0.17730000000000001</v>
      </c>
      <c r="N2687" s="14">
        <v>0.17730000000000001</v>
      </c>
      <c r="O2687" s="14">
        <v>0.17730000000000001</v>
      </c>
      <c r="P2687" s="14">
        <v>0.5</v>
      </c>
      <c r="Q2687" s="14">
        <v>0.5</v>
      </c>
      <c r="R2687" s="14">
        <v>0.5</v>
      </c>
      <c r="S2687" s="14">
        <v>0.5</v>
      </c>
      <c r="T2687" s="14">
        <v>0.5</v>
      </c>
      <c r="U2687" s="14">
        <v>0.5</v>
      </c>
      <c r="V2687" s="14">
        <v>0.5</v>
      </c>
      <c r="W2687" s="14">
        <v>0.5</v>
      </c>
      <c r="X2687" s="14">
        <v>0.5</v>
      </c>
      <c r="Y2687" s="14">
        <v>0.5</v>
      </c>
      <c r="Z2687" s="14">
        <v>0.5</v>
      </c>
      <c r="AA2687" s="14">
        <v>0.5</v>
      </c>
      <c r="AB2687" s="14">
        <v>0.17730000000000001</v>
      </c>
      <c r="AC2687" s="14">
        <v>0.17730000000000001</v>
      </c>
      <c r="AD2687" s="14">
        <v>0.17730000000000001</v>
      </c>
      <c r="AE2687" s="14">
        <v>0.17730000000000001</v>
      </c>
      <c r="AF2687" s="14" t="s">
        <v>413</v>
      </c>
    </row>
    <row r="2688" spans="1:32" ht="14.25" customHeight="1" x14ac:dyDescent="0.35">
      <c r="A2688" s="14" t="s">
        <v>1754</v>
      </c>
      <c r="B2688" s="14" t="s">
        <v>424</v>
      </c>
      <c r="C2688" s="14"/>
      <c r="D2688" s="14" t="s">
        <v>429</v>
      </c>
      <c r="E2688" s="15">
        <v>41640</v>
      </c>
      <c r="F2688" s="15">
        <v>41820</v>
      </c>
      <c r="G2688" s="14" t="s">
        <v>415</v>
      </c>
      <c r="H2688" s="14">
        <v>0.17730000000000001</v>
      </c>
      <c r="I2688" s="14">
        <v>0.17730000000000001</v>
      </c>
      <c r="J2688" s="14">
        <v>0.17730000000000001</v>
      </c>
      <c r="K2688" s="14">
        <v>0.17730000000000001</v>
      </c>
      <c r="L2688" s="14">
        <v>0.17730000000000001</v>
      </c>
      <c r="M2688" s="14">
        <v>0.17730000000000001</v>
      </c>
      <c r="N2688" s="14">
        <v>0.17730000000000001</v>
      </c>
      <c r="O2688" s="14">
        <v>0.9</v>
      </c>
      <c r="P2688" s="14">
        <v>0.9</v>
      </c>
      <c r="Q2688" s="14">
        <v>0.9</v>
      </c>
      <c r="R2688" s="14">
        <v>0.9</v>
      </c>
      <c r="S2688" s="14">
        <v>0.9</v>
      </c>
      <c r="T2688" s="14">
        <v>0.9</v>
      </c>
      <c r="U2688" s="14">
        <v>0.9</v>
      </c>
      <c r="V2688" s="14">
        <v>0.9</v>
      </c>
      <c r="W2688" s="14">
        <v>0.9</v>
      </c>
      <c r="X2688" s="14">
        <v>0.9</v>
      </c>
      <c r="Y2688" s="14">
        <v>0.9</v>
      </c>
      <c r="Z2688" s="14">
        <v>0.9</v>
      </c>
      <c r="AA2688" s="14">
        <v>0.9</v>
      </c>
      <c r="AB2688" s="14">
        <v>0.9</v>
      </c>
      <c r="AC2688" s="14">
        <v>0.17730000000000001</v>
      </c>
      <c r="AD2688" s="14">
        <v>0.17730000000000001</v>
      </c>
      <c r="AE2688" s="14">
        <v>0.17730000000000001</v>
      </c>
      <c r="AF2688" s="14" t="s">
        <v>413</v>
      </c>
    </row>
    <row r="2689" spans="1:32" ht="14.25" customHeight="1" x14ac:dyDescent="0.35">
      <c r="A2689" s="16" t="s">
        <v>1754</v>
      </c>
      <c r="B2689" s="16" t="s">
        <v>424</v>
      </c>
      <c r="C2689" s="16"/>
      <c r="D2689" s="16" t="s">
        <v>530</v>
      </c>
      <c r="E2689" s="17">
        <v>41821</v>
      </c>
      <c r="F2689" s="17">
        <v>41883</v>
      </c>
      <c r="G2689" s="16" t="s">
        <v>410</v>
      </c>
      <c r="H2689" s="16">
        <v>0.17730000000000001</v>
      </c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 t="s">
        <v>413</v>
      </c>
    </row>
    <row r="2690" spans="1:32" ht="14.25" customHeight="1" x14ac:dyDescent="0.35">
      <c r="A2690" s="16" t="s">
        <v>1754</v>
      </c>
      <c r="B2690" s="16" t="s">
        <v>424</v>
      </c>
      <c r="C2690" s="16"/>
      <c r="D2690" s="16" t="s">
        <v>530</v>
      </c>
      <c r="E2690" s="17">
        <v>41640</v>
      </c>
      <c r="F2690" s="17">
        <v>41820</v>
      </c>
      <c r="G2690" s="16" t="s">
        <v>410</v>
      </c>
      <c r="H2690" s="16">
        <v>0.17730000000000001</v>
      </c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  <c r="AC2690" s="16"/>
      <c r="AD2690" s="16"/>
      <c r="AE2690" s="16"/>
      <c r="AF2690" s="16" t="s">
        <v>413</v>
      </c>
    </row>
    <row r="2691" spans="1:32" ht="14.25" customHeight="1" x14ac:dyDescent="0.35">
      <c r="A2691" s="14" t="s">
        <v>1754</v>
      </c>
      <c r="B2691" s="14" t="s">
        <v>424</v>
      </c>
      <c r="C2691" s="14"/>
      <c r="D2691" s="14" t="s">
        <v>418</v>
      </c>
      <c r="E2691" s="15">
        <v>41640</v>
      </c>
      <c r="F2691" s="15">
        <v>42004</v>
      </c>
      <c r="G2691" s="14" t="s">
        <v>410</v>
      </c>
      <c r="H2691" s="14">
        <v>0</v>
      </c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 t="s">
        <v>413</v>
      </c>
    </row>
    <row r="2692" spans="1:32" ht="14.25" customHeight="1" x14ac:dyDescent="0.35">
      <c r="A2692" s="16" t="s">
        <v>1755</v>
      </c>
      <c r="B2692" s="16" t="s">
        <v>424</v>
      </c>
      <c r="C2692" s="16"/>
      <c r="D2692" s="16" t="s">
        <v>417</v>
      </c>
      <c r="E2692" s="17">
        <v>41640</v>
      </c>
      <c r="F2692" s="17">
        <v>42004</v>
      </c>
      <c r="G2692" s="16" t="s">
        <v>410</v>
      </c>
      <c r="H2692" s="16">
        <v>0.17730000000000001</v>
      </c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6"/>
      <c r="AA2692" s="16"/>
      <c r="AB2692" s="16"/>
      <c r="AC2692" s="16"/>
      <c r="AD2692" s="16"/>
      <c r="AE2692" s="16"/>
      <c r="AF2692" s="16" t="s">
        <v>413</v>
      </c>
    </row>
    <row r="2693" spans="1:32" ht="14.25" customHeight="1" x14ac:dyDescent="0.35">
      <c r="A2693" s="16" t="s">
        <v>1755</v>
      </c>
      <c r="B2693" s="16" t="s">
        <v>424</v>
      </c>
      <c r="C2693" s="16"/>
      <c r="D2693" s="16" t="s">
        <v>419</v>
      </c>
      <c r="E2693" s="17">
        <v>41640</v>
      </c>
      <c r="F2693" s="17">
        <v>42004</v>
      </c>
      <c r="G2693" s="16" t="s">
        <v>410</v>
      </c>
      <c r="H2693" s="16">
        <v>1</v>
      </c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16"/>
      <c r="AA2693" s="16"/>
      <c r="AB2693" s="16"/>
      <c r="AC2693" s="16"/>
      <c r="AD2693" s="16"/>
      <c r="AE2693" s="16"/>
      <c r="AF2693" s="16" t="s">
        <v>413</v>
      </c>
    </row>
    <row r="2694" spans="1:32" ht="14.25" customHeight="1" x14ac:dyDescent="0.35">
      <c r="A2694" s="14" t="s">
        <v>1755</v>
      </c>
      <c r="B2694" s="14" t="s">
        <v>424</v>
      </c>
      <c r="C2694" s="14"/>
      <c r="D2694" s="14" t="s">
        <v>429</v>
      </c>
      <c r="E2694" s="15">
        <v>41883</v>
      </c>
      <c r="F2694" s="15">
        <v>42004</v>
      </c>
      <c r="G2694" s="14" t="s">
        <v>415</v>
      </c>
      <c r="H2694" s="14">
        <v>0.17730000000000001</v>
      </c>
      <c r="I2694" s="14">
        <v>0.17730000000000001</v>
      </c>
      <c r="J2694" s="14">
        <v>0.17730000000000001</v>
      </c>
      <c r="K2694" s="14">
        <v>0.17730000000000001</v>
      </c>
      <c r="L2694" s="14">
        <v>0.17730000000000001</v>
      </c>
      <c r="M2694" s="14">
        <v>0.17730000000000001</v>
      </c>
      <c r="N2694" s="14">
        <v>0.17730000000000001</v>
      </c>
      <c r="O2694" s="14">
        <v>0.9</v>
      </c>
      <c r="P2694" s="14">
        <v>0.9</v>
      </c>
      <c r="Q2694" s="14">
        <v>0.9</v>
      </c>
      <c r="R2694" s="14">
        <v>0.9</v>
      </c>
      <c r="S2694" s="14">
        <v>0.9</v>
      </c>
      <c r="T2694" s="14">
        <v>0.9</v>
      </c>
      <c r="U2694" s="14">
        <v>0.9</v>
      </c>
      <c r="V2694" s="14">
        <v>0.9</v>
      </c>
      <c r="W2694" s="14">
        <v>0.9</v>
      </c>
      <c r="X2694" s="14">
        <v>0.9</v>
      </c>
      <c r="Y2694" s="14">
        <v>0.9</v>
      </c>
      <c r="Z2694" s="14">
        <v>0.9</v>
      </c>
      <c r="AA2694" s="14">
        <v>0.9</v>
      </c>
      <c r="AB2694" s="14">
        <v>0.9</v>
      </c>
      <c r="AC2694" s="14">
        <v>0.17730000000000001</v>
      </c>
      <c r="AD2694" s="14">
        <v>0.17730000000000001</v>
      </c>
      <c r="AE2694" s="14">
        <v>0.17730000000000001</v>
      </c>
      <c r="AF2694" s="14" t="s">
        <v>413</v>
      </c>
    </row>
    <row r="2695" spans="1:32" ht="14.25" customHeight="1" x14ac:dyDescent="0.35">
      <c r="A2695" s="14" t="s">
        <v>1755</v>
      </c>
      <c r="B2695" s="14" t="s">
        <v>424</v>
      </c>
      <c r="C2695" s="14"/>
      <c r="D2695" s="14" t="s">
        <v>429</v>
      </c>
      <c r="E2695" s="15">
        <v>41821</v>
      </c>
      <c r="F2695" s="15">
        <v>41883</v>
      </c>
      <c r="G2695" s="14" t="s">
        <v>415</v>
      </c>
      <c r="H2695" s="14">
        <v>0.17730000000000001</v>
      </c>
      <c r="I2695" s="14">
        <v>0.17730000000000001</v>
      </c>
      <c r="J2695" s="14">
        <v>0.17730000000000001</v>
      </c>
      <c r="K2695" s="14">
        <v>0.17730000000000001</v>
      </c>
      <c r="L2695" s="14">
        <v>0.17730000000000001</v>
      </c>
      <c r="M2695" s="14">
        <v>0.17730000000000001</v>
      </c>
      <c r="N2695" s="14">
        <v>0.17730000000000001</v>
      </c>
      <c r="O2695" s="14">
        <v>0.17730000000000001</v>
      </c>
      <c r="P2695" s="14">
        <v>0.5</v>
      </c>
      <c r="Q2695" s="14">
        <v>0.5</v>
      </c>
      <c r="R2695" s="14">
        <v>0.5</v>
      </c>
      <c r="S2695" s="14">
        <v>0.5</v>
      </c>
      <c r="T2695" s="14">
        <v>0.5</v>
      </c>
      <c r="U2695" s="14">
        <v>0.5</v>
      </c>
      <c r="V2695" s="14">
        <v>0.5</v>
      </c>
      <c r="W2695" s="14">
        <v>0.5</v>
      </c>
      <c r="X2695" s="14">
        <v>0.5</v>
      </c>
      <c r="Y2695" s="14">
        <v>0.5</v>
      </c>
      <c r="Z2695" s="14">
        <v>0.5</v>
      </c>
      <c r="AA2695" s="14">
        <v>0.5</v>
      </c>
      <c r="AB2695" s="14">
        <v>0.17730000000000001</v>
      </c>
      <c r="AC2695" s="14">
        <v>0.17730000000000001</v>
      </c>
      <c r="AD2695" s="14">
        <v>0.17730000000000001</v>
      </c>
      <c r="AE2695" s="14">
        <v>0.17730000000000001</v>
      </c>
      <c r="AF2695" s="14" t="s">
        <v>413</v>
      </c>
    </row>
    <row r="2696" spans="1:32" ht="14.25" customHeight="1" x14ac:dyDescent="0.35">
      <c r="A2696" s="14" t="s">
        <v>1755</v>
      </c>
      <c r="B2696" s="14" t="s">
        <v>424</v>
      </c>
      <c r="C2696" s="14"/>
      <c r="D2696" s="14" t="s">
        <v>429</v>
      </c>
      <c r="E2696" s="15">
        <v>41640</v>
      </c>
      <c r="F2696" s="15">
        <v>41820</v>
      </c>
      <c r="G2696" s="14" t="s">
        <v>415</v>
      </c>
      <c r="H2696" s="14">
        <v>0.17730000000000001</v>
      </c>
      <c r="I2696" s="14">
        <v>0.17730000000000001</v>
      </c>
      <c r="J2696" s="14">
        <v>0.17730000000000001</v>
      </c>
      <c r="K2696" s="14">
        <v>0.17730000000000001</v>
      </c>
      <c r="L2696" s="14">
        <v>0.17730000000000001</v>
      </c>
      <c r="M2696" s="14">
        <v>0.17730000000000001</v>
      </c>
      <c r="N2696" s="14">
        <v>0.17730000000000001</v>
      </c>
      <c r="O2696" s="14">
        <v>0.9</v>
      </c>
      <c r="P2696" s="14">
        <v>0.9</v>
      </c>
      <c r="Q2696" s="14">
        <v>0.9</v>
      </c>
      <c r="R2696" s="14">
        <v>0.9</v>
      </c>
      <c r="S2696" s="14">
        <v>0.9</v>
      </c>
      <c r="T2696" s="14">
        <v>0.9</v>
      </c>
      <c r="U2696" s="14">
        <v>0.9</v>
      </c>
      <c r="V2696" s="14">
        <v>0.9</v>
      </c>
      <c r="W2696" s="14">
        <v>0.9</v>
      </c>
      <c r="X2696" s="14">
        <v>0.9</v>
      </c>
      <c r="Y2696" s="14">
        <v>0.9</v>
      </c>
      <c r="Z2696" s="14">
        <v>0.9</v>
      </c>
      <c r="AA2696" s="14">
        <v>0.9</v>
      </c>
      <c r="AB2696" s="14">
        <v>0.9</v>
      </c>
      <c r="AC2696" s="14">
        <v>0.17730000000000001</v>
      </c>
      <c r="AD2696" s="14">
        <v>0.17730000000000001</v>
      </c>
      <c r="AE2696" s="14">
        <v>0.17730000000000001</v>
      </c>
      <c r="AF2696" s="14" t="s">
        <v>413</v>
      </c>
    </row>
    <row r="2697" spans="1:32" ht="14.25" customHeight="1" x14ac:dyDescent="0.35">
      <c r="A2697" s="16" t="s">
        <v>1755</v>
      </c>
      <c r="B2697" s="16" t="s">
        <v>424</v>
      </c>
      <c r="C2697" s="16"/>
      <c r="D2697" s="16" t="s">
        <v>530</v>
      </c>
      <c r="E2697" s="17">
        <v>41821</v>
      </c>
      <c r="F2697" s="17">
        <v>41883</v>
      </c>
      <c r="G2697" s="16" t="s">
        <v>410</v>
      </c>
      <c r="H2697" s="16">
        <v>0.17730000000000001</v>
      </c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 t="s">
        <v>413</v>
      </c>
    </row>
    <row r="2698" spans="1:32" ht="14.25" customHeight="1" x14ac:dyDescent="0.35">
      <c r="A2698" s="16" t="s">
        <v>1755</v>
      </c>
      <c r="B2698" s="16" t="s">
        <v>424</v>
      </c>
      <c r="C2698" s="16"/>
      <c r="D2698" s="16" t="s">
        <v>530</v>
      </c>
      <c r="E2698" s="17">
        <v>41640</v>
      </c>
      <c r="F2698" s="17">
        <v>41820</v>
      </c>
      <c r="G2698" s="16" t="s">
        <v>410</v>
      </c>
      <c r="H2698" s="16">
        <v>0.17730000000000001</v>
      </c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 t="s">
        <v>413</v>
      </c>
    </row>
    <row r="2699" spans="1:32" ht="14.25" customHeight="1" x14ac:dyDescent="0.35">
      <c r="A2699" s="14" t="s">
        <v>1755</v>
      </c>
      <c r="B2699" s="14" t="s">
        <v>424</v>
      </c>
      <c r="C2699" s="14"/>
      <c r="D2699" s="14" t="s">
        <v>418</v>
      </c>
      <c r="E2699" s="15">
        <v>41640</v>
      </c>
      <c r="F2699" s="15">
        <v>42004</v>
      </c>
      <c r="G2699" s="14" t="s">
        <v>410</v>
      </c>
      <c r="H2699" s="14">
        <v>0</v>
      </c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4"/>
      <c r="U2699" s="14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 t="s">
        <v>413</v>
      </c>
    </row>
    <row r="2700" spans="1:32" ht="14.25" customHeight="1" x14ac:dyDescent="0.35">
      <c r="A2700" s="16" t="s">
        <v>1756</v>
      </c>
      <c r="B2700" s="16" t="s">
        <v>448</v>
      </c>
      <c r="C2700" s="16"/>
      <c r="D2700" s="16" t="s">
        <v>476</v>
      </c>
      <c r="E2700" s="17">
        <v>41640</v>
      </c>
      <c r="F2700" s="17">
        <v>42004</v>
      </c>
      <c r="G2700" s="16" t="s">
        <v>410</v>
      </c>
      <c r="H2700" s="16">
        <v>0</v>
      </c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6"/>
      <c r="AA2700" s="16"/>
      <c r="AB2700" s="16"/>
      <c r="AC2700" s="16"/>
      <c r="AD2700" s="16"/>
      <c r="AE2700" s="16"/>
      <c r="AF2700" s="16" t="s">
        <v>413</v>
      </c>
    </row>
    <row r="2701" spans="1:32" ht="14.25" customHeight="1" x14ac:dyDescent="0.35">
      <c r="A2701" s="14" t="s">
        <v>1756</v>
      </c>
      <c r="B2701" s="14" t="s">
        <v>448</v>
      </c>
      <c r="C2701" s="14"/>
      <c r="D2701" s="14" t="s">
        <v>419</v>
      </c>
      <c r="E2701" s="15">
        <v>41640</v>
      </c>
      <c r="F2701" s="15">
        <v>42004</v>
      </c>
      <c r="G2701" s="14" t="s">
        <v>415</v>
      </c>
      <c r="H2701" s="16">
        <v>0</v>
      </c>
      <c r="I2701" s="16">
        <v>0</v>
      </c>
      <c r="J2701" s="16">
        <v>0</v>
      </c>
      <c r="K2701" s="16">
        <v>0</v>
      </c>
      <c r="L2701" s="16">
        <v>0</v>
      </c>
      <c r="M2701" s="16">
        <v>0</v>
      </c>
      <c r="N2701" s="16">
        <v>0</v>
      </c>
      <c r="O2701" s="16">
        <v>0</v>
      </c>
      <c r="P2701" s="16">
        <v>0.15</v>
      </c>
      <c r="Q2701" s="16">
        <v>0.15</v>
      </c>
      <c r="R2701" s="16">
        <v>0.15</v>
      </c>
      <c r="S2701" s="16">
        <v>0.15</v>
      </c>
      <c r="T2701" s="16">
        <v>0.15</v>
      </c>
      <c r="U2701" s="16">
        <v>0.15</v>
      </c>
      <c r="V2701" s="16">
        <v>0.15</v>
      </c>
      <c r="W2701" s="16">
        <v>0.15</v>
      </c>
      <c r="X2701" s="16">
        <v>0.15</v>
      </c>
      <c r="Y2701" s="16">
        <v>0.15</v>
      </c>
      <c r="Z2701" s="16">
        <v>0.15</v>
      </c>
      <c r="AA2701" s="16">
        <v>0.15</v>
      </c>
      <c r="AB2701" s="16">
        <v>0.15</v>
      </c>
      <c r="AC2701" s="16">
        <v>0</v>
      </c>
      <c r="AD2701" s="16">
        <v>0</v>
      </c>
      <c r="AE2701" s="16">
        <v>0</v>
      </c>
      <c r="AF2701" s="14" t="s">
        <v>413</v>
      </c>
    </row>
    <row r="2702" spans="1:32" ht="14.25" customHeight="1" x14ac:dyDescent="0.35">
      <c r="A2702" s="16" t="s">
        <v>1756</v>
      </c>
      <c r="B2702" s="16" t="s">
        <v>448</v>
      </c>
      <c r="C2702" s="16"/>
      <c r="D2702" s="16" t="s">
        <v>429</v>
      </c>
      <c r="E2702" s="17">
        <v>41898</v>
      </c>
      <c r="F2702" s="17">
        <v>42004</v>
      </c>
      <c r="G2702" s="16" t="s">
        <v>415</v>
      </c>
      <c r="H2702" s="16">
        <v>0</v>
      </c>
      <c r="I2702" s="16">
        <v>0</v>
      </c>
      <c r="J2702" s="16">
        <v>0</v>
      </c>
      <c r="K2702" s="16">
        <v>0</v>
      </c>
      <c r="L2702" s="16">
        <v>0</v>
      </c>
      <c r="M2702" s="16">
        <v>0</v>
      </c>
      <c r="N2702" s="16">
        <v>0</v>
      </c>
      <c r="O2702" s="16">
        <v>0</v>
      </c>
      <c r="P2702" s="16">
        <v>0.95</v>
      </c>
      <c r="Q2702" s="16">
        <v>0.95</v>
      </c>
      <c r="R2702" s="16">
        <v>0.95</v>
      </c>
      <c r="S2702" s="16">
        <v>0.95</v>
      </c>
      <c r="T2702" s="16">
        <v>0.95</v>
      </c>
      <c r="U2702" s="16">
        <v>0.95</v>
      </c>
      <c r="V2702" s="16">
        <v>0.95</v>
      </c>
      <c r="W2702" s="16">
        <v>0.95</v>
      </c>
      <c r="X2702" s="16">
        <v>0.15</v>
      </c>
      <c r="Y2702" s="16">
        <v>0.15</v>
      </c>
      <c r="Z2702" s="16">
        <v>0.15</v>
      </c>
      <c r="AA2702" s="16">
        <v>0.15</v>
      </c>
      <c r="AB2702" s="16">
        <v>0.15</v>
      </c>
      <c r="AC2702" s="16">
        <v>0</v>
      </c>
      <c r="AD2702" s="16">
        <v>0</v>
      </c>
      <c r="AE2702" s="16">
        <v>0</v>
      </c>
      <c r="AF2702" s="16" t="s">
        <v>413</v>
      </c>
    </row>
    <row r="2703" spans="1:32" ht="14.25" customHeight="1" x14ac:dyDescent="0.35">
      <c r="A2703" s="16" t="s">
        <v>1756</v>
      </c>
      <c r="B2703" s="16" t="s">
        <v>448</v>
      </c>
      <c r="C2703" s="16"/>
      <c r="D2703" s="16" t="s">
        <v>429</v>
      </c>
      <c r="E2703" s="17">
        <v>41806</v>
      </c>
      <c r="F2703" s="17">
        <v>41897</v>
      </c>
      <c r="G2703" s="16" t="s">
        <v>415</v>
      </c>
      <c r="H2703" s="16">
        <v>0</v>
      </c>
      <c r="I2703" s="16">
        <v>0</v>
      </c>
      <c r="J2703" s="16">
        <v>0</v>
      </c>
      <c r="K2703" s="16">
        <v>0</v>
      </c>
      <c r="L2703" s="16">
        <v>0</v>
      </c>
      <c r="M2703" s="16">
        <v>0</v>
      </c>
      <c r="N2703" s="16">
        <v>0</v>
      </c>
      <c r="O2703" s="16">
        <v>0</v>
      </c>
      <c r="P2703" s="16">
        <v>0.15</v>
      </c>
      <c r="Q2703" s="16">
        <v>0.15</v>
      </c>
      <c r="R2703" s="16">
        <v>0.15</v>
      </c>
      <c r="S2703" s="16">
        <v>0.15</v>
      </c>
      <c r="T2703" s="16">
        <v>0.15</v>
      </c>
      <c r="U2703" s="16">
        <v>0.15</v>
      </c>
      <c r="V2703" s="16">
        <v>0.15</v>
      </c>
      <c r="W2703" s="16">
        <v>0.15</v>
      </c>
      <c r="X2703" s="16">
        <v>0.15</v>
      </c>
      <c r="Y2703" s="16">
        <v>0.15</v>
      </c>
      <c r="Z2703" s="16">
        <v>0.15</v>
      </c>
      <c r="AA2703" s="16">
        <v>0.15</v>
      </c>
      <c r="AB2703" s="16">
        <v>0.15</v>
      </c>
      <c r="AC2703" s="16">
        <v>0</v>
      </c>
      <c r="AD2703" s="16">
        <v>0</v>
      </c>
      <c r="AE2703" s="16">
        <v>0</v>
      </c>
      <c r="AF2703" s="16" t="s">
        <v>413</v>
      </c>
    </row>
    <row r="2704" spans="1:32" ht="14.25" customHeight="1" x14ac:dyDescent="0.35">
      <c r="A2704" s="16" t="s">
        <v>1756</v>
      </c>
      <c r="B2704" s="16" t="s">
        <v>448</v>
      </c>
      <c r="C2704" s="16"/>
      <c r="D2704" s="16" t="s">
        <v>429</v>
      </c>
      <c r="E2704" s="17">
        <v>41640</v>
      </c>
      <c r="F2704" s="17">
        <v>41805</v>
      </c>
      <c r="G2704" s="16" t="s">
        <v>415</v>
      </c>
      <c r="H2704" s="16">
        <v>0</v>
      </c>
      <c r="I2704" s="16">
        <v>0</v>
      </c>
      <c r="J2704" s="16">
        <v>0</v>
      </c>
      <c r="K2704" s="16">
        <v>0</v>
      </c>
      <c r="L2704" s="16">
        <v>0</v>
      </c>
      <c r="M2704" s="16">
        <v>0</v>
      </c>
      <c r="N2704" s="16">
        <v>0</v>
      </c>
      <c r="O2704" s="16">
        <v>0</v>
      </c>
      <c r="P2704" s="16">
        <v>0.95</v>
      </c>
      <c r="Q2704" s="16">
        <v>0.95</v>
      </c>
      <c r="R2704" s="16">
        <v>0.95</v>
      </c>
      <c r="S2704" s="16">
        <v>0.95</v>
      </c>
      <c r="T2704" s="16">
        <v>0.95</v>
      </c>
      <c r="U2704" s="16">
        <v>0.95</v>
      </c>
      <c r="V2704" s="16">
        <v>0.95</v>
      </c>
      <c r="W2704" s="16">
        <v>0.95</v>
      </c>
      <c r="X2704" s="16">
        <v>0.15</v>
      </c>
      <c r="Y2704" s="16">
        <v>0.15</v>
      </c>
      <c r="Z2704" s="16">
        <v>0.15</v>
      </c>
      <c r="AA2704" s="16">
        <v>0.15</v>
      </c>
      <c r="AB2704" s="16">
        <v>0.15</v>
      </c>
      <c r="AC2704" s="16">
        <v>0</v>
      </c>
      <c r="AD2704" s="16">
        <v>0</v>
      </c>
      <c r="AE2704" s="16">
        <v>0</v>
      </c>
      <c r="AF2704" s="16" t="s">
        <v>413</v>
      </c>
    </row>
    <row r="2705" spans="1:32" ht="14.25" customHeight="1" x14ac:dyDescent="0.35">
      <c r="A2705" s="14" t="s">
        <v>1756</v>
      </c>
      <c r="B2705" s="14" t="s">
        <v>448</v>
      </c>
      <c r="C2705" s="14"/>
      <c r="D2705" s="14" t="s">
        <v>530</v>
      </c>
      <c r="E2705" s="15">
        <v>41806</v>
      </c>
      <c r="F2705" s="15">
        <v>41897</v>
      </c>
      <c r="G2705" s="14" t="s">
        <v>410</v>
      </c>
      <c r="H2705" s="14">
        <v>0</v>
      </c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S2705" s="14"/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 t="s">
        <v>413</v>
      </c>
    </row>
    <row r="2706" spans="1:32" ht="14.25" customHeight="1" x14ac:dyDescent="0.35">
      <c r="A2706" s="14" t="s">
        <v>1756</v>
      </c>
      <c r="B2706" s="14" t="s">
        <v>448</v>
      </c>
      <c r="C2706" s="14"/>
      <c r="D2706" s="14" t="s">
        <v>530</v>
      </c>
      <c r="E2706" s="15">
        <v>41640</v>
      </c>
      <c r="F2706" s="15">
        <v>41805</v>
      </c>
      <c r="G2706" s="14" t="s">
        <v>410</v>
      </c>
      <c r="H2706" s="14">
        <v>0</v>
      </c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 t="s">
        <v>413</v>
      </c>
    </row>
    <row r="2707" spans="1:32" ht="14.25" customHeight="1" x14ac:dyDescent="0.35">
      <c r="A2707" s="14" t="s">
        <v>1757</v>
      </c>
      <c r="B2707" s="14" t="s">
        <v>448</v>
      </c>
      <c r="C2707" s="14"/>
      <c r="D2707" s="14" t="s">
        <v>476</v>
      </c>
      <c r="E2707" s="15">
        <v>41640</v>
      </c>
      <c r="F2707" s="15">
        <v>42004</v>
      </c>
      <c r="G2707" s="14" t="s">
        <v>410</v>
      </c>
      <c r="H2707" s="14">
        <v>0</v>
      </c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S2707" s="14"/>
      <c r="T2707" s="14"/>
      <c r="U2707" s="14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 t="s">
        <v>413</v>
      </c>
    </row>
    <row r="2708" spans="1:32" ht="14.25" customHeight="1" x14ac:dyDescent="0.35">
      <c r="A2708" s="16" t="s">
        <v>1757</v>
      </c>
      <c r="B2708" s="16" t="s">
        <v>448</v>
      </c>
      <c r="C2708" s="16"/>
      <c r="D2708" s="16" t="s">
        <v>419</v>
      </c>
      <c r="E2708" s="17">
        <v>41640</v>
      </c>
      <c r="F2708" s="17">
        <v>42004</v>
      </c>
      <c r="G2708" s="16" t="s">
        <v>415</v>
      </c>
      <c r="H2708" s="14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0.15</v>
      </c>
      <c r="R2708" s="14">
        <v>0.15</v>
      </c>
      <c r="S2708" s="14">
        <v>0.15</v>
      </c>
      <c r="T2708" s="14">
        <v>0.15</v>
      </c>
      <c r="U2708" s="14">
        <v>0.15</v>
      </c>
      <c r="V2708" s="14">
        <v>0.15</v>
      </c>
      <c r="W2708" s="14">
        <v>0.15</v>
      </c>
      <c r="X2708" s="14">
        <v>0.15</v>
      </c>
      <c r="Y2708" s="14">
        <v>0.35</v>
      </c>
      <c r="Z2708" s="14">
        <v>0.35</v>
      </c>
      <c r="AA2708" s="14">
        <v>0</v>
      </c>
      <c r="AB2708" s="14">
        <v>0</v>
      </c>
      <c r="AC2708" s="14">
        <v>0</v>
      </c>
      <c r="AD2708" s="14">
        <v>0</v>
      </c>
      <c r="AE2708" s="14">
        <v>0</v>
      </c>
      <c r="AF2708" s="16" t="s">
        <v>413</v>
      </c>
    </row>
    <row r="2709" spans="1:32" ht="14.25" customHeight="1" x14ac:dyDescent="0.35">
      <c r="A2709" s="14" t="s">
        <v>1757</v>
      </c>
      <c r="B2709" s="14" t="s">
        <v>448</v>
      </c>
      <c r="C2709" s="14"/>
      <c r="D2709" s="14" t="s">
        <v>429</v>
      </c>
      <c r="E2709" s="15">
        <v>41883</v>
      </c>
      <c r="F2709" s="15">
        <v>42004</v>
      </c>
      <c r="G2709" s="14" t="s">
        <v>415</v>
      </c>
      <c r="H2709" s="14">
        <v>0</v>
      </c>
      <c r="I2709" s="14">
        <v>0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0.95</v>
      </c>
      <c r="R2709" s="14">
        <v>0.95</v>
      </c>
      <c r="S2709" s="14">
        <v>0.95</v>
      </c>
      <c r="T2709" s="14">
        <v>0.95</v>
      </c>
      <c r="U2709" s="14">
        <v>0.95</v>
      </c>
      <c r="V2709" s="14">
        <v>0.95</v>
      </c>
      <c r="W2709" s="14">
        <v>0.35</v>
      </c>
      <c r="X2709" s="14">
        <v>0.35</v>
      </c>
      <c r="Y2709" s="14">
        <v>0.35</v>
      </c>
      <c r="Z2709" s="14">
        <v>0.35</v>
      </c>
      <c r="AA2709" s="14">
        <v>0.35</v>
      </c>
      <c r="AB2709" s="14">
        <v>0</v>
      </c>
      <c r="AC2709" s="14">
        <v>0</v>
      </c>
      <c r="AD2709" s="14">
        <v>0</v>
      </c>
      <c r="AE2709" s="14">
        <v>0</v>
      </c>
      <c r="AF2709" s="14" t="s">
        <v>413</v>
      </c>
    </row>
    <row r="2710" spans="1:32" ht="14.25" customHeight="1" x14ac:dyDescent="0.35">
      <c r="A2710" s="14" t="s">
        <v>1757</v>
      </c>
      <c r="B2710" s="14" t="s">
        <v>448</v>
      </c>
      <c r="C2710" s="14"/>
      <c r="D2710" s="14" t="s">
        <v>429</v>
      </c>
      <c r="E2710" s="15">
        <v>41821</v>
      </c>
      <c r="F2710" s="15">
        <v>41883</v>
      </c>
      <c r="G2710" s="14" t="s">
        <v>415</v>
      </c>
      <c r="H2710" s="14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0.15</v>
      </c>
      <c r="R2710" s="14">
        <v>0.15</v>
      </c>
      <c r="S2710" s="14">
        <v>0.15</v>
      </c>
      <c r="T2710" s="14">
        <v>0.15</v>
      </c>
      <c r="U2710" s="14">
        <v>0.15</v>
      </c>
      <c r="V2710" s="14">
        <v>0.15</v>
      </c>
      <c r="W2710" s="14">
        <v>0.15</v>
      </c>
      <c r="X2710" s="14">
        <v>0.15</v>
      </c>
      <c r="Y2710" s="14">
        <v>0.35</v>
      </c>
      <c r="Z2710" s="14">
        <v>0.35</v>
      </c>
      <c r="AA2710" s="14">
        <v>0</v>
      </c>
      <c r="AB2710" s="14">
        <v>0</v>
      </c>
      <c r="AC2710" s="14">
        <v>0</v>
      </c>
      <c r="AD2710" s="14">
        <v>0</v>
      </c>
      <c r="AE2710" s="14">
        <v>0</v>
      </c>
      <c r="AF2710" s="14" t="s">
        <v>413</v>
      </c>
    </row>
    <row r="2711" spans="1:32" ht="14.25" customHeight="1" x14ac:dyDescent="0.35">
      <c r="A2711" s="14" t="s">
        <v>1757</v>
      </c>
      <c r="B2711" s="14" t="s">
        <v>448</v>
      </c>
      <c r="C2711" s="14"/>
      <c r="D2711" s="14" t="s">
        <v>429</v>
      </c>
      <c r="E2711" s="15">
        <v>41640</v>
      </c>
      <c r="F2711" s="15">
        <v>41820</v>
      </c>
      <c r="G2711" s="14" t="s">
        <v>415</v>
      </c>
      <c r="H2711" s="14">
        <v>0</v>
      </c>
      <c r="I2711" s="14">
        <v>0</v>
      </c>
      <c r="J2711" s="14">
        <v>0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0.95</v>
      </c>
      <c r="R2711" s="14">
        <v>0.95</v>
      </c>
      <c r="S2711" s="14">
        <v>0.95</v>
      </c>
      <c r="T2711" s="14">
        <v>0.95</v>
      </c>
      <c r="U2711" s="14">
        <v>0.95</v>
      </c>
      <c r="V2711" s="14">
        <v>0.95</v>
      </c>
      <c r="W2711" s="14">
        <v>0.35</v>
      </c>
      <c r="X2711" s="14">
        <v>0.35</v>
      </c>
      <c r="Y2711" s="14">
        <v>0.35</v>
      </c>
      <c r="Z2711" s="14">
        <v>0.35</v>
      </c>
      <c r="AA2711" s="14">
        <v>0.35</v>
      </c>
      <c r="AB2711" s="14">
        <v>0</v>
      </c>
      <c r="AC2711" s="14">
        <v>0</v>
      </c>
      <c r="AD2711" s="14">
        <v>0</v>
      </c>
      <c r="AE2711" s="14">
        <v>0</v>
      </c>
      <c r="AF2711" s="14" t="s">
        <v>413</v>
      </c>
    </row>
    <row r="2712" spans="1:32" ht="14.25" customHeight="1" x14ac:dyDescent="0.35">
      <c r="A2712" s="16" t="s">
        <v>1757</v>
      </c>
      <c r="B2712" s="16" t="s">
        <v>448</v>
      </c>
      <c r="C2712" s="16"/>
      <c r="D2712" s="16" t="s">
        <v>530</v>
      </c>
      <c r="E2712" s="17">
        <v>41821</v>
      </c>
      <c r="F2712" s="17">
        <v>41883</v>
      </c>
      <c r="G2712" s="16" t="s">
        <v>410</v>
      </c>
      <c r="H2712" s="16">
        <v>0</v>
      </c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6"/>
      <c r="AA2712" s="16"/>
      <c r="AB2712" s="16"/>
      <c r="AC2712" s="16"/>
      <c r="AD2712" s="16"/>
      <c r="AE2712" s="16"/>
      <c r="AF2712" s="16" t="s">
        <v>413</v>
      </c>
    </row>
    <row r="2713" spans="1:32" ht="14.25" customHeight="1" x14ac:dyDescent="0.35">
      <c r="A2713" s="16" t="s">
        <v>1757</v>
      </c>
      <c r="B2713" s="16" t="s">
        <v>448</v>
      </c>
      <c r="C2713" s="16"/>
      <c r="D2713" s="16" t="s">
        <v>530</v>
      </c>
      <c r="E2713" s="17">
        <v>41640</v>
      </c>
      <c r="F2713" s="17">
        <v>41820</v>
      </c>
      <c r="G2713" s="16" t="s">
        <v>410</v>
      </c>
      <c r="H2713" s="16">
        <v>0</v>
      </c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16"/>
      <c r="AA2713" s="16"/>
      <c r="AB2713" s="16"/>
      <c r="AC2713" s="16"/>
      <c r="AD2713" s="16"/>
      <c r="AE2713" s="16"/>
      <c r="AF2713" s="16" t="s">
        <v>413</v>
      </c>
    </row>
    <row r="2714" spans="1:32" ht="14.25" customHeight="1" x14ac:dyDescent="0.35">
      <c r="A2714" s="16" t="s">
        <v>1758</v>
      </c>
      <c r="B2714" s="16" t="s">
        <v>448</v>
      </c>
      <c r="C2714" s="16"/>
      <c r="D2714" s="16" t="s">
        <v>476</v>
      </c>
      <c r="E2714" s="17">
        <v>41640</v>
      </c>
      <c r="F2714" s="17">
        <v>42004</v>
      </c>
      <c r="G2714" s="16" t="s">
        <v>410</v>
      </c>
      <c r="H2714" s="16">
        <v>0</v>
      </c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6"/>
      <c r="AA2714" s="16"/>
      <c r="AB2714" s="16"/>
      <c r="AC2714" s="16"/>
      <c r="AD2714" s="16"/>
      <c r="AE2714" s="16"/>
      <c r="AF2714" s="16" t="s">
        <v>413</v>
      </c>
    </row>
    <row r="2715" spans="1:32" ht="14.25" customHeight="1" x14ac:dyDescent="0.35">
      <c r="A2715" s="14" t="s">
        <v>1758</v>
      </c>
      <c r="B2715" s="14" t="s">
        <v>448</v>
      </c>
      <c r="C2715" s="14"/>
      <c r="D2715" s="14" t="s">
        <v>419</v>
      </c>
      <c r="E2715" s="15">
        <v>41640</v>
      </c>
      <c r="F2715" s="15">
        <v>42004</v>
      </c>
      <c r="G2715" s="14" t="s">
        <v>415</v>
      </c>
      <c r="H2715" s="16">
        <v>0</v>
      </c>
      <c r="I2715" s="16">
        <v>0</v>
      </c>
      <c r="J2715" s="16">
        <v>0</v>
      </c>
      <c r="K2715" s="16">
        <v>0</v>
      </c>
      <c r="L2715" s="16">
        <v>0</v>
      </c>
      <c r="M2715" s="16">
        <v>0</v>
      </c>
      <c r="N2715" s="16">
        <v>0</v>
      </c>
      <c r="O2715" s="16">
        <v>0</v>
      </c>
      <c r="P2715" s="16">
        <v>0.5</v>
      </c>
      <c r="Q2715" s="16">
        <v>0.5</v>
      </c>
      <c r="R2715" s="16">
        <v>0.5</v>
      </c>
      <c r="S2715" s="16">
        <v>0.5</v>
      </c>
      <c r="T2715" s="16">
        <v>0.5</v>
      </c>
      <c r="U2715" s="16">
        <v>0.5</v>
      </c>
      <c r="V2715" s="16">
        <v>0.5</v>
      </c>
      <c r="W2715" s="16">
        <v>0.5</v>
      </c>
      <c r="X2715" s="16">
        <v>0.5</v>
      </c>
      <c r="Y2715" s="16">
        <v>0.5</v>
      </c>
      <c r="Z2715" s="16">
        <v>0.5</v>
      </c>
      <c r="AA2715" s="16">
        <v>0.5</v>
      </c>
      <c r="AB2715" s="16">
        <v>0.5</v>
      </c>
      <c r="AC2715" s="16">
        <v>0</v>
      </c>
      <c r="AD2715" s="16">
        <v>0</v>
      </c>
      <c r="AE2715" s="16">
        <v>0</v>
      </c>
      <c r="AF2715" s="14" t="s">
        <v>413</v>
      </c>
    </row>
    <row r="2716" spans="1:32" ht="14.25" customHeight="1" x14ac:dyDescent="0.35">
      <c r="A2716" s="16" t="s">
        <v>1758</v>
      </c>
      <c r="B2716" s="16" t="s">
        <v>448</v>
      </c>
      <c r="C2716" s="16"/>
      <c r="D2716" s="16" t="s">
        <v>429</v>
      </c>
      <c r="E2716" s="17">
        <v>41883</v>
      </c>
      <c r="F2716" s="17">
        <v>42004</v>
      </c>
      <c r="G2716" s="16" t="s">
        <v>415</v>
      </c>
      <c r="H2716" s="16">
        <v>0</v>
      </c>
      <c r="I2716" s="16">
        <v>0</v>
      </c>
      <c r="J2716" s="16">
        <v>0</v>
      </c>
      <c r="K2716" s="16">
        <v>0</v>
      </c>
      <c r="L2716" s="16">
        <v>0</v>
      </c>
      <c r="M2716" s="16">
        <v>0</v>
      </c>
      <c r="N2716" s="16">
        <v>0</v>
      </c>
      <c r="O2716" s="16">
        <v>0</v>
      </c>
      <c r="P2716" s="16">
        <v>0.95</v>
      </c>
      <c r="Q2716" s="16">
        <v>0.95</v>
      </c>
      <c r="R2716" s="16">
        <v>0.95</v>
      </c>
      <c r="S2716" s="16">
        <v>0.95</v>
      </c>
      <c r="T2716" s="16">
        <v>0.95</v>
      </c>
      <c r="U2716" s="16">
        <v>0.95</v>
      </c>
      <c r="V2716" s="16">
        <v>0.95</v>
      </c>
      <c r="W2716" s="16">
        <v>0.95</v>
      </c>
      <c r="X2716" s="16">
        <v>0.95</v>
      </c>
      <c r="Y2716" s="16">
        <v>0.95</v>
      </c>
      <c r="Z2716" s="16">
        <v>0.95</v>
      </c>
      <c r="AA2716" s="16">
        <v>0.95</v>
      </c>
      <c r="AB2716" s="16">
        <v>0.95</v>
      </c>
      <c r="AC2716" s="16">
        <v>0</v>
      </c>
      <c r="AD2716" s="16">
        <v>0</v>
      </c>
      <c r="AE2716" s="16">
        <v>0</v>
      </c>
      <c r="AF2716" s="16" t="s">
        <v>413</v>
      </c>
    </row>
    <row r="2717" spans="1:32" ht="14.25" customHeight="1" x14ac:dyDescent="0.35">
      <c r="A2717" s="16" t="s">
        <v>1758</v>
      </c>
      <c r="B2717" s="16" t="s">
        <v>448</v>
      </c>
      <c r="C2717" s="16"/>
      <c r="D2717" s="16" t="s">
        <v>429</v>
      </c>
      <c r="E2717" s="17">
        <v>41821</v>
      </c>
      <c r="F2717" s="17">
        <v>41883</v>
      </c>
      <c r="G2717" s="16" t="s">
        <v>415</v>
      </c>
      <c r="H2717" s="16">
        <v>0</v>
      </c>
      <c r="I2717" s="16">
        <v>0</v>
      </c>
      <c r="J2717" s="16">
        <v>0</v>
      </c>
      <c r="K2717" s="16">
        <v>0</v>
      </c>
      <c r="L2717" s="16">
        <v>0</v>
      </c>
      <c r="M2717" s="16">
        <v>0</v>
      </c>
      <c r="N2717" s="16">
        <v>0</v>
      </c>
      <c r="O2717" s="16">
        <v>0</v>
      </c>
      <c r="P2717" s="16">
        <v>0.5</v>
      </c>
      <c r="Q2717" s="16">
        <v>0.5</v>
      </c>
      <c r="R2717" s="16">
        <v>0.5</v>
      </c>
      <c r="S2717" s="16">
        <v>0.5</v>
      </c>
      <c r="T2717" s="16">
        <v>0.5</v>
      </c>
      <c r="U2717" s="16">
        <v>0.5</v>
      </c>
      <c r="V2717" s="16">
        <v>0.5</v>
      </c>
      <c r="W2717" s="16">
        <v>0.5</v>
      </c>
      <c r="X2717" s="16">
        <v>0.5</v>
      </c>
      <c r="Y2717" s="16">
        <v>0.5</v>
      </c>
      <c r="Z2717" s="16">
        <v>0.5</v>
      </c>
      <c r="AA2717" s="16">
        <v>0.5</v>
      </c>
      <c r="AB2717" s="16">
        <v>0.5</v>
      </c>
      <c r="AC2717" s="16">
        <v>0</v>
      </c>
      <c r="AD2717" s="16">
        <v>0</v>
      </c>
      <c r="AE2717" s="16">
        <v>0</v>
      </c>
      <c r="AF2717" s="16" t="s">
        <v>413</v>
      </c>
    </row>
    <row r="2718" spans="1:32" ht="14.25" customHeight="1" x14ac:dyDescent="0.35">
      <c r="A2718" s="16" t="s">
        <v>1758</v>
      </c>
      <c r="B2718" s="16" t="s">
        <v>448</v>
      </c>
      <c r="C2718" s="16"/>
      <c r="D2718" s="16" t="s">
        <v>429</v>
      </c>
      <c r="E2718" s="17">
        <v>41640</v>
      </c>
      <c r="F2718" s="17">
        <v>41820</v>
      </c>
      <c r="G2718" s="16" t="s">
        <v>415</v>
      </c>
      <c r="H2718" s="16">
        <v>0</v>
      </c>
      <c r="I2718" s="16">
        <v>0</v>
      </c>
      <c r="J2718" s="16">
        <v>0</v>
      </c>
      <c r="K2718" s="16">
        <v>0</v>
      </c>
      <c r="L2718" s="16">
        <v>0</v>
      </c>
      <c r="M2718" s="16">
        <v>0</v>
      </c>
      <c r="N2718" s="16">
        <v>0</v>
      </c>
      <c r="O2718" s="16">
        <v>0</v>
      </c>
      <c r="P2718" s="16">
        <v>0.95</v>
      </c>
      <c r="Q2718" s="16">
        <v>0.95</v>
      </c>
      <c r="R2718" s="16">
        <v>0.95</v>
      </c>
      <c r="S2718" s="16">
        <v>0.95</v>
      </c>
      <c r="T2718" s="16">
        <v>0.95</v>
      </c>
      <c r="U2718" s="16">
        <v>0.95</v>
      </c>
      <c r="V2718" s="16">
        <v>0.95</v>
      </c>
      <c r="W2718" s="16">
        <v>0.95</v>
      </c>
      <c r="X2718" s="16">
        <v>0.95</v>
      </c>
      <c r="Y2718" s="16">
        <v>0.95</v>
      </c>
      <c r="Z2718" s="16">
        <v>0.95</v>
      </c>
      <c r="AA2718" s="16">
        <v>0.95</v>
      </c>
      <c r="AB2718" s="16">
        <v>0.95</v>
      </c>
      <c r="AC2718" s="16">
        <v>0</v>
      </c>
      <c r="AD2718" s="16">
        <v>0</v>
      </c>
      <c r="AE2718" s="16">
        <v>0</v>
      </c>
      <c r="AF2718" s="16" t="s">
        <v>413</v>
      </c>
    </row>
    <row r="2719" spans="1:32" ht="14.25" customHeight="1" x14ac:dyDescent="0.35">
      <c r="A2719" s="14" t="s">
        <v>1758</v>
      </c>
      <c r="B2719" s="14" t="s">
        <v>448</v>
      </c>
      <c r="C2719" s="14"/>
      <c r="D2719" s="14" t="s">
        <v>530</v>
      </c>
      <c r="E2719" s="15">
        <v>41821</v>
      </c>
      <c r="F2719" s="15">
        <v>41883</v>
      </c>
      <c r="G2719" s="14" t="s">
        <v>410</v>
      </c>
      <c r="H2719" s="14">
        <v>0</v>
      </c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S2719" s="14"/>
      <c r="T2719" s="14"/>
      <c r="U2719" s="14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F2719" s="14" t="s">
        <v>413</v>
      </c>
    </row>
    <row r="2720" spans="1:32" ht="14.25" customHeight="1" x14ac:dyDescent="0.35">
      <c r="A2720" s="14" t="s">
        <v>1758</v>
      </c>
      <c r="B2720" s="14" t="s">
        <v>448</v>
      </c>
      <c r="C2720" s="14"/>
      <c r="D2720" s="14" t="s">
        <v>530</v>
      </c>
      <c r="E2720" s="15">
        <v>41640</v>
      </c>
      <c r="F2720" s="15">
        <v>41820</v>
      </c>
      <c r="G2720" s="14" t="s">
        <v>410</v>
      </c>
      <c r="H2720" s="14">
        <v>0</v>
      </c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4"/>
      <c r="U2720" s="14"/>
      <c r="V2720" s="14"/>
      <c r="W2720" s="14"/>
      <c r="X2720" s="14"/>
      <c r="Y2720" s="14"/>
      <c r="Z2720" s="14"/>
      <c r="AA2720" s="14"/>
      <c r="AB2720" s="14"/>
      <c r="AC2720" s="14"/>
      <c r="AD2720" s="14"/>
      <c r="AE2720" s="14"/>
      <c r="AF2720" s="14" t="s">
        <v>413</v>
      </c>
    </row>
    <row r="2721" spans="1:32" ht="14.25" customHeight="1" x14ac:dyDescent="0.35">
      <c r="A2721" s="14" t="s">
        <v>1759</v>
      </c>
      <c r="B2721" s="14" t="s">
        <v>448</v>
      </c>
      <c r="C2721" s="14"/>
      <c r="D2721" s="14" t="s">
        <v>476</v>
      </c>
      <c r="E2721" s="15">
        <v>41640</v>
      </c>
      <c r="F2721" s="15">
        <v>42004</v>
      </c>
      <c r="G2721" s="14" t="s">
        <v>410</v>
      </c>
      <c r="H2721" s="14">
        <v>0</v>
      </c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S2721" s="14"/>
      <c r="T2721" s="14"/>
      <c r="U2721" s="14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 t="s">
        <v>413</v>
      </c>
    </row>
    <row r="2722" spans="1:32" ht="14.25" customHeight="1" x14ac:dyDescent="0.35">
      <c r="A2722" s="16" t="s">
        <v>1759</v>
      </c>
      <c r="B2722" s="16" t="s">
        <v>448</v>
      </c>
      <c r="C2722" s="16"/>
      <c r="D2722" s="16" t="s">
        <v>419</v>
      </c>
      <c r="E2722" s="17">
        <v>41640</v>
      </c>
      <c r="F2722" s="17">
        <v>42004</v>
      </c>
      <c r="G2722" s="16" t="s">
        <v>415</v>
      </c>
      <c r="H2722" s="16">
        <v>0</v>
      </c>
      <c r="I2722" s="16">
        <v>0</v>
      </c>
      <c r="J2722" s="16">
        <v>0</v>
      </c>
      <c r="K2722" s="16">
        <v>0</v>
      </c>
      <c r="L2722" s="16">
        <v>0</v>
      </c>
      <c r="M2722" s="16">
        <v>0</v>
      </c>
      <c r="N2722" s="16">
        <v>0</v>
      </c>
      <c r="O2722" s="16">
        <v>0</v>
      </c>
      <c r="P2722" s="16">
        <v>0.35</v>
      </c>
      <c r="Q2722" s="16">
        <v>0.35</v>
      </c>
      <c r="R2722" s="16">
        <v>0.35</v>
      </c>
      <c r="S2722" s="16">
        <v>0.35</v>
      </c>
      <c r="T2722" s="16">
        <v>0.35</v>
      </c>
      <c r="U2722" s="16">
        <v>0.35</v>
      </c>
      <c r="V2722" s="16">
        <v>0.35</v>
      </c>
      <c r="W2722" s="16">
        <v>0.35</v>
      </c>
      <c r="X2722" s="16">
        <v>0.95</v>
      </c>
      <c r="Y2722" s="16">
        <v>0.95</v>
      </c>
      <c r="Z2722" s="16">
        <v>0.95</v>
      </c>
      <c r="AA2722" s="16">
        <v>0.95</v>
      </c>
      <c r="AB2722" s="16">
        <v>0.95</v>
      </c>
      <c r="AC2722" s="16">
        <v>0</v>
      </c>
      <c r="AD2722" s="16">
        <v>0</v>
      </c>
      <c r="AE2722" s="16">
        <v>0</v>
      </c>
      <c r="AF2722" s="16" t="s">
        <v>413</v>
      </c>
    </row>
    <row r="2723" spans="1:32" ht="14.25" customHeight="1" x14ac:dyDescent="0.35">
      <c r="A2723" s="14" t="s">
        <v>1759</v>
      </c>
      <c r="B2723" s="14" t="s">
        <v>448</v>
      </c>
      <c r="C2723" s="14"/>
      <c r="D2723" s="14" t="s">
        <v>429</v>
      </c>
      <c r="E2723" s="15">
        <v>41883</v>
      </c>
      <c r="F2723" s="15">
        <v>42004</v>
      </c>
      <c r="G2723" s="14" t="s">
        <v>415</v>
      </c>
      <c r="H2723" s="14">
        <v>0</v>
      </c>
      <c r="I2723" s="14">
        <v>0</v>
      </c>
      <c r="J2723" s="14">
        <v>0</v>
      </c>
      <c r="K2723" s="14">
        <v>0</v>
      </c>
      <c r="L2723" s="14">
        <v>0</v>
      </c>
      <c r="M2723" s="14">
        <v>0</v>
      </c>
      <c r="N2723" s="14">
        <v>0</v>
      </c>
      <c r="O2723" s="14">
        <v>0</v>
      </c>
      <c r="P2723" s="14">
        <v>0.35</v>
      </c>
      <c r="Q2723" s="14">
        <v>0.35</v>
      </c>
      <c r="R2723" s="14">
        <v>0.35</v>
      </c>
      <c r="S2723" s="14">
        <v>0.35</v>
      </c>
      <c r="T2723" s="14">
        <v>0.35</v>
      </c>
      <c r="U2723" s="14">
        <v>0.35</v>
      </c>
      <c r="V2723" s="14">
        <v>0.35</v>
      </c>
      <c r="W2723" s="14">
        <v>0.35</v>
      </c>
      <c r="X2723" s="14">
        <v>0.95</v>
      </c>
      <c r="Y2723" s="14">
        <v>0.95</v>
      </c>
      <c r="Z2723" s="14">
        <v>0.95</v>
      </c>
      <c r="AA2723" s="14">
        <v>0.95</v>
      </c>
      <c r="AB2723" s="14">
        <v>0.95</v>
      </c>
      <c r="AC2723" s="14">
        <v>0</v>
      </c>
      <c r="AD2723" s="14">
        <v>0</v>
      </c>
      <c r="AE2723" s="14">
        <v>0</v>
      </c>
      <c r="AF2723" s="14" t="s">
        <v>413</v>
      </c>
    </row>
    <row r="2724" spans="1:32" ht="14.25" customHeight="1" x14ac:dyDescent="0.35">
      <c r="A2724" s="14" t="s">
        <v>1759</v>
      </c>
      <c r="B2724" s="14" t="s">
        <v>448</v>
      </c>
      <c r="C2724" s="14"/>
      <c r="D2724" s="14" t="s">
        <v>429</v>
      </c>
      <c r="E2724" s="15">
        <v>41821</v>
      </c>
      <c r="F2724" s="15">
        <v>41883</v>
      </c>
      <c r="G2724" s="14" t="s">
        <v>415</v>
      </c>
      <c r="H2724" s="14">
        <v>0</v>
      </c>
      <c r="I2724" s="14">
        <v>0</v>
      </c>
      <c r="J2724" s="14">
        <v>0</v>
      </c>
      <c r="K2724" s="14">
        <v>0</v>
      </c>
      <c r="L2724" s="14">
        <v>0</v>
      </c>
      <c r="M2724" s="14">
        <v>0</v>
      </c>
      <c r="N2724" s="14">
        <v>0</v>
      </c>
      <c r="O2724" s="14">
        <v>0</v>
      </c>
      <c r="P2724" s="14">
        <v>0.35</v>
      </c>
      <c r="Q2724" s="14">
        <v>0.35</v>
      </c>
      <c r="R2724" s="14">
        <v>0.35</v>
      </c>
      <c r="S2724" s="14">
        <v>0.35</v>
      </c>
      <c r="T2724" s="14">
        <v>0.35</v>
      </c>
      <c r="U2724" s="14">
        <v>0.35</v>
      </c>
      <c r="V2724" s="14">
        <v>0.35</v>
      </c>
      <c r="W2724" s="14">
        <v>0.35</v>
      </c>
      <c r="X2724" s="14">
        <v>0.35</v>
      </c>
      <c r="Y2724" s="14">
        <v>0.35</v>
      </c>
      <c r="Z2724" s="14">
        <v>0.35</v>
      </c>
      <c r="AA2724" s="14">
        <v>0.35</v>
      </c>
      <c r="AB2724" s="14">
        <v>0.35</v>
      </c>
      <c r="AC2724" s="14">
        <v>0</v>
      </c>
      <c r="AD2724" s="14">
        <v>0</v>
      </c>
      <c r="AE2724" s="14">
        <v>0</v>
      </c>
      <c r="AF2724" s="14" t="s">
        <v>413</v>
      </c>
    </row>
    <row r="2725" spans="1:32" ht="14.25" customHeight="1" x14ac:dyDescent="0.35">
      <c r="A2725" s="14" t="s">
        <v>1759</v>
      </c>
      <c r="B2725" s="14" t="s">
        <v>448</v>
      </c>
      <c r="C2725" s="14"/>
      <c r="D2725" s="14" t="s">
        <v>429</v>
      </c>
      <c r="E2725" s="15">
        <v>41640</v>
      </c>
      <c r="F2725" s="15">
        <v>41820</v>
      </c>
      <c r="G2725" s="14" t="s">
        <v>415</v>
      </c>
      <c r="H2725" s="14">
        <v>0</v>
      </c>
      <c r="I2725" s="14">
        <v>0</v>
      </c>
      <c r="J2725" s="14">
        <v>0</v>
      </c>
      <c r="K2725" s="14">
        <v>0</v>
      </c>
      <c r="L2725" s="14">
        <v>0</v>
      </c>
      <c r="M2725" s="14">
        <v>0</v>
      </c>
      <c r="N2725" s="14">
        <v>0</v>
      </c>
      <c r="O2725" s="14">
        <v>0</v>
      </c>
      <c r="P2725" s="14">
        <v>0.35</v>
      </c>
      <c r="Q2725" s="14">
        <v>0.35</v>
      </c>
      <c r="R2725" s="14">
        <v>0.35</v>
      </c>
      <c r="S2725" s="14">
        <v>0.35</v>
      </c>
      <c r="T2725" s="14">
        <v>0.35</v>
      </c>
      <c r="U2725" s="14">
        <v>0.35</v>
      </c>
      <c r="V2725" s="14">
        <v>0.35</v>
      </c>
      <c r="W2725" s="14">
        <v>0.35</v>
      </c>
      <c r="X2725" s="14">
        <v>0.95</v>
      </c>
      <c r="Y2725" s="14">
        <v>0.95</v>
      </c>
      <c r="Z2725" s="14">
        <v>0.95</v>
      </c>
      <c r="AA2725" s="14">
        <v>0.95</v>
      </c>
      <c r="AB2725" s="14">
        <v>0.95</v>
      </c>
      <c r="AC2725" s="14">
        <v>0</v>
      </c>
      <c r="AD2725" s="14">
        <v>0</v>
      </c>
      <c r="AE2725" s="14">
        <v>0</v>
      </c>
      <c r="AF2725" s="14" t="s">
        <v>413</v>
      </c>
    </row>
    <row r="2726" spans="1:32" ht="14.25" customHeight="1" x14ac:dyDescent="0.35">
      <c r="A2726" s="16" t="s">
        <v>1759</v>
      </c>
      <c r="B2726" s="16" t="s">
        <v>448</v>
      </c>
      <c r="C2726" s="16"/>
      <c r="D2726" s="16" t="s">
        <v>530</v>
      </c>
      <c r="E2726" s="17">
        <v>41821</v>
      </c>
      <c r="F2726" s="17">
        <v>41883</v>
      </c>
      <c r="G2726" s="16" t="s">
        <v>410</v>
      </c>
      <c r="H2726" s="16">
        <v>0</v>
      </c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6"/>
      <c r="AA2726" s="16"/>
      <c r="AB2726" s="16"/>
      <c r="AC2726" s="16"/>
      <c r="AD2726" s="16"/>
      <c r="AE2726" s="16"/>
      <c r="AF2726" s="16" t="s">
        <v>413</v>
      </c>
    </row>
    <row r="2727" spans="1:32" ht="14.25" customHeight="1" x14ac:dyDescent="0.35">
      <c r="A2727" s="16" t="s">
        <v>1759</v>
      </c>
      <c r="B2727" s="16" t="s">
        <v>448</v>
      </c>
      <c r="C2727" s="16"/>
      <c r="D2727" s="16" t="s">
        <v>530</v>
      </c>
      <c r="E2727" s="17">
        <v>41640</v>
      </c>
      <c r="F2727" s="17">
        <v>41820</v>
      </c>
      <c r="G2727" s="16" t="s">
        <v>410</v>
      </c>
      <c r="H2727" s="16">
        <v>0</v>
      </c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16"/>
      <c r="AA2727" s="16"/>
      <c r="AB2727" s="16"/>
      <c r="AC2727" s="16"/>
      <c r="AD2727" s="16"/>
      <c r="AE2727" s="16"/>
      <c r="AF2727" s="16" t="s">
        <v>413</v>
      </c>
    </row>
    <row r="2728" spans="1:32" ht="14.25" customHeight="1" x14ac:dyDescent="0.35">
      <c r="A2728" s="16" t="s">
        <v>1760</v>
      </c>
      <c r="B2728" s="16" t="s">
        <v>448</v>
      </c>
      <c r="C2728" s="16"/>
      <c r="D2728" s="16" t="s">
        <v>476</v>
      </c>
      <c r="E2728" s="17">
        <v>41640</v>
      </c>
      <c r="F2728" s="17">
        <v>42004</v>
      </c>
      <c r="G2728" s="16" t="s">
        <v>410</v>
      </c>
      <c r="H2728" s="16">
        <v>0</v>
      </c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6"/>
      <c r="AA2728" s="16"/>
      <c r="AB2728" s="16"/>
      <c r="AC2728" s="16"/>
      <c r="AD2728" s="16"/>
      <c r="AE2728" s="16"/>
      <c r="AF2728" s="16" t="s">
        <v>413</v>
      </c>
    </row>
    <row r="2729" spans="1:32" ht="14.25" customHeight="1" x14ac:dyDescent="0.35">
      <c r="A2729" s="14" t="s">
        <v>1760</v>
      </c>
      <c r="B2729" s="14" t="s">
        <v>448</v>
      </c>
      <c r="C2729" s="14"/>
      <c r="D2729" s="14" t="s">
        <v>419</v>
      </c>
      <c r="E2729" s="15">
        <v>41640</v>
      </c>
      <c r="F2729" s="15">
        <v>42004</v>
      </c>
      <c r="G2729" s="14" t="s">
        <v>415</v>
      </c>
      <c r="H2729" s="16">
        <v>0</v>
      </c>
      <c r="I2729" s="16">
        <v>0</v>
      </c>
      <c r="J2729" s="16">
        <v>0</v>
      </c>
      <c r="K2729" s="16">
        <v>0</v>
      </c>
      <c r="L2729" s="16">
        <v>0</v>
      </c>
      <c r="M2729" s="16">
        <v>0</v>
      </c>
      <c r="N2729" s="16">
        <v>0</v>
      </c>
      <c r="O2729" s="16">
        <v>0</v>
      </c>
      <c r="P2729" s="16">
        <v>0.5</v>
      </c>
      <c r="Q2729" s="16">
        <v>0.5</v>
      </c>
      <c r="R2729" s="16">
        <v>0.5</v>
      </c>
      <c r="S2729" s="16">
        <v>0.5</v>
      </c>
      <c r="T2729" s="16">
        <v>0.5</v>
      </c>
      <c r="U2729" s="16">
        <v>0.5</v>
      </c>
      <c r="V2729" s="16">
        <v>0.5</v>
      </c>
      <c r="W2729" s="16">
        <v>0.5</v>
      </c>
      <c r="X2729" s="16">
        <v>0.5</v>
      </c>
      <c r="Y2729" s="16">
        <v>0.15</v>
      </c>
      <c r="Z2729" s="16">
        <v>0.15</v>
      </c>
      <c r="AA2729" s="16">
        <v>0.15</v>
      </c>
      <c r="AB2729" s="16">
        <v>0.15</v>
      </c>
      <c r="AC2729" s="16">
        <v>0</v>
      </c>
      <c r="AD2729" s="16">
        <v>0</v>
      </c>
      <c r="AE2729" s="16">
        <v>0</v>
      </c>
      <c r="AF2729" s="14" t="s">
        <v>413</v>
      </c>
    </row>
    <row r="2730" spans="1:32" ht="14.25" customHeight="1" x14ac:dyDescent="0.35">
      <c r="A2730" s="16" t="s">
        <v>1760</v>
      </c>
      <c r="B2730" s="16" t="s">
        <v>448</v>
      </c>
      <c r="C2730" s="16"/>
      <c r="D2730" s="16" t="s">
        <v>429</v>
      </c>
      <c r="E2730" s="17">
        <v>41883</v>
      </c>
      <c r="F2730" s="17">
        <v>42004</v>
      </c>
      <c r="G2730" s="16" t="s">
        <v>415</v>
      </c>
      <c r="H2730" s="16">
        <v>0</v>
      </c>
      <c r="I2730" s="16">
        <v>0</v>
      </c>
      <c r="J2730" s="16">
        <v>0</v>
      </c>
      <c r="K2730" s="16">
        <v>0</v>
      </c>
      <c r="L2730" s="16">
        <v>0</v>
      </c>
      <c r="M2730" s="16">
        <v>0</v>
      </c>
      <c r="N2730" s="16">
        <v>0</v>
      </c>
      <c r="O2730" s="16">
        <v>0</v>
      </c>
      <c r="P2730" s="16">
        <v>0.95</v>
      </c>
      <c r="Q2730" s="16">
        <v>0.95</v>
      </c>
      <c r="R2730" s="16">
        <v>0.95</v>
      </c>
      <c r="S2730" s="16">
        <v>0.95</v>
      </c>
      <c r="T2730" s="16">
        <v>0.95</v>
      </c>
      <c r="U2730" s="16">
        <v>0.95</v>
      </c>
      <c r="V2730" s="16">
        <v>0.95</v>
      </c>
      <c r="W2730" s="16">
        <v>0.95</v>
      </c>
      <c r="X2730" s="16">
        <v>0.95</v>
      </c>
      <c r="Y2730" s="16">
        <v>0.15</v>
      </c>
      <c r="Z2730" s="16">
        <v>0.15</v>
      </c>
      <c r="AA2730" s="16">
        <v>0.15</v>
      </c>
      <c r="AB2730" s="16">
        <v>0.15</v>
      </c>
      <c r="AC2730" s="16">
        <v>0</v>
      </c>
      <c r="AD2730" s="16">
        <v>0</v>
      </c>
      <c r="AE2730" s="16">
        <v>0</v>
      </c>
      <c r="AF2730" s="16" t="s">
        <v>413</v>
      </c>
    </row>
    <row r="2731" spans="1:32" ht="14.25" customHeight="1" x14ac:dyDescent="0.35">
      <c r="A2731" s="16" t="s">
        <v>1760</v>
      </c>
      <c r="B2731" s="16" t="s">
        <v>448</v>
      </c>
      <c r="C2731" s="16"/>
      <c r="D2731" s="16" t="s">
        <v>429</v>
      </c>
      <c r="E2731" s="17">
        <v>41821</v>
      </c>
      <c r="F2731" s="17">
        <v>41883</v>
      </c>
      <c r="G2731" s="16" t="s">
        <v>415</v>
      </c>
      <c r="H2731" s="16">
        <v>0</v>
      </c>
      <c r="I2731" s="16">
        <v>0</v>
      </c>
      <c r="J2731" s="16">
        <v>0</v>
      </c>
      <c r="K2731" s="16">
        <v>0</v>
      </c>
      <c r="L2731" s="16">
        <v>0</v>
      </c>
      <c r="M2731" s="16">
        <v>0</v>
      </c>
      <c r="N2731" s="16">
        <v>0</v>
      </c>
      <c r="O2731" s="16">
        <v>0</v>
      </c>
      <c r="P2731" s="16">
        <v>0.5</v>
      </c>
      <c r="Q2731" s="16">
        <v>0.5</v>
      </c>
      <c r="R2731" s="16">
        <v>0.5</v>
      </c>
      <c r="S2731" s="16">
        <v>0.5</v>
      </c>
      <c r="T2731" s="16">
        <v>0.5</v>
      </c>
      <c r="U2731" s="16">
        <v>0.5</v>
      </c>
      <c r="V2731" s="16">
        <v>0.5</v>
      </c>
      <c r="W2731" s="16">
        <v>0.5</v>
      </c>
      <c r="X2731" s="16">
        <v>0.5</v>
      </c>
      <c r="Y2731" s="16">
        <v>0.15</v>
      </c>
      <c r="Z2731" s="16">
        <v>0.15</v>
      </c>
      <c r="AA2731" s="16">
        <v>0.15</v>
      </c>
      <c r="AB2731" s="16">
        <v>0.15</v>
      </c>
      <c r="AC2731" s="16">
        <v>0</v>
      </c>
      <c r="AD2731" s="16">
        <v>0</v>
      </c>
      <c r="AE2731" s="16">
        <v>0</v>
      </c>
      <c r="AF2731" s="16" t="s">
        <v>413</v>
      </c>
    </row>
    <row r="2732" spans="1:32" ht="14.25" customHeight="1" x14ac:dyDescent="0.35">
      <c r="A2732" s="16" t="s">
        <v>1760</v>
      </c>
      <c r="B2732" s="16" t="s">
        <v>448</v>
      </c>
      <c r="C2732" s="16"/>
      <c r="D2732" s="16" t="s">
        <v>429</v>
      </c>
      <c r="E2732" s="17">
        <v>41640</v>
      </c>
      <c r="F2732" s="17">
        <v>41820</v>
      </c>
      <c r="G2732" s="16" t="s">
        <v>415</v>
      </c>
      <c r="H2732" s="16">
        <v>0</v>
      </c>
      <c r="I2732" s="16">
        <v>0</v>
      </c>
      <c r="J2732" s="16">
        <v>0</v>
      </c>
      <c r="K2732" s="16">
        <v>0</v>
      </c>
      <c r="L2732" s="16">
        <v>0</v>
      </c>
      <c r="M2732" s="16">
        <v>0</v>
      </c>
      <c r="N2732" s="16">
        <v>0</v>
      </c>
      <c r="O2732" s="16">
        <v>0</v>
      </c>
      <c r="P2732" s="16">
        <v>0.95</v>
      </c>
      <c r="Q2732" s="16">
        <v>0.95</v>
      </c>
      <c r="R2732" s="16">
        <v>0.95</v>
      </c>
      <c r="S2732" s="16">
        <v>0.95</v>
      </c>
      <c r="T2732" s="16">
        <v>0.95</v>
      </c>
      <c r="U2732" s="16">
        <v>0.95</v>
      </c>
      <c r="V2732" s="16">
        <v>0.95</v>
      </c>
      <c r="W2732" s="16">
        <v>0.95</v>
      </c>
      <c r="X2732" s="16">
        <v>0.95</v>
      </c>
      <c r="Y2732" s="16">
        <v>0.15</v>
      </c>
      <c r="Z2732" s="16">
        <v>0.15</v>
      </c>
      <c r="AA2732" s="16">
        <v>0.15</v>
      </c>
      <c r="AB2732" s="16">
        <v>0.15</v>
      </c>
      <c r="AC2732" s="16">
        <v>0</v>
      </c>
      <c r="AD2732" s="16">
        <v>0</v>
      </c>
      <c r="AE2732" s="16">
        <v>0</v>
      </c>
      <c r="AF2732" s="16" t="s">
        <v>413</v>
      </c>
    </row>
    <row r="2733" spans="1:32" ht="14.25" customHeight="1" x14ac:dyDescent="0.35">
      <c r="A2733" s="14" t="s">
        <v>1760</v>
      </c>
      <c r="B2733" s="14" t="s">
        <v>448</v>
      </c>
      <c r="C2733" s="14"/>
      <c r="D2733" s="14" t="s">
        <v>530</v>
      </c>
      <c r="E2733" s="15">
        <v>41821</v>
      </c>
      <c r="F2733" s="15">
        <v>41883</v>
      </c>
      <c r="G2733" s="14" t="s">
        <v>410</v>
      </c>
      <c r="H2733" s="14">
        <v>0</v>
      </c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 t="s">
        <v>413</v>
      </c>
    </row>
    <row r="2734" spans="1:32" ht="14.25" customHeight="1" x14ac:dyDescent="0.35">
      <c r="A2734" s="14" t="s">
        <v>1760</v>
      </c>
      <c r="B2734" s="14" t="s">
        <v>448</v>
      </c>
      <c r="C2734" s="14"/>
      <c r="D2734" s="14" t="s">
        <v>530</v>
      </c>
      <c r="E2734" s="15">
        <v>41640</v>
      </c>
      <c r="F2734" s="15">
        <v>41820</v>
      </c>
      <c r="G2734" s="14" t="s">
        <v>410</v>
      </c>
      <c r="H2734" s="14">
        <v>0</v>
      </c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 t="s">
        <v>413</v>
      </c>
    </row>
    <row r="2735" spans="1:32" ht="14.25" customHeight="1" x14ac:dyDescent="0.35">
      <c r="A2735" s="14" t="s">
        <v>1761</v>
      </c>
      <c r="B2735" s="14" t="s">
        <v>460</v>
      </c>
      <c r="C2735" s="14"/>
      <c r="D2735" s="14" t="s">
        <v>417</v>
      </c>
      <c r="E2735" s="15">
        <v>41640</v>
      </c>
      <c r="F2735" s="15">
        <v>42004</v>
      </c>
      <c r="G2735" s="14" t="s">
        <v>410</v>
      </c>
      <c r="H2735" s="14">
        <v>0</v>
      </c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  <c r="U2735" s="14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 t="s">
        <v>413</v>
      </c>
    </row>
    <row r="2736" spans="1:32" ht="14.25" customHeight="1" x14ac:dyDescent="0.35">
      <c r="A2736" s="16" t="s">
        <v>1761</v>
      </c>
      <c r="B2736" s="16" t="s">
        <v>460</v>
      </c>
      <c r="C2736" s="16"/>
      <c r="D2736" s="16" t="s">
        <v>512</v>
      </c>
      <c r="E2736" s="17">
        <v>41898</v>
      </c>
      <c r="F2736" s="17">
        <v>42004</v>
      </c>
      <c r="G2736" s="16" t="s">
        <v>410</v>
      </c>
      <c r="H2736" s="16">
        <v>0</v>
      </c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6"/>
      <c r="AA2736" s="16"/>
      <c r="AB2736" s="16"/>
      <c r="AC2736" s="16"/>
      <c r="AD2736" s="16"/>
      <c r="AE2736" s="16"/>
      <c r="AF2736" s="16" t="s">
        <v>413</v>
      </c>
    </row>
    <row r="2737" spans="1:32" ht="14.25" customHeight="1" x14ac:dyDescent="0.35">
      <c r="A2737" s="14" t="s">
        <v>1761</v>
      </c>
      <c r="B2737" s="14" t="s">
        <v>460</v>
      </c>
      <c r="C2737" s="14"/>
      <c r="D2737" s="14" t="s">
        <v>419</v>
      </c>
      <c r="E2737" s="15">
        <v>41640</v>
      </c>
      <c r="F2737" s="15">
        <v>42004</v>
      </c>
      <c r="G2737" s="14" t="s">
        <v>415</v>
      </c>
      <c r="H2737" s="14">
        <v>0.05</v>
      </c>
      <c r="I2737" s="14">
        <v>0.05</v>
      </c>
      <c r="J2737" s="14">
        <v>0.05</v>
      </c>
      <c r="K2737" s="14">
        <v>0.05</v>
      </c>
      <c r="L2737" s="14">
        <v>0.05</v>
      </c>
      <c r="M2737" s="14">
        <v>0.05</v>
      </c>
      <c r="N2737" s="14">
        <v>0.05</v>
      </c>
      <c r="O2737" s="14">
        <v>0.1</v>
      </c>
      <c r="P2737" s="14">
        <v>0.34</v>
      </c>
      <c r="Q2737" s="14">
        <v>0.6</v>
      </c>
      <c r="R2737" s="14">
        <v>0.63</v>
      </c>
      <c r="S2737" s="14">
        <v>0.72</v>
      </c>
      <c r="T2737" s="14">
        <v>0.79</v>
      </c>
      <c r="U2737" s="14">
        <v>0.83</v>
      </c>
      <c r="V2737" s="14">
        <v>0.61</v>
      </c>
      <c r="W2737" s="14">
        <v>0.65</v>
      </c>
      <c r="X2737" s="14">
        <v>0.1</v>
      </c>
      <c r="Y2737" s="14">
        <v>0.1</v>
      </c>
      <c r="Z2737" s="14">
        <v>0.19</v>
      </c>
      <c r="AA2737" s="14">
        <v>0.25</v>
      </c>
      <c r="AB2737" s="14">
        <v>0.22</v>
      </c>
      <c r="AC2737" s="14">
        <v>0.22</v>
      </c>
      <c r="AD2737" s="14">
        <v>0.12</v>
      </c>
      <c r="AE2737" s="14">
        <v>0.09</v>
      </c>
      <c r="AF2737" s="14" t="s">
        <v>413</v>
      </c>
    </row>
    <row r="2738" spans="1:32" ht="14.25" customHeight="1" x14ac:dyDescent="0.35">
      <c r="A2738" s="16" t="s">
        <v>1761</v>
      </c>
      <c r="B2738" s="16" t="s">
        <v>460</v>
      </c>
      <c r="C2738" s="16"/>
      <c r="D2738" s="16" t="s">
        <v>1762</v>
      </c>
      <c r="E2738" s="17">
        <v>41806</v>
      </c>
      <c r="F2738" s="17">
        <v>41897</v>
      </c>
      <c r="G2738" s="16" t="s">
        <v>410</v>
      </c>
      <c r="H2738" s="16">
        <v>0</v>
      </c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/>
      <c r="AB2738" s="16"/>
      <c r="AC2738" s="16"/>
      <c r="AD2738" s="16"/>
      <c r="AE2738" s="16"/>
      <c r="AF2738" s="16" t="s">
        <v>413</v>
      </c>
    </row>
    <row r="2739" spans="1:32" ht="14.25" customHeight="1" x14ac:dyDescent="0.35">
      <c r="A2739" s="16" t="s">
        <v>1761</v>
      </c>
      <c r="B2739" s="16" t="s">
        <v>460</v>
      </c>
      <c r="C2739" s="16"/>
      <c r="D2739" s="16" t="s">
        <v>1762</v>
      </c>
      <c r="E2739" s="17">
        <v>41640</v>
      </c>
      <c r="F2739" s="17">
        <v>41805</v>
      </c>
      <c r="G2739" s="16" t="s">
        <v>410</v>
      </c>
      <c r="H2739" s="16">
        <v>0</v>
      </c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  <c r="AB2739" s="16"/>
      <c r="AC2739" s="16"/>
      <c r="AD2739" s="16"/>
      <c r="AE2739" s="16"/>
      <c r="AF2739" s="16" t="s">
        <v>413</v>
      </c>
    </row>
    <row r="2740" spans="1:32" ht="14.25" customHeight="1" x14ac:dyDescent="0.35">
      <c r="A2740" s="14" t="s">
        <v>1761</v>
      </c>
      <c r="B2740" s="14" t="s">
        <v>460</v>
      </c>
      <c r="C2740" s="14"/>
      <c r="D2740" s="14" t="s">
        <v>429</v>
      </c>
      <c r="E2740" s="15">
        <v>41898</v>
      </c>
      <c r="F2740" s="15">
        <v>42004</v>
      </c>
      <c r="G2740" s="14" t="s">
        <v>415</v>
      </c>
      <c r="H2740" s="14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0.34</v>
      </c>
      <c r="Q2740" s="14">
        <v>0.6</v>
      </c>
      <c r="R2740" s="14">
        <v>0.63</v>
      </c>
      <c r="S2740" s="14">
        <v>0.72</v>
      </c>
      <c r="T2740" s="14">
        <v>0.79</v>
      </c>
      <c r="U2740" s="14">
        <v>0.83</v>
      </c>
      <c r="V2740" s="14">
        <v>0.61</v>
      </c>
      <c r="W2740" s="14">
        <v>0.65</v>
      </c>
      <c r="X2740" s="14">
        <v>0.1</v>
      </c>
      <c r="Y2740" s="14">
        <v>0.1</v>
      </c>
      <c r="Z2740" s="14">
        <v>0.19</v>
      </c>
      <c r="AA2740" s="14">
        <v>0.25</v>
      </c>
      <c r="AB2740" s="14">
        <v>0</v>
      </c>
      <c r="AC2740" s="14">
        <v>0</v>
      </c>
      <c r="AD2740" s="14">
        <v>0</v>
      </c>
      <c r="AE2740" s="14">
        <v>0</v>
      </c>
      <c r="AF2740" s="14" t="s">
        <v>413</v>
      </c>
    </row>
    <row r="2741" spans="1:32" ht="14.25" customHeight="1" x14ac:dyDescent="0.35">
      <c r="A2741" s="14" t="s">
        <v>1761</v>
      </c>
      <c r="B2741" s="14" t="s">
        <v>460</v>
      </c>
      <c r="C2741" s="14"/>
      <c r="D2741" s="14" t="s">
        <v>429</v>
      </c>
      <c r="E2741" s="15">
        <v>41806</v>
      </c>
      <c r="F2741" s="15">
        <v>41897</v>
      </c>
      <c r="G2741" s="14" t="s">
        <v>415</v>
      </c>
      <c r="H2741" s="14">
        <v>0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0.1</v>
      </c>
      <c r="Q2741" s="14">
        <v>0.1</v>
      </c>
      <c r="R2741" s="14">
        <v>0.1</v>
      </c>
      <c r="S2741" s="14">
        <v>0.1</v>
      </c>
      <c r="T2741" s="14">
        <v>0.1</v>
      </c>
      <c r="U2741" s="14">
        <v>0.1</v>
      </c>
      <c r="V2741" s="14">
        <v>0.1</v>
      </c>
      <c r="W2741" s="14">
        <v>0.1</v>
      </c>
      <c r="X2741" s="14">
        <v>0.1</v>
      </c>
      <c r="Y2741" s="14">
        <v>0.1</v>
      </c>
      <c r="Z2741" s="14">
        <v>0.19</v>
      </c>
      <c r="AA2741" s="14">
        <v>0.25</v>
      </c>
      <c r="AB2741" s="14">
        <v>0</v>
      </c>
      <c r="AC2741" s="14">
        <v>0</v>
      </c>
      <c r="AD2741" s="14">
        <v>0</v>
      </c>
      <c r="AE2741" s="14">
        <v>0</v>
      </c>
      <c r="AF2741" s="14" t="s">
        <v>413</v>
      </c>
    </row>
    <row r="2742" spans="1:32" ht="14.25" customHeight="1" x14ac:dyDescent="0.35">
      <c r="A2742" s="14" t="s">
        <v>1761</v>
      </c>
      <c r="B2742" s="14" t="s">
        <v>460</v>
      </c>
      <c r="C2742" s="14"/>
      <c r="D2742" s="14" t="s">
        <v>429</v>
      </c>
      <c r="E2742" s="15">
        <v>41640</v>
      </c>
      <c r="F2742" s="15">
        <v>41805</v>
      </c>
      <c r="G2742" s="14" t="s">
        <v>415</v>
      </c>
      <c r="H2742" s="14">
        <v>0</v>
      </c>
      <c r="I2742" s="14">
        <v>0</v>
      </c>
      <c r="J2742" s="14">
        <v>0</v>
      </c>
      <c r="K2742" s="14">
        <v>0</v>
      </c>
      <c r="L2742" s="14">
        <v>0</v>
      </c>
      <c r="M2742" s="14">
        <v>0</v>
      </c>
      <c r="N2742" s="14">
        <v>0</v>
      </c>
      <c r="O2742" s="14">
        <v>0</v>
      </c>
      <c r="P2742" s="14">
        <v>0.34</v>
      </c>
      <c r="Q2742" s="14">
        <v>0.6</v>
      </c>
      <c r="R2742" s="14">
        <v>0.63</v>
      </c>
      <c r="S2742" s="14">
        <v>0.72</v>
      </c>
      <c r="T2742" s="14">
        <v>0.79</v>
      </c>
      <c r="U2742" s="14">
        <v>0.83</v>
      </c>
      <c r="V2742" s="14">
        <v>0.61</v>
      </c>
      <c r="W2742" s="14">
        <v>0.65</v>
      </c>
      <c r="X2742" s="14">
        <v>0.1</v>
      </c>
      <c r="Y2742" s="14">
        <v>0.1</v>
      </c>
      <c r="Z2742" s="14">
        <v>0.19</v>
      </c>
      <c r="AA2742" s="14">
        <v>0.25</v>
      </c>
      <c r="AB2742" s="14">
        <v>0</v>
      </c>
      <c r="AC2742" s="14">
        <v>0</v>
      </c>
      <c r="AD2742" s="14">
        <v>0</v>
      </c>
      <c r="AE2742" s="14">
        <v>0</v>
      </c>
      <c r="AF2742" s="14" t="s">
        <v>413</v>
      </c>
    </row>
    <row r="2743" spans="1:32" ht="14.25" customHeight="1" x14ac:dyDescent="0.35">
      <c r="A2743" s="16" t="s">
        <v>1761</v>
      </c>
      <c r="B2743" s="16" t="s">
        <v>460</v>
      </c>
      <c r="C2743" s="16"/>
      <c r="D2743" s="16" t="s">
        <v>418</v>
      </c>
      <c r="E2743" s="17">
        <v>41640</v>
      </c>
      <c r="F2743" s="17">
        <v>42004</v>
      </c>
      <c r="G2743" s="16" t="s">
        <v>415</v>
      </c>
      <c r="H2743" s="16">
        <v>0.03</v>
      </c>
      <c r="I2743" s="16">
        <v>0.03</v>
      </c>
      <c r="J2743" s="16">
        <v>0.03</v>
      </c>
      <c r="K2743" s="16">
        <v>0.03</v>
      </c>
      <c r="L2743" s="16">
        <v>0.03</v>
      </c>
      <c r="M2743" s="16">
        <v>0.03</v>
      </c>
      <c r="N2743" s="16">
        <v>0.03</v>
      </c>
      <c r="O2743" s="16">
        <v>0.03</v>
      </c>
      <c r="P2743" s="16">
        <v>0.03</v>
      </c>
      <c r="Q2743" s="16">
        <v>0.05</v>
      </c>
      <c r="R2743" s="16">
        <v>0.05</v>
      </c>
      <c r="S2743" s="16">
        <v>0.05</v>
      </c>
      <c r="T2743" s="16">
        <v>0.05</v>
      </c>
      <c r="U2743" s="16">
        <v>0.03</v>
      </c>
      <c r="V2743" s="16">
        <v>0.03</v>
      </c>
      <c r="W2743" s="16">
        <v>0.03</v>
      </c>
      <c r="X2743" s="16">
        <v>0.03</v>
      </c>
      <c r="Y2743" s="16">
        <v>0.03</v>
      </c>
      <c r="Z2743" s="16">
        <v>0.03</v>
      </c>
      <c r="AA2743" s="16">
        <v>0.03</v>
      </c>
      <c r="AB2743" s="16">
        <v>0.03</v>
      </c>
      <c r="AC2743" s="16">
        <v>0.03</v>
      </c>
      <c r="AD2743" s="16">
        <v>0.03</v>
      </c>
      <c r="AE2743" s="16">
        <v>0.03</v>
      </c>
      <c r="AF2743" s="16" t="s">
        <v>413</v>
      </c>
    </row>
    <row r="2744" spans="1:32" ht="14.25" customHeight="1" x14ac:dyDescent="0.35">
      <c r="A2744" s="16" t="s">
        <v>1763</v>
      </c>
      <c r="B2744" s="16" t="s">
        <v>408</v>
      </c>
      <c r="C2744" s="16" t="s">
        <v>412</v>
      </c>
      <c r="D2744" s="16" t="s">
        <v>409</v>
      </c>
      <c r="E2744" s="17">
        <v>41640</v>
      </c>
      <c r="F2744" s="17">
        <v>42004</v>
      </c>
      <c r="G2744" s="16" t="s">
        <v>410</v>
      </c>
      <c r="H2744" s="16">
        <v>60</v>
      </c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 t="s">
        <v>413</v>
      </c>
    </row>
    <row r="2745" spans="1:32" ht="14.25" customHeight="1" x14ac:dyDescent="0.35">
      <c r="A2745" s="14" t="s">
        <v>1764</v>
      </c>
      <c r="B2745" s="14" t="s">
        <v>408</v>
      </c>
      <c r="C2745" s="14" t="s">
        <v>412</v>
      </c>
      <c r="D2745" s="14" t="s">
        <v>409</v>
      </c>
      <c r="E2745" s="15">
        <v>41640</v>
      </c>
      <c r="F2745" s="15">
        <v>42004</v>
      </c>
      <c r="G2745" s="14" t="s">
        <v>410</v>
      </c>
      <c r="H2745" s="14">
        <v>82.22</v>
      </c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 t="s">
        <v>413</v>
      </c>
    </row>
    <row r="2746" spans="1:32" ht="14.25" customHeight="1" x14ac:dyDescent="0.35">
      <c r="A2746" s="16" t="s">
        <v>1765</v>
      </c>
      <c r="B2746" s="16" t="s">
        <v>420</v>
      </c>
      <c r="C2746" s="16" t="s">
        <v>414</v>
      </c>
      <c r="D2746" s="16" t="s">
        <v>476</v>
      </c>
      <c r="E2746" s="17">
        <v>41640</v>
      </c>
      <c r="F2746" s="17">
        <v>42004</v>
      </c>
      <c r="G2746" s="16" t="s">
        <v>410</v>
      </c>
      <c r="H2746" s="16">
        <v>26.7</v>
      </c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 t="s">
        <v>413</v>
      </c>
    </row>
    <row r="2747" spans="1:32" ht="14.25" customHeight="1" x14ac:dyDescent="0.35">
      <c r="A2747" s="14" t="s">
        <v>1765</v>
      </c>
      <c r="B2747" s="14" t="s">
        <v>420</v>
      </c>
      <c r="C2747" s="14" t="s">
        <v>414</v>
      </c>
      <c r="D2747" s="14" t="s">
        <v>419</v>
      </c>
      <c r="E2747" s="15">
        <v>41640</v>
      </c>
      <c r="F2747" s="15">
        <v>42004</v>
      </c>
      <c r="G2747" s="14" t="s">
        <v>410</v>
      </c>
      <c r="H2747" s="14">
        <v>24</v>
      </c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S2747" s="14"/>
      <c r="T2747" s="14"/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 t="s">
        <v>413</v>
      </c>
    </row>
    <row r="2748" spans="1:32" ht="14.25" customHeight="1" x14ac:dyDescent="0.35">
      <c r="A2748" s="16" t="s">
        <v>1765</v>
      </c>
      <c r="B2748" s="16" t="s">
        <v>420</v>
      </c>
      <c r="C2748" s="16" t="s">
        <v>414</v>
      </c>
      <c r="D2748" s="16" t="s">
        <v>429</v>
      </c>
      <c r="E2748" s="17">
        <v>41640</v>
      </c>
      <c r="F2748" s="17">
        <v>42004</v>
      </c>
      <c r="G2748" s="16" t="s">
        <v>415</v>
      </c>
      <c r="H2748" s="16">
        <v>26.7</v>
      </c>
      <c r="I2748" s="16">
        <v>26.7</v>
      </c>
      <c r="J2748" s="16">
        <v>26.7</v>
      </c>
      <c r="K2748" s="16">
        <v>26.7</v>
      </c>
      <c r="L2748" s="16">
        <v>26.7</v>
      </c>
      <c r="M2748" s="16">
        <v>26.7</v>
      </c>
      <c r="N2748" s="16">
        <v>24</v>
      </c>
      <c r="O2748" s="16">
        <v>24</v>
      </c>
      <c r="P2748" s="16">
        <v>24</v>
      </c>
      <c r="Q2748" s="16">
        <v>24</v>
      </c>
      <c r="R2748" s="16">
        <v>24</v>
      </c>
      <c r="S2748" s="16">
        <v>24</v>
      </c>
      <c r="T2748" s="16">
        <v>24</v>
      </c>
      <c r="U2748" s="16">
        <v>24</v>
      </c>
      <c r="V2748" s="16">
        <v>24</v>
      </c>
      <c r="W2748" s="16">
        <v>24</v>
      </c>
      <c r="X2748" s="16">
        <v>24</v>
      </c>
      <c r="Y2748" s="16">
        <v>24</v>
      </c>
      <c r="Z2748" s="16">
        <v>24</v>
      </c>
      <c r="AA2748" s="16">
        <v>24</v>
      </c>
      <c r="AB2748" s="16">
        <v>24</v>
      </c>
      <c r="AC2748" s="16">
        <v>26.7</v>
      </c>
      <c r="AD2748" s="16">
        <v>26.7</v>
      </c>
      <c r="AE2748" s="16">
        <v>26.7</v>
      </c>
      <c r="AF2748" s="16" t="s">
        <v>413</v>
      </c>
    </row>
    <row r="2749" spans="1:32" ht="14.25" customHeight="1" x14ac:dyDescent="0.35">
      <c r="A2749" s="14" t="s">
        <v>1766</v>
      </c>
      <c r="B2749" s="14" t="s">
        <v>420</v>
      </c>
      <c r="C2749" s="14" t="s">
        <v>414</v>
      </c>
      <c r="D2749" s="14" t="s">
        <v>1767</v>
      </c>
      <c r="E2749" s="15">
        <v>41640</v>
      </c>
      <c r="F2749" s="15">
        <v>42004</v>
      </c>
      <c r="G2749" s="14" t="s">
        <v>410</v>
      </c>
      <c r="H2749" s="14">
        <v>24</v>
      </c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S2749" s="14"/>
      <c r="T2749" s="14"/>
      <c r="U2749" s="14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F2749" s="14" t="s">
        <v>413</v>
      </c>
    </row>
    <row r="2750" spans="1:32" ht="14.25" customHeight="1" x14ac:dyDescent="0.35">
      <c r="A2750" s="16" t="s">
        <v>1766</v>
      </c>
      <c r="B2750" s="16" t="s">
        <v>420</v>
      </c>
      <c r="C2750" s="16" t="s">
        <v>414</v>
      </c>
      <c r="D2750" s="16" t="s">
        <v>418</v>
      </c>
      <c r="E2750" s="17">
        <v>41640</v>
      </c>
      <c r="F2750" s="17">
        <v>42004</v>
      </c>
      <c r="G2750" s="16" t="s">
        <v>410</v>
      </c>
      <c r="H2750" s="16">
        <v>26.7</v>
      </c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6"/>
      <c r="AA2750" s="16"/>
      <c r="AB2750" s="16"/>
      <c r="AC2750" s="16"/>
      <c r="AD2750" s="16"/>
      <c r="AE2750" s="16"/>
      <c r="AF2750" s="16" t="s">
        <v>413</v>
      </c>
    </row>
    <row r="2751" spans="1:32" ht="14.25" customHeight="1" x14ac:dyDescent="0.35">
      <c r="A2751" s="14" t="s">
        <v>1768</v>
      </c>
      <c r="B2751" s="14" t="s">
        <v>420</v>
      </c>
      <c r="C2751" s="14" t="s">
        <v>414</v>
      </c>
      <c r="D2751" s="14" t="s">
        <v>1769</v>
      </c>
      <c r="E2751" s="15">
        <v>41640</v>
      </c>
      <c r="F2751" s="15">
        <v>42004</v>
      </c>
      <c r="G2751" s="14" t="s">
        <v>410</v>
      </c>
      <c r="H2751" s="14">
        <v>26.7</v>
      </c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S2751" s="14"/>
      <c r="T2751" s="14"/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 t="s">
        <v>413</v>
      </c>
    </row>
    <row r="2752" spans="1:32" ht="14.25" customHeight="1" x14ac:dyDescent="0.35">
      <c r="A2752" s="16" t="s">
        <v>1768</v>
      </c>
      <c r="B2752" s="16" t="s">
        <v>420</v>
      </c>
      <c r="C2752" s="16" t="s">
        <v>414</v>
      </c>
      <c r="D2752" s="16" t="s">
        <v>419</v>
      </c>
      <c r="E2752" s="17">
        <v>41640</v>
      </c>
      <c r="F2752" s="17">
        <v>42004</v>
      </c>
      <c r="G2752" s="16" t="s">
        <v>410</v>
      </c>
      <c r="H2752" s="16">
        <v>24</v>
      </c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 t="s">
        <v>413</v>
      </c>
    </row>
    <row r="2753" spans="1:32" ht="14.25" customHeight="1" x14ac:dyDescent="0.35">
      <c r="A2753" s="14" t="s">
        <v>1770</v>
      </c>
      <c r="B2753" s="14" t="s">
        <v>420</v>
      </c>
      <c r="C2753" s="14" t="s">
        <v>414</v>
      </c>
      <c r="D2753" s="14" t="s">
        <v>476</v>
      </c>
      <c r="E2753" s="15">
        <v>41640</v>
      </c>
      <c r="F2753" s="15">
        <v>42004</v>
      </c>
      <c r="G2753" s="14" t="s">
        <v>410</v>
      </c>
      <c r="H2753" s="14">
        <v>26.7</v>
      </c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4"/>
      <c r="AB2753" s="14"/>
      <c r="AC2753" s="14"/>
      <c r="AD2753" s="14"/>
      <c r="AE2753" s="14"/>
      <c r="AF2753" s="14" t="s">
        <v>413</v>
      </c>
    </row>
    <row r="2754" spans="1:32" ht="14.25" customHeight="1" x14ac:dyDescent="0.35">
      <c r="A2754" s="16" t="s">
        <v>1770</v>
      </c>
      <c r="B2754" s="16" t="s">
        <v>420</v>
      </c>
      <c r="C2754" s="16" t="s">
        <v>414</v>
      </c>
      <c r="D2754" s="16" t="s">
        <v>419</v>
      </c>
      <c r="E2754" s="17">
        <v>41640</v>
      </c>
      <c r="F2754" s="17">
        <v>42004</v>
      </c>
      <c r="G2754" s="16" t="s">
        <v>410</v>
      </c>
      <c r="H2754" s="16">
        <v>24</v>
      </c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6"/>
      <c r="AE2754" s="16"/>
      <c r="AF2754" s="16" t="s">
        <v>413</v>
      </c>
    </row>
    <row r="2755" spans="1:32" ht="14.25" customHeight="1" x14ac:dyDescent="0.35">
      <c r="A2755" s="14" t="s">
        <v>1770</v>
      </c>
      <c r="B2755" s="14" t="s">
        <v>420</v>
      </c>
      <c r="C2755" s="14" t="s">
        <v>414</v>
      </c>
      <c r="D2755" s="14" t="s">
        <v>429</v>
      </c>
      <c r="E2755" s="15">
        <v>41640</v>
      </c>
      <c r="F2755" s="15">
        <v>42004</v>
      </c>
      <c r="G2755" s="14" t="s">
        <v>415</v>
      </c>
      <c r="H2755" s="14">
        <v>26.7</v>
      </c>
      <c r="I2755" s="14">
        <v>26.7</v>
      </c>
      <c r="J2755" s="14">
        <v>26.7</v>
      </c>
      <c r="K2755" s="14">
        <v>26.7</v>
      </c>
      <c r="L2755" s="14">
        <v>26.7</v>
      </c>
      <c r="M2755" s="14">
        <v>26.7</v>
      </c>
      <c r="N2755" s="14">
        <v>24</v>
      </c>
      <c r="O2755" s="14">
        <v>24</v>
      </c>
      <c r="P2755" s="14">
        <v>24</v>
      </c>
      <c r="Q2755" s="14">
        <v>24</v>
      </c>
      <c r="R2755" s="14">
        <v>24</v>
      </c>
      <c r="S2755" s="14">
        <v>24</v>
      </c>
      <c r="T2755" s="14">
        <v>24</v>
      </c>
      <c r="U2755" s="14">
        <v>24</v>
      </c>
      <c r="V2755" s="14">
        <v>24</v>
      </c>
      <c r="W2755" s="14">
        <v>24</v>
      </c>
      <c r="X2755" s="14">
        <v>24</v>
      </c>
      <c r="Y2755" s="14">
        <v>24</v>
      </c>
      <c r="Z2755" s="14">
        <v>24</v>
      </c>
      <c r="AA2755" s="14">
        <v>24</v>
      </c>
      <c r="AB2755" s="14">
        <v>24</v>
      </c>
      <c r="AC2755" s="14">
        <v>26.7</v>
      </c>
      <c r="AD2755" s="14">
        <v>26.7</v>
      </c>
      <c r="AE2755" s="14">
        <v>26.7</v>
      </c>
      <c r="AF2755" s="14" t="s">
        <v>413</v>
      </c>
    </row>
    <row r="2756" spans="1:32" ht="14.25" customHeight="1" x14ac:dyDescent="0.35">
      <c r="A2756" s="16" t="s">
        <v>1771</v>
      </c>
      <c r="B2756" s="16" t="s">
        <v>420</v>
      </c>
      <c r="C2756" s="16" t="s">
        <v>414</v>
      </c>
      <c r="D2756" s="16" t="s">
        <v>476</v>
      </c>
      <c r="E2756" s="17">
        <v>41640</v>
      </c>
      <c r="F2756" s="17">
        <v>42004</v>
      </c>
      <c r="G2756" s="16" t="s">
        <v>410</v>
      </c>
      <c r="H2756" s="16">
        <v>26.7</v>
      </c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6"/>
      <c r="AA2756" s="16"/>
      <c r="AB2756" s="16"/>
      <c r="AC2756" s="16"/>
      <c r="AD2756" s="16"/>
      <c r="AE2756" s="16"/>
      <c r="AF2756" s="16" t="s">
        <v>413</v>
      </c>
    </row>
    <row r="2757" spans="1:32" ht="14.25" customHeight="1" x14ac:dyDescent="0.35">
      <c r="A2757" s="14" t="s">
        <v>1771</v>
      </c>
      <c r="B2757" s="14" t="s">
        <v>420</v>
      </c>
      <c r="C2757" s="14" t="s">
        <v>414</v>
      </c>
      <c r="D2757" s="14" t="s">
        <v>419</v>
      </c>
      <c r="E2757" s="15">
        <v>41640</v>
      </c>
      <c r="F2757" s="15">
        <v>42004</v>
      </c>
      <c r="G2757" s="14" t="s">
        <v>410</v>
      </c>
      <c r="H2757" s="14">
        <v>24</v>
      </c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  <c r="U2757" s="14"/>
      <c r="V2757" s="14"/>
      <c r="W2757" s="14"/>
      <c r="X2757" s="14"/>
      <c r="Y2757" s="14"/>
      <c r="Z2757" s="14"/>
      <c r="AA2757" s="14"/>
      <c r="AB2757" s="14"/>
      <c r="AC2757" s="14"/>
      <c r="AD2757" s="14"/>
      <c r="AE2757" s="14"/>
      <c r="AF2757" s="14" t="s">
        <v>413</v>
      </c>
    </row>
    <row r="2758" spans="1:32" ht="14.25" customHeight="1" x14ac:dyDescent="0.35">
      <c r="A2758" s="16" t="s">
        <v>1771</v>
      </c>
      <c r="B2758" s="16" t="s">
        <v>420</v>
      </c>
      <c r="C2758" s="16" t="s">
        <v>414</v>
      </c>
      <c r="D2758" s="16" t="s">
        <v>429</v>
      </c>
      <c r="E2758" s="17">
        <v>41640</v>
      </c>
      <c r="F2758" s="17">
        <v>42004</v>
      </c>
      <c r="G2758" s="16" t="s">
        <v>415</v>
      </c>
      <c r="H2758" s="16">
        <v>26.7</v>
      </c>
      <c r="I2758" s="16">
        <v>26.7</v>
      </c>
      <c r="J2758" s="16">
        <v>26.7</v>
      </c>
      <c r="K2758" s="16">
        <v>26.7</v>
      </c>
      <c r="L2758" s="16">
        <v>26.7</v>
      </c>
      <c r="M2758" s="16">
        <v>26.7</v>
      </c>
      <c r="N2758" s="16">
        <v>24</v>
      </c>
      <c r="O2758" s="16">
        <v>24</v>
      </c>
      <c r="P2758" s="16">
        <v>24</v>
      </c>
      <c r="Q2758" s="16">
        <v>24</v>
      </c>
      <c r="R2758" s="16">
        <v>24</v>
      </c>
      <c r="S2758" s="16">
        <v>24</v>
      </c>
      <c r="T2758" s="16">
        <v>24</v>
      </c>
      <c r="U2758" s="16">
        <v>24</v>
      </c>
      <c r="V2758" s="16">
        <v>24</v>
      </c>
      <c r="W2758" s="16">
        <v>24</v>
      </c>
      <c r="X2758" s="16">
        <v>24</v>
      </c>
      <c r="Y2758" s="16">
        <v>24</v>
      </c>
      <c r="Z2758" s="16">
        <v>24</v>
      </c>
      <c r="AA2758" s="16">
        <v>24</v>
      </c>
      <c r="AB2758" s="16">
        <v>24</v>
      </c>
      <c r="AC2758" s="16">
        <v>26.7</v>
      </c>
      <c r="AD2758" s="16">
        <v>26.7</v>
      </c>
      <c r="AE2758" s="16">
        <v>26.7</v>
      </c>
      <c r="AF2758" s="16" t="s">
        <v>413</v>
      </c>
    </row>
    <row r="2759" spans="1:32" ht="14.25" customHeight="1" x14ac:dyDescent="0.35">
      <c r="A2759" s="14" t="s">
        <v>1772</v>
      </c>
      <c r="B2759" s="14" t="s">
        <v>420</v>
      </c>
      <c r="C2759" s="14" t="s">
        <v>414</v>
      </c>
      <c r="D2759" s="14" t="s">
        <v>476</v>
      </c>
      <c r="E2759" s="15">
        <v>41640</v>
      </c>
      <c r="F2759" s="15">
        <v>42004</v>
      </c>
      <c r="G2759" s="14" t="s">
        <v>410</v>
      </c>
      <c r="H2759" s="14">
        <v>26.7</v>
      </c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S2759" s="14"/>
      <c r="T2759" s="14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 t="s">
        <v>413</v>
      </c>
    </row>
    <row r="2760" spans="1:32" ht="14.25" customHeight="1" x14ac:dyDescent="0.35">
      <c r="A2760" s="16" t="s">
        <v>1772</v>
      </c>
      <c r="B2760" s="16" t="s">
        <v>420</v>
      </c>
      <c r="C2760" s="16" t="s">
        <v>414</v>
      </c>
      <c r="D2760" s="16" t="s">
        <v>419</v>
      </c>
      <c r="E2760" s="17">
        <v>41640</v>
      </c>
      <c r="F2760" s="17">
        <v>42004</v>
      </c>
      <c r="G2760" s="16" t="s">
        <v>410</v>
      </c>
      <c r="H2760" s="16">
        <v>24</v>
      </c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  <c r="AC2760" s="16"/>
      <c r="AD2760" s="16"/>
      <c r="AE2760" s="16"/>
      <c r="AF2760" s="16" t="s">
        <v>413</v>
      </c>
    </row>
    <row r="2761" spans="1:32" ht="14.25" customHeight="1" x14ac:dyDescent="0.35">
      <c r="A2761" s="14" t="s">
        <v>1772</v>
      </c>
      <c r="B2761" s="14" t="s">
        <v>420</v>
      </c>
      <c r="C2761" s="14" t="s">
        <v>414</v>
      </c>
      <c r="D2761" s="14" t="s">
        <v>429</v>
      </c>
      <c r="E2761" s="15">
        <v>41640</v>
      </c>
      <c r="F2761" s="15">
        <v>42004</v>
      </c>
      <c r="G2761" s="14" t="s">
        <v>415</v>
      </c>
      <c r="H2761" s="14">
        <v>26.7</v>
      </c>
      <c r="I2761" s="14">
        <v>26.7</v>
      </c>
      <c r="J2761" s="14">
        <v>26.7</v>
      </c>
      <c r="K2761" s="14">
        <v>26.7</v>
      </c>
      <c r="L2761" s="14">
        <v>26.7</v>
      </c>
      <c r="M2761" s="14">
        <v>26.7</v>
      </c>
      <c r="N2761" s="14">
        <v>24</v>
      </c>
      <c r="O2761" s="14">
        <v>24</v>
      </c>
      <c r="P2761" s="14">
        <v>24</v>
      </c>
      <c r="Q2761" s="14">
        <v>24</v>
      </c>
      <c r="R2761" s="14">
        <v>24</v>
      </c>
      <c r="S2761" s="14">
        <v>24</v>
      </c>
      <c r="T2761" s="14">
        <v>24</v>
      </c>
      <c r="U2761" s="14">
        <v>24</v>
      </c>
      <c r="V2761" s="14">
        <v>24</v>
      </c>
      <c r="W2761" s="14">
        <v>24</v>
      </c>
      <c r="X2761" s="14">
        <v>24</v>
      </c>
      <c r="Y2761" s="14">
        <v>24</v>
      </c>
      <c r="Z2761" s="14">
        <v>24</v>
      </c>
      <c r="AA2761" s="14">
        <v>24</v>
      </c>
      <c r="AB2761" s="14">
        <v>24</v>
      </c>
      <c r="AC2761" s="14">
        <v>26.7</v>
      </c>
      <c r="AD2761" s="14">
        <v>26.7</v>
      </c>
      <c r="AE2761" s="14">
        <v>26.7</v>
      </c>
      <c r="AF2761" s="14" t="s">
        <v>413</v>
      </c>
    </row>
    <row r="2762" spans="1:32" ht="14.25" customHeight="1" x14ac:dyDescent="0.35">
      <c r="A2762" s="16" t="s">
        <v>1773</v>
      </c>
      <c r="B2762" s="16" t="s">
        <v>420</v>
      </c>
      <c r="C2762" s="16" t="s">
        <v>414</v>
      </c>
      <c r="D2762" s="16" t="s">
        <v>476</v>
      </c>
      <c r="E2762" s="17">
        <v>41640</v>
      </c>
      <c r="F2762" s="17">
        <v>42004</v>
      </c>
      <c r="G2762" s="16" t="s">
        <v>410</v>
      </c>
      <c r="H2762" s="16">
        <v>26.7</v>
      </c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 t="s">
        <v>413</v>
      </c>
    </row>
    <row r="2763" spans="1:32" ht="14.25" customHeight="1" x14ac:dyDescent="0.35">
      <c r="A2763" s="14" t="s">
        <v>1773</v>
      </c>
      <c r="B2763" s="14" t="s">
        <v>420</v>
      </c>
      <c r="C2763" s="14" t="s">
        <v>414</v>
      </c>
      <c r="D2763" s="14" t="s">
        <v>419</v>
      </c>
      <c r="E2763" s="15">
        <v>41640</v>
      </c>
      <c r="F2763" s="15">
        <v>42004</v>
      </c>
      <c r="G2763" s="14" t="s">
        <v>410</v>
      </c>
      <c r="H2763" s="14">
        <v>24</v>
      </c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 t="s">
        <v>413</v>
      </c>
    </row>
    <row r="2764" spans="1:32" ht="14.25" customHeight="1" x14ac:dyDescent="0.35">
      <c r="A2764" s="16" t="s">
        <v>1773</v>
      </c>
      <c r="B2764" s="16" t="s">
        <v>420</v>
      </c>
      <c r="C2764" s="16" t="s">
        <v>414</v>
      </c>
      <c r="D2764" s="16" t="s">
        <v>429</v>
      </c>
      <c r="E2764" s="17">
        <v>41640</v>
      </c>
      <c r="F2764" s="17">
        <v>42004</v>
      </c>
      <c r="G2764" s="16" t="s">
        <v>415</v>
      </c>
      <c r="H2764" s="16">
        <v>26.7</v>
      </c>
      <c r="I2764" s="16">
        <v>26.7</v>
      </c>
      <c r="J2764" s="16">
        <v>26.7</v>
      </c>
      <c r="K2764" s="16">
        <v>26.7</v>
      </c>
      <c r="L2764" s="16">
        <v>26.7</v>
      </c>
      <c r="M2764" s="16">
        <v>26.7</v>
      </c>
      <c r="N2764" s="16">
        <v>24</v>
      </c>
      <c r="O2764" s="16">
        <v>24</v>
      </c>
      <c r="P2764" s="16">
        <v>24</v>
      </c>
      <c r="Q2764" s="16">
        <v>24</v>
      </c>
      <c r="R2764" s="16">
        <v>24</v>
      </c>
      <c r="S2764" s="16">
        <v>24</v>
      </c>
      <c r="T2764" s="16">
        <v>24</v>
      </c>
      <c r="U2764" s="16">
        <v>24</v>
      </c>
      <c r="V2764" s="16">
        <v>24</v>
      </c>
      <c r="W2764" s="16">
        <v>24</v>
      </c>
      <c r="X2764" s="16">
        <v>24</v>
      </c>
      <c r="Y2764" s="16">
        <v>24</v>
      </c>
      <c r="Z2764" s="16">
        <v>24</v>
      </c>
      <c r="AA2764" s="16">
        <v>24</v>
      </c>
      <c r="AB2764" s="16">
        <v>24</v>
      </c>
      <c r="AC2764" s="16">
        <v>26.7</v>
      </c>
      <c r="AD2764" s="16">
        <v>26.7</v>
      </c>
      <c r="AE2764" s="16">
        <v>26.7</v>
      </c>
      <c r="AF2764" s="16" t="s">
        <v>413</v>
      </c>
    </row>
    <row r="2765" spans="1:32" ht="14.25" customHeight="1" x14ac:dyDescent="0.35">
      <c r="A2765" s="14" t="s">
        <v>1774</v>
      </c>
      <c r="B2765" s="14" t="s">
        <v>420</v>
      </c>
      <c r="C2765" s="14" t="s">
        <v>414</v>
      </c>
      <c r="D2765" s="14" t="s">
        <v>476</v>
      </c>
      <c r="E2765" s="15">
        <v>41640</v>
      </c>
      <c r="F2765" s="15">
        <v>42004</v>
      </c>
      <c r="G2765" s="14" t="s">
        <v>410</v>
      </c>
      <c r="H2765" s="14">
        <v>26.7</v>
      </c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  <c r="AA2765" s="14"/>
      <c r="AB2765" s="14"/>
      <c r="AC2765" s="14"/>
      <c r="AD2765" s="14"/>
      <c r="AE2765" s="14"/>
      <c r="AF2765" s="14" t="s">
        <v>413</v>
      </c>
    </row>
    <row r="2766" spans="1:32" ht="14.25" customHeight="1" x14ac:dyDescent="0.35">
      <c r="A2766" s="16" t="s">
        <v>1774</v>
      </c>
      <c r="B2766" s="16" t="s">
        <v>420</v>
      </c>
      <c r="C2766" s="16" t="s">
        <v>414</v>
      </c>
      <c r="D2766" s="16" t="s">
        <v>419</v>
      </c>
      <c r="E2766" s="17">
        <v>41640</v>
      </c>
      <c r="F2766" s="17">
        <v>42004</v>
      </c>
      <c r="G2766" s="16" t="s">
        <v>410</v>
      </c>
      <c r="H2766" s="16">
        <v>24</v>
      </c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6"/>
      <c r="AA2766" s="16"/>
      <c r="AB2766" s="16"/>
      <c r="AC2766" s="16"/>
      <c r="AD2766" s="16"/>
      <c r="AE2766" s="16"/>
      <c r="AF2766" s="16" t="s">
        <v>413</v>
      </c>
    </row>
    <row r="2767" spans="1:32" ht="14.25" customHeight="1" x14ac:dyDescent="0.35">
      <c r="A2767" s="14" t="s">
        <v>1774</v>
      </c>
      <c r="B2767" s="14" t="s">
        <v>420</v>
      </c>
      <c r="C2767" s="14" t="s">
        <v>414</v>
      </c>
      <c r="D2767" s="14" t="s">
        <v>429</v>
      </c>
      <c r="E2767" s="15">
        <v>41640</v>
      </c>
      <c r="F2767" s="15">
        <v>42004</v>
      </c>
      <c r="G2767" s="14" t="s">
        <v>415</v>
      </c>
      <c r="H2767" s="14">
        <v>26.7</v>
      </c>
      <c r="I2767" s="14">
        <v>26.7</v>
      </c>
      <c r="J2767" s="14">
        <v>26.7</v>
      </c>
      <c r="K2767" s="14">
        <v>26.7</v>
      </c>
      <c r="L2767" s="14">
        <v>26.7</v>
      </c>
      <c r="M2767" s="14">
        <v>26.7</v>
      </c>
      <c r="N2767" s="14">
        <v>25.6</v>
      </c>
      <c r="O2767" s="14">
        <v>25</v>
      </c>
      <c r="P2767" s="14">
        <v>24</v>
      </c>
      <c r="Q2767" s="14">
        <v>24</v>
      </c>
      <c r="R2767" s="14">
        <v>24</v>
      </c>
      <c r="S2767" s="14">
        <v>24</v>
      </c>
      <c r="T2767" s="14">
        <v>24</v>
      </c>
      <c r="U2767" s="14">
        <v>24</v>
      </c>
      <c r="V2767" s="14">
        <v>24</v>
      </c>
      <c r="W2767" s="14">
        <v>24</v>
      </c>
      <c r="X2767" s="14">
        <v>24</v>
      </c>
      <c r="Y2767" s="14">
        <v>24</v>
      </c>
      <c r="Z2767" s="14">
        <v>24</v>
      </c>
      <c r="AA2767" s="14">
        <v>24</v>
      </c>
      <c r="AB2767" s="14">
        <v>24</v>
      </c>
      <c r="AC2767" s="14">
        <v>26.7</v>
      </c>
      <c r="AD2767" s="14">
        <v>26.7</v>
      </c>
      <c r="AE2767" s="14">
        <v>26.7</v>
      </c>
      <c r="AF2767" s="14" t="s">
        <v>413</v>
      </c>
    </row>
    <row r="2768" spans="1:32" ht="14.25" customHeight="1" x14ac:dyDescent="0.35">
      <c r="A2768" s="16" t="s">
        <v>1775</v>
      </c>
      <c r="B2768" s="16" t="s">
        <v>420</v>
      </c>
      <c r="C2768" s="16" t="s">
        <v>414</v>
      </c>
      <c r="D2768" s="16" t="s">
        <v>476</v>
      </c>
      <c r="E2768" s="17">
        <v>41640</v>
      </c>
      <c r="F2768" s="17">
        <v>42004</v>
      </c>
      <c r="G2768" s="16" t="s">
        <v>410</v>
      </c>
      <c r="H2768" s="16">
        <v>26.7</v>
      </c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 t="s">
        <v>413</v>
      </c>
    </row>
    <row r="2769" spans="1:32" ht="14.25" customHeight="1" x14ac:dyDescent="0.35">
      <c r="A2769" s="14" t="s">
        <v>1775</v>
      </c>
      <c r="B2769" s="14" t="s">
        <v>420</v>
      </c>
      <c r="C2769" s="14" t="s">
        <v>414</v>
      </c>
      <c r="D2769" s="14" t="s">
        <v>419</v>
      </c>
      <c r="E2769" s="15">
        <v>41640</v>
      </c>
      <c r="F2769" s="15">
        <v>42004</v>
      </c>
      <c r="G2769" s="14" t="s">
        <v>410</v>
      </c>
      <c r="H2769" s="14">
        <v>24</v>
      </c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 t="s">
        <v>413</v>
      </c>
    </row>
    <row r="2770" spans="1:32" ht="14.25" customHeight="1" x14ac:dyDescent="0.35">
      <c r="A2770" s="16" t="s">
        <v>1775</v>
      </c>
      <c r="B2770" s="16" t="s">
        <v>420</v>
      </c>
      <c r="C2770" s="16" t="s">
        <v>414</v>
      </c>
      <c r="D2770" s="16" t="s">
        <v>429</v>
      </c>
      <c r="E2770" s="17">
        <v>41640</v>
      </c>
      <c r="F2770" s="17">
        <v>42004</v>
      </c>
      <c r="G2770" s="16" t="s">
        <v>415</v>
      </c>
      <c r="H2770" s="16">
        <v>26.7</v>
      </c>
      <c r="I2770" s="16">
        <v>26.7</v>
      </c>
      <c r="J2770" s="16">
        <v>26.7</v>
      </c>
      <c r="K2770" s="16">
        <v>26.7</v>
      </c>
      <c r="L2770" s="16">
        <v>26.7</v>
      </c>
      <c r="M2770" s="16">
        <v>26.7</v>
      </c>
      <c r="N2770" s="16">
        <v>25.6</v>
      </c>
      <c r="O2770" s="16">
        <v>25</v>
      </c>
      <c r="P2770" s="16">
        <v>24</v>
      </c>
      <c r="Q2770" s="16">
        <v>24</v>
      </c>
      <c r="R2770" s="16">
        <v>24</v>
      </c>
      <c r="S2770" s="16">
        <v>24</v>
      </c>
      <c r="T2770" s="16">
        <v>24</v>
      </c>
      <c r="U2770" s="16">
        <v>24</v>
      </c>
      <c r="V2770" s="16">
        <v>24</v>
      </c>
      <c r="W2770" s="16">
        <v>24</v>
      </c>
      <c r="X2770" s="16">
        <v>24</v>
      </c>
      <c r="Y2770" s="16">
        <v>24</v>
      </c>
      <c r="Z2770" s="16">
        <v>24</v>
      </c>
      <c r="AA2770" s="16">
        <v>24</v>
      </c>
      <c r="AB2770" s="16">
        <v>24</v>
      </c>
      <c r="AC2770" s="16">
        <v>26.7</v>
      </c>
      <c r="AD2770" s="16">
        <v>26.7</v>
      </c>
      <c r="AE2770" s="16">
        <v>26.7</v>
      </c>
      <c r="AF2770" s="16" t="s">
        <v>413</v>
      </c>
    </row>
    <row r="2771" spans="1:32" ht="14.25" customHeight="1" x14ac:dyDescent="0.35">
      <c r="A2771" s="14" t="s">
        <v>1776</v>
      </c>
      <c r="B2771" s="14" t="s">
        <v>518</v>
      </c>
      <c r="C2771" s="14" t="s">
        <v>412</v>
      </c>
      <c r="D2771" s="14" t="s">
        <v>453</v>
      </c>
      <c r="E2771" s="15">
        <v>41640</v>
      </c>
      <c r="F2771" s="15">
        <v>42004</v>
      </c>
      <c r="G2771" s="14" t="s">
        <v>410</v>
      </c>
      <c r="H2771" s="14">
        <v>0.6</v>
      </c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S2771" s="14"/>
      <c r="T2771" s="14"/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 t="s">
        <v>413</v>
      </c>
    </row>
    <row r="2772" spans="1:32" ht="14.25" customHeight="1" x14ac:dyDescent="0.35">
      <c r="A2772" s="14" t="s">
        <v>1776</v>
      </c>
      <c r="B2772" s="14" t="s">
        <v>518</v>
      </c>
      <c r="C2772" s="14" t="s">
        <v>412</v>
      </c>
      <c r="D2772" s="14" t="s">
        <v>454</v>
      </c>
      <c r="E2772" s="15">
        <v>41913</v>
      </c>
      <c r="F2772" s="15">
        <v>42004</v>
      </c>
      <c r="G2772" s="14" t="s">
        <v>410</v>
      </c>
      <c r="H2772" s="14">
        <v>1.1000000000000001</v>
      </c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 t="s">
        <v>413</v>
      </c>
    </row>
    <row r="2773" spans="1:32" ht="14.25" customHeight="1" x14ac:dyDescent="0.35">
      <c r="A2773" s="16" t="s">
        <v>1776</v>
      </c>
      <c r="B2773" s="16" t="s">
        <v>518</v>
      </c>
      <c r="C2773" s="16" t="s">
        <v>412</v>
      </c>
      <c r="D2773" s="16" t="s">
        <v>454</v>
      </c>
      <c r="E2773" s="17">
        <v>41640</v>
      </c>
      <c r="F2773" s="17">
        <v>41759</v>
      </c>
      <c r="G2773" s="16" t="s">
        <v>410</v>
      </c>
      <c r="H2773" s="16">
        <v>1.1000000000000001</v>
      </c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6"/>
      <c r="AA2773" s="16"/>
      <c r="AB2773" s="16"/>
      <c r="AC2773" s="16"/>
      <c r="AD2773" s="16"/>
      <c r="AE2773" s="16"/>
      <c r="AF2773" s="16" t="s">
        <v>413</v>
      </c>
    </row>
    <row r="2774" spans="1:32" ht="14.25" customHeight="1" x14ac:dyDescent="0.35">
      <c r="A2774" s="16" t="s">
        <v>1776</v>
      </c>
      <c r="B2774" s="16" t="s">
        <v>518</v>
      </c>
      <c r="C2774" s="16" t="s">
        <v>412</v>
      </c>
      <c r="D2774" s="16" t="s">
        <v>418</v>
      </c>
      <c r="E2774" s="17">
        <v>41640</v>
      </c>
      <c r="F2774" s="17">
        <v>42004</v>
      </c>
      <c r="G2774" s="16" t="s">
        <v>410</v>
      </c>
      <c r="H2774" s="16">
        <v>1.1000000000000001</v>
      </c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6"/>
      <c r="AA2774" s="16"/>
      <c r="AB2774" s="16"/>
      <c r="AC2774" s="16"/>
      <c r="AD2774" s="16"/>
      <c r="AE2774" s="16"/>
      <c r="AF2774" s="16" t="s">
        <v>413</v>
      </c>
    </row>
    <row r="2775" spans="1:32" ht="14.25" customHeight="1" x14ac:dyDescent="0.35">
      <c r="A2775" s="14" t="s">
        <v>1777</v>
      </c>
      <c r="B2775" s="14" t="s">
        <v>408</v>
      </c>
      <c r="C2775" s="14" t="s">
        <v>412</v>
      </c>
      <c r="D2775" s="14" t="s">
        <v>409</v>
      </c>
      <c r="E2775" s="15">
        <v>41640</v>
      </c>
      <c r="F2775" s="15">
        <v>42004</v>
      </c>
      <c r="G2775" s="14" t="s">
        <v>410</v>
      </c>
      <c r="H2775" s="14">
        <v>1</v>
      </c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  <c r="AA2775" s="14"/>
      <c r="AB2775" s="14"/>
      <c r="AC2775" s="14"/>
      <c r="AD2775" s="14"/>
      <c r="AE2775" s="14"/>
      <c r="AF2775" s="14" t="s">
        <v>413</v>
      </c>
    </row>
    <row r="2776" spans="1:32" ht="14.25" customHeight="1" x14ac:dyDescent="0.35">
      <c r="A2776" s="16" t="s">
        <v>1778</v>
      </c>
      <c r="B2776" s="16" t="s">
        <v>408</v>
      </c>
      <c r="C2776" s="16" t="s">
        <v>414</v>
      </c>
      <c r="D2776" s="16" t="s">
        <v>409</v>
      </c>
      <c r="E2776" s="17">
        <v>41640</v>
      </c>
      <c r="F2776" s="17">
        <v>42004</v>
      </c>
      <c r="G2776" s="16" t="s">
        <v>410</v>
      </c>
      <c r="H2776" s="16">
        <v>6.7</v>
      </c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 t="s">
        <v>413</v>
      </c>
    </row>
    <row r="2777" spans="1:32" ht="14.25" customHeight="1" x14ac:dyDescent="0.35">
      <c r="A2777" s="14" t="s">
        <v>1779</v>
      </c>
      <c r="B2777" s="14" t="s">
        <v>408</v>
      </c>
      <c r="C2777" s="14"/>
      <c r="D2777" s="14" t="s">
        <v>409</v>
      </c>
      <c r="E2777" s="15">
        <v>41640</v>
      </c>
      <c r="F2777" s="15">
        <v>42004</v>
      </c>
      <c r="G2777" s="14" t="s">
        <v>410</v>
      </c>
      <c r="H2777" s="14">
        <v>4</v>
      </c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  <c r="AA2777" s="14"/>
      <c r="AB2777" s="14"/>
      <c r="AC2777" s="14"/>
      <c r="AD2777" s="14"/>
      <c r="AE2777" s="14"/>
      <c r="AF2777" s="14" t="s">
        <v>413</v>
      </c>
    </row>
    <row r="2778" spans="1:32" ht="14.25" customHeight="1" x14ac:dyDescent="0.35">
      <c r="A2778" s="16" t="s">
        <v>1780</v>
      </c>
      <c r="B2778" s="16" t="s">
        <v>408</v>
      </c>
      <c r="C2778" s="16"/>
      <c r="D2778" s="16" t="s">
        <v>409</v>
      </c>
      <c r="E2778" s="17">
        <v>41640</v>
      </c>
      <c r="F2778" s="17">
        <v>42004</v>
      </c>
      <c r="G2778" s="16" t="s">
        <v>410</v>
      </c>
      <c r="H2778" s="16">
        <v>0.5</v>
      </c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 t="s">
        <v>413</v>
      </c>
    </row>
    <row r="2779" spans="1:32" ht="14.25" customHeight="1" x14ac:dyDescent="0.35">
      <c r="A2779" s="14" t="s">
        <v>1781</v>
      </c>
      <c r="B2779" s="14" t="s">
        <v>408</v>
      </c>
      <c r="C2779" s="14"/>
      <c r="D2779" s="14" t="s">
        <v>409</v>
      </c>
      <c r="E2779" s="15">
        <v>41640</v>
      </c>
      <c r="F2779" s="15">
        <v>42004</v>
      </c>
      <c r="G2779" s="14" t="s">
        <v>410</v>
      </c>
      <c r="H2779" s="14">
        <v>1</v>
      </c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  <c r="AA2779" s="14"/>
      <c r="AB2779" s="14"/>
      <c r="AC2779" s="14"/>
      <c r="AD2779" s="14"/>
      <c r="AE2779" s="14"/>
      <c r="AF2779" s="14" t="s">
        <v>413</v>
      </c>
    </row>
    <row r="2780" spans="1:32" ht="14.25" customHeight="1" x14ac:dyDescent="0.35">
      <c r="A2780" s="16" t="s">
        <v>1782</v>
      </c>
      <c r="B2780" s="16" t="s">
        <v>424</v>
      </c>
      <c r="C2780" s="16"/>
      <c r="D2780" s="16" t="s">
        <v>409</v>
      </c>
      <c r="E2780" s="17">
        <v>41640</v>
      </c>
      <c r="F2780" s="17">
        <v>42004</v>
      </c>
      <c r="G2780" s="16" t="s">
        <v>415</v>
      </c>
      <c r="H2780" s="16">
        <v>0</v>
      </c>
      <c r="I2780" s="16">
        <v>0</v>
      </c>
      <c r="J2780" s="16">
        <v>0</v>
      </c>
      <c r="K2780" s="16">
        <v>0</v>
      </c>
      <c r="L2780" s="16">
        <v>0</v>
      </c>
      <c r="M2780" s="16">
        <v>0</v>
      </c>
      <c r="N2780" s="16">
        <v>1</v>
      </c>
      <c r="O2780" s="16">
        <v>1</v>
      </c>
      <c r="P2780" s="16">
        <v>1</v>
      </c>
      <c r="Q2780" s="16">
        <v>1</v>
      </c>
      <c r="R2780" s="16">
        <v>1</v>
      </c>
      <c r="S2780" s="16">
        <v>1</v>
      </c>
      <c r="T2780" s="16">
        <v>1</v>
      </c>
      <c r="U2780" s="16">
        <v>1</v>
      </c>
      <c r="V2780" s="16">
        <v>1</v>
      </c>
      <c r="W2780" s="16">
        <v>1</v>
      </c>
      <c r="X2780" s="16">
        <v>1</v>
      </c>
      <c r="Y2780" s="16">
        <v>1</v>
      </c>
      <c r="Z2780" s="16">
        <v>1</v>
      </c>
      <c r="AA2780" s="16">
        <v>1</v>
      </c>
      <c r="AB2780" s="16">
        <v>1</v>
      </c>
      <c r="AC2780" s="16">
        <v>1</v>
      </c>
      <c r="AD2780" s="16">
        <v>1</v>
      </c>
      <c r="AE2780" s="16">
        <v>1</v>
      </c>
      <c r="AF2780" s="16" t="s">
        <v>413</v>
      </c>
    </row>
    <row r="2781" spans="1:32" ht="14.25" customHeight="1" x14ac:dyDescent="0.35">
      <c r="A2781" s="14" t="s">
        <v>1783</v>
      </c>
      <c r="B2781" s="14" t="s">
        <v>424</v>
      </c>
      <c r="C2781" s="14"/>
      <c r="D2781" s="14" t="s">
        <v>409</v>
      </c>
      <c r="E2781" s="15">
        <v>41640</v>
      </c>
      <c r="F2781" s="15">
        <v>42004</v>
      </c>
      <c r="G2781" s="14" t="s">
        <v>415</v>
      </c>
      <c r="H2781" s="14">
        <v>0.7</v>
      </c>
      <c r="I2781" s="14">
        <v>0.7</v>
      </c>
      <c r="J2781" s="14">
        <v>0.7</v>
      </c>
      <c r="K2781" s="14">
        <v>0.7</v>
      </c>
      <c r="L2781" s="14">
        <v>0.7</v>
      </c>
      <c r="M2781" s="14">
        <v>0.7</v>
      </c>
      <c r="N2781" s="14">
        <v>1</v>
      </c>
      <c r="O2781" s="14">
        <v>1</v>
      </c>
      <c r="P2781" s="14">
        <v>1</v>
      </c>
      <c r="Q2781" s="14">
        <v>1</v>
      </c>
      <c r="R2781" s="14">
        <v>1</v>
      </c>
      <c r="S2781" s="14">
        <v>1</v>
      </c>
      <c r="T2781" s="14">
        <v>1</v>
      </c>
      <c r="U2781" s="14">
        <v>1</v>
      </c>
      <c r="V2781" s="14">
        <v>1</v>
      </c>
      <c r="W2781" s="14">
        <v>1</v>
      </c>
      <c r="X2781" s="14">
        <v>1</v>
      </c>
      <c r="Y2781" s="14">
        <v>1</v>
      </c>
      <c r="Z2781" s="14">
        <v>1</v>
      </c>
      <c r="AA2781" s="14">
        <v>1</v>
      </c>
      <c r="AB2781" s="14">
        <v>1</v>
      </c>
      <c r="AC2781" s="14">
        <v>1</v>
      </c>
      <c r="AD2781" s="14">
        <v>1</v>
      </c>
      <c r="AE2781" s="14">
        <v>1</v>
      </c>
      <c r="AF2781" s="14" t="s">
        <v>413</v>
      </c>
    </row>
    <row r="2782" spans="1:32" ht="14.25" customHeight="1" x14ac:dyDescent="0.35">
      <c r="A2782" s="16" t="s">
        <v>1784</v>
      </c>
      <c r="B2782" s="16" t="s">
        <v>408</v>
      </c>
      <c r="C2782" s="16" t="s">
        <v>412</v>
      </c>
      <c r="D2782" s="16" t="s">
        <v>409</v>
      </c>
      <c r="E2782" s="17">
        <v>41640</v>
      </c>
      <c r="F2782" s="17">
        <v>42004</v>
      </c>
      <c r="G2782" s="16" t="s">
        <v>410</v>
      </c>
      <c r="H2782" s="16">
        <v>1</v>
      </c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6"/>
      <c r="AA2782" s="16"/>
      <c r="AB2782" s="16"/>
      <c r="AC2782" s="16"/>
      <c r="AD2782" s="16"/>
      <c r="AE2782" s="16"/>
      <c r="AF2782" s="16" t="s">
        <v>413</v>
      </c>
    </row>
    <row r="2783" spans="1:32" ht="14.25" customHeight="1" x14ac:dyDescent="0.35">
      <c r="A2783" s="14" t="s">
        <v>1785</v>
      </c>
      <c r="B2783" s="14" t="s">
        <v>408</v>
      </c>
      <c r="C2783" s="14" t="s">
        <v>414</v>
      </c>
      <c r="D2783" s="14" t="s">
        <v>409</v>
      </c>
      <c r="E2783" s="15">
        <v>41640</v>
      </c>
      <c r="F2783" s="15">
        <v>42004</v>
      </c>
      <c r="G2783" s="14" t="s">
        <v>410</v>
      </c>
      <c r="H2783" s="14">
        <v>16</v>
      </c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S2783" s="14"/>
      <c r="T2783" s="14"/>
      <c r="U2783" s="14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 t="s">
        <v>413</v>
      </c>
    </row>
    <row r="2784" spans="1:32" ht="14.25" customHeight="1" x14ac:dyDescent="0.35">
      <c r="A2784" s="16" t="s">
        <v>1786</v>
      </c>
      <c r="B2784" s="16" t="s">
        <v>600</v>
      </c>
      <c r="C2784" s="16"/>
      <c r="D2784" s="16" t="s">
        <v>417</v>
      </c>
      <c r="E2784" s="17">
        <v>41640</v>
      </c>
      <c r="F2784" s="17">
        <v>42004</v>
      </c>
      <c r="G2784" s="16" t="s">
        <v>410</v>
      </c>
      <c r="H2784" s="16">
        <v>0</v>
      </c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 t="s">
        <v>413</v>
      </c>
    </row>
    <row r="2785" spans="1:32" ht="14.25" customHeight="1" x14ac:dyDescent="0.35">
      <c r="A2785" s="14" t="s">
        <v>1786</v>
      </c>
      <c r="B2785" s="14" t="s">
        <v>600</v>
      </c>
      <c r="C2785" s="14"/>
      <c r="D2785" s="14" t="s">
        <v>1301</v>
      </c>
      <c r="E2785" s="15">
        <v>41640</v>
      </c>
      <c r="F2785" s="15">
        <v>42004</v>
      </c>
      <c r="G2785" s="14" t="s">
        <v>415</v>
      </c>
      <c r="H2785" s="14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1</v>
      </c>
      <c r="P2785" s="14">
        <v>1</v>
      </c>
      <c r="Q2785" s="14">
        <v>1</v>
      </c>
      <c r="R2785" s="14">
        <v>1</v>
      </c>
      <c r="S2785" s="14">
        <v>1</v>
      </c>
      <c r="T2785" s="14">
        <v>1</v>
      </c>
      <c r="U2785" s="14">
        <v>1</v>
      </c>
      <c r="V2785" s="14">
        <v>1</v>
      </c>
      <c r="W2785" s="14">
        <v>1</v>
      </c>
      <c r="X2785" s="14">
        <v>1</v>
      </c>
      <c r="Y2785" s="14">
        <v>1</v>
      </c>
      <c r="Z2785" s="14">
        <v>1</v>
      </c>
      <c r="AA2785" s="14">
        <v>1</v>
      </c>
      <c r="AB2785" s="14">
        <v>1</v>
      </c>
      <c r="AC2785" s="14">
        <v>0</v>
      </c>
      <c r="AD2785" s="14">
        <v>0</v>
      </c>
      <c r="AE2785" s="14">
        <v>0</v>
      </c>
      <c r="AF2785" s="14" t="s">
        <v>413</v>
      </c>
    </row>
    <row r="2786" spans="1:32" ht="14.25" customHeight="1" x14ac:dyDescent="0.35">
      <c r="A2786" s="16" t="s">
        <v>1787</v>
      </c>
      <c r="B2786" s="16" t="s">
        <v>420</v>
      </c>
      <c r="C2786" s="16" t="s">
        <v>414</v>
      </c>
      <c r="D2786" s="16" t="s">
        <v>453</v>
      </c>
      <c r="E2786" s="17">
        <v>41640</v>
      </c>
      <c r="F2786" s="17">
        <v>42004</v>
      </c>
      <c r="G2786" s="16" t="s">
        <v>410</v>
      </c>
      <c r="H2786" s="16">
        <v>15.6</v>
      </c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 t="s">
        <v>413</v>
      </c>
    </row>
    <row r="2787" spans="1:32" ht="14.25" customHeight="1" x14ac:dyDescent="0.35">
      <c r="A2787" s="16" t="s">
        <v>1787</v>
      </c>
      <c r="B2787" s="16" t="s">
        <v>420</v>
      </c>
      <c r="C2787" s="16" t="s">
        <v>414</v>
      </c>
      <c r="D2787" s="16" t="s">
        <v>429</v>
      </c>
      <c r="E2787" s="17">
        <v>41640</v>
      </c>
      <c r="F2787" s="17">
        <v>42004</v>
      </c>
      <c r="G2787" s="16" t="s">
        <v>415</v>
      </c>
      <c r="H2787" s="16">
        <v>15.6</v>
      </c>
      <c r="I2787" s="16">
        <v>15.6</v>
      </c>
      <c r="J2787" s="16">
        <v>15.6</v>
      </c>
      <c r="K2787" s="16">
        <v>15.6</v>
      </c>
      <c r="L2787" s="16">
        <v>15.6</v>
      </c>
      <c r="M2787" s="16">
        <v>15.6</v>
      </c>
      <c r="N2787" s="16">
        <v>21</v>
      </c>
      <c r="O2787" s="16">
        <v>21</v>
      </c>
      <c r="P2787" s="16">
        <v>21</v>
      </c>
      <c r="Q2787" s="16">
        <v>21</v>
      </c>
      <c r="R2787" s="16">
        <v>21</v>
      </c>
      <c r="S2787" s="16">
        <v>21</v>
      </c>
      <c r="T2787" s="16">
        <v>21</v>
      </c>
      <c r="U2787" s="16">
        <v>21</v>
      </c>
      <c r="V2787" s="16">
        <v>21</v>
      </c>
      <c r="W2787" s="16">
        <v>21</v>
      </c>
      <c r="X2787" s="16">
        <v>21</v>
      </c>
      <c r="Y2787" s="16">
        <v>21</v>
      </c>
      <c r="Z2787" s="16">
        <v>21</v>
      </c>
      <c r="AA2787" s="16">
        <v>21</v>
      </c>
      <c r="AB2787" s="16">
        <v>21</v>
      </c>
      <c r="AC2787" s="16">
        <v>15.6</v>
      </c>
      <c r="AD2787" s="16">
        <v>15.6</v>
      </c>
      <c r="AE2787" s="16">
        <v>15.6</v>
      </c>
      <c r="AF2787" s="16" t="s">
        <v>413</v>
      </c>
    </row>
    <row r="2788" spans="1:32" ht="14.25" customHeight="1" x14ac:dyDescent="0.35">
      <c r="A2788" s="14" t="s">
        <v>1787</v>
      </c>
      <c r="B2788" s="14" t="s">
        <v>420</v>
      </c>
      <c r="C2788" s="14" t="s">
        <v>414</v>
      </c>
      <c r="D2788" s="14" t="s">
        <v>418</v>
      </c>
      <c r="E2788" s="15">
        <v>41640</v>
      </c>
      <c r="F2788" s="15">
        <v>42004</v>
      </c>
      <c r="G2788" s="14" t="s">
        <v>410</v>
      </c>
      <c r="H2788" s="14">
        <v>21</v>
      </c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  <c r="U2788" s="14"/>
      <c r="V2788" s="14"/>
      <c r="W2788" s="14"/>
      <c r="X2788" s="14"/>
      <c r="Y2788" s="14"/>
      <c r="Z2788" s="14"/>
      <c r="AA2788" s="14"/>
      <c r="AB2788" s="14"/>
      <c r="AC2788" s="14"/>
      <c r="AD2788" s="14"/>
      <c r="AE2788" s="14"/>
      <c r="AF2788" s="14" t="s">
        <v>413</v>
      </c>
    </row>
    <row r="2789" spans="1:32" ht="14.25" customHeight="1" x14ac:dyDescent="0.35">
      <c r="A2789" s="14" t="s">
        <v>1788</v>
      </c>
      <c r="B2789" s="14" t="s">
        <v>420</v>
      </c>
      <c r="C2789" s="14" t="s">
        <v>414</v>
      </c>
      <c r="D2789" s="14" t="s">
        <v>1767</v>
      </c>
      <c r="E2789" s="15">
        <v>41640</v>
      </c>
      <c r="F2789" s="15">
        <v>42004</v>
      </c>
      <c r="G2789" s="14" t="s">
        <v>410</v>
      </c>
      <c r="H2789" s="14">
        <v>15.6</v>
      </c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 t="s">
        <v>413</v>
      </c>
    </row>
    <row r="2790" spans="1:32" ht="14.25" customHeight="1" x14ac:dyDescent="0.35">
      <c r="A2790" s="16" t="s">
        <v>1788</v>
      </c>
      <c r="B2790" s="16" t="s">
        <v>420</v>
      </c>
      <c r="C2790" s="16" t="s">
        <v>414</v>
      </c>
      <c r="D2790" s="16" t="s">
        <v>418</v>
      </c>
      <c r="E2790" s="17">
        <v>41640</v>
      </c>
      <c r="F2790" s="17">
        <v>42004</v>
      </c>
      <c r="G2790" s="16" t="s">
        <v>410</v>
      </c>
      <c r="H2790" s="16">
        <v>21</v>
      </c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6"/>
      <c r="AA2790" s="16"/>
      <c r="AB2790" s="16"/>
      <c r="AC2790" s="16"/>
      <c r="AD2790" s="16"/>
      <c r="AE2790" s="16"/>
      <c r="AF2790" s="16" t="s">
        <v>413</v>
      </c>
    </row>
    <row r="2791" spans="1:32" ht="14.25" customHeight="1" x14ac:dyDescent="0.35">
      <c r="A2791" s="14" t="s">
        <v>1789</v>
      </c>
      <c r="B2791" s="14" t="s">
        <v>420</v>
      </c>
      <c r="C2791" s="14" t="s">
        <v>414</v>
      </c>
      <c r="D2791" s="14" t="s">
        <v>453</v>
      </c>
      <c r="E2791" s="15">
        <v>41640</v>
      </c>
      <c r="F2791" s="15">
        <v>42004</v>
      </c>
      <c r="G2791" s="14" t="s">
        <v>410</v>
      </c>
      <c r="H2791" s="14">
        <v>15.6</v>
      </c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  <c r="AA2791" s="14"/>
      <c r="AB2791" s="14"/>
      <c r="AC2791" s="14"/>
      <c r="AD2791" s="14"/>
      <c r="AE2791" s="14"/>
      <c r="AF2791" s="14" t="s">
        <v>413</v>
      </c>
    </row>
    <row r="2792" spans="1:32" ht="14.25" customHeight="1" x14ac:dyDescent="0.35">
      <c r="A2792" s="14" t="s">
        <v>1789</v>
      </c>
      <c r="B2792" s="14" t="s">
        <v>420</v>
      </c>
      <c r="C2792" s="14" t="s">
        <v>414</v>
      </c>
      <c r="D2792" s="14" t="s">
        <v>429</v>
      </c>
      <c r="E2792" s="15">
        <v>41640</v>
      </c>
      <c r="F2792" s="15">
        <v>42004</v>
      </c>
      <c r="G2792" s="14" t="s">
        <v>415</v>
      </c>
      <c r="H2792" s="14">
        <v>15.6</v>
      </c>
      <c r="I2792" s="14">
        <v>15.6</v>
      </c>
      <c r="J2792" s="14">
        <v>15.6</v>
      </c>
      <c r="K2792" s="14">
        <v>15.6</v>
      </c>
      <c r="L2792" s="14">
        <v>15.6</v>
      </c>
      <c r="M2792" s="14">
        <v>15.6</v>
      </c>
      <c r="N2792" s="14">
        <v>21</v>
      </c>
      <c r="O2792" s="14">
        <v>21</v>
      </c>
      <c r="P2792" s="14">
        <v>21</v>
      </c>
      <c r="Q2792" s="14">
        <v>21</v>
      </c>
      <c r="R2792" s="14">
        <v>21</v>
      </c>
      <c r="S2792" s="14">
        <v>21</v>
      </c>
      <c r="T2792" s="14">
        <v>21</v>
      </c>
      <c r="U2792" s="14">
        <v>21</v>
      </c>
      <c r="V2792" s="14">
        <v>21</v>
      </c>
      <c r="W2792" s="14">
        <v>21</v>
      </c>
      <c r="X2792" s="14">
        <v>21</v>
      </c>
      <c r="Y2792" s="14">
        <v>21</v>
      </c>
      <c r="Z2792" s="14">
        <v>21</v>
      </c>
      <c r="AA2792" s="14">
        <v>21</v>
      </c>
      <c r="AB2792" s="14">
        <v>21</v>
      </c>
      <c r="AC2792" s="14">
        <v>15.6</v>
      </c>
      <c r="AD2792" s="14">
        <v>15.6</v>
      </c>
      <c r="AE2792" s="14">
        <v>15.6</v>
      </c>
      <c r="AF2792" s="14" t="s">
        <v>413</v>
      </c>
    </row>
    <row r="2793" spans="1:32" ht="14.25" customHeight="1" x14ac:dyDescent="0.35">
      <c r="A2793" s="16" t="s">
        <v>1789</v>
      </c>
      <c r="B2793" s="16" t="s">
        <v>420</v>
      </c>
      <c r="C2793" s="16" t="s">
        <v>414</v>
      </c>
      <c r="D2793" s="16" t="s">
        <v>418</v>
      </c>
      <c r="E2793" s="17">
        <v>41640</v>
      </c>
      <c r="F2793" s="17">
        <v>42004</v>
      </c>
      <c r="G2793" s="16" t="s">
        <v>410</v>
      </c>
      <c r="H2793" s="16">
        <v>21</v>
      </c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 t="s">
        <v>413</v>
      </c>
    </row>
    <row r="2794" spans="1:32" ht="14.25" customHeight="1" x14ac:dyDescent="0.35">
      <c r="A2794" s="16" t="s">
        <v>1790</v>
      </c>
      <c r="B2794" s="16" t="s">
        <v>420</v>
      </c>
      <c r="C2794" s="16" t="s">
        <v>414</v>
      </c>
      <c r="D2794" s="16" t="s">
        <v>453</v>
      </c>
      <c r="E2794" s="17">
        <v>41640</v>
      </c>
      <c r="F2794" s="17">
        <v>42004</v>
      </c>
      <c r="G2794" s="16" t="s">
        <v>410</v>
      </c>
      <c r="H2794" s="16">
        <v>15.6</v>
      </c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 t="s">
        <v>413</v>
      </c>
    </row>
    <row r="2795" spans="1:32" ht="14.25" customHeight="1" x14ac:dyDescent="0.35">
      <c r="A2795" s="16" t="s">
        <v>1790</v>
      </c>
      <c r="B2795" s="16" t="s">
        <v>420</v>
      </c>
      <c r="C2795" s="16" t="s">
        <v>414</v>
      </c>
      <c r="D2795" s="16" t="s">
        <v>429</v>
      </c>
      <c r="E2795" s="17">
        <v>41640</v>
      </c>
      <c r="F2795" s="17">
        <v>42004</v>
      </c>
      <c r="G2795" s="16" t="s">
        <v>415</v>
      </c>
      <c r="H2795" s="16">
        <v>15.6</v>
      </c>
      <c r="I2795" s="16">
        <v>15.6</v>
      </c>
      <c r="J2795" s="16">
        <v>15.6</v>
      </c>
      <c r="K2795" s="16">
        <v>15.6</v>
      </c>
      <c r="L2795" s="16">
        <v>15.6</v>
      </c>
      <c r="M2795" s="16">
        <v>15.6</v>
      </c>
      <c r="N2795" s="16">
        <v>21</v>
      </c>
      <c r="O2795" s="16">
        <v>21</v>
      </c>
      <c r="P2795" s="16">
        <v>21</v>
      </c>
      <c r="Q2795" s="16">
        <v>21</v>
      </c>
      <c r="R2795" s="16">
        <v>21</v>
      </c>
      <c r="S2795" s="16">
        <v>21</v>
      </c>
      <c r="T2795" s="16">
        <v>21</v>
      </c>
      <c r="U2795" s="16">
        <v>21</v>
      </c>
      <c r="V2795" s="16">
        <v>21</v>
      </c>
      <c r="W2795" s="16">
        <v>21</v>
      </c>
      <c r="X2795" s="16">
        <v>21</v>
      </c>
      <c r="Y2795" s="16">
        <v>21</v>
      </c>
      <c r="Z2795" s="16">
        <v>21</v>
      </c>
      <c r="AA2795" s="16">
        <v>21</v>
      </c>
      <c r="AB2795" s="16">
        <v>21</v>
      </c>
      <c r="AC2795" s="16">
        <v>15.6</v>
      </c>
      <c r="AD2795" s="16">
        <v>15.6</v>
      </c>
      <c r="AE2795" s="16">
        <v>15.6</v>
      </c>
      <c r="AF2795" s="16" t="s">
        <v>413</v>
      </c>
    </row>
    <row r="2796" spans="1:32" ht="14.25" customHeight="1" x14ac:dyDescent="0.35">
      <c r="A2796" s="14" t="s">
        <v>1790</v>
      </c>
      <c r="B2796" s="14" t="s">
        <v>420</v>
      </c>
      <c r="C2796" s="14" t="s">
        <v>414</v>
      </c>
      <c r="D2796" s="14" t="s">
        <v>418</v>
      </c>
      <c r="E2796" s="15">
        <v>41640</v>
      </c>
      <c r="F2796" s="15">
        <v>42004</v>
      </c>
      <c r="G2796" s="14" t="s">
        <v>410</v>
      </c>
      <c r="H2796" s="14">
        <v>21</v>
      </c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  <c r="AA2796" s="14"/>
      <c r="AB2796" s="14"/>
      <c r="AC2796" s="14"/>
      <c r="AD2796" s="14"/>
      <c r="AE2796" s="14"/>
      <c r="AF2796" s="14" t="s">
        <v>413</v>
      </c>
    </row>
    <row r="2797" spans="1:32" ht="14.25" customHeight="1" x14ac:dyDescent="0.35">
      <c r="A2797" s="14" t="s">
        <v>1791</v>
      </c>
      <c r="B2797" s="14" t="s">
        <v>420</v>
      </c>
      <c r="C2797" s="14" t="s">
        <v>414</v>
      </c>
      <c r="D2797" s="14" t="s">
        <v>453</v>
      </c>
      <c r="E2797" s="15">
        <v>41640</v>
      </c>
      <c r="F2797" s="15">
        <v>42004</v>
      </c>
      <c r="G2797" s="14" t="s">
        <v>410</v>
      </c>
      <c r="H2797" s="14">
        <v>15.6</v>
      </c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 t="s">
        <v>413</v>
      </c>
    </row>
    <row r="2798" spans="1:32" ht="14.25" customHeight="1" x14ac:dyDescent="0.35">
      <c r="A2798" s="14" t="s">
        <v>1791</v>
      </c>
      <c r="B2798" s="14" t="s">
        <v>420</v>
      </c>
      <c r="C2798" s="14" t="s">
        <v>414</v>
      </c>
      <c r="D2798" s="14" t="s">
        <v>429</v>
      </c>
      <c r="E2798" s="15">
        <v>41640</v>
      </c>
      <c r="F2798" s="15">
        <v>42004</v>
      </c>
      <c r="G2798" s="14" t="s">
        <v>415</v>
      </c>
      <c r="H2798" s="14">
        <v>15.6</v>
      </c>
      <c r="I2798" s="14">
        <v>15.6</v>
      </c>
      <c r="J2798" s="14">
        <v>15.6</v>
      </c>
      <c r="K2798" s="14">
        <v>15.6</v>
      </c>
      <c r="L2798" s="14">
        <v>15.6</v>
      </c>
      <c r="M2798" s="14">
        <v>15.6</v>
      </c>
      <c r="N2798" s="14">
        <v>21</v>
      </c>
      <c r="O2798" s="14">
        <v>21</v>
      </c>
      <c r="P2798" s="14">
        <v>21</v>
      </c>
      <c r="Q2798" s="14">
        <v>21</v>
      </c>
      <c r="R2798" s="14">
        <v>21</v>
      </c>
      <c r="S2798" s="14">
        <v>21</v>
      </c>
      <c r="T2798" s="14">
        <v>21</v>
      </c>
      <c r="U2798" s="14">
        <v>21</v>
      </c>
      <c r="V2798" s="14">
        <v>21</v>
      </c>
      <c r="W2798" s="14">
        <v>21</v>
      </c>
      <c r="X2798" s="14">
        <v>21</v>
      </c>
      <c r="Y2798" s="14">
        <v>21</v>
      </c>
      <c r="Z2798" s="14">
        <v>21</v>
      </c>
      <c r="AA2798" s="14">
        <v>21</v>
      </c>
      <c r="AB2798" s="14">
        <v>21</v>
      </c>
      <c r="AC2798" s="14">
        <v>15.6</v>
      </c>
      <c r="AD2798" s="14">
        <v>15.6</v>
      </c>
      <c r="AE2798" s="14">
        <v>15.6</v>
      </c>
      <c r="AF2798" s="14" t="s">
        <v>413</v>
      </c>
    </row>
    <row r="2799" spans="1:32" ht="14.25" customHeight="1" x14ac:dyDescent="0.35">
      <c r="A2799" s="16" t="s">
        <v>1791</v>
      </c>
      <c r="B2799" s="16" t="s">
        <v>420</v>
      </c>
      <c r="C2799" s="16" t="s">
        <v>414</v>
      </c>
      <c r="D2799" s="16" t="s">
        <v>418</v>
      </c>
      <c r="E2799" s="17">
        <v>41640</v>
      </c>
      <c r="F2799" s="17">
        <v>42004</v>
      </c>
      <c r="G2799" s="16" t="s">
        <v>410</v>
      </c>
      <c r="H2799" s="16">
        <v>21</v>
      </c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6"/>
      <c r="AA2799" s="16"/>
      <c r="AB2799" s="16"/>
      <c r="AC2799" s="16"/>
      <c r="AD2799" s="16"/>
      <c r="AE2799" s="16"/>
      <c r="AF2799" s="16" t="s">
        <v>413</v>
      </c>
    </row>
    <row r="2800" spans="1:32" ht="14.25" customHeight="1" x14ac:dyDescent="0.35">
      <c r="A2800" s="16" t="s">
        <v>1792</v>
      </c>
      <c r="B2800" s="16" t="s">
        <v>420</v>
      </c>
      <c r="C2800" s="16" t="s">
        <v>414</v>
      </c>
      <c r="D2800" s="16" t="s">
        <v>453</v>
      </c>
      <c r="E2800" s="17">
        <v>41640</v>
      </c>
      <c r="F2800" s="17">
        <v>42004</v>
      </c>
      <c r="G2800" s="16" t="s">
        <v>410</v>
      </c>
      <c r="H2800" s="16">
        <v>15.6</v>
      </c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 t="s">
        <v>413</v>
      </c>
    </row>
    <row r="2801" spans="1:32" ht="14.25" customHeight="1" x14ac:dyDescent="0.35">
      <c r="A2801" s="16" t="s">
        <v>1792</v>
      </c>
      <c r="B2801" s="16" t="s">
        <v>420</v>
      </c>
      <c r="C2801" s="16" t="s">
        <v>414</v>
      </c>
      <c r="D2801" s="16" t="s">
        <v>429</v>
      </c>
      <c r="E2801" s="17">
        <v>41640</v>
      </c>
      <c r="F2801" s="17">
        <v>42004</v>
      </c>
      <c r="G2801" s="16" t="s">
        <v>415</v>
      </c>
      <c r="H2801" s="16">
        <v>15.6</v>
      </c>
      <c r="I2801" s="16">
        <v>15.6</v>
      </c>
      <c r="J2801" s="16">
        <v>15.6</v>
      </c>
      <c r="K2801" s="16">
        <v>15.6</v>
      </c>
      <c r="L2801" s="16">
        <v>15.6</v>
      </c>
      <c r="M2801" s="16">
        <v>15.6</v>
      </c>
      <c r="N2801" s="16">
        <v>21</v>
      </c>
      <c r="O2801" s="16">
        <v>21</v>
      </c>
      <c r="P2801" s="16">
        <v>21</v>
      </c>
      <c r="Q2801" s="16">
        <v>21</v>
      </c>
      <c r="R2801" s="16">
        <v>21</v>
      </c>
      <c r="S2801" s="16">
        <v>21</v>
      </c>
      <c r="T2801" s="16">
        <v>21</v>
      </c>
      <c r="U2801" s="16">
        <v>21</v>
      </c>
      <c r="V2801" s="16">
        <v>21</v>
      </c>
      <c r="W2801" s="16">
        <v>21</v>
      </c>
      <c r="X2801" s="16">
        <v>21</v>
      </c>
      <c r="Y2801" s="16">
        <v>21</v>
      </c>
      <c r="Z2801" s="16">
        <v>21</v>
      </c>
      <c r="AA2801" s="16">
        <v>21</v>
      </c>
      <c r="AB2801" s="16">
        <v>21</v>
      </c>
      <c r="AC2801" s="16">
        <v>15.6</v>
      </c>
      <c r="AD2801" s="16">
        <v>15.6</v>
      </c>
      <c r="AE2801" s="16">
        <v>15.6</v>
      </c>
      <c r="AF2801" s="16" t="s">
        <v>413</v>
      </c>
    </row>
    <row r="2802" spans="1:32" ht="14.25" customHeight="1" x14ac:dyDescent="0.35">
      <c r="A2802" s="14" t="s">
        <v>1792</v>
      </c>
      <c r="B2802" s="14" t="s">
        <v>420</v>
      </c>
      <c r="C2802" s="14" t="s">
        <v>414</v>
      </c>
      <c r="D2802" s="14" t="s">
        <v>418</v>
      </c>
      <c r="E2802" s="15">
        <v>41640</v>
      </c>
      <c r="F2802" s="15">
        <v>42004</v>
      </c>
      <c r="G2802" s="14" t="s">
        <v>410</v>
      </c>
      <c r="H2802" s="14">
        <v>21</v>
      </c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  <c r="AA2802" s="14"/>
      <c r="AB2802" s="14"/>
      <c r="AC2802" s="14"/>
      <c r="AD2802" s="14"/>
      <c r="AE2802" s="14"/>
      <c r="AF2802" s="14" t="s">
        <v>413</v>
      </c>
    </row>
    <row r="2803" spans="1:32" ht="14.25" customHeight="1" x14ac:dyDescent="0.35">
      <c r="A2803" s="14" t="s">
        <v>1793</v>
      </c>
      <c r="B2803" s="14" t="s">
        <v>420</v>
      </c>
      <c r="C2803" s="14" t="s">
        <v>414</v>
      </c>
      <c r="D2803" s="14" t="s">
        <v>453</v>
      </c>
      <c r="E2803" s="15">
        <v>41640</v>
      </c>
      <c r="F2803" s="15">
        <v>42004</v>
      </c>
      <c r="G2803" s="14" t="s">
        <v>410</v>
      </c>
      <c r="H2803" s="14">
        <v>15.6</v>
      </c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F2803" s="14" t="s">
        <v>413</v>
      </c>
    </row>
    <row r="2804" spans="1:32" ht="14.25" customHeight="1" x14ac:dyDescent="0.35">
      <c r="A2804" s="14" t="s">
        <v>1793</v>
      </c>
      <c r="B2804" s="14" t="s">
        <v>420</v>
      </c>
      <c r="C2804" s="14" t="s">
        <v>414</v>
      </c>
      <c r="D2804" s="14" t="s">
        <v>429</v>
      </c>
      <c r="E2804" s="15">
        <v>41640</v>
      </c>
      <c r="F2804" s="15">
        <v>42004</v>
      </c>
      <c r="G2804" s="14" t="s">
        <v>415</v>
      </c>
      <c r="H2804" s="14">
        <v>15.6</v>
      </c>
      <c r="I2804" s="14">
        <v>15.6</v>
      </c>
      <c r="J2804" s="14">
        <v>15.6</v>
      </c>
      <c r="K2804" s="14">
        <v>15.6</v>
      </c>
      <c r="L2804" s="14">
        <v>15.6</v>
      </c>
      <c r="M2804" s="14">
        <v>15.6</v>
      </c>
      <c r="N2804" s="14">
        <v>17.8</v>
      </c>
      <c r="O2804" s="14">
        <v>20</v>
      </c>
      <c r="P2804" s="14">
        <v>21</v>
      </c>
      <c r="Q2804" s="14">
        <v>21</v>
      </c>
      <c r="R2804" s="14">
        <v>21</v>
      </c>
      <c r="S2804" s="14">
        <v>21</v>
      </c>
      <c r="T2804" s="14">
        <v>21</v>
      </c>
      <c r="U2804" s="14">
        <v>21</v>
      </c>
      <c r="V2804" s="14">
        <v>21</v>
      </c>
      <c r="W2804" s="14">
        <v>21</v>
      </c>
      <c r="X2804" s="14">
        <v>21</v>
      </c>
      <c r="Y2804" s="14">
        <v>21</v>
      </c>
      <c r="Z2804" s="14">
        <v>21</v>
      </c>
      <c r="AA2804" s="14">
        <v>21</v>
      </c>
      <c r="AB2804" s="14">
        <v>21</v>
      </c>
      <c r="AC2804" s="14">
        <v>15.6</v>
      </c>
      <c r="AD2804" s="14">
        <v>15.6</v>
      </c>
      <c r="AE2804" s="14">
        <v>15.6</v>
      </c>
      <c r="AF2804" s="14" t="s">
        <v>413</v>
      </c>
    </row>
    <row r="2805" spans="1:32" ht="14.25" customHeight="1" x14ac:dyDescent="0.35">
      <c r="A2805" s="16" t="s">
        <v>1793</v>
      </c>
      <c r="B2805" s="16" t="s">
        <v>420</v>
      </c>
      <c r="C2805" s="16" t="s">
        <v>414</v>
      </c>
      <c r="D2805" s="16" t="s">
        <v>418</v>
      </c>
      <c r="E2805" s="17">
        <v>41640</v>
      </c>
      <c r="F2805" s="17">
        <v>42004</v>
      </c>
      <c r="G2805" s="16" t="s">
        <v>410</v>
      </c>
      <c r="H2805" s="16">
        <v>21</v>
      </c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6"/>
      <c r="AA2805" s="16"/>
      <c r="AB2805" s="16"/>
      <c r="AC2805" s="16"/>
      <c r="AD2805" s="16"/>
      <c r="AE2805" s="16"/>
      <c r="AF2805" s="16" t="s">
        <v>413</v>
      </c>
    </row>
    <row r="2806" spans="1:32" ht="14.25" customHeight="1" x14ac:dyDescent="0.35">
      <c r="A2806" s="16" t="s">
        <v>1794</v>
      </c>
      <c r="B2806" s="16" t="s">
        <v>420</v>
      </c>
      <c r="C2806" s="16" t="s">
        <v>414</v>
      </c>
      <c r="D2806" s="16" t="s">
        <v>453</v>
      </c>
      <c r="E2806" s="17">
        <v>41640</v>
      </c>
      <c r="F2806" s="17">
        <v>42004</v>
      </c>
      <c r="G2806" s="16" t="s">
        <v>410</v>
      </c>
      <c r="H2806" s="16">
        <v>15.6</v>
      </c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6"/>
      <c r="AA2806" s="16"/>
      <c r="AB2806" s="16"/>
      <c r="AC2806" s="16"/>
      <c r="AD2806" s="16"/>
      <c r="AE2806" s="16"/>
      <c r="AF2806" s="16" t="s">
        <v>413</v>
      </c>
    </row>
    <row r="2807" spans="1:32" ht="14.25" customHeight="1" x14ac:dyDescent="0.35">
      <c r="A2807" s="16" t="s">
        <v>1794</v>
      </c>
      <c r="B2807" s="16" t="s">
        <v>420</v>
      </c>
      <c r="C2807" s="16" t="s">
        <v>414</v>
      </c>
      <c r="D2807" s="16" t="s">
        <v>429</v>
      </c>
      <c r="E2807" s="17">
        <v>41640</v>
      </c>
      <c r="F2807" s="17">
        <v>42004</v>
      </c>
      <c r="G2807" s="16" t="s">
        <v>415</v>
      </c>
      <c r="H2807" s="16">
        <v>15.6</v>
      </c>
      <c r="I2807" s="16">
        <v>15.6</v>
      </c>
      <c r="J2807" s="16">
        <v>15.6</v>
      </c>
      <c r="K2807" s="16">
        <v>15.6</v>
      </c>
      <c r="L2807" s="16">
        <v>15.6</v>
      </c>
      <c r="M2807" s="16">
        <v>15.6</v>
      </c>
      <c r="N2807" s="16">
        <v>17.8</v>
      </c>
      <c r="O2807" s="16">
        <v>20</v>
      </c>
      <c r="P2807" s="16">
        <v>21</v>
      </c>
      <c r="Q2807" s="16">
        <v>21</v>
      </c>
      <c r="R2807" s="16">
        <v>21</v>
      </c>
      <c r="S2807" s="16">
        <v>21</v>
      </c>
      <c r="T2807" s="16">
        <v>21</v>
      </c>
      <c r="U2807" s="16">
        <v>21</v>
      </c>
      <c r="V2807" s="16">
        <v>21</v>
      </c>
      <c r="W2807" s="16">
        <v>21</v>
      </c>
      <c r="X2807" s="16">
        <v>21</v>
      </c>
      <c r="Y2807" s="16">
        <v>21</v>
      </c>
      <c r="Z2807" s="16">
        <v>21</v>
      </c>
      <c r="AA2807" s="16">
        <v>21</v>
      </c>
      <c r="AB2807" s="16">
        <v>21</v>
      </c>
      <c r="AC2807" s="16">
        <v>15.6</v>
      </c>
      <c r="AD2807" s="16">
        <v>15.6</v>
      </c>
      <c r="AE2807" s="16">
        <v>15.6</v>
      </c>
      <c r="AF2807" s="16" t="s">
        <v>413</v>
      </c>
    </row>
    <row r="2808" spans="1:32" ht="14.25" customHeight="1" x14ac:dyDescent="0.35">
      <c r="A2808" s="14" t="s">
        <v>1794</v>
      </c>
      <c r="B2808" s="14" t="s">
        <v>420</v>
      </c>
      <c r="C2808" s="14" t="s">
        <v>414</v>
      </c>
      <c r="D2808" s="14" t="s">
        <v>418</v>
      </c>
      <c r="E2808" s="15">
        <v>41640</v>
      </c>
      <c r="F2808" s="15">
        <v>42004</v>
      </c>
      <c r="G2808" s="14" t="s">
        <v>410</v>
      </c>
      <c r="H2808" s="14">
        <v>21</v>
      </c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4"/>
      <c r="U2808" s="14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4"/>
      <c r="AF2808" s="14" t="s">
        <v>413</v>
      </c>
    </row>
    <row r="2809" spans="1:32" ht="14.25" customHeight="1" x14ac:dyDescent="0.35">
      <c r="A2809" s="14" t="s">
        <v>1795</v>
      </c>
      <c r="B2809" s="14" t="s">
        <v>408</v>
      </c>
      <c r="C2809" s="14"/>
      <c r="D2809" s="14" t="s">
        <v>409</v>
      </c>
      <c r="E2809" s="15">
        <v>41640</v>
      </c>
      <c r="F2809" s="15">
        <v>42004</v>
      </c>
      <c r="G2809" s="14" t="s">
        <v>410</v>
      </c>
      <c r="H2809" s="14">
        <v>65</v>
      </c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S2809" s="14"/>
      <c r="T2809" s="14"/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 t="s">
        <v>413</v>
      </c>
    </row>
    <row r="2810" spans="1:32" ht="14.25" customHeight="1" x14ac:dyDescent="0.35">
      <c r="A2810" s="16" t="s">
        <v>1796</v>
      </c>
      <c r="B2810" s="16" t="s">
        <v>600</v>
      </c>
      <c r="C2810" s="16"/>
      <c r="D2810" s="16" t="s">
        <v>417</v>
      </c>
      <c r="E2810" s="17">
        <v>41640</v>
      </c>
      <c r="F2810" s="17">
        <v>42004</v>
      </c>
      <c r="G2810" s="16" t="s">
        <v>410</v>
      </c>
      <c r="H2810" s="16">
        <v>0</v>
      </c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 t="s">
        <v>413</v>
      </c>
    </row>
    <row r="2811" spans="1:32" ht="14.25" customHeight="1" x14ac:dyDescent="0.35">
      <c r="A2811" s="14" t="s">
        <v>1796</v>
      </c>
      <c r="B2811" s="14" t="s">
        <v>600</v>
      </c>
      <c r="C2811" s="14"/>
      <c r="D2811" s="14" t="s">
        <v>1301</v>
      </c>
      <c r="E2811" s="15">
        <v>41640</v>
      </c>
      <c r="F2811" s="15">
        <v>42004</v>
      </c>
      <c r="G2811" s="14" t="s">
        <v>415</v>
      </c>
      <c r="H2811" s="14">
        <v>0</v>
      </c>
      <c r="I2811" s="14">
        <v>0</v>
      </c>
      <c r="J2811" s="14">
        <v>0</v>
      </c>
      <c r="K2811" s="14">
        <v>0</v>
      </c>
      <c r="L2811" s="14">
        <v>0</v>
      </c>
      <c r="M2811" s="14">
        <v>0</v>
      </c>
      <c r="N2811" s="14">
        <v>0</v>
      </c>
      <c r="O2811" s="14">
        <v>1</v>
      </c>
      <c r="P2811" s="14">
        <v>1</v>
      </c>
      <c r="Q2811" s="14">
        <v>1</v>
      </c>
      <c r="R2811" s="14">
        <v>1</v>
      </c>
      <c r="S2811" s="14">
        <v>1</v>
      </c>
      <c r="T2811" s="14">
        <v>1</v>
      </c>
      <c r="U2811" s="14">
        <v>1</v>
      </c>
      <c r="V2811" s="14">
        <v>1</v>
      </c>
      <c r="W2811" s="14">
        <v>1</v>
      </c>
      <c r="X2811" s="14">
        <v>1</v>
      </c>
      <c r="Y2811" s="14">
        <v>1</v>
      </c>
      <c r="Z2811" s="14">
        <v>1</v>
      </c>
      <c r="AA2811" s="14">
        <v>1</v>
      </c>
      <c r="AB2811" s="14">
        <v>1</v>
      </c>
      <c r="AC2811" s="14">
        <v>0</v>
      </c>
      <c r="AD2811" s="14">
        <v>0</v>
      </c>
      <c r="AE2811" s="14">
        <v>0</v>
      </c>
      <c r="AF2811" s="14" t="s">
        <v>413</v>
      </c>
    </row>
    <row r="2812" spans="1:32" ht="14.25" customHeight="1" x14ac:dyDescent="0.35">
      <c r="A2812" s="16" t="s">
        <v>1797</v>
      </c>
      <c r="B2812" s="16" t="s">
        <v>408</v>
      </c>
      <c r="C2812" s="16" t="s">
        <v>414</v>
      </c>
      <c r="D2812" s="16" t="s">
        <v>409</v>
      </c>
      <c r="E2812" s="17">
        <v>41640</v>
      </c>
      <c r="F2812" s="17">
        <v>42004</v>
      </c>
      <c r="G2812" s="16" t="s">
        <v>410</v>
      </c>
      <c r="H2812" s="16">
        <v>82</v>
      </c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16"/>
      <c r="AA2812" s="16"/>
      <c r="AB2812" s="16"/>
      <c r="AC2812" s="16"/>
      <c r="AD2812" s="16"/>
      <c r="AE2812" s="16"/>
      <c r="AF2812" s="16" t="s">
        <v>413</v>
      </c>
    </row>
    <row r="2813" spans="1:32" ht="14.25" customHeight="1" x14ac:dyDescent="0.35">
      <c r="A2813" s="14" t="s">
        <v>1798</v>
      </c>
      <c r="B2813" s="14" t="s">
        <v>441</v>
      </c>
      <c r="C2813" s="14"/>
      <c r="D2813" s="14" t="s">
        <v>409</v>
      </c>
      <c r="E2813" s="15">
        <v>41640</v>
      </c>
      <c r="F2813" s="15">
        <v>42004</v>
      </c>
      <c r="G2813" s="14" t="s">
        <v>410</v>
      </c>
      <c r="H2813" s="14">
        <v>0</v>
      </c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  <c r="AA2813" s="14"/>
      <c r="AB2813" s="14"/>
      <c r="AC2813" s="14"/>
      <c r="AD2813" s="14"/>
      <c r="AE2813" s="14"/>
      <c r="AF2813" s="14" t="s">
        <v>413</v>
      </c>
    </row>
    <row r="2814" spans="1:32" ht="14.25" customHeight="1" x14ac:dyDescent="0.35">
      <c r="A2814" s="16" t="s">
        <v>1798</v>
      </c>
      <c r="B2814" s="16" t="s">
        <v>441</v>
      </c>
      <c r="C2814" s="16"/>
      <c r="D2814" s="16" t="s">
        <v>429</v>
      </c>
      <c r="E2814" s="17">
        <v>41640</v>
      </c>
      <c r="F2814" s="17">
        <v>42004</v>
      </c>
      <c r="G2814" s="16" t="s">
        <v>415</v>
      </c>
      <c r="H2814" s="16">
        <v>0</v>
      </c>
      <c r="I2814" s="16">
        <v>0</v>
      </c>
      <c r="J2814" s="16">
        <v>0</v>
      </c>
      <c r="K2814" s="16">
        <v>0</v>
      </c>
      <c r="L2814" s="16">
        <v>0</v>
      </c>
      <c r="M2814" s="16">
        <v>0</v>
      </c>
      <c r="N2814" s="16">
        <v>0</v>
      </c>
      <c r="O2814" s="16">
        <v>1</v>
      </c>
      <c r="P2814" s="16">
        <v>0.14399999999999999</v>
      </c>
      <c r="Q2814" s="16">
        <v>0.14399999999999999</v>
      </c>
      <c r="R2814" s="16">
        <v>0.14399999999999999</v>
      </c>
      <c r="S2814" s="16">
        <v>0.14399999999999999</v>
      </c>
      <c r="T2814" s="16">
        <v>0.14399999999999999</v>
      </c>
      <c r="U2814" s="16">
        <v>0.14399999999999999</v>
      </c>
      <c r="V2814" s="16">
        <v>0.14399999999999999</v>
      </c>
      <c r="W2814" s="16">
        <v>1</v>
      </c>
      <c r="X2814" s="16">
        <v>0.14399999999999999</v>
      </c>
      <c r="Y2814" s="16">
        <v>0.14399999999999999</v>
      </c>
      <c r="Z2814" s="16">
        <v>0</v>
      </c>
      <c r="AA2814" s="16">
        <v>0</v>
      </c>
      <c r="AB2814" s="16">
        <v>0</v>
      </c>
      <c r="AC2814" s="16">
        <v>0</v>
      </c>
      <c r="AD2814" s="16">
        <v>0</v>
      </c>
      <c r="AE2814" s="16">
        <v>0</v>
      </c>
      <c r="AF2814" s="16" t="s">
        <v>413</v>
      </c>
    </row>
    <row r="2815" spans="1:32" ht="14.25" customHeight="1" x14ac:dyDescent="0.35">
      <c r="A2815" s="14" t="s">
        <v>1799</v>
      </c>
      <c r="B2815" s="14" t="s">
        <v>441</v>
      </c>
      <c r="C2815" s="14"/>
      <c r="D2815" s="14" t="s">
        <v>409</v>
      </c>
      <c r="E2815" s="15">
        <v>41640</v>
      </c>
      <c r="F2815" s="15">
        <v>42004</v>
      </c>
      <c r="G2815" s="14" t="s">
        <v>415</v>
      </c>
      <c r="H2815" s="14">
        <v>1</v>
      </c>
      <c r="I2815" s="14">
        <v>1</v>
      </c>
      <c r="J2815" s="14">
        <v>1</v>
      </c>
      <c r="K2815" s="14">
        <v>1</v>
      </c>
      <c r="L2815" s="14">
        <v>1</v>
      </c>
      <c r="M2815" s="14">
        <v>1</v>
      </c>
      <c r="N2815" s="14">
        <v>1</v>
      </c>
      <c r="O2815" s="14">
        <v>0.5</v>
      </c>
      <c r="P2815" s="14">
        <v>0.5</v>
      </c>
      <c r="Q2815" s="14">
        <v>0.5</v>
      </c>
      <c r="R2815" s="14">
        <v>0.5</v>
      </c>
      <c r="S2815" s="14">
        <v>0.5</v>
      </c>
      <c r="T2815" s="14">
        <v>0.5</v>
      </c>
      <c r="U2815" s="14">
        <v>0.5</v>
      </c>
      <c r="V2815" s="14">
        <v>0.5</v>
      </c>
      <c r="W2815" s="14">
        <v>0.5</v>
      </c>
      <c r="X2815" s="14">
        <v>0.5</v>
      </c>
      <c r="Y2815" s="14">
        <v>0.5</v>
      </c>
      <c r="Z2815" s="14">
        <v>0.5</v>
      </c>
      <c r="AA2815" s="14">
        <v>0.5</v>
      </c>
      <c r="AB2815" s="14">
        <v>0.5</v>
      </c>
      <c r="AC2815" s="14">
        <v>1</v>
      </c>
      <c r="AD2815" s="14">
        <v>1</v>
      </c>
      <c r="AE2815" s="14">
        <v>1</v>
      </c>
      <c r="AF2815" s="14" t="s">
        <v>413</v>
      </c>
    </row>
    <row r="2816" spans="1:32" ht="14.25" customHeight="1" x14ac:dyDescent="0.35">
      <c r="A2816" s="16" t="s">
        <v>1800</v>
      </c>
      <c r="B2816" s="16" t="s">
        <v>441</v>
      </c>
      <c r="C2816" s="16"/>
      <c r="D2816" s="16" t="s">
        <v>476</v>
      </c>
      <c r="E2816" s="17">
        <v>41640</v>
      </c>
      <c r="F2816" s="17">
        <v>42004</v>
      </c>
      <c r="G2816" s="16" t="s">
        <v>410</v>
      </c>
      <c r="H2816" s="16">
        <v>1</v>
      </c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  <c r="AC2816" s="16"/>
      <c r="AD2816" s="16"/>
      <c r="AE2816" s="16"/>
      <c r="AF2816" s="16" t="s">
        <v>413</v>
      </c>
    </row>
    <row r="2817" spans="1:32" ht="14.25" customHeight="1" x14ac:dyDescent="0.35">
      <c r="A2817" s="14" t="s">
        <v>1800</v>
      </c>
      <c r="B2817" s="14" t="s">
        <v>441</v>
      </c>
      <c r="C2817" s="14"/>
      <c r="D2817" s="14" t="s">
        <v>556</v>
      </c>
      <c r="E2817" s="15">
        <v>41640</v>
      </c>
      <c r="F2817" s="15">
        <v>42004</v>
      </c>
      <c r="G2817" s="14" t="s">
        <v>415</v>
      </c>
      <c r="H2817" s="14">
        <v>1</v>
      </c>
      <c r="I2817" s="14">
        <v>1</v>
      </c>
      <c r="J2817" s="14">
        <v>1</v>
      </c>
      <c r="K2817" s="14">
        <v>1</v>
      </c>
      <c r="L2817" s="14">
        <v>1</v>
      </c>
      <c r="M2817" s="14">
        <v>1</v>
      </c>
      <c r="N2817" s="14">
        <v>1</v>
      </c>
      <c r="O2817" s="14">
        <v>0.25</v>
      </c>
      <c r="P2817" s="14">
        <v>0.25</v>
      </c>
      <c r="Q2817" s="14">
        <v>0.25</v>
      </c>
      <c r="R2817" s="14">
        <v>0.25</v>
      </c>
      <c r="S2817" s="14">
        <v>0.25</v>
      </c>
      <c r="T2817" s="14">
        <v>0.25</v>
      </c>
      <c r="U2817" s="14">
        <v>0.25</v>
      </c>
      <c r="V2817" s="14">
        <v>0.25</v>
      </c>
      <c r="W2817" s="14">
        <v>0.25</v>
      </c>
      <c r="X2817" s="14">
        <v>0.25</v>
      </c>
      <c r="Y2817" s="14">
        <v>0.25</v>
      </c>
      <c r="Z2817" s="14">
        <v>0.25</v>
      </c>
      <c r="AA2817" s="14">
        <v>0.25</v>
      </c>
      <c r="AB2817" s="14">
        <v>0.25</v>
      </c>
      <c r="AC2817" s="14">
        <v>1</v>
      </c>
      <c r="AD2817" s="14">
        <v>1</v>
      </c>
      <c r="AE2817" s="14">
        <v>1</v>
      </c>
      <c r="AF2817" s="14" t="s">
        <v>413</v>
      </c>
    </row>
    <row r="2818" spans="1:32" ht="14.25" customHeight="1" x14ac:dyDescent="0.35">
      <c r="A2818" s="16" t="s">
        <v>1801</v>
      </c>
      <c r="B2818" s="16" t="s">
        <v>427</v>
      </c>
      <c r="C2818" s="16"/>
      <c r="D2818" s="16" t="s">
        <v>417</v>
      </c>
      <c r="E2818" s="17">
        <v>41640</v>
      </c>
      <c r="F2818" s="17">
        <v>42004</v>
      </c>
      <c r="G2818" s="16" t="s">
        <v>410</v>
      </c>
      <c r="H2818" s="16">
        <v>0</v>
      </c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  <c r="AC2818" s="16"/>
      <c r="AD2818" s="16"/>
      <c r="AE2818" s="16"/>
      <c r="AF2818" s="16" t="s">
        <v>413</v>
      </c>
    </row>
    <row r="2819" spans="1:32" ht="14.25" customHeight="1" x14ac:dyDescent="0.35">
      <c r="A2819" s="16" t="s">
        <v>1801</v>
      </c>
      <c r="B2819" s="16" t="s">
        <v>427</v>
      </c>
      <c r="C2819" s="16"/>
      <c r="D2819" s="16" t="s">
        <v>429</v>
      </c>
      <c r="E2819" s="17">
        <v>41883</v>
      </c>
      <c r="F2819" s="17">
        <v>42004</v>
      </c>
      <c r="G2819" s="16" t="s">
        <v>415</v>
      </c>
      <c r="H2819" s="16">
        <v>0</v>
      </c>
      <c r="I2819" s="16">
        <v>0</v>
      </c>
      <c r="J2819" s="16">
        <v>0</v>
      </c>
      <c r="K2819" s="16">
        <v>0</v>
      </c>
      <c r="L2819" s="16">
        <v>0</v>
      </c>
      <c r="M2819" s="16">
        <v>0</v>
      </c>
      <c r="N2819" s="16">
        <v>0</v>
      </c>
      <c r="O2819" s="16">
        <v>0</v>
      </c>
      <c r="P2819" s="16">
        <v>0.81666666666666698</v>
      </c>
      <c r="Q2819" s="16">
        <v>0.81666666666666698</v>
      </c>
      <c r="R2819" s="16">
        <v>0.81666666666666698</v>
      </c>
      <c r="S2819" s="16">
        <v>0.81666666666666698</v>
      </c>
      <c r="T2819" s="16">
        <v>0.81666666666666698</v>
      </c>
      <c r="U2819" s="16">
        <v>0.81666666666666698</v>
      </c>
      <c r="V2819" s="16">
        <v>0.81666666666666698</v>
      </c>
      <c r="W2819" s="16">
        <v>0.81666666666666698</v>
      </c>
      <c r="X2819" s="16">
        <v>0.81666666666666698</v>
      </c>
      <c r="Y2819" s="16">
        <v>0.81666666666666698</v>
      </c>
      <c r="Z2819" s="16">
        <v>0.81666666666666698</v>
      </c>
      <c r="AA2819" s="16">
        <v>0.81666666666666698</v>
      </c>
      <c r="AB2819" s="16">
        <v>0.81666666666666698</v>
      </c>
      <c r="AC2819" s="16">
        <v>0</v>
      </c>
      <c r="AD2819" s="16">
        <v>0</v>
      </c>
      <c r="AE2819" s="16">
        <v>0</v>
      </c>
      <c r="AF2819" s="16" t="s">
        <v>413</v>
      </c>
    </row>
    <row r="2820" spans="1:32" ht="14.25" customHeight="1" x14ac:dyDescent="0.35">
      <c r="A2820" s="16" t="s">
        <v>1801</v>
      </c>
      <c r="B2820" s="16" t="s">
        <v>427</v>
      </c>
      <c r="C2820" s="16"/>
      <c r="D2820" s="16" t="s">
        <v>429</v>
      </c>
      <c r="E2820" s="17">
        <v>41821</v>
      </c>
      <c r="F2820" s="17">
        <v>41883</v>
      </c>
      <c r="G2820" s="16" t="s">
        <v>415</v>
      </c>
      <c r="H2820" s="16">
        <v>0</v>
      </c>
      <c r="I2820" s="16">
        <v>0</v>
      </c>
      <c r="J2820" s="16">
        <v>0</v>
      </c>
      <c r="K2820" s="16">
        <v>0</v>
      </c>
      <c r="L2820" s="16">
        <v>0</v>
      </c>
      <c r="M2820" s="16">
        <v>0</v>
      </c>
      <c r="N2820" s="16">
        <v>0</v>
      </c>
      <c r="O2820" s="16">
        <v>0</v>
      </c>
      <c r="P2820" s="16">
        <v>0.81666666666666698</v>
      </c>
      <c r="Q2820" s="16">
        <v>0.81666666666666698</v>
      </c>
      <c r="R2820" s="16">
        <v>0.81666666666666698</v>
      </c>
      <c r="S2820" s="16">
        <v>0.81666666666666698</v>
      </c>
      <c r="T2820" s="16">
        <v>0.81666666666666698</v>
      </c>
      <c r="U2820" s="16">
        <v>0.81666666666666698</v>
      </c>
      <c r="V2820" s="16">
        <v>0.81666666666666698</v>
      </c>
      <c r="W2820" s="16">
        <v>0.81666666666666698</v>
      </c>
      <c r="X2820" s="16">
        <v>0.81666666666666698</v>
      </c>
      <c r="Y2820" s="16">
        <v>0.81666666666666698</v>
      </c>
      <c r="Z2820" s="16">
        <v>0.81666666666666698</v>
      </c>
      <c r="AA2820" s="16">
        <v>0.81666666666666698</v>
      </c>
      <c r="AB2820" s="16">
        <v>0.81666666666666698</v>
      </c>
      <c r="AC2820" s="16">
        <v>0</v>
      </c>
      <c r="AD2820" s="16">
        <v>0</v>
      </c>
      <c r="AE2820" s="16">
        <v>0</v>
      </c>
      <c r="AF2820" s="16" t="s">
        <v>413</v>
      </c>
    </row>
    <row r="2821" spans="1:32" ht="14.25" customHeight="1" x14ac:dyDescent="0.35">
      <c r="A2821" s="16" t="s">
        <v>1801</v>
      </c>
      <c r="B2821" s="16" t="s">
        <v>427</v>
      </c>
      <c r="C2821" s="16"/>
      <c r="D2821" s="16" t="s">
        <v>429</v>
      </c>
      <c r="E2821" s="17">
        <v>41640</v>
      </c>
      <c r="F2821" s="17">
        <v>41820</v>
      </c>
      <c r="G2821" s="16" t="s">
        <v>415</v>
      </c>
      <c r="H2821" s="16">
        <v>0</v>
      </c>
      <c r="I2821" s="16">
        <v>0</v>
      </c>
      <c r="J2821" s="16">
        <v>0</v>
      </c>
      <c r="K2821" s="16">
        <v>0</v>
      </c>
      <c r="L2821" s="16">
        <v>0</v>
      </c>
      <c r="M2821" s="16">
        <v>0</v>
      </c>
      <c r="N2821" s="16">
        <v>0</v>
      </c>
      <c r="O2821" s="16">
        <v>0</v>
      </c>
      <c r="P2821" s="16">
        <v>0.81666666666666698</v>
      </c>
      <c r="Q2821" s="16">
        <v>0.81666666666666698</v>
      </c>
      <c r="R2821" s="16">
        <v>0.81666666666666698</v>
      </c>
      <c r="S2821" s="16">
        <v>0.81666666666666698</v>
      </c>
      <c r="T2821" s="16">
        <v>0.81666666666666698</v>
      </c>
      <c r="U2821" s="16">
        <v>0.81666666666666698</v>
      </c>
      <c r="V2821" s="16">
        <v>0.81666666666666698</v>
      </c>
      <c r="W2821" s="16">
        <v>0.81666666666666698</v>
      </c>
      <c r="X2821" s="16">
        <v>0.81666666666666698</v>
      </c>
      <c r="Y2821" s="16">
        <v>0</v>
      </c>
      <c r="Z2821" s="16">
        <v>0</v>
      </c>
      <c r="AA2821" s="16">
        <v>0</v>
      </c>
      <c r="AB2821" s="16">
        <v>0</v>
      </c>
      <c r="AC2821" s="16">
        <v>0</v>
      </c>
      <c r="AD2821" s="16">
        <v>0</v>
      </c>
      <c r="AE2821" s="16">
        <v>0</v>
      </c>
      <c r="AF2821" s="16" t="s">
        <v>413</v>
      </c>
    </row>
    <row r="2822" spans="1:32" ht="14.25" customHeight="1" x14ac:dyDescent="0.35">
      <c r="A2822" s="14" t="s">
        <v>1801</v>
      </c>
      <c r="B2822" s="14" t="s">
        <v>427</v>
      </c>
      <c r="C2822" s="14"/>
      <c r="D2822" s="14" t="s">
        <v>530</v>
      </c>
      <c r="E2822" s="15">
        <v>41821</v>
      </c>
      <c r="F2822" s="15">
        <v>41883</v>
      </c>
      <c r="G2822" s="14" t="s">
        <v>410</v>
      </c>
      <c r="H2822" s="14">
        <v>0</v>
      </c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 t="s">
        <v>413</v>
      </c>
    </row>
    <row r="2823" spans="1:32" ht="14.25" customHeight="1" x14ac:dyDescent="0.35">
      <c r="A2823" s="14" t="s">
        <v>1801</v>
      </c>
      <c r="B2823" s="14" t="s">
        <v>427</v>
      </c>
      <c r="C2823" s="14"/>
      <c r="D2823" s="14" t="s">
        <v>530</v>
      </c>
      <c r="E2823" s="15">
        <v>41640</v>
      </c>
      <c r="F2823" s="15">
        <v>41820</v>
      </c>
      <c r="G2823" s="14" t="s">
        <v>410</v>
      </c>
      <c r="H2823" s="14">
        <v>0</v>
      </c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 t="s">
        <v>413</v>
      </c>
    </row>
    <row r="2824" spans="1:32" ht="14.25" customHeight="1" x14ac:dyDescent="0.35">
      <c r="A2824" s="14" t="s">
        <v>1801</v>
      </c>
      <c r="B2824" s="14" t="s">
        <v>427</v>
      </c>
      <c r="C2824" s="14"/>
      <c r="D2824" s="14" t="s">
        <v>421</v>
      </c>
      <c r="E2824" s="15">
        <v>41640</v>
      </c>
      <c r="F2824" s="15">
        <v>42004</v>
      </c>
      <c r="G2824" s="14" t="s">
        <v>415</v>
      </c>
      <c r="H2824" s="14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0.81666666666666698</v>
      </c>
      <c r="Q2824" s="14">
        <v>0.81666666666666698</v>
      </c>
      <c r="R2824" s="14">
        <v>0.81666666666666698</v>
      </c>
      <c r="S2824" s="14">
        <v>0.81666666666666698</v>
      </c>
      <c r="T2824" s="14">
        <v>0.81666666666666698</v>
      </c>
      <c r="U2824" s="14">
        <v>0.81666666666666698</v>
      </c>
      <c r="V2824" s="14">
        <v>0.81666666666666698</v>
      </c>
      <c r="W2824" s="14">
        <v>0.81666666666666698</v>
      </c>
      <c r="X2824" s="14">
        <v>0.81666666666666698</v>
      </c>
      <c r="Y2824" s="14">
        <v>0.81666666666666698</v>
      </c>
      <c r="Z2824" s="14">
        <v>0.81666666666666698</v>
      </c>
      <c r="AA2824" s="14">
        <v>0.81666666666666698</v>
      </c>
      <c r="AB2824" s="14">
        <v>0.81666666666666698</v>
      </c>
      <c r="AC2824" s="14">
        <v>0</v>
      </c>
      <c r="AD2824" s="14">
        <v>0</v>
      </c>
      <c r="AE2824" s="14">
        <v>0</v>
      </c>
      <c r="AF2824" s="14" t="s">
        <v>413</v>
      </c>
    </row>
    <row r="2825" spans="1:32" ht="14.25" customHeight="1" x14ac:dyDescent="0.35">
      <c r="A2825" s="14" t="s">
        <v>1802</v>
      </c>
      <c r="B2825" s="14" t="s">
        <v>427</v>
      </c>
      <c r="C2825" s="14"/>
      <c r="D2825" s="14" t="s">
        <v>476</v>
      </c>
      <c r="E2825" s="15">
        <v>41640</v>
      </c>
      <c r="F2825" s="15">
        <v>42004</v>
      </c>
      <c r="G2825" s="14" t="s">
        <v>410</v>
      </c>
      <c r="H2825" s="14">
        <v>0.1</v>
      </c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  <c r="AA2825" s="14"/>
      <c r="AB2825" s="14"/>
      <c r="AC2825" s="14"/>
      <c r="AD2825" s="14"/>
      <c r="AE2825" s="14"/>
      <c r="AF2825" s="14" t="s">
        <v>413</v>
      </c>
    </row>
    <row r="2826" spans="1:32" ht="14.25" customHeight="1" x14ac:dyDescent="0.35">
      <c r="A2826" s="16" t="s">
        <v>1802</v>
      </c>
      <c r="B2826" s="16" t="s">
        <v>427</v>
      </c>
      <c r="C2826" s="16"/>
      <c r="D2826" s="16" t="s">
        <v>419</v>
      </c>
      <c r="E2826" s="17">
        <v>41640</v>
      </c>
      <c r="F2826" s="17">
        <v>42004</v>
      </c>
      <c r="G2826" s="16" t="s">
        <v>415</v>
      </c>
      <c r="H2826" s="16">
        <v>0.1</v>
      </c>
      <c r="I2826" s="16">
        <v>0.1</v>
      </c>
      <c r="J2826" s="16">
        <v>0.1</v>
      </c>
      <c r="K2826" s="16">
        <v>0.1</v>
      </c>
      <c r="L2826" s="16">
        <v>0.1</v>
      </c>
      <c r="M2826" s="16">
        <v>0.1</v>
      </c>
      <c r="N2826" s="16">
        <v>0.1</v>
      </c>
      <c r="O2826" s="16">
        <v>0.1</v>
      </c>
      <c r="P2826" s="16">
        <v>0.15</v>
      </c>
      <c r="Q2826" s="16">
        <v>0.15</v>
      </c>
      <c r="R2826" s="16">
        <v>0.25</v>
      </c>
      <c r="S2826" s="16">
        <v>0.25</v>
      </c>
      <c r="T2826" s="16">
        <v>0.25</v>
      </c>
      <c r="U2826" s="16">
        <v>0.15</v>
      </c>
      <c r="V2826" s="16">
        <v>0.15</v>
      </c>
      <c r="W2826" s="16">
        <v>0.1</v>
      </c>
      <c r="X2826" s="16">
        <v>0.1</v>
      </c>
      <c r="Y2826" s="16">
        <v>0.1</v>
      </c>
      <c r="Z2826" s="16">
        <v>0.1</v>
      </c>
      <c r="AA2826" s="16">
        <v>0.1</v>
      </c>
      <c r="AB2826" s="16">
        <v>0.1</v>
      </c>
      <c r="AC2826" s="16">
        <v>0.1</v>
      </c>
      <c r="AD2826" s="16">
        <v>0.1</v>
      </c>
      <c r="AE2826" s="16">
        <v>0.1</v>
      </c>
      <c r="AF2826" s="16" t="s">
        <v>413</v>
      </c>
    </row>
    <row r="2827" spans="1:32" ht="14.25" customHeight="1" x14ac:dyDescent="0.35">
      <c r="A2827" s="14" t="s">
        <v>1802</v>
      </c>
      <c r="B2827" s="14" t="s">
        <v>427</v>
      </c>
      <c r="C2827" s="14"/>
      <c r="D2827" s="14" t="s">
        <v>429</v>
      </c>
      <c r="E2827" s="15">
        <v>41883</v>
      </c>
      <c r="F2827" s="15">
        <v>42004</v>
      </c>
      <c r="G2827" s="14" t="s">
        <v>415</v>
      </c>
      <c r="H2827" s="14">
        <v>0.1</v>
      </c>
      <c r="I2827" s="14">
        <v>0.1</v>
      </c>
      <c r="J2827" s="14">
        <v>0.1</v>
      </c>
      <c r="K2827" s="14">
        <v>0.1</v>
      </c>
      <c r="L2827" s="14">
        <v>0.1</v>
      </c>
      <c r="M2827" s="14">
        <v>0.1</v>
      </c>
      <c r="N2827" s="14">
        <v>0.1</v>
      </c>
      <c r="O2827" s="14">
        <v>0.1</v>
      </c>
      <c r="P2827" s="14">
        <v>0.15</v>
      </c>
      <c r="Q2827" s="14">
        <v>0.15</v>
      </c>
      <c r="R2827" s="14">
        <v>0.25</v>
      </c>
      <c r="S2827" s="14">
        <v>0.25</v>
      </c>
      <c r="T2827" s="14">
        <v>0.25</v>
      </c>
      <c r="U2827" s="14">
        <v>0.15</v>
      </c>
      <c r="V2827" s="14">
        <v>0.15</v>
      </c>
      <c r="W2827" s="14">
        <v>0.1</v>
      </c>
      <c r="X2827" s="14">
        <v>0.1</v>
      </c>
      <c r="Y2827" s="14">
        <v>0.1</v>
      </c>
      <c r="Z2827" s="14">
        <v>0.1</v>
      </c>
      <c r="AA2827" s="14">
        <v>0.1</v>
      </c>
      <c r="AB2827" s="14">
        <v>0.1</v>
      </c>
      <c r="AC2827" s="14">
        <v>0.1</v>
      </c>
      <c r="AD2827" s="14">
        <v>0.1</v>
      </c>
      <c r="AE2827" s="14">
        <v>0.1</v>
      </c>
      <c r="AF2827" s="14" t="s">
        <v>413</v>
      </c>
    </row>
    <row r="2828" spans="1:32" ht="14.25" customHeight="1" x14ac:dyDescent="0.35">
      <c r="A2828" s="14" t="s">
        <v>1802</v>
      </c>
      <c r="B2828" s="14" t="s">
        <v>427</v>
      </c>
      <c r="C2828" s="14"/>
      <c r="D2828" s="14" t="s">
        <v>429</v>
      </c>
      <c r="E2828" s="15">
        <v>41821</v>
      </c>
      <c r="F2828" s="15">
        <v>41883</v>
      </c>
      <c r="G2828" s="14" t="s">
        <v>415</v>
      </c>
      <c r="H2828" s="14">
        <v>0.1</v>
      </c>
      <c r="I2828" s="14">
        <v>0.1</v>
      </c>
      <c r="J2828" s="14">
        <v>0.1</v>
      </c>
      <c r="K2828" s="14">
        <v>0.1</v>
      </c>
      <c r="L2828" s="14">
        <v>0.1</v>
      </c>
      <c r="M2828" s="14">
        <v>0.1</v>
      </c>
      <c r="N2828" s="14">
        <v>0.1</v>
      </c>
      <c r="O2828" s="14">
        <v>0.1</v>
      </c>
      <c r="P2828" s="14">
        <v>0.15</v>
      </c>
      <c r="Q2828" s="14">
        <v>0.15</v>
      </c>
      <c r="R2828" s="14">
        <v>0.25</v>
      </c>
      <c r="S2828" s="14">
        <v>0.25</v>
      </c>
      <c r="T2828" s="14">
        <v>0.25</v>
      </c>
      <c r="U2828" s="14">
        <v>0.15</v>
      </c>
      <c r="V2828" s="14">
        <v>0.15</v>
      </c>
      <c r="W2828" s="14">
        <v>0.1</v>
      </c>
      <c r="X2828" s="14">
        <v>0.1</v>
      </c>
      <c r="Y2828" s="14">
        <v>0.1</v>
      </c>
      <c r="Z2828" s="14">
        <v>0.1</v>
      </c>
      <c r="AA2828" s="14">
        <v>0.1</v>
      </c>
      <c r="AB2828" s="14">
        <v>0.1</v>
      </c>
      <c r="AC2828" s="14">
        <v>0.1</v>
      </c>
      <c r="AD2828" s="14">
        <v>0.1</v>
      </c>
      <c r="AE2828" s="14">
        <v>0.1</v>
      </c>
      <c r="AF2828" s="14" t="s">
        <v>413</v>
      </c>
    </row>
    <row r="2829" spans="1:32" ht="14.25" customHeight="1" x14ac:dyDescent="0.35">
      <c r="A2829" s="14" t="s">
        <v>1802</v>
      </c>
      <c r="B2829" s="14" t="s">
        <v>427</v>
      </c>
      <c r="C2829" s="14"/>
      <c r="D2829" s="14" t="s">
        <v>429</v>
      </c>
      <c r="E2829" s="15">
        <v>41640</v>
      </c>
      <c r="F2829" s="15">
        <v>41820</v>
      </c>
      <c r="G2829" s="14" t="s">
        <v>415</v>
      </c>
      <c r="H2829" s="14">
        <v>0.1</v>
      </c>
      <c r="I2829" s="14">
        <v>0.1</v>
      </c>
      <c r="J2829" s="14">
        <v>0.1</v>
      </c>
      <c r="K2829" s="14">
        <v>0.1</v>
      </c>
      <c r="L2829" s="14">
        <v>0.1</v>
      </c>
      <c r="M2829" s="14">
        <v>0.1</v>
      </c>
      <c r="N2829" s="14">
        <v>0.1</v>
      </c>
      <c r="O2829" s="14">
        <v>0.1</v>
      </c>
      <c r="P2829" s="14">
        <v>0.15</v>
      </c>
      <c r="Q2829" s="14">
        <v>0.15</v>
      </c>
      <c r="R2829" s="14">
        <v>0.25</v>
      </c>
      <c r="S2829" s="14">
        <v>0.25</v>
      </c>
      <c r="T2829" s="14">
        <v>0.25</v>
      </c>
      <c r="U2829" s="14">
        <v>0.15</v>
      </c>
      <c r="V2829" s="14">
        <v>0.15</v>
      </c>
      <c r="W2829" s="14">
        <v>0.1</v>
      </c>
      <c r="X2829" s="14">
        <v>0.1</v>
      </c>
      <c r="Y2829" s="14">
        <v>0.1</v>
      </c>
      <c r="Z2829" s="14">
        <v>0.1</v>
      </c>
      <c r="AA2829" s="14">
        <v>0.1</v>
      </c>
      <c r="AB2829" s="14">
        <v>0.1</v>
      </c>
      <c r="AC2829" s="14">
        <v>0.1</v>
      </c>
      <c r="AD2829" s="14">
        <v>0.1</v>
      </c>
      <c r="AE2829" s="14">
        <v>0.1</v>
      </c>
      <c r="AF2829" s="14" t="s">
        <v>413</v>
      </c>
    </row>
    <row r="2830" spans="1:32" ht="14.25" customHeight="1" x14ac:dyDescent="0.35">
      <c r="A2830" s="16" t="s">
        <v>1802</v>
      </c>
      <c r="B2830" s="16" t="s">
        <v>427</v>
      </c>
      <c r="C2830" s="16"/>
      <c r="D2830" s="16" t="s">
        <v>530</v>
      </c>
      <c r="E2830" s="17">
        <v>41821</v>
      </c>
      <c r="F2830" s="17">
        <v>41883</v>
      </c>
      <c r="G2830" s="16" t="s">
        <v>410</v>
      </c>
      <c r="H2830" s="16">
        <v>0.1</v>
      </c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  <c r="AC2830" s="16"/>
      <c r="AD2830" s="16"/>
      <c r="AE2830" s="16"/>
      <c r="AF2830" s="16" t="s">
        <v>413</v>
      </c>
    </row>
    <row r="2831" spans="1:32" ht="14.25" customHeight="1" x14ac:dyDescent="0.35">
      <c r="A2831" s="16" t="s">
        <v>1802</v>
      </c>
      <c r="B2831" s="16" t="s">
        <v>427</v>
      </c>
      <c r="C2831" s="16"/>
      <c r="D2831" s="16" t="s">
        <v>530</v>
      </c>
      <c r="E2831" s="17">
        <v>41640</v>
      </c>
      <c r="F2831" s="17">
        <v>41820</v>
      </c>
      <c r="G2831" s="16" t="s">
        <v>410</v>
      </c>
      <c r="H2831" s="16">
        <v>0.1</v>
      </c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16"/>
      <c r="AA2831" s="16"/>
      <c r="AB2831" s="16"/>
      <c r="AC2831" s="16"/>
      <c r="AD2831" s="16"/>
      <c r="AE2831" s="16"/>
      <c r="AF2831" s="16" t="s">
        <v>413</v>
      </c>
    </row>
    <row r="2832" spans="1:32" ht="14.25" customHeight="1" x14ac:dyDescent="0.35">
      <c r="A2832" s="16" t="s">
        <v>1803</v>
      </c>
      <c r="B2832" s="16" t="s">
        <v>427</v>
      </c>
      <c r="C2832" s="16"/>
      <c r="D2832" s="16" t="s">
        <v>417</v>
      </c>
      <c r="E2832" s="17">
        <v>41640</v>
      </c>
      <c r="F2832" s="17">
        <v>42004</v>
      </c>
      <c r="G2832" s="16" t="s">
        <v>410</v>
      </c>
      <c r="H2832" s="16">
        <v>0</v>
      </c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6"/>
      <c r="AA2832" s="16"/>
      <c r="AB2832" s="16"/>
      <c r="AC2832" s="16"/>
      <c r="AD2832" s="16"/>
      <c r="AE2832" s="16"/>
      <c r="AF2832" s="16" t="s">
        <v>413</v>
      </c>
    </row>
    <row r="2833" spans="1:32" ht="14.25" customHeight="1" x14ac:dyDescent="0.35">
      <c r="A2833" s="16" t="s">
        <v>1803</v>
      </c>
      <c r="B2833" s="16" t="s">
        <v>427</v>
      </c>
      <c r="C2833" s="16"/>
      <c r="D2833" s="16" t="s">
        <v>429</v>
      </c>
      <c r="E2833" s="17">
        <v>41883</v>
      </c>
      <c r="F2833" s="17">
        <v>42004</v>
      </c>
      <c r="G2833" s="16" t="s">
        <v>415</v>
      </c>
      <c r="H2833" s="16">
        <v>0</v>
      </c>
      <c r="I2833" s="16">
        <v>0</v>
      </c>
      <c r="J2833" s="16">
        <v>0</v>
      </c>
      <c r="K2833" s="16">
        <v>0</v>
      </c>
      <c r="L2833" s="16">
        <v>0</v>
      </c>
      <c r="M2833" s="16">
        <v>0</v>
      </c>
      <c r="N2833" s="16">
        <v>0</v>
      </c>
      <c r="O2833" s="16">
        <v>0</v>
      </c>
      <c r="P2833" s="16">
        <v>1</v>
      </c>
      <c r="Q2833" s="16">
        <v>1</v>
      </c>
      <c r="R2833" s="16">
        <v>1</v>
      </c>
      <c r="S2833" s="16">
        <v>1</v>
      </c>
      <c r="T2833" s="16">
        <v>1</v>
      </c>
      <c r="U2833" s="16">
        <v>1</v>
      </c>
      <c r="V2833" s="16">
        <v>1</v>
      </c>
      <c r="W2833" s="16">
        <v>1</v>
      </c>
      <c r="X2833" s="16">
        <v>1</v>
      </c>
      <c r="Y2833" s="16">
        <v>1</v>
      </c>
      <c r="Z2833" s="16">
        <v>1</v>
      </c>
      <c r="AA2833" s="16">
        <v>1</v>
      </c>
      <c r="AB2833" s="16">
        <v>1</v>
      </c>
      <c r="AC2833" s="16">
        <v>0</v>
      </c>
      <c r="AD2833" s="16">
        <v>0</v>
      </c>
      <c r="AE2833" s="16">
        <v>0</v>
      </c>
      <c r="AF2833" s="16" t="s">
        <v>413</v>
      </c>
    </row>
    <row r="2834" spans="1:32" ht="14.25" customHeight="1" x14ac:dyDescent="0.35">
      <c r="A2834" s="16" t="s">
        <v>1803</v>
      </c>
      <c r="B2834" s="16" t="s">
        <v>427</v>
      </c>
      <c r="C2834" s="16"/>
      <c r="D2834" s="16" t="s">
        <v>429</v>
      </c>
      <c r="E2834" s="17">
        <v>41821</v>
      </c>
      <c r="F2834" s="17">
        <v>41883</v>
      </c>
      <c r="G2834" s="16" t="s">
        <v>415</v>
      </c>
      <c r="H2834" s="16">
        <v>0</v>
      </c>
      <c r="I2834" s="16">
        <v>0</v>
      </c>
      <c r="J2834" s="16">
        <v>0</v>
      </c>
      <c r="K2834" s="16">
        <v>0</v>
      </c>
      <c r="L2834" s="16">
        <v>0</v>
      </c>
      <c r="M2834" s="16">
        <v>0</v>
      </c>
      <c r="N2834" s="16">
        <v>0</v>
      </c>
      <c r="O2834" s="16">
        <v>0</v>
      </c>
      <c r="P2834" s="16">
        <v>1</v>
      </c>
      <c r="Q2834" s="16">
        <v>1</v>
      </c>
      <c r="R2834" s="16">
        <v>1</v>
      </c>
      <c r="S2834" s="16">
        <v>1</v>
      </c>
      <c r="T2834" s="16">
        <v>1</v>
      </c>
      <c r="U2834" s="16">
        <v>1</v>
      </c>
      <c r="V2834" s="16">
        <v>1</v>
      </c>
      <c r="W2834" s="16">
        <v>1</v>
      </c>
      <c r="X2834" s="16">
        <v>1</v>
      </c>
      <c r="Y2834" s="16">
        <v>1</v>
      </c>
      <c r="Z2834" s="16">
        <v>1</v>
      </c>
      <c r="AA2834" s="16">
        <v>1</v>
      </c>
      <c r="AB2834" s="16">
        <v>1</v>
      </c>
      <c r="AC2834" s="16">
        <v>0</v>
      </c>
      <c r="AD2834" s="16">
        <v>0</v>
      </c>
      <c r="AE2834" s="16">
        <v>0</v>
      </c>
      <c r="AF2834" s="16" t="s">
        <v>413</v>
      </c>
    </row>
    <row r="2835" spans="1:32" ht="14.25" customHeight="1" x14ac:dyDescent="0.35">
      <c r="A2835" s="16" t="s">
        <v>1803</v>
      </c>
      <c r="B2835" s="16" t="s">
        <v>427</v>
      </c>
      <c r="C2835" s="16"/>
      <c r="D2835" s="16" t="s">
        <v>429</v>
      </c>
      <c r="E2835" s="17">
        <v>41640</v>
      </c>
      <c r="F2835" s="17">
        <v>41820</v>
      </c>
      <c r="G2835" s="16" t="s">
        <v>415</v>
      </c>
      <c r="H2835" s="16">
        <v>0</v>
      </c>
      <c r="I2835" s="16">
        <v>0</v>
      </c>
      <c r="J2835" s="16">
        <v>0</v>
      </c>
      <c r="K2835" s="16">
        <v>0</v>
      </c>
      <c r="L2835" s="16">
        <v>0</v>
      </c>
      <c r="M2835" s="16">
        <v>0</v>
      </c>
      <c r="N2835" s="16">
        <v>0</v>
      </c>
      <c r="O2835" s="16">
        <v>0</v>
      </c>
      <c r="P2835" s="16">
        <v>1</v>
      </c>
      <c r="Q2835" s="16">
        <v>1</v>
      </c>
      <c r="R2835" s="16">
        <v>1</v>
      </c>
      <c r="S2835" s="16">
        <v>1</v>
      </c>
      <c r="T2835" s="16">
        <v>1</v>
      </c>
      <c r="U2835" s="16">
        <v>1</v>
      </c>
      <c r="V2835" s="16">
        <v>1</v>
      </c>
      <c r="W2835" s="16">
        <v>1</v>
      </c>
      <c r="X2835" s="16">
        <v>1</v>
      </c>
      <c r="Y2835" s="16">
        <v>0</v>
      </c>
      <c r="Z2835" s="16">
        <v>0</v>
      </c>
      <c r="AA2835" s="16">
        <v>0</v>
      </c>
      <c r="AB2835" s="16">
        <v>0</v>
      </c>
      <c r="AC2835" s="16">
        <v>0</v>
      </c>
      <c r="AD2835" s="16">
        <v>0</v>
      </c>
      <c r="AE2835" s="16">
        <v>0</v>
      </c>
      <c r="AF2835" s="16" t="s">
        <v>413</v>
      </c>
    </row>
    <row r="2836" spans="1:32" ht="14.25" customHeight="1" x14ac:dyDescent="0.35">
      <c r="A2836" s="14" t="s">
        <v>1803</v>
      </c>
      <c r="B2836" s="14" t="s">
        <v>427</v>
      </c>
      <c r="C2836" s="14"/>
      <c r="D2836" s="14" t="s">
        <v>530</v>
      </c>
      <c r="E2836" s="15">
        <v>41821</v>
      </c>
      <c r="F2836" s="15">
        <v>41883</v>
      </c>
      <c r="G2836" s="14" t="s">
        <v>410</v>
      </c>
      <c r="H2836" s="14">
        <v>0</v>
      </c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 t="s">
        <v>413</v>
      </c>
    </row>
    <row r="2837" spans="1:32" ht="14.25" customHeight="1" x14ac:dyDescent="0.35">
      <c r="A2837" s="14" t="s">
        <v>1803</v>
      </c>
      <c r="B2837" s="14" t="s">
        <v>427</v>
      </c>
      <c r="C2837" s="14"/>
      <c r="D2837" s="14" t="s">
        <v>530</v>
      </c>
      <c r="E2837" s="15">
        <v>41640</v>
      </c>
      <c r="F2837" s="15">
        <v>41820</v>
      </c>
      <c r="G2837" s="14" t="s">
        <v>410</v>
      </c>
      <c r="H2837" s="14">
        <v>0</v>
      </c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 t="s">
        <v>413</v>
      </c>
    </row>
    <row r="2838" spans="1:32" ht="14.25" customHeight="1" x14ac:dyDescent="0.35">
      <c r="A2838" s="14" t="s">
        <v>1803</v>
      </c>
      <c r="B2838" s="14" t="s">
        <v>427</v>
      </c>
      <c r="C2838" s="14"/>
      <c r="D2838" s="14" t="s">
        <v>421</v>
      </c>
      <c r="E2838" s="15">
        <v>41640</v>
      </c>
      <c r="F2838" s="15">
        <v>42004</v>
      </c>
      <c r="G2838" s="14" t="s">
        <v>415</v>
      </c>
      <c r="H2838" s="14">
        <v>0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1</v>
      </c>
      <c r="Q2838" s="14">
        <v>1</v>
      </c>
      <c r="R2838" s="14">
        <v>1</v>
      </c>
      <c r="S2838" s="14">
        <v>1</v>
      </c>
      <c r="T2838" s="14">
        <v>1</v>
      </c>
      <c r="U2838" s="14">
        <v>1</v>
      </c>
      <c r="V2838" s="14">
        <v>1</v>
      </c>
      <c r="W2838" s="14">
        <v>1</v>
      </c>
      <c r="X2838" s="14">
        <v>1</v>
      </c>
      <c r="Y2838" s="14">
        <v>1</v>
      </c>
      <c r="Z2838" s="14">
        <v>1</v>
      </c>
      <c r="AA2838" s="14">
        <v>1</v>
      </c>
      <c r="AB2838" s="14">
        <v>1</v>
      </c>
      <c r="AC2838" s="14">
        <v>0</v>
      </c>
      <c r="AD2838" s="14">
        <v>0</v>
      </c>
      <c r="AE2838" s="14">
        <v>0</v>
      </c>
      <c r="AF2838" s="14" t="s">
        <v>413</v>
      </c>
    </row>
    <row r="2839" spans="1:32" ht="14.25" customHeight="1" x14ac:dyDescent="0.35">
      <c r="A2839" s="14" t="s">
        <v>1804</v>
      </c>
      <c r="B2839" s="14" t="s">
        <v>427</v>
      </c>
      <c r="C2839" s="14"/>
      <c r="D2839" s="14" t="s">
        <v>476</v>
      </c>
      <c r="E2839" s="15">
        <v>41640</v>
      </c>
      <c r="F2839" s="15">
        <v>42004</v>
      </c>
      <c r="G2839" s="14" t="s">
        <v>410</v>
      </c>
      <c r="H2839" s="14">
        <v>0.02</v>
      </c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 t="s">
        <v>413</v>
      </c>
    </row>
    <row r="2840" spans="1:32" ht="14.25" customHeight="1" x14ac:dyDescent="0.35">
      <c r="A2840" s="16" t="s">
        <v>1804</v>
      </c>
      <c r="B2840" s="16" t="s">
        <v>427</v>
      </c>
      <c r="C2840" s="16"/>
      <c r="D2840" s="16" t="s">
        <v>419</v>
      </c>
      <c r="E2840" s="17">
        <v>41640</v>
      </c>
      <c r="F2840" s="17">
        <v>42004</v>
      </c>
      <c r="G2840" s="16" t="s">
        <v>415</v>
      </c>
      <c r="H2840" s="16">
        <v>0.02</v>
      </c>
      <c r="I2840" s="16">
        <v>0.02</v>
      </c>
      <c r="J2840" s="16">
        <v>0.02</v>
      </c>
      <c r="K2840" s="16">
        <v>0.02</v>
      </c>
      <c r="L2840" s="16">
        <v>0.02</v>
      </c>
      <c r="M2840" s="16">
        <v>0.02</v>
      </c>
      <c r="N2840" s="16">
        <v>0.02</v>
      </c>
      <c r="O2840" s="16">
        <v>0.02</v>
      </c>
      <c r="P2840" s="16">
        <v>0.15</v>
      </c>
      <c r="Q2840" s="16">
        <v>0.15</v>
      </c>
      <c r="R2840" s="16">
        <v>0.2</v>
      </c>
      <c r="S2840" s="16">
        <v>0.2</v>
      </c>
      <c r="T2840" s="16">
        <v>0.2</v>
      </c>
      <c r="U2840" s="16">
        <v>0.1</v>
      </c>
      <c r="V2840" s="16">
        <v>0.1</v>
      </c>
      <c r="W2840" s="16">
        <v>0.02</v>
      </c>
      <c r="X2840" s="16">
        <v>0.02</v>
      </c>
      <c r="Y2840" s="16">
        <v>0.02</v>
      </c>
      <c r="Z2840" s="16">
        <v>0.02</v>
      </c>
      <c r="AA2840" s="16">
        <v>0.02</v>
      </c>
      <c r="AB2840" s="16">
        <v>0.02</v>
      </c>
      <c r="AC2840" s="16">
        <v>0.02</v>
      </c>
      <c r="AD2840" s="16">
        <v>0.02</v>
      </c>
      <c r="AE2840" s="16">
        <v>0.02</v>
      </c>
      <c r="AF2840" s="16" t="s">
        <v>413</v>
      </c>
    </row>
    <row r="2841" spans="1:32" ht="14.25" customHeight="1" x14ac:dyDescent="0.35">
      <c r="A2841" s="14" t="s">
        <v>1804</v>
      </c>
      <c r="B2841" s="14" t="s">
        <v>427</v>
      </c>
      <c r="C2841" s="14"/>
      <c r="D2841" s="14" t="s">
        <v>429</v>
      </c>
      <c r="E2841" s="15">
        <v>41883</v>
      </c>
      <c r="F2841" s="15">
        <v>42004</v>
      </c>
      <c r="G2841" s="14" t="s">
        <v>415</v>
      </c>
      <c r="H2841" s="14">
        <v>0.02</v>
      </c>
      <c r="I2841" s="14">
        <v>0.02</v>
      </c>
      <c r="J2841" s="14">
        <v>0.02</v>
      </c>
      <c r="K2841" s="14">
        <v>0.02</v>
      </c>
      <c r="L2841" s="14">
        <v>0.02</v>
      </c>
      <c r="M2841" s="14">
        <v>0.02</v>
      </c>
      <c r="N2841" s="14">
        <v>0.02</v>
      </c>
      <c r="O2841" s="14">
        <v>0.02</v>
      </c>
      <c r="P2841" s="14">
        <v>0.15</v>
      </c>
      <c r="Q2841" s="14">
        <v>0.15</v>
      </c>
      <c r="R2841" s="14">
        <v>0.2</v>
      </c>
      <c r="S2841" s="14">
        <v>0.2</v>
      </c>
      <c r="T2841" s="14">
        <v>0.2</v>
      </c>
      <c r="U2841" s="14">
        <v>0.1</v>
      </c>
      <c r="V2841" s="14">
        <v>0.1</v>
      </c>
      <c r="W2841" s="14">
        <v>0.02</v>
      </c>
      <c r="X2841" s="14">
        <v>0.02</v>
      </c>
      <c r="Y2841" s="14">
        <v>0.02</v>
      </c>
      <c r="Z2841" s="14">
        <v>0.02</v>
      </c>
      <c r="AA2841" s="14">
        <v>0.02</v>
      </c>
      <c r="AB2841" s="14">
        <v>0.02</v>
      </c>
      <c r="AC2841" s="14">
        <v>0.02</v>
      </c>
      <c r="AD2841" s="14">
        <v>0.02</v>
      </c>
      <c r="AE2841" s="14">
        <v>0.02</v>
      </c>
      <c r="AF2841" s="14" t="s">
        <v>413</v>
      </c>
    </row>
    <row r="2842" spans="1:32" ht="14.25" customHeight="1" x14ac:dyDescent="0.35">
      <c r="A2842" s="14" t="s">
        <v>1804</v>
      </c>
      <c r="B2842" s="14" t="s">
        <v>427</v>
      </c>
      <c r="C2842" s="14"/>
      <c r="D2842" s="14" t="s">
        <v>429</v>
      </c>
      <c r="E2842" s="15">
        <v>41821</v>
      </c>
      <c r="F2842" s="15">
        <v>41883</v>
      </c>
      <c r="G2842" s="14" t="s">
        <v>415</v>
      </c>
      <c r="H2842" s="14">
        <v>0.02</v>
      </c>
      <c r="I2842" s="14">
        <v>0.02</v>
      </c>
      <c r="J2842" s="14">
        <v>0.02</v>
      </c>
      <c r="K2842" s="14">
        <v>0.02</v>
      </c>
      <c r="L2842" s="14">
        <v>0.02</v>
      </c>
      <c r="M2842" s="14">
        <v>0.02</v>
      </c>
      <c r="N2842" s="14">
        <v>0.02</v>
      </c>
      <c r="O2842" s="14">
        <v>0.02</v>
      </c>
      <c r="P2842" s="14">
        <v>0.15</v>
      </c>
      <c r="Q2842" s="14">
        <v>0.15</v>
      </c>
      <c r="R2842" s="14">
        <v>0.2</v>
      </c>
      <c r="S2842" s="14">
        <v>0.2</v>
      </c>
      <c r="T2842" s="14">
        <v>0.2</v>
      </c>
      <c r="U2842" s="14">
        <v>0.1</v>
      </c>
      <c r="V2842" s="14">
        <v>0.1</v>
      </c>
      <c r="W2842" s="14">
        <v>0.02</v>
      </c>
      <c r="X2842" s="14">
        <v>0.02</v>
      </c>
      <c r="Y2842" s="14">
        <v>0.02</v>
      </c>
      <c r="Z2842" s="14">
        <v>0.02</v>
      </c>
      <c r="AA2842" s="14">
        <v>0.02</v>
      </c>
      <c r="AB2842" s="14">
        <v>0.02</v>
      </c>
      <c r="AC2842" s="14">
        <v>0.02</v>
      </c>
      <c r="AD2842" s="14">
        <v>0.02</v>
      </c>
      <c r="AE2842" s="14">
        <v>0.02</v>
      </c>
      <c r="AF2842" s="14" t="s">
        <v>413</v>
      </c>
    </row>
    <row r="2843" spans="1:32" ht="14.25" customHeight="1" x14ac:dyDescent="0.35">
      <c r="A2843" s="14" t="s">
        <v>1804</v>
      </c>
      <c r="B2843" s="14" t="s">
        <v>427</v>
      </c>
      <c r="C2843" s="14"/>
      <c r="D2843" s="14" t="s">
        <v>429</v>
      </c>
      <c r="E2843" s="15">
        <v>41640</v>
      </c>
      <c r="F2843" s="15">
        <v>41820</v>
      </c>
      <c r="G2843" s="14" t="s">
        <v>415</v>
      </c>
      <c r="H2843" s="14">
        <v>0.02</v>
      </c>
      <c r="I2843" s="14">
        <v>0.02</v>
      </c>
      <c r="J2843" s="14">
        <v>0.02</v>
      </c>
      <c r="K2843" s="14">
        <v>0.02</v>
      </c>
      <c r="L2843" s="14">
        <v>0.02</v>
      </c>
      <c r="M2843" s="14">
        <v>0.02</v>
      </c>
      <c r="N2843" s="14">
        <v>0.02</v>
      </c>
      <c r="O2843" s="14">
        <v>0.02</v>
      </c>
      <c r="P2843" s="14">
        <v>0.15</v>
      </c>
      <c r="Q2843" s="14">
        <v>0.15</v>
      </c>
      <c r="R2843" s="14">
        <v>0.2</v>
      </c>
      <c r="S2843" s="14">
        <v>0.2</v>
      </c>
      <c r="T2843" s="14">
        <v>0.2</v>
      </c>
      <c r="U2843" s="14">
        <v>0.1</v>
      </c>
      <c r="V2843" s="14">
        <v>0.1</v>
      </c>
      <c r="W2843" s="14">
        <v>0.02</v>
      </c>
      <c r="X2843" s="14">
        <v>0.02</v>
      </c>
      <c r="Y2843" s="14">
        <v>0.02</v>
      </c>
      <c r="Z2843" s="14">
        <v>0.02</v>
      </c>
      <c r="AA2843" s="14">
        <v>0.02</v>
      </c>
      <c r="AB2843" s="14">
        <v>0.02</v>
      </c>
      <c r="AC2843" s="14">
        <v>0.02</v>
      </c>
      <c r="AD2843" s="14">
        <v>0.02</v>
      </c>
      <c r="AE2843" s="14">
        <v>0.02</v>
      </c>
      <c r="AF2843" s="14" t="s">
        <v>413</v>
      </c>
    </row>
    <row r="2844" spans="1:32" ht="14.25" customHeight="1" x14ac:dyDescent="0.35">
      <c r="A2844" s="16" t="s">
        <v>1804</v>
      </c>
      <c r="B2844" s="16" t="s">
        <v>427</v>
      </c>
      <c r="C2844" s="16"/>
      <c r="D2844" s="16" t="s">
        <v>530</v>
      </c>
      <c r="E2844" s="17">
        <v>41821</v>
      </c>
      <c r="F2844" s="17">
        <v>41883</v>
      </c>
      <c r="G2844" s="16" t="s">
        <v>410</v>
      </c>
      <c r="H2844" s="16">
        <v>0.02</v>
      </c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  <c r="AB2844" s="16"/>
      <c r="AC2844" s="16"/>
      <c r="AD2844" s="16"/>
      <c r="AE2844" s="16"/>
      <c r="AF2844" s="16" t="s">
        <v>413</v>
      </c>
    </row>
    <row r="2845" spans="1:32" ht="14.25" customHeight="1" x14ac:dyDescent="0.35">
      <c r="A2845" s="16" t="s">
        <v>1804</v>
      </c>
      <c r="B2845" s="16" t="s">
        <v>427</v>
      </c>
      <c r="C2845" s="16"/>
      <c r="D2845" s="16" t="s">
        <v>530</v>
      </c>
      <c r="E2845" s="17">
        <v>41640</v>
      </c>
      <c r="F2845" s="17">
        <v>41820</v>
      </c>
      <c r="G2845" s="16" t="s">
        <v>410</v>
      </c>
      <c r="H2845" s="16">
        <v>0.02</v>
      </c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16"/>
      <c r="AA2845" s="16"/>
      <c r="AB2845" s="16"/>
      <c r="AC2845" s="16"/>
      <c r="AD2845" s="16"/>
      <c r="AE2845" s="16"/>
      <c r="AF2845" s="16" t="s">
        <v>413</v>
      </c>
    </row>
    <row r="2846" spans="1:32" ht="14.25" customHeight="1" x14ac:dyDescent="0.35">
      <c r="A2846" s="16" t="s">
        <v>1805</v>
      </c>
      <c r="B2846" s="16" t="s">
        <v>427</v>
      </c>
      <c r="C2846" s="16" t="s">
        <v>414</v>
      </c>
      <c r="D2846" s="16" t="s">
        <v>409</v>
      </c>
      <c r="E2846" s="17">
        <v>41640</v>
      </c>
      <c r="F2846" s="17">
        <v>42004</v>
      </c>
      <c r="G2846" s="16" t="s">
        <v>410</v>
      </c>
      <c r="H2846" s="16">
        <v>55</v>
      </c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6"/>
      <c r="AA2846" s="16"/>
      <c r="AB2846" s="16"/>
      <c r="AC2846" s="16"/>
      <c r="AD2846" s="16"/>
      <c r="AE2846" s="16"/>
      <c r="AF2846" s="16" t="s">
        <v>413</v>
      </c>
    </row>
    <row r="2847" spans="1:32" ht="14.25" customHeight="1" x14ac:dyDescent="0.35">
      <c r="A2847" s="14" t="s">
        <v>1806</v>
      </c>
      <c r="B2847" s="14" t="s">
        <v>427</v>
      </c>
      <c r="C2847" s="14"/>
      <c r="D2847" s="14" t="s">
        <v>409</v>
      </c>
      <c r="E2847" s="15">
        <v>41640</v>
      </c>
      <c r="F2847" s="15">
        <v>42004</v>
      </c>
      <c r="G2847" s="14" t="s">
        <v>410</v>
      </c>
      <c r="H2847" s="14">
        <v>0.05</v>
      </c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 t="s">
        <v>413</v>
      </c>
    </row>
    <row r="2848" spans="1:32" ht="14.25" customHeight="1" x14ac:dyDescent="0.35">
      <c r="A2848" s="16" t="s">
        <v>1807</v>
      </c>
      <c r="B2848" s="16" t="s">
        <v>427</v>
      </c>
      <c r="C2848" s="16"/>
      <c r="D2848" s="16" t="s">
        <v>409</v>
      </c>
      <c r="E2848" s="17">
        <v>41640</v>
      </c>
      <c r="F2848" s="17">
        <v>42004</v>
      </c>
      <c r="G2848" s="16" t="s">
        <v>410</v>
      </c>
      <c r="H2848" s="16">
        <v>0.2</v>
      </c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6"/>
      <c r="AA2848" s="16"/>
      <c r="AB2848" s="16"/>
      <c r="AC2848" s="16"/>
      <c r="AD2848" s="16"/>
      <c r="AE2848" s="16"/>
      <c r="AF2848" s="16" t="s">
        <v>413</v>
      </c>
    </row>
    <row r="2849" spans="1:32" ht="14.25" customHeight="1" x14ac:dyDescent="0.35">
      <c r="A2849" s="14" t="s">
        <v>1808</v>
      </c>
      <c r="B2849" s="14" t="s">
        <v>427</v>
      </c>
      <c r="C2849" s="14" t="s">
        <v>414</v>
      </c>
      <c r="D2849" s="14" t="s">
        <v>409</v>
      </c>
      <c r="E2849" s="15">
        <v>41640</v>
      </c>
      <c r="F2849" s="15">
        <v>42004</v>
      </c>
      <c r="G2849" s="14" t="s">
        <v>410</v>
      </c>
      <c r="H2849" s="14">
        <v>60</v>
      </c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  <c r="U2849" s="14"/>
      <c r="V2849" s="14"/>
      <c r="W2849" s="14"/>
      <c r="X2849" s="14"/>
      <c r="Y2849" s="14"/>
      <c r="Z2849" s="14"/>
      <c r="AA2849" s="14"/>
      <c r="AB2849" s="14"/>
      <c r="AC2849" s="14"/>
      <c r="AD2849" s="14"/>
      <c r="AE2849" s="14"/>
      <c r="AF2849" s="14" t="s">
        <v>413</v>
      </c>
    </row>
    <row r="2850" spans="1:32" ht="14.25" customHeight="1" x14ac:dyDescent="0.35">
      <c r="A2850" s="16" t="s">
        <v>1809</v>
      </c>
      <c r="B2850" s="16" t="s">
        <v>427</v>
      </c>
      <c r="C2850" s="16" t="s">
        <v>412</v>
      </c>
      <c r="D2850" s="16" t="s">
        <v>417</v>
      </c>
      <c r="E2850" s="17">
        <v>41640</v>
      </c>
      <c r="F2850" s="17">
        <v>42004</v>
      </c>
      <c r="G2850" s="16" t="s">
        <v>415</v>
      </c>
      <c r="H2850" s="16">
        <v>0</v>
      </c>
      <c r="I2850" s="16">
        <v>0</v>
      </c>
      <c r="J2850" s="16">
        <v>0</v>
      </c>
      <c r="K2850" s="16">
        <v>0</v>
      </c>
      <c r="L2850" s="16">
        <v>725</v>
      </c>
      <c r="M2850" s="16">
        <v>417</v>
      </c>
      <c r="N2850" s="16">
        <v>290</v>
      </c>
      <c r="O2850" s="16">
        <v>0</v>
      </c>
      <c r="P2850" s="16">
        <v>0</v>
      </c>
      <c r="Q2850" s="16">
        <v>0</v>
      </c>
      <c r="R2850" s="16">
        <v>0</v>
      </c>
      <c r="S2850" s="16">
        <v>0</v>
      </c>
      <c r="T2850" s="16">
        <v>0</v>
      </c>
      <c r="U2850" s="16">
        <v>0</v>
      </c>
      <c r="V2850" s="16">
        <v>0</v>
      </c>
      <c r="W2850" s="16">
        <v>0</v>
      </c>
      <c r="X2850" s="16">
        <v>0</v>
      </c>
      <c r="Y2850" s="16">
        <v>0</v>
      </c>
      <c r="Z2850" s="16">
        <v>0</v>
      </c>
      <c r="AA2850" s="16">
        <v>0</v>
      </c>
      <c r="AB2850" s="16">
        <v>0</v>
      </c>
      <c r="AC2850" s="16">
        <v>0</v>
      </c>
      <c r="AD2850" s="16">
        <v>0</v>
      </c>
      <c r="AE2850" s="16">
        <v>0</v>
      </c>
      <c r="AF2850" s="16" t="s">
        <v>413</v>
      </c>
    </row>
    <row r="2851" spans="1:32" ht="14.25" customHeight="1" x14ac:dyDescent="0.35">
      <c r="A2851" s="14" t="s">
        <v>1809</v>
      </c>
      <c r="B2851" s="14" t="s">
        <v>427</v>
      </c>
      <c r="C2851" s="14" t="s">
        <v>412</v>
      </c>
      <c r="D2851" s="14" t="s">
        <v>622</v>
      </c>
      <c r="E2851" s="15">
        <v>41640</v>
      </c>
      <c r="F2851" s="15">
        <v>42004</v>
      </c>
      <c r="G2851" s="14" t="s">
        <v>415</v>
      </c>
      <c r="H2851" s="14">
        <v>0</v>
      </c>
      <c r="I2851" s="14">
        <v>0</v>
      </c>
      <c r="J2851" s="14">
        <v>0</v>
      </c>
      <c r="K2851" s="14">
        <v>0</v>
      </c>
      <c r="L2851" s="14">
        <v>125</v>
      </c>
      <c r="M2851" s="14">
        <v>117</v>
      </c>
      <c r="N2851" s="14">
        <v>90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125</v>
      </c>
      <c r="AB2851" s="14">
        <v>117</v>
      </c>
      <c r="AC2851" s="14">
        <v>90</v>
      </c>
      <c r="AD2851" s="14">
        <v>0</v>
      </c>
      <c r="AE2851" s="14">
        <v>0</v>
      </c>
      <c r="AF2851" s="14" t="s">
        <v>413</v>
      </c>
    </row>
    <row r="2852" spans="1:32" ht="14.25" customHeight="1" x14ac:dyDescent="0.35">
      <c r="A2852" s="16" t="s">
        <v>1810</v>
      </c>
      <c r="B2852" s="16" t="s">
        <v>427</v>
      </c>
      <c r="C2852" s="16" t="s">
        <v>412</v>
      </c>
      <c r="D2852" s="16" t="s">
        <v>409</v>
      </c>
      <c r="E2852" s="17">
        <v>41640</v>
      </c>
      <c r="F2852" s="17">
        <v>42004</v>
      </c>
      <c r="G2852" s="16" t="s">
        <v>410</v>
      </c>
      <c r="H2852" s="16">
        <v>0</v>
      </c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6"/>
      <c r="AA2852" s="16"/>
      <c r="AB2852" s="16"/>
      <c r="AC2852" s="16"/>
      <c r="AD2852" s="16"/>
      <c r="AE2852" s="16"/>
      <c r="AF2852" s="16" t="s">
        <v>413</v>
      </c>
    </row>
    <row r="2853" spans="1:32" ht="14.25" customHeight="1" x14ac:dyDescent="0.35">
      <c r="A2853" s="14" t="s">
        <v>1811</v>
      </c>
      <c r="B2853" s="14" t="s">
        <v>427</v>
      </c>
      <c r="C2853" s="14"/>
      <c r="D2853" s="14" t="s">
        <v>417</v>
      </c>
      <c r="E2853" s="15">
        <v>41640</v>
      </c>
      <c r="F2853" s="15">
        <v>42004</v>
      </c>
      <c r="G2853" s="14" t="s">
        <v>410</v>
      </c>
      <c r="H2853" s="14">
        <v>0</v>
      </c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 t="s">
        <v>413</v>
      </c>
    </row>
    <row r="2854" spans="1:32" ht="14.25" customHeight="1" x14ac:dyDescent="0.35">
      <c r="A2854" s="16" t="s">
        <v>1811</v>
      </c>
      <c r="B2854" s="16" t="s">
        <v>427</v>
      </c>
      <c r="C2854" s="16"/>
      <c r="D2854" s="16" t="s">
        <v>1301</v>
      </c>
      <c r="E2854" s="17">
        <v>41640</v>
      </c>
      <c r="F2854" s="17">
        <v>42004</v>
      </c>
      <c r="G2854" s="16" t="s">
        <v>415</v>
      </c>
      <c r="H2854" s="16">
        <v>0</v>
      </c>
      <c r="I2854" s="16">
        <v>0</v>
      </c>
      <c r="J2854" s="16">
        <v>0</v>
      </c>
      <c r="K2854" s="16">
        <v>0</v>
      </c>
      <c r="L2854" s="16">
        <v>0</v>
      </c>
      <c r="M2854" s="16">
        <v>0</v>
      </c>
      <c r="N2854" s="16">
        <v>0</v>
      </c>
      <c r="O2854" s="16">
        <v>1</v>
      </c>
      <c r="P2854" s="16">
        <v>1</v>
      </c>
      <c r="Q2854" s="16">
        <v>1</v>
      </c>
      <c r="R2854" s="16">
        <v>1</v>
      </c>
      <c r="S2854" s="16">
        <v>1</v>
      </c>
      <c r="T2854" s="16">
        <v>1</v>
      </c>
      <c r="U2854" s="16">
        <v>1</v>
      </c>
      <c r="V2854" s="16">
        <v>1</v>
      </c>
      <c r="W2854" s="16">
        <v>1</v>
      </c>
      <c r="X2854" s="16">
        <v>1</v>
      </c>
      <c r="Y2854" s="16">
        <v>0</v>
      </c>
      <c r="Z2854" s="16">
        <v>0</v>
      </c>
      <c r="AA2854" s="16">
        <v>0</v>
      </c>
      <c r="AB2854" s="16">
        <v>0</v>
      </c>
      <c r="AC2854" s="16">
        <v>0</v>
      </c>
      <c r="AD2854" s="16">
        <v>0</v>
      </c>
      <c r="AE2854" s="16">
        <v>0</v>
      </c>
      <c r="AF2854" s="16" t="s">
        <v>413</v>
      </c>
    </row>
    <row r="2855" spans="1:32" ht="14.25" customHeight="1" x14ac:dyDescent="0.35">
      <c r="A2855" s="14" t="s">
        <v>1812</v>
      </c>
      <c r="B2855" s="14" t="s">
        <v>550</v>
      </c>
      <c r="C2855" s="14"/>
      <c r="D2855" s="14" t="s">
        <v>417</v>
      </c>
      <c r="E2855" s="15">
        <v>41640</v>
      </c>
      <c r="F2855" s="15">
        <v>42004</v>
      </c>
      <c r="G2855" s="14" t="s">
        <v>410</v>
      </c>
      <c r="H2855" s="14">
        <v>0</v>
      </c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S2855" s="14"/>
      <c r="T2855" s="14"/>
      <c r="U2855" s="14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 t="s">
        <v>413</v>
      </c>
    </row>
    <row r="2856" spans="1:32" ht="14.25" customHeight="1" x14ac:dyDescent="0.35">
      <c r="A2856" s="16" t="s">
        <v>1812</v>
      </c>
      <c r="B2856" s="16" t="s">
        <v>550</v>
      </c>
      <c r="C2856" s="16"/>
      <c r="D2856" s="16" t="s">
        <v>1301</v>
      </c>
      <c r="E2856" s="17">
        <v>41640</v>
      </c>
      <c r="F2856" s="17">
        <v>42004</v>
      </c>
      <c r="G2856" s="16" t="s">
        <v>415</v>
      </c>
      <c r="H2856" s="16">
        <v>0</v>
      </c>
      <c r="I2856" s="16">
        <v>0</v>
      </c>
      <c r="J2856" s="16">
        <v>0</v>
      </c>
      <c r="K2856" s="16">
        <v>0</v>
      </c>
      <c r="L2856" s="16">
        <v>0</v>
      </c>
      <c r="M2856" s="16">
        <v>0</v>
      </c>
      <c r="N2856" s="16">
        <v>0</v>
      </c>
      <c r="O2856" s="16">
        <v>0</v>
      </c>
      <c r="P2856" s="16">
        <v>1</v>
      </c>
      <c r="Q2856" s="16">
        <v>1</v>
      </c>
      <c r="R2856" s="16">
        <v>1</v>
      </c>
      <c r="S2856" s="16">
        <v>1</v>
      </c>
      <c r="T2856" s="16">
        <v>1</v>
      </c>
      <c r="U2856" s="16">
        <v>1</v>
      </c>
      <c r="V2856" s="16">
        <v>1</v>
      </c>
      <c r="W2856" s="16">
        <v>1</v>
      </c>
      <c r="X2856" s="16">
        <v>1</v>
      </c>
      <c r="Y2856" s="16">
        <v>1</v>
      </c>
      <c r="Z2856" s="16">
        <v>1</v>
      </c>
      <c r="AA2856" s="16">
        <v>1</v>
      </c>
      <c r="AB2856" s="16">
        <v>1</v>
      </c>
      <c r="AC2856" s="16">
        <v>0</v>
      </c>
      <c r="AD2856" s="16">
        <v>0</v>
      </c>
      <c r="AE2856" s="16">
        <v>0</v>
      </c>
      <c r="AF2856" s="16" t="s">
        <v>413</v>
      </c>
    </row>
    <row r="2857" spans="1:32" ht="14.25" customHeight="1" x14ac:dyDescent="0.35">
      <c r="A2857" s="14" t="s">
        <v>1813</v>
      </c>
      <c r="B2857" s="14" t="s">
        <v>550</v>
      </c>
      <c r="C2857" s="14"/>
      <c r="D2857" s="14" t="s">
        <v>409</v>
      </c>
      <c r="E2857" s="15">
        <v>41640</v>
      </c>
      <c r="F2857" s="15">
        <v>42004</v>
      </c>
      <c r="G2857" s="14" t="s">
        <v>410</v>
      </c>
      <c r="H2857" s="14">
        <v>1</v>
      </c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 t="s">
        <v>413</v>
      </c>
    </row>
    <row r="2858" spans="1:32" ht="14.25" customHeight="1" x14ac:dyDescent="0.35">
      <c r="A2858" s="16" t="s">
        <v>1814</v>
      </c>
      <c r="B2858" s="16" t="s">
        <v>408</v>
      </c>
      <c r="C2858" s="16" t="s">
        <v>412</v>
      </c>
      <c r="D2858" s="16" t="s">
        <v>409</v>
      </c>
      <c r="E2858" s="17">
        <v>41640</v>
      </c>
      <c r="F2858" s="17">
        <v>42004</v>
      </c>
      <c r="G2858" s="16" t="s">
        <v>410</v>
      </c>
      <c r="H2858" s="16">
        <v>1</v>
      </c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/>
      <c r="AD2858" s="16"/>
      <c r="AE2858" s="16"/>
      <c r="AF2858" s="16" t="s">
        <v>413</v>
      </c>
    </row>
    <row r="2859" spans="1:32" ht="14.25" customHeight="1" x14ac:dyDescent="0.35">
      <c r="A2859" s="14" t="s">
        <v>1815</v>
      </c>
      <c r="B2859" s="14" t="s">
        <v>408</v>
      </c>
      <c r="C2859" s="14" t="s">
        <v>412</v>
      </c>
      <c r="D2859" s="14" t="s">
        <v>409</v>
      </c>
      <c r="E2859" s="15">
        <v>41640</v>
      </c>
      <c r="F2859" s="15">
        <v>42004</v>
      </c>
      <c r="G2859" s="14" t="s">
        <v>410</v>
      </c>
      <c r="H2859" s="14">
        <v>1</v>
      </c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  <c r="AA2859" s="14"/>
      <c r="AB2859" s="14"/>
      <c r="AC2859" s="14"/>
      <c r="AD2859" s="14"/>
      <c r="AE2859" s="14"/>
      <c r="AF2859" s="14" t="s">
        <v>413</v>
      </c>
    </row>
    <row r="2860" spans="1:32" ht="14.25" customHeight="1" x14ac:dyDescent="0.35">
      <c r="A2860" s="16" t="s">
        <v>1816</v>
      </c>
      <c r="B2860" s="16" t="s">
        <v>408</v>
      </c>
      <c r="C2860" s="16" t="s">
        <v>414</v>
      </c>
      <c r="D2860" s="16" t="s">
        <v>409</v>
      </c>
      <c r="E2860" s="17">
        <v>41640</v>
      </c>
      <c r="F2860" s="17">
        <v>42004</v>
      </c>
      <c r="G2860" s="16" t="s">
        <v>410</v>
      </c>
      <c r="H2860" s="16">
        <v>13</v>
      </c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6"/>
      <c r="AA2860" s="16"/>
      <c r="AB2860" s="16"/>
      <c r="AC2860" s="16"/>
      <c r="AD2860" s="16"/>
      <c r="AE2860" s="16"/>
      <c r="AF2860" s="16" t="s">
        <v>413</v>
      </c>
    </row>
    <row r="2861" spans="1:32" ht="14.25" customHeight="1" x14ac:dyDescent="0.35">
      <c r="A2861" s="14" t="s">
        <v>1816</v>
      </c>
      <c r="B2861" s="14" t="s">
        <v>408</v>
      </c>
      <c r="C2861" s="14" t="s">
        <v>414</v>
      </c>
      <c r="D2861" s="14" t="s">
        <v>454</v>
      </c>
      <c r="E2861" s="15">
        <v>41913</v>
      </c>
      <c r="F2861" s="15">
        <v>42004</v>
      </c>
      <c r="G2861" s="14" t="s">
        <v>410</v>
      </c>
      <c r="H2861" s="14">
        <v>13</v>
      </c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  <c r="U2861" s="14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 t="s">
        <v>413</v>
      </c>
    </row>
    <row r="2862" spans="1:32" ht="14.25" customHeight="1" x14ac:dyDescent="0.35">
      <c r="A2862" s="16" t="s">
        <v>1816</v>
      </c>
      <c r="B2862" s="16" t="s">
        <v>408</v>
      </c>
      <c r="C2862" s="16" t="s">
        <v>414</v>
      </c>
      <c r="D2862" s="16" t="s">
        <v>454</v>
      </c>
      <c r="E2862" s="17">
        <v>41640</v>
      </c>
      <c r="F2862" s="17">
        <v>41729</v>
      </c>
      <c r="G2862" s="16" t="s">
        <v>410</v>
      </c>
      <c r="H2862" s="16">
        <v>13</v>
      </c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6"/>
      <c r="AA2862" s="16"/>
      <c r="AB2862" s="16"/>
      <c r="AC2862" s="16"/>
      <c r="AD2862" s="16"/>
      <c r="AE2862" s="16"/>
      <c r="AF2862" s="16" t="s">
        <v>413</v>
      </c>
    </row>
    <row r="2863" spans="1:32" ht="14.25" customHeight="1" x14ac:dyDescent="0.35">
      <c r="A2863" s="14" t="s">
        <v>1817</v>
      </c>
      <c r="B2863" s="14" t="s">
        <v>408</v>
      </c>
      <c r="C2863" s="14" t="s">
        <v>412</v>
      </c>
      <c r="D2863" s="14" t="s">
        <v>409</v>
      </c>
      <c r="E2863" s="15">
        <v>41640</v>
      </c>
      <c r="F2863" s="15">
        <v>42004</v>
      </c>
      <c r="G2863" s="14" t="s">
        <v>410</v>
      </c>
      <c r="H2863" s="14">
        <v>0</v>
      </c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F2863" s="14" t="s">
        <v>413</v>
      </c>
    </row>
    <row r="2864" spans="1:32" ht="14.25" customHeight="1" x14ac:dyDescent="0.35">
      <c r="A2864" s="16" t="s">
        <v>1818</v>
      </c>
      <c r="B2864" s="16" t="s">
        <v>460</v>
      </c>
      <c r="C2864" s="16" t="s">
        <v>414</v>
      </c>
      <c r="D2864" s="16" t="s">
        <v>409</v>
      </c>
      <c r="E2864" s="17">
        <v>41640</v>
      </c>
      <c r="F2864" s="17">
        <v>42004</v>
      </c>
      <c r="G2864" s="16" t="s">
        <v>410</v>
      </c>
      <c r="H2864" s="16">
        <v>22</v>
      </c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/>
      <c r="AB2864" s="16"/>
      <c r="AC2864" s="16"/>
      <c r="AD2864" s="16"/>
      <c r="AE2864" s="16"/>
      <c r="AF2864" s="16" t="s">
        <v>413</v>
      </c>
    </row>
    <row r="2865" spans="1:32" ht="14.25" customHeight="1" x14ac:dyDescent="0.35">
      <c r="A2865" s="14" t="s">
        <v>1819</v>
      </c>
      <c r="B2865" s="14" t="s">
        <v>460</v>
      </c>
      <c r="C2865" s="14" t="s">
        <v>414</v>
      </c>
      <c r="D2865" s="14" t="s">
        <v>409</v>
      </c>
      <c r="E2865" s="15">
        <v>41640</v>
      </c>
      <c r="F2865" s="15">
        <v>42004</v>
      </c>
      <c r="G2865" s="14" t="s">
        <v>410</v>
      </c>
      <c r="H2865" s="14">
        <v>60</v>
      </c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S2865" s="14"/>
      <c r="T2865" s="14"/>
      <c r="U2865" s="14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 t="s">
        <v>413</v>
      </c>
    </row>
    <row r="2866" spans="1:32" ht="14.25" customHeight="1" x14ac:dyDescent="0.35">
      <c r="A2866" s="16" t="s">
        <v>1820</v>
      </c>
      <c r="B2866" s="16" t="s">
        <v>460</v>
      </c>
      <c r="C2866" s="16" t="s">
        <v>414</v>
      </c>
      <c r="D2866" s="16" t="s">
        <v>409</v>
      </c>
      <c r="E2866" s="17">
        <v>41640</v>
      </c>
      <c r="F2866" s="17">
        <v>42004</v>
      </c>
      <c r="G2866" s="16" t="s">
        <v>410</v>
      </c>
      <c r="H2866" s="16">
        <v>60</v>
      </c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6"/>
      <c r="AA2866" s="16"/>
      <c r="AB2866" s="16"/>
      <c r="AC2866" s="16"/>
      <c r="AD2866" s="16"/>
      <c r="AE2866" s="16"/>
      <c r="AF2866" s="16" t="s">
        <v>413</v>
      </c>
    </row>
    <row r="2867" spans="1:32" ht="14.25" customHeight="1" x14ac:dyDescent="0.35">
      <c r="A2867" s="14" t="s">
        <v>1821</v>
      </c>
      <c r="B2867" s="14" t="s">
        <v>408</v>
      </c>
      <c r="C2867" s="14" t="s">
        <v>414</v>
      </c>
      <c r="D2867" s="14" t="s">
        <v>409</v>
      </c>
      <c r="E2867" s="15">
        <v>41640</v>
      </c>
      <c r="F2867" s="15">
        <v>42004</v>
      </c>
      <c r="G2867" s="14" t="s">
        <v>410</v>
      </c>
      <c r="H2867" s="14">
        <v>12.8</v>
      </c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S2867" s="14"/>
      <c r="T2867" s="14"/>
      <c r="U2867" s="14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4"/>
      <c r="AF2867" s="14" t="s">
        <v>413</v>
      </c>
    </row>
    <row r="2868" spans="1:32" ht="14.25" customHeight="1" x14ac:dyDescent="0.35">
      <c r="A2868" s="16" t="s">
        <v>1822</v>
      </c>
      <c r="B2868" s="16" t="s">
        <v>448</v>
      </c>
      <c r="C2868" s="16"/>
      <c r="D2868" s="16" t="s">
        <v>417</v>
      </c>
      <c r="E2868" s="17">
        <v>41640</v>
      </c>
      <c r="F2868" s="17">
        <v>42004</v>
      </c>
      <c r="G2868" s="16" t="s">
        <v>410</v>
      </c>
      <c r="H2868" s="16">
        <v>0.17730000000000001</v>
      </c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6"/>
      <c r="AA2868" s="16"/>
      <c r="AB2868" s="16"/>
      <c r="AC2868" s="16"/>
      <c r="AD2868" s="16"/>
      <c r="AE2868" s="16"/>
      <c r="AF2868" s="16" t="s">
        <v>413</v>
      </c>
    </row>
    <row r="2869" spans="1:32" ht="14.25" customHeight="1" x14ac:dyDescent="0.35">
      <c r="A2869" s="16" t="s">
        <v>1822</v>
      </c>
      <c r="B2869" s="16" t="s">
        <v>448</v>
      </c>
      <c r="C2869" s="16"/>
      <c r="D2869" s="16" t="s">
        <v>419</v>
      </c>
      <c r="E2869" s="17">
        <v>41640</v>
      </c>
      <c r="F2869" s="17">
        <v>42004</v>
      </c>
      <c r="G2869" s="16" t="s">
        <v>410</v>
      </c>
      <c r="H2869" s="16">
        <v>1</v>
      </c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6"/>
      <c r="AA2869" s="16"/>
      <c r="AB2869" s="16"/>
      <c r="AC2869" s="16"/>
      <c r="AD2869" s="16"/>
      <c r="AE2869" s="16"/>
      <c r="AF2869" s="16" t="s">
        <v>413</v>
      </c>
    </row>
    <row r="2870" spans="1:32" ht="14.25" customHeight="1" x14ac:dyDescent="0.35">
      <c r="A2870" s="14" t="s">
        <v>1822</v>
      </c>
      <c r="B2870" s="14" t="s">
        <v>448</v>
      </c>
      <c r="C2870" s="14"/>
      <c r="D2870" s="14" t="s">
        <v>429</v>
      </c>
      <c r="E2870" s="15">
        <v>41883</v>
      </c>
      <c r="F2870" s="15">
        <v>42004</v>
      </c>
      <c r="G2870" s="14" t="s">
        <v>415</v>
      </c>
      <c r="H2870" s="14">
        <v>0.17730000000000001</v>
      </c>
      <c r="I2870" s="14">
        <v>0.17730000000000001</v>
      </c>
      <c r="J2870" s="14">
        <v>0.17730000000000001</v>
      </c>
      <c r="K2870" s="14">
        <v>0.17730000000000001</v>
      </c>
      <c r="L2870" s="14">
        <v>0.17730000000000001</v>
      </c>
      <c r="M2870" s="14">
        <v>0.17730000000000001</v>
      </c>
      <c r="N2870" s="14">
        <v>0.17730000000000001</v>
      </c>
      <c r="O2870" s="14">
        <v>0.46800000000000003</v>
      </c>
      <c r="P2870" s="14">
        <v>0.46800000000000003</v>
      </c>
      <c r="Q2870" s="14">
        <v>0.46800000000000003</v>
      </c>
      <c r="R2870" s="14">
        <v>0.46800000000000003</v>
      </c>
      <c r="S2870" s="14">
        <v>0.46800000000000003</v>
      </c>
      <c r="T2870" s="14">
        <v>0.46800000000000003</v>
      </c>
      <c r="U2870" s="14">
        <v>0.46800000000000003</v>
      </c>
      <c r="V2870" s="14">
        <v>0.46800000000000003</v>
      </c>
      <c r="W2870" s="14">
        <v>0.46800000000000003</v>
      </c>
      <c r="X2870" s="14">
        <v>0.46800000000000003</v>
      </c>
      <c r="Y2870" s="14">
        <v>0.46800000000000003</v>
      </c>
      <c r="Z2870" s="14">
        <v>0.46800000000000003</v>
      </c>
      <c r="AA2870" s="14">
        <v>0.46800000000000003</v>
      </c>
      <c r="AB2870" s="14">
        <v>0.46800000000000003</v>
      </c>
      <c r="AC2870" s="14">
        <v>0.17730000000000001</v>
      </c>
      <c r="AD2870" s="14">
        <v>0.17730000000000001</v>
      </c>
      <c r="AE2870" s="14">
        <v>0.17730000000000001</v>
      </c>
      <c r="AF2870" s="14" t="s">
        <v>413</v>
      </c>
    </row>
    <row r="2871" spans="1:32" ht="14.25" customHeight="1" x14ac:dyDescent="0.35">
      <c r="A2871" s="14" t="s">
        <v>1822</v>
      </c>
      <c r="B2871" s="14" t="s">
        <v>448</v>
      </c>
      <c r="C2871" s="14"/>
      <c r="D2871" s="14" t="s">
        <v>429</v>
      </c>
      <c r="E2871" s="15">
        <v>41821</v>
      </c>
      <c r="F2871" s="15">
        <v>41883</v>
      </c>
      <c r="G2871" s="14" t="s">
        <v>415</v>
      </c>
      <c r="H2871" s="14">
        <v>0.17730000000000001</v>
      </c>
      <c r="I2871" s="14">
        <v>0.17730000000000001</v>
      </c>
      <c r="J2871" s="14">
        <v>0.17730000000000001</v>
      </c>
      <c r="K2871" s="14">
        <v>0.17730000000000001</v>
      </c>
      <c r="L2871" s="14">
        <v>0.17730000000000001</v>
      </c>
      <c r="M2871" s="14">
        <v>0.17730000000000001</v>
      </c>
      <c r="N2871" s="14">
        <v>0.17730000000000001</v>
      </c>
      <c r="O2871" s="14">
        <v>0.17730000000000001</v>
      </c>
      <c r="P2871" s="14">
        <v>0.26</v>
      </c>
      <c r="Q2871" s="14">
        <v>0.26</v>
      </c>
      <c r="R2871" s="14">
        <v>0.26</v>
      </c>
      <c r="S2871" s="14">
        <v>0.26</v>
      </c>
      <c r="T2871" s="14">
        <v>0.26</v>
      </c>
      <c r="U2871" s="14">
        <v>0.26</v>
      </c>
      <c r="V2871" s="14">
        <v>0.26</v>
      </c>
      <c r="W2871" s="14">
        <v>0.26</v>
      </c>
      <c r="X2871" s="14">
        <v>0.26</v>
      </c>
      <c r="Y2871" s="14">
        <v>0.26</v>
      </c>
      <c r="Z2871" s="14">
        <v>0.26</v>
      </c>
      <c r="AA2871" s="14">
        <v>0.26</v>
      </c>
      <c r="AB2871" s="14">
        <v>0.17730000000000001</v>
      </c>
      <c r="AC2871" s="14">
        <v>0.17730000000000001</v>
      </c>
      <c r="AD2871" s="14">
        <v>0.17730000000000001</v>
      </c>
      <c r="AE2871" s="14">
        <v>0.17730000000000001</v>
      </c>
      <c r="AF2871" s="14" t="s">
        <v>413</v>
      </c>
    </row>
    <row r="2872" spans="1:32" ht="14.25" customHeight="1" x14ac:dyDescent="0.35">
      <c r="A2872" s="14" t="s">
        <v>1822</v>
      </c>
      <c r="B2872" s="14" t="s">
        <v>448</v>
      </c>
      <c r="C2872" s="14"/>
      <c r="D2872" s="14" t="s">
        <v>429</v>
      </c>
      <c r="E2872" s="15">
        <v>41640</v>
      </c>
      <c r="F2872" s="15">
        <v>41820</v>
      </c>
      <c r="G2872" s="14" t="s">
        <v>415</v>
      </c>
      <c r="H2872" s="14">
        <v>0.17730000000000001</v>
      </c>
      <c r="I2872" s="14">
        <v>0.17730000000000001</v>
      </c>
      <c r="J2872" s="14">
        <v>0.17730000000000001</v>
      </c>
      <c r="K2872" s="14">
        <v>0.17730000000000001</v>
      </c>
      <c r="L2872" s="14">
        <v>0.17730000000000001</v>
      </c>
      <c r="M2872" s="14">
        <v>0.17730000000000001</v>
      </c>
      <c r="N2872" s="14">
        <v>0.17730000000000001</v>
      </c>
      <c r="O2872" s="14">
        <v>0.46800000000000003</v>
      </c>
      <c r="P2872" s="14">
        <v>0.46800000000000003</v>
      </c>
      <c r="Q2872" s="14">
        <v>0.46800000000000003</v>
      </c>
      <c r="R2872" s="14">
        <v>0.46800000000000003</v>
      </c>
      <c r="S2872" s="14">
        <v>0.46800000000000003</v>
      </c>
      <c r="T2872" s="14">
        <v>0.46800000000000003</v>
      </c>
      <c r="U2872" s="14">
        <v>0.46800000000000003</v>
      </c>
      <c r="V2872" s="14">
        <v>0.46800000000000003</v>
      </c>
      <c r="W2872" s="14">
        <v>0.46800000000000003</v>
      </c>
      <c r="X2872" s="14">
        <v>0.46800000000000003</v>
      </c>
      <c r="Y2872" s="14">
        <v>0.46800000000000003</v>
      </c>
      <c r="Z2872" s="14">
        <v>0.46800000000000003</v>
      </c>
      <c r="AA2872" s="14">
        <v>0.46800000000000003</v>
      </c>
      <c r="AB2872" s="14">
        <v>0.46800000000000003</v>
      </c>
      <c r="AC2872" s="14">
        <v>0.17730000000000001</v>
      </c>
      <c r="AD2872" s="14">
        <v>0.17730000000000001</v>
      </c>
      <c r="AE2872" s="14">
        <v>0.17730000000000001</v>
      </c>
      <c r="AF2872" s="14" t="s">
        <v>413</v>
      </c>
    </row>
    <row r="2873" spans="1:32" ht="14.25" customHeight="1" x14ac:dyDescent="0.35">
      <c r="A2873" s="16" t="s">
        <v>1822</v>
      </c>
      <c r="B2873" s="16" t="s">
        <v>448</v>
      </c>
      <c r="C2873" s="16"/>
      <c r="D2873" s="16" t="s">
        <v>530</v>
      </c>
      <c r="E2873" s="17">
        <v>41821</v>
      </c>
      <c r="F2873" s="17">
        <v>41883</v>
      </c>
      <c r="G2873" s="16" t="s">
        <v>410</v>
      </c>
      <c r="H2873" s="16">
        <v>0.17730000000000001</v>
      </c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/>
      <c r="AC2873" s="16"/>
      <c r="AD2873" s="16"/>
      <c r="AE2873" s="16"/>
      <c r="AF2873" s="16" t="s">
        <v>413</v>
      </c>
    </row>
    <row r="2874" spans="1:32" ht="14.25" customHeight="1" x14ac:dyDescent="0.35">
      <c r="A2874" s="16" t="s">
        <v>1822</v>
      </c>
      <c r="B2874" s="16" t="s">
        <v>448</v>
      </c>
      <c r="C2874" s="16"/>
      <c r="D2874" s="16" t="s">
        <v>530</v>
      </c>
      <c r="E2874" s="17">
        <v>41640</v>
      </c>
      <c r="F2874" s="17">
        <v>41820</v>
      </c>
      <c r="G2874" s="16" t="s">
        <v>410</v>
      </c>
      <c r="H2874" s="16">
        <v>0.17730000000000001</v>
      </c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 t="s">
        <v>413</v>
      </c>
    </row>
    <row r="2875" spans="1:32" ht="14.25" customHeight="1" x14ac:dyDescent="0.35">
      <c r="A2875" s="14" t="s">
        <v>1822</v>
      </c>
      <c r="B2875" s="14" t="s">
        <v>448</v>
      </c>
      <c r="C2875" s="14"/>
      <c r="D2875" s="14" t="s">
        <v>418</v>
      </c>
      <c r="E2875" s="15">
        <v>41640</v>
      </c>
      <c r="F2875" s="15">
        <v>42004</v>
      </c>
      <c r="G2875" s="14" t="s">
        <v>410</v>
      </c>
      <c r="H2875" s="14">
        <v>0</v>
      </c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S2875" s="14"/>
      <c r="T2875" s="14"/>
      <c r="U2875" s="14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F2875" s="14" t="s">
        <v>413</v>
      </c>
    </row>
    <row r="2876" spans="1:32" ht="14.25" customHeight="1" x14ac:dyDescent="0.35">
      <c r="A2876" s="16" t="s">
        <v>1823</v>
      </c>
      <c r="B2876" s="16" t="s">
        <v>408</v>
      </c>
      <c r="C2876" s="16"/>
      <c r="D2876" s="16" t="s">
        <v>409</v>
      </c>
      <c r="E2876" s="17">
        <v>41640</v>
      </c>
      <c r="F2876" s="17">
        <v>42004</v>
      </c>
      <c r="G2876" s="16" t="s">
        <v>410</v>
      </c>
      <c r="H2876" s="16">
        <v>0</v>
      </c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6"/>
      <c r="AA2876" s="16"/>
      <c r="AB2876" s="16"/>
      <c r="AC2876" s="16"/>
      <c r="AD2876" s="16"/>
      <c r="AE2876" s="16"/>
      <c r="AF2876" s="16" t="s">
        <v>413</v>
      </c>
    </row>
    <row r="2877" spans="1:32" ht="14.25" customHeight="1" x14ac:dyDescent="0.35">
      <c r="A2877" s="16" t="s">
        <v>1824</v>
      </c>
      <c r="B2877" s="16" t="s">
        <v>408</v>
      </c>
      <c r="C2877" s="16" t="s">
        <v>412</v>
      </c>
      <c r="D2877" s="16" t="s">
        <v>409</v>
      </c>
      <c r="E2877" s="17">
        <v>41640</v>
      </c>
      <c r="F2877" s="17">
        <v>42004</v>
      </c>
      <c r="G2877" s="16" t="s">
        <v>410</v>
      </c>
      <c r="H2877" s="16">
        <v>0.2</v>
      </c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6"/>
      <c r="AA2877" s="16"/>
      <c r="AB2877" s="16"/>
      <c r="AC2877" s="16"/>
      <c r="AD2877" s="16"/>
      <c r="AE2877" s="16"/>
      <c r="AF2877" s="16" t="s">
        <v>413</v>
      </c>
    </row>
    <row r="2878" spans="1:32" ht="14.25" customHeight="1" x14ac:dyDescent="0.35">
      <c r="A2878" s="14" t="s">
        <v>1825</v>
      </c>
      <c r="B2878" s="14" t="s">
        <v>408</v>
      </c>
      <c r="C2878" s="14"/>
      <c r="D2878" s="14" t="s">
        <v>409</v>
      </c>
      <c r="E2878" s="15">
        <v>41640</v>
      </c>
      <c r="F2878" s="15">
        <v>42004</v>
      </c>
      <c r="G2878" s="14" t="s">
        <v>410</v>
      </c>
      <c r="H2878" s="14">
        <v>0</v>
      </c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  <c r="AA2878" s="14"/>
      <c r="AB2878" s="14"/>
      <c r="AC2878" s="14"/>
      <c r="AD2878" s="14"/>
      <c r="AE2878" s="14"/>
      <c r="AF2878" s="14" t="s">
        <v>413</v>
      </c>
    </row>
    <row r="2879" spans="1:32" ht="14.25" customHeight="1" x14ac:dyDescent="0.35">
      <c r="A2879" s="16" t="s">
        <v>1826</v>
      </c>
      <c r="B2879" s="16" t="s">
        <v>408</v>
      </c>
      <c r="C2879" s="16"/>
      <c r="D2879" s="16" t="s">
        <v>409</v>
      </c>
      <c r="E2879" s="17">
        <v>41640</v>
      </c>
      <c r="F2879" s="17">
        <v>42004</v>
      </c>
      <c r="G2879" s="16" t="s">
        <v>410</v>
      </c>
      <c r="H2879" s="16">
        <v>1</v>
      </c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6"/>
      <c r="AA2879" s="16"/>
      <c r="AB2879" s="16"/>
      <c r="AC2879" s="16"/>
      <c r="AD2879" s="16"/>
      <c r="AE2879" s="16"/>
      <c r="AF2879" s="16" t="s">
        <v>413</v>
      </c>
    </row>
    <row r="2880" spans="1:32" ht="14.25" customHeight="1" x14ac:dyDescent="0.35">
      <c r="A2880" s="14" t="s">
        <v>1827</v>
      </c>
      <c r="B2880" s="14" t="s">
        <v>460</v>
      </c>
      <c r="C2880" s="14" t="s">
        <v>414</v>
      </c>
      <c r="D2880" s="14" t="s">
        <v>409</v>
      </c>
      <c r="E2880" s="15">
        <v>41640</v>
      </c>
      <c r="F2880" s="15">
        <v>42004</v>
      </c>
      <c r="G2880" s="14" t="s">
        <v>410</v>
      </c>
      <c r="H2880" s="14">
        <v>55</v>
      </c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  <c r="AA2880" s="14"/>
      <c r="AB2880" s="14"/>
      <c r="AC2880" s="14"/>
      <c r="AD2880" s="14"/>
      <c r="AE2880" s="14"/>
      <c r="AF2880" s="14" t="s">
        <v>413</v>
      </c>
    </row>
    <row r="2881" spans="1:32" ht="14.25" customHeight="1" x14ac:dyDescent="0.35">
      <c r="A2881" s="16" t="s">
        <v>1828</v>
      </c>
      <c r="B2881" s="16" t="s">
        <v>460</v>
      </c>
      <c r="C2881" s="16"/>
      <c r="D2881" s="16" t="s">
        <v>409</v>
      </c>
      <c r="E2881" s="17">
        <v>41640</v>
      </c>
      <c r="F2881" s="17">
        <v>42004</v>
      </c>
      <c r="G2881" s="16" t="s">
        <v>410</v>
      </c>
      <c r="H2881" s="16">
        <v>0.05</v>
      </c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 t="s">
        <v>413</v>
      </c>
    </row>
    <row r="2882" spans="1:32" ht="14.25" customHeight="1" x14ac:dyDescent="0.35">
      <c r="A2882" s="14" t="s">
        <v>1829</v>
      </c>
      <c r="B2882" s="14" t="s">
        <v>460</v>
      </c>
      <c r="C2882" s="14"/>
      <c r="D2882" s="14" t="s">
        <v>409</v>
      </c>
      <c r="E2882" s="15">
        <v>41640</v>
      </c>
      <c r="F2882" s="15">
        <v>42004</v>
      </c>
      <c r="G2882" s="14" t="s">
        <v>410</v>
      </c>
      <c r="H2882" s="14">
        <v>0.2</v>
      </c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  <c r="AA2882" s="14"/>
      <c r="AB2882" s="14"/>
      <c r="AC2882" s="14"/>
      <c r="AD2882" s="14"/>
      <c r="AE2882" s="14"/>
      <c r="AF2882" s="14" t="s">
        <v>413</v>
      </c>
    </row>
    <row r="2883" spans="1:32" ht="14.25" customHeight="1" x14ac:dyDescent="0.35">
      <c r="A2883" s="16" t="s">
        <v>1830</v>
      </c>
      <c r="B2883" s="16" t="s">
        <v>460</v>
      </c>
      <c r="C2883" s="16" t="s">
        <v>414</v>
      </c>
      <c r="D2883" s="16" t="s">
        <v>409</v>
      </c>
      <c r="E2883" s="17">
        <v>41640</v>
      </c>
      <c r="F2883" s="17">
        <v>42004</v>
      </c>
      <c r="G2883" s="16" t="s">
        <v>410</v>
      </c>
      <c r="H2883" s="16">
        <v>60</v>
      </c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  <c r="AB2883" s="16"/>
      <c r="AC2883" s="16"/>
      <c r="AD2883" s="16"/>
      <c r="AE2883" s="16"/>
      <c r="AF2883" s="16" t="s">
        <v>413</v>
      </c>
    </row>
    <row r="2884" spans="1:32" ht="14.25" customHeight="1" x14ac:dyDescent="0.35">
      <c r="A2884" s="14" t="s">
        <v>1831</v>
      </c>
      <c r="B2884" s="14" t="s">
        <v>460</v>
      </c>
      <c r="C2884" s="14" t="s">
        <v>414</v>
      </c>
      <c r="D2884" s="14" t="s">
        <v>409</v>
      </c>
      <c r="E2884" s="15">
        <v>41640</v>
      </c>
      <c r="F2884" s="15">
        <v>42004</v>
      </c>
      <c r="G2884" s="14" t="s">
        <v>410</v>
      </c>
      <c r="H2884" s="14">
        <v>55</v>
      </c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 t="s">
        <v>413</v>
      </c>
    </row>
    <row r="2885" spans="1:32" ht="14.25" customHeight="1" x14ac:dyDescent="0.35">
      <c r="A2885" s="16" t="s">
        <v>1832</v>
      </c>
      <c r="B2885" s="16" t="s">
        <v>460</v>
      </c>
      <c r="C2885" s="16"/>
      <c r="D2885" s="16" t="s">
        <v>409</v>
      </c>
      <c r="E2885" s="17">
        <v>41640</v>
      </c>
      <c r="F2885" s="17">
        <v>42004</v>
      </c>
      <c r="G2885" s="16" t="s">
        <v>410</v>
      </c>
      <c r="H2885" s="16">
        <v>0.05</v>
      </c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6"/>
      <c r="AA2885" s="16"/>
      <c r="AB2885" s="16"/>
      <c r="AC2885" s="16"/>
      <c r="AD2885" s="16"/>
      <c r="AE2885" s="16"/>
      <c r="AF2885" s="16" t="s">
        <v>413</v>
      </c>
    </row>
    <row r="2886" spans="1:32" ht="14.25" customHeight="1" x14ac:dyDescent="0.35">
      <c r="A2886" s="14" t="s">
        <v>1833</v>
      </c>
      <c r="B2886" s="14" t="s">
        <v>460</v>
      </c>
      <c r="C2886" s="14"/>
      <c r="D2886" s="14" t="s">
        <v>409</v>
      </c>
      <c r="E2886" s="15">
        <v>41640</v>
      </c>
      <c r="F2886" s="15">
        <v>42004</v>
      </c>
      <c r="G2886" s="14" t="s">
        <v>410</v>
      </c>
      <c r="H2886" s="14">
        <v>0.2</v>
      </c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  <c r="AA2886" s="14"/>
      <c r="AB2886" s="14"/>
      <c r="AC2886" s="14"/>
      <c r="AD2886" s="14"/>
      <c r="AE2886" s="14"/>
      <c r="AF2886" s="14" t="s">
        <v>413</v>
      </c>
    </row>
    <row r="2887" spans="1:32" ht="14.25" customHeight="1" x14ac:dyDescent="0.35">
      <c r="A2887" s="16" t="s">
        <v>1834</v>
      </c>
      <c r="B2887" s="16" t="s">
        <v>460</v>
      </c>
      <c r="C2887" s="16" t="s">
        <v>414</v>
      </c>
      <c r="D2887" s="16" t="s">
        <v>409</v>
      </c>
      <c r="E2887" s="17">
        <v>41640</v>
      </c>
      <c r="F2887" s="17">
        <v>42004</v>
      </c>
      <c r="G2887" s="16" t="s">
        <v>410</v>
      </c>
      <c r="H2887" s="16">
        <v>60</v>
      </c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16"/>
      <c r="AA2887" s="16"/>
      <c r="AB2887" s="16"/>
      <c r="AC2887" s="16"/>
      <c r="AD2887" s="16"/>
      <c r="AE2887" s="16"/>
      <c r="AF2887" s="16" t="s">
        <v>413</v>
      </c>
    </row>
    <row r="2888" spans="1:32" ht="14.25" customHeight="1" x14ac:dyDescent="0.35">
      <c r="A2888" s="14" t="s">
        <v>1835</v>
      </c>
      <c r="B2888" s="14" t="s">
        <v>416</v>
      </c>
      <c r="C2888" s="14"/>
      <c r="D2888" s="14" t="s">
        <v>476</v>
      </c>
      <c r="E2888" s="15">
        <v>41640</v>
      </c>
      <c r="F2888" s="15">
        <v>42004</v>
      </c>
      <c r="G2888" s="14" t="s">
        <v>410</v>
      </c>
      <c r="H2888" s="14">
        <v>0</v>
      </c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  <c r="U2888" s="14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 t="s">
        <v>413</v>
      </c>
    </row>
    <row r="2889" spans="1:32" ht="14.25" customHeight="1" x14ac:dyDescent="0.35">
      <c r="A2889" s="16" t="s">
        <v>1835</v>
      </c>
      <c r="B2889" s="16" t="s">
        <v>416</v>
      </c>
      <c r="C2889" s="16"/>
      <c r="D2889" s="16" t="s">
        <v>419</v>
      </c>
      <c r="E2889" s="17">
        <v>41640</v>
      </c>
      <c r="F2889" s="17">
        <v>42004</v>
      </c>
      <c r="G2889" s="16" t="s">
        <v>410</v>
      </c>
      <c r="H2889" s="16">
        <v>0.3</v>
      </c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 t="s">
        <v>413</v>
      </c>
    </row>
    <row r="2890" spans="1:32" ht="14.25" customHeight="1" x14ac:dyDescent="0.35">
      <c r="A2890" s="14" t="s">
        <v>1835</v>
      </c>
      <c r="B2890" s="14" t="s">
        <v>416</v>
      </c>
      <c r="C2890" s="14"/>
      <c r="D2890" s="14" t="s">
        <v>429</v>
      </c>
      <c r="E2890" s="15">
        <v>41640</v>
      </c>
      <c r="F2890" s="15">
        <v>42004</v>
      </c>
      <c r="G2890" s="14" t="s">
        <v>415</v>
      </c>
      <c r="H2890" s="14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0.3</v>
      </c>
      <c r="Q2890" s="14">
        <v>0.3</v>
      </c>
      <c r="R2890" s="14">
        <v>0.3</v>
      </c>
      <c r="S2890" s="14">
        <v>0.3</v>
      </c>
      <c r="T2890" s="14">
        <v>0.3</v>
      </c>
      <c r="U2890" s="14">
        <v>0.3</v>
      </c>
      <c r="V2890" s="14">
        <v>0.3</v>
      </c>
      <c r="W2890" s="14">
        <v>0.15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  <c r="AC2890" s="14">
        <v>0</v>
      </c>
      <c r="AD2890" s="14">
        <v>0</v>
      </c>
      <c r="AE2890" s="14">
        <v>0</v>
      </c>
      <c r="AF2890" s="14" t="s">
        <v>413</v>
      </c>
    </row>
    <row r="2891" spans="1:32" ht="14.25" customHeight="1" x14ac:dyDescent="0.35">
      <c r="A2891" s="16" t="s">
        <v>346</v>
      </c>
      <c r="B2891" s="16" t="s">
        <v>427</v>
      </c>
      <c r="C2891" s="16"/>
      <c r="D2891" s="16" t="s">
        <v>476</v>
      </c>
      <c r="E2891" s="17">
        <v>41640</v>
      </c>
      <c r="F2891" s="17">
        <v>42004</v>
      </c>
      <c r="G2891" s="16" t="s">
        <v>410</v>
      </c>
      <c r="H2891" s="16">
        <v>0.35</v>
      </c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16"/>
      <c r="AA2891" s="16"/>
      <c r="AB2891" s="16"/>
      <c r="AC2891" s="16"/>
      <c r="AD2891" s="16"/>
      <c r="AE2891" s="16"/>
      <c r="AF2891" s="16" t="s">
        <v>413</v>
      </c>
    </row>
    <row r="2892" spans="1:32" ht="14.25" customHeight="1" x14ac:dyDescent="0.35">
      <c r="A2892" s="14" t="s">
        <v>346</v>
      </c>
      <c r="B2892" s="14" t="s">
        <v>427</v>
      </c>
      <c r="C2892" s="14"/>
      <c r="D2892" s="14" t="s">
        <v>419</v>
      </c>
      <c r="E2892" s="15">
        <v>41640</v>
      </c>
      <c r="F2892" s="15">
        <v>42004</v>
      </c>
      <c r="G2892" s="14" t="s">
        <v>415</v>
      </c>
      <c r="H2892" s="16">
        <v>0.25</v>
      </c>
      <c r="I2892" s="16">
        <v>0.25</v>
      </c>
      <c r="J2892" s="16">
        <v>0.25</v>
      </c>
      <c r="K2892" s="16">
        <v>0.25</v>
      </c>
      <c r="L2892" s="16">
        <v>0.25</v>
      </c>
      <c r="M2892" s="16">
        <v>0.25</v>
      </c>
      <c r="N2892" s="16">
        <v>0.25</v>
      </c>
      <c r="O2892" s="16">
        <v>0.25</v>
      </c>
      <c r="P2892" s="16">
        <v>0.5</v>
      </c>
      <c r="Q2892" s="16">
        <v>0.5</v>
      </c>
      <c r="R2892" s="16">
        <v>0.5</v>
      </c>
      <c r="S2892" s="16">
        <v>0.5</v>
      </c>
      <c r="T2892" s="16">
        <v>0.5</v>
      </c>
      <c r="U2892" s="16">
        <v>0.5</v>
      </c>
      <c r="V2892" s="16">
        <v>0.5</v>
      </c>
      <c r="W2892" s="16">
        <v>0.5</v>
      </c>
      <c r="X2892" s="16">
        <v>0.5</v>
      </c>
      <c r="Y2892" s="16">
        <v>0.25</v>
      </c>
      <c r="Z2892" s="16">
        <v>0.25</v>
      </c>
      <c r="AA2892" s="16">
        <v>0.25</v>
      </c>
      <c r="AB2892" s="16">
        <v>0.25</v>
      </c>
      <c r="AC2892" s="16">
        <v>0.25</v>
      </c>
      <c r="AD2892" s="16">
        <v>0.25</v>
      </c>
      <c r="AE2892" s="16">
        <v>0.25</v>
      </c>
      <c r="AF2892" s="14" t="s">
        <v>413</v>
      </c>
    </row>
    <row r="2893" spans="1:32" ht="14.25" customHeight="1" x14ac:dyDescent="0.35">
      <c r="A2893" s="16" t="s">
        <v>346</v>
      </c>
      <c r="B2893" s="16" t="s">
        <v>427</v>
      </c>
      <c r="C2893" s="16"/>
      <c r="D2893" s="16" t="s">
        <v>429</v>
      </c>
      <c r="E2893" s="17">
        <v>41883</v>
      </c>
      <c r="F2893" s="17">
        <v>42004</v>
      </c>
      <c r="G2893" s="16" t="s">
        <v>415</v>
      </c>
      <c r="H2893" s="16">
        <v>0.35</v>
      </c>
      <c r="I2893" s="16">
        <v>0.35</v>
      </c>
      <c r="J2893" s="16">
        <v>0.35</v>
      </c>
      <c r="K2893" s="16">
        <v>0.35</v>
      </c>
      <c r="L2893" s="16">
        <v>0.35</v>
      </c>
      <c r="M2893" s="16">
        <v>0.35</v>
      </c>
      <c r="N2893" s="16">
        <v>0.35</v>
      </c>
      <c r="O2893" s="16">
        <v>0.35</v>
      </c>
      <c r="P2893" s="16">
        <v>0.95</v>
      </c>
      <c r="Q2893" s="16">
        <v>0.95</v>
      </c>
      <c r="R2893" s="16">
        <v>0.95</v>
      </c>
      <c r="S2893" s="16">
        <v>0.95</v>
      </c>
      <c r="T2893" s="16">
        <v>0.95</v>
      </c>
      <c r="U2893" s="16">
        <v>0.95</v>
      </c>
      <c r="V2893" s="16">
        <v>0.95</v>
      </c>
      <c r="W2893" s="16">
        <v>0.95</v>
      </c>
      <c r="X2893" s="16">
        <v>0.95</v>
      </c>
      <c r="Y2893" s="16">
        <v>0.35</v>
      </c>
      <c r="Z2893" s="16">
        <v>0.35</v>
      </c>
      <c r="AA2893" s="16">
        <v>0.35</v>
      </c>
      <c r="AB2893" s="16">
        <v>0.35</v>
      </c>
      <c r="AC2893" s="16">
        <v>0.35</v>
      </c>
      <c r="AD2893" s="16">
        <v>0.35</v>
      </c>
      <c r="AE2893" s="16">
        <v>0.35</v>
      </c>
      <c r="AF2893" s="16" t="s">
        <v>413</v>
      </c>
    </row>
    <row r="2894" spans="1:32" ht="14.25" customHeight="1" x14ac:dyDescent="0.35">
      <c r="A2894" s="16" t="s">
        <v>346</v>
      </c>
      <c r="B2894" s="16" t="s">
        <v>427</v>
      </c>
      <c r="C2894" s="16"/>
      <c r="D2894" s="16" t="s">
        <v>429</v>
      </c>
      <c r="E2894" s="17">
        <v>41821</v>
      </c>
      <c r="F2894" s="17">
        <v>41883</v>
      </c>
      <c r="G2894" s="16" t="s">
        <v>415</v>
      </c>
      <c r="H2894" s="16">
        <v>0.25</v>
      </c>
      <c r="I2894" s="16">
        <v>0.25</v>
      </c>
      <c r="J2894" s="16">
        <v>0.25</v>
      </c>
      <c r="K2894" s="16">
        <v>0.25</v>
      </c>
      <c r="L2894" s="16">
        <v>0.25</v>
      </c>
      <c r="M2894" s="16">
        <v>0.25</v>
      </c>
      <c r="N2894" s="16">
        <v>0.25</v>
      </c>
      <c r="O2894" s="16">
        <v>0.25</v>
      </c>
      <c r="P2894" s="16">
        <v>0.5</v>
      </c>
      <c r="Q2894" s="16">
        <v>0.5</v>
      </c>
      <c r="R2894" s="16">
        <v>0.5</v>
      </c>
      <c r="S2894" s="16">
        <v>0.5</v>
      </c>
      <c r="T2894" s="16">
        <v>0.5</v>
      </c>
      <c r="U2894" s="16">
        <v>0.5</v>
      </c>
      <c r="V2894" s="16">
        <v>0.5</v>
      </c>
      <c r="W2894" s="16">
        <v>0.5</v>
      </c>
      <c r="X2894" s="16">
        <v>0.5</v>
      </c>
      <c r="Y2894" s="16">
        <v>0.25</v>
      </c>
      <c r="Z2894" s="16">
        <v>0.25</v>
      </c>
      <c r="AA2894" s="16">
        <v>0.25</v>
      </c>
      <c r="AB2894" s="16">
        <v>0.25</v>
      </c>
      <c r="AC2894" s="16">
        <v>0.25</v>
      </c>
      <c r="AD2894" s="16">
        <v>0.25</v>
      </c>
      <c r="AE2894" s="16">
        <v>0.25</v>
      </c>
      <c r="AF2894" s="16" t="s">
        <v>413</v>
      </c>
    </row>
    <row r="2895" spans="1:32" ht="14.25" customHeight="1" x14ac:dyDescent="0.35">
      <c r="A2895" s="16" t="s">
        <v>346</v>
      </c>
      <c r="B2895" s="16" t="s">
        <v>427</v>
      </c>
      <c r="C2895" s="16"/>
      <c r="D2895" s="16" t="s">
        <v>429</v>
      </c>
      <c r="E2895" s="17">
        <v>41640</v>
      </c>
      <c r="F2895" s="17">
        <v>41820</v>
      </c>
      <c r="G2895" s="16" t="s">
        <v>415</v>
      </c>
      <c r="H2895" s="16">
        <v>0.35</v>
      </c>
      <c r="I2895" s="16">
        <v>0.35</v>
      </c>
      <c r="J2895" s="16">
        <v>0.35</v>
      </c>
      <c r="K2895" s="16">
        <v>0.35</v>
      </c>
      <c r="L2895" s="16">
        <v>0.35</v>
      </c>
      <c r="M2895" s="16">
        <v>0.35</v>
      </c>
      <c r="N2895" s="16">
        <v>0.35</v>
      </c>
      <c r="O2895" s="16">
        <v>0.35</v>
      </c>
      <c r="P2895" s="16">
        <v>0.95</v>
      </c>
      <c r="Q2895" s="16">
        <v>0.95</v>
      </c>
      <c r="R2895" s="16">
        <v>0.95</v>
      </c>
      <c r="S2895" s="16">
        <v>0.95</v>
      </c>
      <c r="T2895" s="16">
        <v>0.95</v>
      </c>
      <c r="U2895" s="16">
        <v>0.95</v>
      </c>
      <c r="V2895" s="16">
        <v>0.95</v>
      </c>
      <c r="W2895" s="16">
        <v>0.95</v>
      </c>
      <c r="X2895" s="16">
        <v>0.95</v>
      </c>
      <c r="Y2895" s="16">
        <v>0.35</v>
      </c>
      <c r="Z2895" s="16">
        <v>0.35</v>
      </c>
      <c r="AA2895" s="16">
        <v>0.35</v>
      </c>
      <c r="AB2895" s="16">
        <v>0.35</v>
      </c>
      <c r="AC2895" s="16">
        <v>0.35</v>
      </c>
      <c r="AD2895" s="16">
        <v>0.35</v>
      </c>
      <c r="AE2895" s="16">
        <v>0.35</v>
      </c>
      <c r="AF2895" s="16" t="s">
        <v>413</v>
      </c>
    </row>
    <row r="2896" spans="1:32" ht="14.25" customHeight="1" x14ac:dyDescent="0.35">
      <c r="A2896" s="14" t="s">
        <v>346</v>
      </c>
      <c r="B2896" s="14" t="s">
        <v>427</v>
      </c>
      <c r="C2896" s="14"/>
      <c r="D2896" s="14" t="s">
        <v>530</v>
      </c>
      <c r="E2896" s="15">
        <v>41821</v>
      </c>
      <c r="F2896" s="15">
        <v>41883</v>
      </c>
      <c r="G2896" s="14" t="s">
        <v>410</v>
      </c>
      <c r="H2896" s="14">
        <v>0.25</v>
      </c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 t="s">
        <v>413</v>
      </c>
    </row>
    <row r="2897" spans="1:32" ht="14.25" customHeight="1" x14ac:dyDescent="0.35">
      <c r="A2897" s="14" t="s">
        <v>346</v>
      </c>
      <c r="B2897" s="14" t="s">
        <v>427</v>
      </c>
      <c r="C2897" s="14"/>
      <c r="D2897" s="14" t="s">
        <v>530</v>
      </c>
      <c r="E2897" s="15">
        <v>41640</v>
      </c>
      <c r="F2897" s="15">
        <v>41820</v>
      </c>
      <c r="G2897" s="14" t="s">
        <v>410</v>
      </c>
      <c r="H2897" s="14">
        <v>0.35</v>
      </c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  <c r="U2897" s="14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 t="s">
        <v>413</v>
      </c>
    </row>
    <row r="2898" spans="1:32" ht="14.25" customHeight="1" x14ac:dyDescent="0.35">
      <c r="A2898" s="14" t="s">
        <v>1836</v>
      </c>
      <c r="B2898" s="14" t="s">
        <v>424</v>
      </c>
      <c r="C2898" s="14"/>
      <c r="D2898" s="14" t="s">
        <v>417</v>
      </c>
      <c r="E2898" s="15">
        <v>41640</v>
      </c>
      <c r="F2898" s="15">
        <v>42004</v>
      </c>
      <c r="G2898" s="14" t="s">
        <v>410</v>
      </c>
      <c r="H2898" s="14">
        <v>0.17730000000000001</v>
      </c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 t="s">
        <v>413</v>
      </c>
    </row>
    <row r="2899" spans="1:32" ht="14.25" customHeight="1" x14ac:dyDescent="0.35">
      <c r="A2899" s="14" t="s">
        <v>1836</v>
      </c>
      <c r="B2899" s="14" t="s">
        <v>424</v>
      </c>
      <c r="C2899" s="14"/>
      <c r="D2899" s="14" t="s">
        <v>419</v>
      </c>
      <c r="E2899" s="15">
        <v>41640</v>
      </c>
      <c r="F2899" s="15">
        <v>42004</v>
      </c>
      <c r="G2899" s="14" t="s">
        <v>410</v>
      </c>
      <c r="H2899" s="14">
        <v>1</v>
      </c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 t="s">
        <v>413</v>
      </c>
    </row>
    <row r="2900" spans="1:32" ht="14.25" customHeight="1" x14ac:dyDescent="0.35">
      <c r="A2900" s="16" t="s">
        <v>1836</v>
      </c>
      <c r="B2900" s="16" t="s">
        <v>424</v>
      </c>
      <c r="C2900" s="16"/>
      <c r="D2900" s="16" t="s">
        <v>429</v>
      </c>
      <c r="E2900" s="17">
        <v>41883</v>
      </c>
      <c r="F2900" s="17">
        <v>42004</v>
      </c>
      <c r="G2900" s="16" t="s">
        <v>415</v>
      </c>
      <c r="H2900" s="16">
        <v>0.17730000000000001</v>
      </c>
      <c r="I2900" s="16">
        <v>0.17730000000000001</v>
      </c>
      <c r="J2900" s="16">
        <v>0.17730000000000001</v>
      </c>
      <c r="K2900" s="16">
        <v>0.17730000000000001</v>
      </c>
      <c r="L2900" s="16">
        <v>0.17730000000000001</v>
      </c>
      <c r="M2900" s="16">
        <v>0.17730000000000001</v>
      </c>
      <c r="N2900" s="16">
        <v>0.17730000000000001</v>
      </c>
      <c r="O2900" s="16">
        <v>0.9</v>
      </c>
      <c r="P2900" s="16">
        <v>0.9</v>
      </c>
      <c r="Q2900" s="16">
        <v>0.9</v>
      </c>
      <c r="R2900" s="16">
        <v>0.9</v>
      </c>
      <c r="S2900" s="16">
        <v>0.9</v>
      </c>
      <c r="T2900" s="16">
        <v>0.9</v>
      </c>
      <c r="U2900" s="16">
        <v>0.9</v>
      </c>
      <c r="V2900" s="16">
        <v>0.9</v>
      </c>
      <c r="W2900" s="16">
        <v>0.9</v>
      </c>
      <c r="X2900" s="16">
        <v>0.9</v>
      </c>
      <c r="Y2900" s="16">
        <v>0.9</v>
      </c>
      <c r="Z2900" s="16">
        <v>0.9</v>
      </c>
      <c r="AA2900" s="16">
        <v>0.9</v>
      </c>
      <c r="AB2900" s="16">
        <v>0.9</v>
      </c>
      <c r="AC2900" s="16">
        <v>0.17730000000000001</v>
      </c>
      <c r="AD2900" s="16">
        <v>0.17730000000000001</v>
      </c>
      <c r="AE2900" s="16">
        <v>0.17730000000000001</v>
      </c>
      <c r="AF2900" s="16" t="s">
        <v>413</v>
      </c>
    </row>
    <row r="2901" spans="1:32" ht="14.25" customHeight="1" x14ac:dyDescent="0.35">
      <c r="A2901" s="16" t="s">
        <v>1836</v>
      </c>
      <c r="B2901" s="16" t="s">
        <v>424</v>
      </c>
      <c r="C2901" s="16"/>
      <c r="D2901" s="16" t="s">
        <v>429</v>
      </c>
      <c r="E2901" s="17">
        <v>41821</v>
      </c>
      <c r="F2901" s="17">
        <v>41883</v>
      </c>
      <c r="G2901" s="16" t="s">
        <v>415</v>
      </c>
      <c r="H2901" s="16">
        <v>0.17730000000000001</v>
      </c>
      <c r="I2901" s="16">
        <v>0.17730000000000001</v>
      </c>
      <c r="J2901" s="16">
        <v>0.17730000000000001</v>
      </c>
      <c r="K2901" s="16">
        <v>0.17730000000000001</v>
      </c>
      <c r="L2901" s="16">
        <v>0.17730000000000001</v>
      </c>
      <c r="M2901" s="16">
        <v>0.17730000000000001</v>
      </c>
      <c r="N2901" s="16">
        <v>0.17730000000000001</v>
      </c>
      <c r="O2901" s="16">
        <v>0.17730000000000001</v>
      </c>
      <c r="P2901" s="16">
        <v>0.5</v>
      </c>
      <c r="Q2901" s="16">
        <v>0.5</v>
      </c>
      <c r="R2901" s="16">
        <v>0.5</v>
      </c>
      <c r="S2901" s="16">
        <v>0.5</v>
      </c>
      <c r="T2901" s="16">
        <v>0.5</v>
      </c>
      <c r="U2901" s="16">
        <v>0.5</v>
      </c>
      <c r="V2901" s="16">
        <v>0.5</v>
      </c>
      <c r="W2901" s="16">
        <v>0.5</v>
      </c>
      <c r="X2901" s="16">
        <v>0.5</v>
      </c>
      <c r="Y2901" s="16">
        <v>0.5</v>
      </c>
      <c r="Z2901" s="16">
        <v>0.5</v>
      </c>
      <c r="AA2901" s="16">
        <v>0.5</v>
      </c>
      <c r="AB2901" s="16">
        <v>0.17730000000000001</v>
      </c>
      <c r="AC2901" s="16">
        <v>0.17730000000000001</v>
      </c>
      <c r="AD2901" s="16">
        <v>0.17730000000000001</v>
      </c>
      <c r="AE2901" s="16">
        <v>0.17730000000000001</v>
      </c>
      <c r="AF2901" s="16" t="s">
        <v>413</v>
      </c>
    </row>
    <row r="2902" spans="1:32" ht="14.25" customHeight="1" x14ac:dyDescent="0.35">
      <c r="A2902" s="16" t="s">
        <v>1836</v>
      </c>
      <c r="B2902" s="16" t="s">
        <v>424</v>
      </c>
      <c r="C2902" s="16"/>
      <c r="D2902" s="16" t="s">
        <v>429</v>
      </c>
      <c r="E2902" s="17">
        <v>41640</v>
      </c>
      <c r="F2902" s="17">
        <v>41820</v>
      </c>
      <c r="G2902" s="16" t="s">
        <v>415</v>
      </c>
      <c r="H2902" s="16">
        <v>0.17730000000000001</v>
      </c>
      <c r="I2902" s="16">
        <v>0.17730000000000001</v>
      </c>
      <c r="J2902" s="16">
        <v>0.17730000000000001</v>
      </c>
      <c r="K2902" s="16">
        <v>0.17730000000000001</v>
      </c>
      <c r="L2902" s="16">
        <v>0.17730000000000001</v>
      </c>
      <c r="M2902" s="16">
        <v>0.17730000000000001</v>
      </c>
      <c r="N2902" s="16">
        <v>0.17730000000000001</v>
      </c>
      <c r="O2902" s="16">
        <v>0.9</v>
      </c>
      <c r="P2902" s="16">
        <v>0.9</v>
      </c>
      <c r="Q2902" s="16">
        <v>0.9</v>
      </c>
      <c r="R2902" s="16">
        <v>0.9</v>
      </c>
      <c r="S2902" s="16">
        <v>0.9</v>
      </c>
      <c r="T2902" s="16">
        <v>0.9</v>
      </c>
      <c r="U2902" s="16">
        <v>0.9</v>
      </c>
      <c r="V2902" s="16">
        <v>0.9</v>
      </c>
      <c r="W2902" s="16">
        <v>0.9</v>
      </c>
      <c r="X2902" s="16">
        <v>0.9</v>
      </c>
      <c r="Y2902" s="16">
        <v>0.9</v>
      </c>
      <c r="Z2902" s="16">
        <v>0.9</v>
      </c>
      <c r="AA2902" s="16">
        <v>0.9</v>
      </c>
      <c r="AB2902" s="16">
        <v>0.9</v>
      </c>
      <c r="AC2902" s="16">
        <v>0.17730000000000001</v>
      </c>
      <c r="AD2902" s="16">
        <v>0.17730000000000001</v>
      </c>
      <c r="AE2902" s="16">
        <v>0.17730000000000001</v>
      </c>
      <c r="AF2902" s="16" t="s">
        <v>413</v>
      </c>
    </row>
    <row r="2903" spans="1:32" ht="14.25" customHeight="1" x14ac:dyDescent="0.35">
      <c r="A2903" s="14" t="s">
        <v>1836</v>
      </c>
      <c r="B2903" s="14" t="s">
        <v>424</v>
      </c>
      <c r="C2903" s="14"/>
      <c r="D2903" s="14" t="s">
        <v>530</v>
      </c>
      <c r="E2903" s="15">
        <v>41821</v>
      </c>
      <c r="F2903" s="15">
        <v>41883</v>
      </c>
      <c r="G2903" s="14" t="s">
        <v>410</v>
      </c>
      <c r="H2903" s="14">
        <v>0.17730000000000001</v>
      </c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  <c r="AA2903" s="14"/>
      <c r="AB2903" s="14"/>
      <c r="AC2903" s="14"/>
      <c r="AD2903" s="14"/>
      <c r="AE2903" s="14"/>
      <c r="AF2903" s="14" t="s">
        <v>413</v>
      </c>
    </row>
    <row r="2904" spans="1:32" ht="14.25" customHeight="1" x14ac:dyDescent="0.35">
      <c r="A2904" s="14" t="s">
        <v>1836</v>
      </c>
      <c r="B2904" s="14" t="s">
        <v>424</v>
      </c>
      <c r="C2904" s="14"/>
      <c r="D2904" s="14" t="s">
        <v>530</v>
      </c>
      <c r="E2904" s="15">
        <v>41640</v>
      </c>
      <c r="F2904" s="15">
        <v>41820</v>
      </c>
      <c r="G2904" s="14" t="s">
        <v>410</v>
      </c>
      <c r="H2904" s="14">
        <v>0.17730000000000001</v>
      </c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  <c r="U2904" s="14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 t="s">
        <v>413</v>
      </c>
    </row>
    <row r="2905" spans="1:32" ht="14.25" customHeight="1" x14ac:dyDescent="0.35">
      <c r="A2905" s="16" t="s">
        <v>1836</v>
      </c>
      <c r="B2905" s="16" t="s">
        <v>424</v>
      </c>
      <c r="C2905" s="16"/>
      <c r="D2905" s="16" t="s">
        <v>418</v>
      </c>
      <c r="E2905" s="17">
        <v>41640</v>
      </c>
      <c r="F2905" s="17">
        <v>42004</v>
      </c>
      <c r="G2905" s="16" t="s">
        <v>410</v>
      </c>
      <c r="H2905" s="16">
        <v>0</v>
      </c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  <c r="AC2905" s="16"/>
      <c r="AD2905" s="16"/>
      <c r="AE2905" s="16"/>
      <c r="AF2905" s="16" t="s">
        <v>413</v>
      </c>
    </row>
    <row r="2906" spans="1:32" ht="14.25" customHeight="1" x14ac:dyDescent="0.35">
      <c r="A2906" s="14" t="s">
        <v>1837</v>
      </c>
      <c r="B2906" s="14" t="s">
        <v>424</v>
      </c>
      <c r="C2906" s="14"/>
      <c r="D2906" s="14" t="s">
        <v>417</v>
      </c>
      <c r="E2906" s="15">
        <v>41640</v>
      </c>
      <c r="F2906" s="15">
        <v>42004</v>
      </c>
      <c r="G2906" s="14" t="s">
        <v>410</v>
      </c>
      <c r="H2906" s="14">
        <v>0.17730000000000001</v>
      </c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4"/>
      <c r="AE2906" s="14"/>
      <c r="AF2906" s="14" t="s">
        <v>413</v>
      </c>
    </row>
    <row r="2907" spans="1:32" ht="14.25" customHeight="1" x14ac:dyDescent="0.35">
      <c r="A2907" s="14" t="s">
        <v>1837</v>
      </c>
      <c r="B2907" s="14" t="s">
        <v>424</v>
      </c>
      <c r="C2907" s="14"/>
      <c r="D2907" s="14" t="s">
        <v>419</v>
      </c>
      <c r="E2907" s="15">
        <v>41640</v>
      </c>
      <c r="F2907" s="15">
        <v>42004</v>
      </c>
      <c r="G2907" s="14" t="s">
        <v>410</v>
      </c>
      <c r="H2907" s="14">
        <v>1</v>
      </c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4"/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 t="s">
        <v>413</v>
      </c>
    </row>
    <row r="2908" spans="1:32" ht="14.25" customHeight="1" x14ac:dyDescent="0.35">
      <c r="A2908" s="16" t="s">
        <v>1837</v>
      </c>
      <c r="B2908" s="16" t="s">
        <v>424</v>
      </c>
      <c r="C2908" s="16"/>
      <c r="D2908" s="16" t="s">
        <v>429</v>
      </c>
      <c r="E2908" s="17">
        <v>41883</v>
      </c>
      <c r="F2908" s="17">
        <v>42004</v>
      </c>
      <c r="G2908" s="16" t="s">
        <v>415</v>
      </c>
      <c r="H2908" s="16">
        <v>0.17730000000000001</v>
      </c>
      <c r="I2908" s="16">
        <v>0.17730000000000001</v>
      </c>
      <c r="J2908" s="16">
        <v>0.17730000000000001</v>
      </c>
      <c r="K2908" s="16">
        <v>0.17730000000000001</v>
      </c>
      <c r="L2908" s="16">
        <v>0.17730000000000001</v>
      </c>
      <c r="M2908" s="16">
        <v>0.17730000000000001</v>
      </c>
      <c r="N2908" s="16">
        <v>0.17730000000000001</v>
      </c>
      <c r="O2908" s="16">
        <v>0.9</v>
      </c>
      <c r="P2908" s="16">
        <v>0.9</v>
      </c>
      <c r="Q2908" s="16">
        <v>0.9</v>
      </c>
      <c r="R2908" s="16">
        <v>0.9</v>
      </c>
      <c r="S2908" s="16">
        <v>0.9</v>
      </c>
      <c r="T2908" s="16">
        <v>0.9</v>
      </c>
      <c r="U2908" s="16">
        <v>0.9</v>
      </c>
      <c r="V2908" s="16">
        <v>0.9</v>
      </c>
      <c r="W2908" s="16">
        <v>0.9</v>
      </c>
      <c r="X2908" s="16">
        <v>0.9</v>
      </c>
      <c r="Y2908" s="16">
        <v>0.9</v>
      </c>
      <c r="Z2908" s="16">
        <v>0.9</v>
      </c>
      <c r="AA2908" s="16">
        <v>0.9</v>
      </c>
      <c r="AB2908" s="16">
        <v>0.9</v>
      </c>
      <c r="AC2908" s="16">
        <v>0.17730000000000001</v>
      </c>
      <c r="AD2908" s="16">
        <v>0.17730000000000001</v>
      </c>
      <c r="AE2908" s="16">
        <v>0.17730000000000001</v>
      </c>
      <c r="AF2908" s="16" t="s">
        <v>413</v>
      </c>
    </row>
    <row r="2909" spans="1:32" ht="14.25" customHeight="1" x14ac:dyDescent="0.35">
      <c r="A2909" s="16" t="s">
        <v>1837</v>
      </c>
      <c r="B2909" s="16" t="s">
        <v>424</v>
      </c>
      <c r="C2909" s="16"/>
      <c r="D2909" s="16" t="s">
        <v>429</v>
      </c>
      <c r="E2909" s="17">
        <v>41821</v>
      </c>
      <c r="F2909" s="17">
        <v>41883</v>
      </c>
      <c r="G2909" s="16" t="s">
        <v>415</v>
      </c>
      <c r="H2909" s="16">
        <v>0.17730000000000001</v>
      </c>
      <c r="I2909" s="16">
        <v>0.17730000000000001</v>
      </c>
      <c r="J2909" s="16">
        <v>0.17730000000000001</v>
      </c>
      <c r="K2909" s="16">
        <v>0.17730000000000001</v>
      </c>
      <c r="L2909" s="16">
        <v>0.17730000000000001</v>
      </c>
      <c r="M2909" s="16">
        <v>0.17730000000000001</v>
      </c>
      <c r="N2909" s="16">
        <v>0.17730000000000001</v>
      </c>
      <c r="O2909" s="16">
        <v>0.17730000000000001</v>
      </c>
      <c r="P2909" s="16">
        <v>0.5</v>
      </c>
      <c r="Q2909" s="16">
        <v>0.5</v>
      </c>
      <c r="R2909" s="16">
        <v>0.5</v>
      </c>
      <c r="S2909" s="16">
        <v>0.5</v>
      </c>
      <c r="T2909" s="16">
        <v>0.5</v>
      </c>
      <c r="U2909" s="16">
        <v>0.5</v>
      </c>
      <c r="V2909" s="16">
        <v>0.5</v>
      </c>
      <c r="W2909" s="16">
        <v>0.5</v>
      </c>
      <c r="X2909" s="16">
        <v>0.5</v>
      </c>
      <c r="Y2909" s="16">
        <v>0.5</v>
      </c>
      <c r="Z2909" s="16">
        <v>0.5</v>
      </c>
      <c r="AA2909" s="16">
        <v>0.5</v>
      </c>
      <c r="AB2909" s="16">
        <v>0.17730000000000001</v>
      </c>
      <c r="AC2909" s="16">
        <v>0.17730000000000001</v>
      </c>
      <c r="AD2909" s="16">
        <v>0.17730000000000001</v>
      </c>
      <c r="AE2909" s="16">
        <v>0.17730000000000001</v>
      </c>
      <c r="AF2909" s="16" t="s">
        <v>413</v>
      </c>
    </row>
    <row r="2910" spans="1:32" ht="14.25" customHeight="1" x14ac:dyDescent="0.35">
      <c r="A2910" s="16" t="s">
        <v>1837</v>
      </c>
      <c r="B2910" s="16" t="s">
        <v>424</v>
      </c>
      <c r="C2910" s="16"/>
      <c r="D2910" s="16" t="s">
        <v>429</v>
      </c>
      <c r="E2910" s="17">
        <v>41640</v>
      </c>
      <c r="F2910" s="17">
        <v>41820</v>
      </c>
      <c r="G2910" s="16" t="s">
        <v>415</v>
      </c>
      <c r="H2910" s="16">
        <v>0.17730000000000001</v>
      </c>
      <c r="I2910" s="16">
        <v>0.17730000000000001</v>
      </c>
      <c r="J2910" s="16">
        <v>0.17730000000000001</v>
      </c>
      <c r="K2910" s="16">
        <v>0.17730000000000001</v>
      </c>
      <c r="L2910" s="16">
        <v>0.17730000000000001</v>
      </c>
      <c r="M2910" s="16">
        <v>0.17730000000000001</v>
      </c>
      <c r="N2910" s="16">
        <v>0.17730000000000001</v>
      </c>
      <c r="O2910" s="16">
        <v>0.9</v>
      </c>
      <c r="P2910" s="16">
        <v>0.9</v>
      </c>
      <c r="Q2910" s="16">
        <v>0.9</v>
      </c>
      <c r="R2910" s="16">
        <v>0.9</v>
      </c>
      <c r="S2910" s="16">
        <v>0.9</v>
      </c>
      <c r="T2910" s="16">
        <v>0.9</v>
      </c>
      <c r="U2910" s="16">
        <v>0.9</v>
      </c>
      <c r="V2910" s="16">
        <v>0.9</v>
      </c>
      <c r="W2910" s="16">
        <v>0.9</v>
      </c>
      <c r="X2910" s="16">
        <v>0.9</v>
      </c>
      <c r="Y2910" s="16">
        <v>0.9</v>
      </c>
      <c r="Z2910" s="16">
        <v>0.9</v>
      </c>
      <c r="AA2910" s="16">
        <v>0.9</v>
      </c>
      <c r="AB2910" s="16">
        <v>0.9</v>
      </c>
      <c r="AC2910" s="16">
        <v>0.17730000000000001</v>
      </c>
      <c r="AD2910" s="16">
        <v>0.17730000000000001</v>
      </c>
      <c r="AE2910" s="16">
        <v>0.17730000000000001</v>
      </c>
      <c r="AF2910" s="16" t="s">
        <v>413</v>
      </c>
    </row>
    <row r="2911" spans="1:32" ht="14.25" customHeight="1" x14ac:dyDescent="0.35">
      <c r="A2911" s="14" t="s">
        <v>1837</v>
      </c>
      <c r="B2911" s="14" t="s">
        <v>424</v>
      </c>
      <c r="C2911" s="14"/>
      <c r="D2911" s="14" t="s">
        <v>530</v>
      </c>
      <c r="E2911" s="15">
        <v>41821</v>
      </c>
      <c r="F2911" s="15">
        <v>41883</v>
      </c>
      <c r="G2911" s="14" t="s">
        <v>410</v>
      </c>
      <c r="H2911" s="14">
        <v>0.17730000000000001</v>
      </c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 t="s">
        <v>413</v>
      </c>
    </row>
    <row r="2912" spans="1:32" ht="14.25" customHeight="1" x14ac:dyDescent="0.35">
      <c r="A2912" s="14" t="s">
        <v>1837</v>
      </c>
      <c r="B2912" s="14" t="s">
        <v>424</v>
      </c>
      <c r="C2912" s="14"/>
      <c r="D2912" s="14" t="s">
        <v>530</v>
      </c>
      <c r="E2912" s="15">
        <v>41640</v>
      </c>
      <c r="F2912" s="15">
        <v>41820</v>
      </c>
      <c r="G2912" s="14" t="s">
        <v>410</v>
      </c>
      <c r="H2912" s="14">
        <v>0.17730000000000001</v>
      </c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  <c r="AA2912" s="14"/>
      <c r="AB2912" s="14"/>
      <c r="AC2912" s="14"/>
      <c r="AD2912" s="14"/>
      <c r="AE2912" s="14"/>
      <c r="AF2912" s="14" t="s">
        <v>413</v>
      </c>
    </row>
    <row r="2913" spans="1:32" ht="14.25" customHeight="1" x14ac:dyDescent="0.35">
      <c r="A2913" s="16" t="s">
        <v>1837</v>
      </c>
      <c r="B2913" s="16" t="s">
        <v>424</v>
      </c>
      <c r="C2913" s="16"/>
      <c r="D2913" s="16" t="s">
        <v>418</v>
      </c>
      <c r="E2913" s="17">
        <v>41640</v>
      </c>
      <c r="F2913" s="17">
        <v>42004</v>
      </c>
      <c r="G2913" s="16" t="s">
        <v>410</v>
      </c>
      <c r="H2913" s="16">
        <v>0</v>
      </c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6"/>
      <c r="AA2913" s="16"/>
      <c r="AB2913" s="16"/>
      <c r="AC2913" s="16"/>
      <c r="AD2913" s="16"/>
      <c r="AE2913" s="16"/>
      <c r="AF2913" s="16" t="s">
        <v>413</v>
      </c>
    </row>
    <row r="2914" spans="1:32" ht="14.25" customHeight="1" x14ac:dyDescent="0.35">
      <c r="A2914" s="14" t="s">
        <v>1838</v>
      </c>
      <c r="B2914" s="14" t="s">
        <v>424</v>
      </c>
      <c r="C2914" s="14"/>
      <c r="D2914" s="14" t="s">
        <v>417</v>
      </c>
      <c r="E2914" s="15">
        <v>41640</v>
      </c>
      <c r="F2914" s="15">
        <v>42004</v>
      </c>
      <c r="G2914" s="14" t="s">
        <v>410</v>
      </c>
      <c r="H2914" s="14">
        <v>0.17730000000000001</v>
      </c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S2914" s="14"/>
      <c r="T2914" s="14"/>
      <c r="U2914" s="14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 t="s">
        <v>413</v>
      </c>
    </row>
    <row r="2915" spans="1:32" ht="14.25" customHeight="1" x14ac:dyDescent="0.35">
      <c r="A2915" s="14" t="s">
        <v>1838</v>
      </c>
      <c r="B2915" s="14" t="s">
        <v>424</v>
      </c>
      <c r="C2915" s="14"/>
      <c r="D2915" s="14" t="s">
        <v>419</v>
      </c>
      <c r="E2915" s="15">
        <v>41640</v>
      </c>
      <c r="F2915" s="15">
        <v>42004</v>
      </c>
      <c r="G2915" s="14" t="s">
        <v>410</v>
      </c>
      <c r="H2915" s="14">
        <v>1</v>
      </c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 t="s">
        <v>413</v>
      </c>
    </row>
    <row r="2916" spans="1:32" ht="14.25" customHeight="1" x14ac:dyDescent="0.35">
      <c r="A2916" s="16" t="s">
        <v>1838</v>
      </c>
      <c r="B2916" s="16" t="s">
        <v>424</v>
      </c>
      <c r="C2916" s="16"/>
      <c r="D2916" s="16" t="s">
        <v>429</v>
      </c>
      <c r="E2916" s="17">
        <v>41883</v>
      </c>
      <c r="F2916" s="17">
        <v>42004</v>
      </c>
      <c r="G2916" s="16" t="s">
        <v>415</v>
      </c>
      <c r="H2916" s="16">
        <v>0.17730000000000001</v>
      </c>
      <c r="I2916" s="16">
        <v>0.17730000000000001</v>
      </c>
      <c r="J2916" s="16">
        <v>0.17730000000000001</v>
      </c>
      <c r="K2916" s="16">
        <v>0.17730000000000001</v>
      </c>
      <c r="L2916" s="16">
        <v>0.17730000000000001</v>
      </c>
      <c r="M2916" s="16">
        <v>0.17730000000000001</v>
      </c>
      <c r="N2916" s="16">
        <v>0.17730000000000001</v>
      </c>
      <c r="O2916" s="16">
        <v>0.9</v>
      </c>
      <c r="P2916" s="16">
        <v>0.9</v>
      </c>
      <c r="Q2916" s="16">
        <v>0.9</v>
      </c>
      <c r="R2916" s="16">
        <v>0.9</v>
      </c>
      <c r="S2916" s="16">
        <v>0.9</v>
      </c>
      <c r="T2916" s="16">
        <v>0.9</v>
      </c>
      <c r="U2916" s="16">
        <v>0.9</v>
      </c>
      <c r="V2916" s="16">
        <v>0.9</v>
      </c>
      <c r="W2916" s="16">
        <v>0.9</v>
      </c>
      <c r="X2916" s="16">
        <v>0.9</v>
      </c>
      <c r="Y2916" s="16">
        <v>0.9</v>
      </c>
      <c r="Z2916" s="16">
        <v>0.9</v>
      </c>
      <c r="AA2916" s="16">
        <v>0.9</v>
      </c>
      <c r="AB2916" s="16">
        <v>0.9</v>
      </c>
      <c r="AC2916" s="16">
        <v>0.17730000000000001</v>
      </c>
      <c r="AD2916" s="16">
        <v>0.17730000000000001</v>
      </c>
      <c r="AE2916" s="16">
        <v>0.17730000000000001</v>
      </c>
      <c r="AF2916" s="16" t="s">
        <v>413</v>
      </c>
    </row>
    <row r="2917" spans="1:32" ht="14.25" customHeight="1" x14ac:dyDescent="0.35">
      <c r="A2917" s="16" t="s">
        <v>1838</v>
      </c>
      <c r="B2917" s="16" t="s">
        <v>424</v>
      </c>
      <c r="C2917" s="16"/>
      <c r="D2917" s="16" t="s">
        <v>429</v>
      </c>
      <c r="E2917" s="17">
        <v>41821</v>
      </c>
      <c r="F2917" s="17">
        <v>41883</v>
      </c>
      <c r="G2917" s="16" t="s">
        <v>415</v>
      </c>
      <c r="H2917" s="16">
        <v>0.17730000000000001</v>
      </c>
      <c r="I2917" s="16">
        <v>0.17730000000000001</v>
      </c>
      <c r="J2917" s="16">
        <v>0.17730000000000001</v>
      </c>
      <c r="K2917" s="16">
        <v>0.17730000000000001</v>
      </c>
      <c r="L2917" s="16">
        <v>0.17730000000000001</v>
      </c>
      <c r="M2917" s="16">
        <v>0.17730000000000001</v>
      </c>
      <c r="N2917" s="16">
        <v>0.17730000000000001</v>
      </c>
      <c r="O2917" s="16">
        <v>0.17730000000000001</v>
      </c>
      <c r="P2917" s="16">
        <v>0.5</v>
      </c>
      <c r="Q2917" s="16">
        <v>0.5</v>
      </c>
      <c r="R2917" s="16">
        <v>0.5</v>
      </c>
      <c r="S2917" s="16">
        <v>0.5</v>
      </c>
      <c r="T2917" s="16">
        <v>0.5</v>
      </c>
      <c r="U2917" s="16">
        <v>0.5</v>
      </c>
      <c r="V2917" s="16">
        <v>0.5</v>
      </c>
      <c r="W2917" s="16">
        <v>0.5</v>
      </c>
      <c r="X2917" s="16">
        <v>0.5</v>
      </c>
      <c r="Y2917" s="16">
        <v>0.5</v>
      </c>
      <c r="Z2917" s="16">
        <v>0.5</v>
      </c>
      <c r="AA2917" s="16">
        <v>0.5</v>
      </c>
      <c r="AB2917" s="16">
        <v>0.17730000000000001</v>
      </c>
      <c r="AC2917" s="16">
        <v>0.17730000000000001</v>
      </c>
      <c r="AD2917" s="16">
        <v>0.17730000000000001</v>
      </c>
      <c r="AE2917" s="16">
        <v>0.17730000000000001</v>
      </c>
      <c r="AF2917" s="16" t="s">
        <v>413</v>
      </c>
    </row>
    <row r="2918" spans="1:32" ht="14.25" customHeight="1" x14ac:dyDescent="0.35">
      <c r="A2918" s="16" t="s">
        <v>1838</v>
      </c>
      <c r="B2918" s="16" t="s">
        <v>424</v>
      </c>
      <c r="C2918" s="16"/>
      <c r="D2918" s="16" t="s">
        <v>429</v>
      </c>
      <c r="E2918" s="17">
        <v>41640</v>
      </c>
      <c r="F2918" s="17">
        <v>41820</v>
      </c>
      <c r="G2918" s="16" t="s">
        <v>415</v>
      </c>
      <c r="H2918" s="16">
        <v>0.17730000000000001</v>
      </c>
      <c r="I2918" s="16">
        <v>0.17730000000000001</v>
      </c>
      <c r="J2918" s="16">
        <v>0.17730000000000001</v>
      </c>
      <c r="K2918" s="16">
        <v>0.17730000000000001</v>
      </c>
      <c r="L2918" s="16">
        <v>0.17730000000000001</v>
      </c>
      <c r="M2918" s="16">
        <v>0.17730000000000001</v>
      </c>
      <c r="N2918" s="16">
        <v>0.17730000000000001</v>
      </c>
      <c r="O2918" s="16">
        <v>0.9</v>
      </c>
      <c r="P2918" s="16">
        <v>0.9</v>
      </c>
      <c r="Q2918" s="16">
        <v>0.9</v>
      </c>
      <c r="R2918" s="16">
        <v>0.9</v>
      </c>
      <c r="S2918" s="16">
        <v>0.9</v>
      </c>
      <c r="T2918" s="16">
        <v>0.9</v>
      </c>
      <c r="U2918" s="16">
        <v>0.9</v>
      </c>
      <c r="V2918" s="16">
        <v>0.9</v>
      </c>
      <c r="W2918" s="16">
        <v>0.9</v>
      </c>
      <c r="X2918" s="16">
        <v>0.9</v>
      </c>
      <c r="Y2918" s="16">
        <v>0.9</v>
      </c>
      <c r="Z2918" s="16">
        <v>0.9</v>
      </c>
      <c r="AA2918" s="16">
        <v>0.9</v>
      </c>
      <c r="AB2918" s="16">
        <v>0.9</v>
      </c>
      <c r="AC2918" s="16">
        <v>0.17730000000000001</v>
      </c>
      <c r="AD2918" s="16">
        <v>0.17730000000000001</v>
      </c>
      <c r="AE2918" s="16">
        <v>0.17730000000000001</v>
      </c>
      <c r="AF2918" s="16" t="s">
        <v>413</v>
      </c>
    </row>
    <row r="2919" spans="1:32" ht="14.25" customHeight="1" x14ac:dyDescent="0.35">
      <c r="A2919" s="14" t="s">
        <v>1838</v>
      </c>
      <c r="B2919" s="14" t="s">
        <v>424</v>
      </c>
      <c r="C2919" s="14"/>
      <c r="D2919" s="14" t="s">
        <v>530</v>
      </c>
      <c r="E2919" s="15">
        <v>41821</v>
      </c>
      <c r="F2919" s="15">
        <v>41883</v>
      </c>
      <c r="G2919" s="14" t="s">
        <v>410</v>
      </c>
      <c r="H2919" s="14">
        <v>0.17730000000000001</v>
      </c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S2919" s="14"/>
      <c r="T2919" s="14"/>
      <c r="U2919" s="14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 t="s">
        <v>413</v>
      </c>
    </row>
    <row r="2920" spans="1:32" ht="14.25" customHeight="1" x14ac:dyDescent="0.35">
      <c r="A2920" s="14" t="s">
        <v>1838</v>
      </c>
      <c r="B2920" s="14" t="s">
        <v>424</v>
      </c>
      <c r="C2920" s="14"/>
      <c r="D2920" s="14" t="s">
        <v>530</v>
      </c>
      <c r="E2920" s="15">
        <v>41640</v>
      </c>
      <c r="F2920" s="15">
        <v>41820</v>
      </c>
      <c r="G2920" s="14" t="s">
        <v>410</v>
      </c>
      <c r="H2920" s="14">
        <v>0.17730000000000001</v>
      </c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 t="s">
        <v>413</v>
      </c>
    </row>
    <row r="2921" spans="1:32" ht="14.25" customHeight="1" x14ac:dyDescent="0.35">
      <c r="A2921" s="16" t="s">
        <v>1838</v>
      </c>
      <c r="B2921" s="16" t="s">
        <v>424</v>
      </c>
      <c r="C2921" s="16"/>
      <c r="D2921" s="16" t="s">
        <v>418</v>
      </c>
      <c r="E2921" s="17">
        <v>41640</v>
      </c>
      <c r="F2921" s="17">
        <v>42004</v>
      </c>
      <c r="G2921" s="16" t="s">
        <v>410</v>
      </c>
      <c r="H2921" s="16">
        <v>0</v>
      </c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 t="s">
        <v>413</v>
      </c>
    </row>
    <row r="2922" spans="1:32" ht="14.25" customHeight="1" x14ac:dyDescent="0.35">
      <c r="A2922" s="14" t="s">
        <v>1839</v>
      </c>
      <c r="B2922" s="14" t="s">
        <v>424</v>
      </c>
      <c r="C2922" s="14"/>
      <c r="D2922" s="14" t="s">
        <v>417</v>
      </c>
      <c r="E2922" s="15">
        <v>41640</v>
      </c>
      <c r="F2922" s="15">
        <v>42004</v>
      </c>
      <c r="G2922" s="14" t="s">
        <v>410</v>
      </c>
      <c r="H2922" s="14">
        <v>0.17730000000000001</v>
      </c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  <c r="U2922" s="14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 t="s">
        <v>413</v>
      </c>
    </row>
    <row r="2923" spans="1:32" ht="14.25" customHeight="1" x14ac:dyDescent="0.35">
      <c r="A2923" s="14" t="s">
        <v>1839</v>
      </c>
      <c r="B2923" s="14" t="s">
        <v>424</v>
      </c>
      <c r="C2923" s="14"/>
      <c r="D2923" s="14" t="s">
        <v>419</v>
      </c>
      <c r="E2923" s="15">
        <v>41640</v>
      </c>
      <c r="F2923" s="15">
        <v>42004</v>
      </c>
      <c r="G2923" s="14" t="s">
        <v>410</v>
      </c>
      <c r="H2923" s="14">
        <v>1</v>
      </c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 t="s">
        <v>413</v>
      </c>
    </row>
    <row r="2924" spans="1:32" ht="14.25" customHeight="1" x14ac:dyDescent="0.35">
      <c r="A2924" s="16" t="s">
        <v>1839</v>
      </c>
      <c r="B2924" s="16" t="s">
        <v>424</v>
      </c>
      <c r="C2924" s="16"/>
      <c r="D2924" s="16" t="s">
        <v>429</v>
      </c>
      <c r="E2924" s="17">
        <v>41883</v>
      </c>
      <c r="F2924" s="17">
        <v>42004</v>
      </c>
      <c r="G2924" s="16" t="s">
        <v>415</v>
      </c>
      <c r="H2924" s="16">
        <v>0.17730000000000001</v>
      </c>
      <c r="I2924" s="16">
        <v>0.17730000000000001</v>
      </c>
      <c r="J2924" s="16">
        <v>0.17730000000000001</v>
      </c>
      <c r="K2924" s="16">
        <v>0.17730000000000001</v>
      </c>
      <c r="L2924" s="16">
        <v>0.17730000000000001</v>
      </c>
      <c r="M2924" s="16">
        <v>0.17730000000000001</v>
      </c>
      <c r="N2924" s="16">
        <v>0.17730000000000001</v>
      </c>
      <c r="O2924" s="16">
        <v>0.9</v>
      </c>
      <c r="P2924" s="16">
        <v>0.9</v>
      </c>
      <c r="Q2924" s="16">
        <v>0.9</v>
      </c>
      <c r="R2924" s="16">
        <v>0.9</v>
      </c>
      <c r="S2924" s="16">
        <v>0.9</v>
      </c>
      <c r="T2924" s="16">
        <v>0.9</v>
      </c>
      <c r="U2924" s="16">
        <v>0.9</v>
      </c>
      <c r="V2924" s="16">
        <v>0.9</v>
      </c>
      <c r="W2924" s="16">
        <v>0.9</v>
      </c>
      <c r="X2924" s="16">
        <v>0.9</v>
      </c>
      <c r="Y2924" s="16">
        <v>0.9</v>
      </c>
      <c r="Z2924" s="16">
        <v>0.9</v>
      </c>
      <c r="AA2924" s="16">
        <v>0.9</v>
      </c>
      <c r="AB2924" s="16">
        <v>0.9</v>
      </c>
      <c r="AC2924" s="16">
        <v>0.17730000000000001</v>
      </c>
      <c r="AD2924" s="16">
        <v>0.17730000000000001</v>
      </c>
      <c r="AE2924" s="16">
        <v>0.17730000000000001</v>
      </c>
      <c r="AF2924" s="16" t="s">
        <v>413</v>
      </c>
    </row>
    <row r="2925" spans="1:32" ht="14.25" customHeight="1" x14ac:dyDescent="0.35">
      <c r="A2925" s="16" t="s">
        <v>1839</v>
      </c>
      <c r="B2925" s="16" t="s">
        <v>424</v>
      </c>
      <c r="C2925" s="16"/>
      <c r="D2925" s="16" t="s">
        <v>429</v>
      </c>
      <c r="E2925" s="17">
        <v>41821</v>
      </c>
      <c r="F2925" s="17">
        <v>41883</v>
      </c>
      <c r="G2925" s="16" t="s">
        <v>415</v>
      </c>
      <c r="H2925" s="16">
        <v>0.17730000000000001</v>
      </c>
      <c r="I2925" s="16">
        <v>0.17730000000000001</v>
      </c>
      <c r="J2925" s="16">
        <v>0.17730000000000001</v>
      </c>
      <c r="K2925" s="16">
        <v>0.17730000000000001</v>
      </c>
      <c r="L2925" s="16">
        <v>0.17730000000000001</v>
      </c>
      <c r="M2925" s="16">
        <v>0.17730000000000001</v>
      </c>
      <c r="N2925" s="16">
        <v>0.17730000000000001</v>
      </c>
      <c r="O2925" s="16">
        <v>0.17730000000000001</v>
      </c>
      <c r="P2925" s="16">
        <v>0.5</v>
      </c>
      <c r="Q2925" s="16">
        <v>0.5</v>
      </c>
      <c r="R2925" s="16">
        <v>0.5</v>
      </c>
      <c r="S2925" s="16">
        <v>0.5</v>
      </c>
      <c r="T2925" s="16">
        <v>0.5</v>
      </c>
      <c r="U2925" s="16">
        <v>0.5</v>
      </c>
      <c r="V2925" s="16">
        <v>0.5</v>
      </c>
      <c r="W2925" s="16">
        <v>0.5</v>
      </c>
      <c r="X2925" s="16">
        <v>0.5</v>
      </c>
      <c r="Y2925" s="16">
        <v>0.5</v>
      </c>
      <c r="Z2925" s="16">
        <v>0.5</v>
      </c>
      <c r="AA2925" s="16">
        <v>0.5</v>
      </c>
      <c r="AB2925" s="16">
        <v>0.17730000000000001</v>
      </c>
      <c r="AC2925" s="16">
        <v>0.17730000000000001</v>
      </c>
      <c r="AD2925" s="16">
        <v>0.17730000000000001</v>
      </c>
      <c r="AE2925" s="16">
        <v>0.17730000000000001</v>
      </c>
      <c r="AF2925" s="16" t="s">
        <v>413</v>
      </c>
    </row>
    <row r="2926" spans="1:32" ht="14.25" customHeight="1" x14ac:dyDescent="0.35">
      <c r="A2926" s="16" t="s">
        <v>1839</v>
      </c>
      <c r="B2926" s="16" t="s">
        <v>424</v>
      </c>
      <c r="C2926" s="16"/>
      <c r="D2926" s="16" t="s">
        <v>429</v>
      </c>
      <c r="E2926" s="17">
        <v>41640</v>
      </c>
      <c r="F2926" s="17">
        <v>41820</v>
      </c>
      <c r="G2926" s="16" t="s">
        <v>415</v>
      </c>
      <c r="H2926" s="16">
        <v>0.17730000000000001</v>
      </c>
      <c r="I2926" s="16">
        <v>0.17730000000000001</v>
      </c>
      <c r="J2926" s="16">
        <v>0.17730000000000001</v>
      </c>
      <c r="K2926" s="16">
        <v>0.17730000000000001</v>
      </c>
      <c r="L2926" s="16">
        <v>0.17730000000000001</v>
      </c>
      <c r="M2926" s="16">
        <v>0.17730000000000001</v>
      </c>
      <c r="N2926" s="16">
        <v>0.17730000000000001</v>
      </c>
      <c r="O2926" s="16">
        <v>0.9</v>
      </c>
      <c r="P2926" s="16">
        <v>0.9</v>
      </c>
      <c r="Q2926" s="16">
        <v>0.9</v>
      </c>
      <c r="R2926" s="16">
        <v>0.9</v>
      </c>
      <c r="S2926" s="16">
        <v>0.9</v>
      </c>
      <c r="T2926" s="16">
        <v>0.9</v>
      </c>
      <c r="U2926" s="16">
        <v>0.9</v>
      </c>
      <c r="V2926" s="16">
        <v>0.9</v>
      </c>
      <c r="W2926" s="16">
        <v>0.9</v>
      </c>
      <c r="X2926" s="16">
        <v>0.9</v>
      </c>
      <c r="Y2926" s="16">
        <v>0.9</v>
      </c>
      <c r="Z2926" s="16">
        <v>0.9</v>
      </c>
      <c r="AA2926" s="16">
        <v>0.9</v>
      </c>
      <c r="AB2926" s="16">
        <v>0.9</v>
      </c>
      <c r="AC2926" s="16">
        <v>0.17730000000000001</v>
      </c>
      <c r="AD2926" s="16">
        <v>0.17730000000000001</v>
      </c>
      <c r="AE2926" s="16">
        <v>0.17730000000000001</v>
      </c>
      <c r="AF2926" s="16" t="s">
        <v>413</v>
      </c>
    </row>
    <row r="2927" spans="1:32" ht="14.25" customHeight="1" x14ac:dyDescent="0.35">
      <c r="A2927" s="14" t="s">
        <v>1839</v>
      </c>
      <c r="B2927" s="14" t="s">
        <v>424</v>
      </c>
      <c r="C2927" s="14"/>
      <c r="D2927" s="14" t="s">
        <v>530</v>
      </c>
      <c r="E2927" s="15">
        <v>41821</v>
      </c>
      <c r="F2927" s="15">
        <v>41883</v>
      </c>
      <c r="G2927" s="14" t="s">
        <v>410</v>
      </c>
      <c r="H2927" s="14">
        <v>0.17730000000000001</v>
      </c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 t="s">
        <v>413</v>
      </c>
    </row>
    <row r="2928" spans="1:32" ht="14.25" customHeight="1" x14ac:dyDescent="0.35">
      <c r="A2928" s="14" t="s">
        <v>1839</v>
      </c>
      <c r="B2928" s="14" t="s">
        <v>424</v>
      </c>
      <c r="C2928" s="14"/>
      <c r="D2928" s="14" t="s">
        <v>530</v>
      </c>
      <c r="E2928" s="15">
        <v>41640</v>
      </c>
      <c r="F2928" s="15">
        <v>41820</v>
      </c>
      <c r="G2928" s="14" t="s">
        <v>410</v>
      </c>
      <c r="H2928" s="14">
        <v>0.17730000000000001</v>
      </c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  <c r="U2928" s="14"/>
      <c r="V2928" s="14"/>
      <c r="W2928" s="14"/>
      <c r="X2928" s="14"/>
      <c r="Y2928" s="14"/>
      <c r="Z2928" s="14"/>
      <c r="AA2928" s="14"/>
      <c r="AB2928" s="14"/>
      <c r="AC2928" s="14"/>
      <c r="AD2928" s="14"/>
      <c r="AE2928" s="14"/>
      <c r="AF2928" s="14" t="s">
        <v>413</v>
      </c>
    </row>
    <row r="2929" spans="1:32" ht="14.25" customHeight="1" x14ac:dyDescent="0.35">
      <c r="A2929" s="16" t="s">
        <v>1839</v>
      </c>
      <c r="B2929" s="16" t="s">
        <v>424</v>
      </c>
      <c r="C2929" s="16"/>
      <c r="D2929" s="16" t="s">
        <v>418</v>
      </c>
      <c r="E2929" s="17">
        <v>41640</v>
      </c>
      <c r="F2929" s="17">
        <v>42004</v>
      </c>
      <c r="G2929" s="16" t="s">
        <v>410</v>
      </c>
      <c r="H2929" s="16">
        <v>0</v>
      </c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 t="s">
        <v>413</v>
      </c>
    </row>
    <row r="2930" spans="1:32" ht="14.25" customHeight="1" x14ac:dyDescent="0.35">
      <c r="A2930" s="14" t="s">
        <v>1840</v>
      </c>
      <c r="B2930" s="14" t="s">
        <v>424</v>
      </c>
      <c r="C2930" s="14"/>
      <c r="D2930" s="14" t="s">
        <v>417</v>
      </c>
      <c r="E2930" s="15">
        <v>41640</v>
      </c>
      <c r="F2930" s="15">
        <v>42004</v>
      </c>
      <c r="G2930" s="14" t="s">
        <v>410</v>
      </c>
      <c r="H2930" s="14">
        <v>0.17730000000000001</v>
      </c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 t="s">
        <v>413</v>
      </c>
    </row>
    <row r="2931" spans="1:32" ht="14.25" customHeight="1" x14ac:dyDescent="0.35">
      <c r="A2931" s="14" t="s">
        <v>1840</v>
      </c>
      <c r="B2931" s="14" t="s">
        <v>424</v>
      </c>
      <c r="C2931" s="14"/>
      <c r="D2931" s="14" t="s">
        <v>419</v>
      </c>
      <c r="E2931" s="15">
        <v>41640</v>
      </c>
      <c r="F2931" s="15">
        <v>42004</v>
      </c>
      <c r="G2931" s="14" t="s">
        <v>410</v>
      </c>
      <c r="H2931" s="14">
        <v>1</v>
      </c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F2931" s="14" t="s">
        <v>413</v>
      </c>
    </row>
    <row r="2932" spans="1:32" ht="14.25" customHeight="1" x14ac:dyDescent="0.35">
      <c r="A2932" s="16" t="s">
        <v>1840</v>
      </c>
      <c r="B2932" s="16" t="s">
        <v>424</v>
      </c>
      <c r="C2932" s="16"/>
      <c r="D2932" s="16" t="s">
        <v>429</v>
      </c>
      <c r="E2932" s="17">
        <v>41883</v>
      </c>
      <c r="F2932" s="17">
        <v>42004</v>
      </c>
      <c r="G2932" s="16" t="s">
        <v>415</v>
      </c>
      <c r="H2932" s="16">
        <v>0.17730000000000001</v>
      </c>
      <c r="I2932" s="16">
        <v>0.17730000000000001</v>
      </c>
      <c r="J2932" s="16">
        <v>0.17730000000000001</v>
      </c>
      <c r="K2932" s="16">
        <v>0.17730000000000001</v>
      </c>
      <c r="L2932" s="16">
        <v>0.17730000000000001</v>
      </c>
      <c r="M2932" s="16">
        <v>0.17730000000000001</v>
      </c>
      <c r="N2932" s="16">
        <v>0.17730000000000001</v>
      </c>
      <c r="O2932" s="16">
        <v>0.9</v>
      </c>
      <c r="P2932" s="16">
        <v>0.9</v>
      </c>
      <c r="Q2932" s="16">
        <v>0.9</v>
      </c>
      <c r="R2932" s="16">
        <v>0.9</v>
      </c>
      <c r="S2932" s="16">
        <v>0.9</v>
      </c>
      <c r="T2932" s="16">
        <v>0.9</v>
      </c>
      <c r="U2932" s="16">
        <v>0.9</v>
      </c>
      <c r="V2932" s="16">
        <v>0.9</v>
      </c>
      <c r="W2932" s="16">
        <v>0.9</v>
      </c>
      <c r="X2932" s="16">
        <v>0.9</v>
      </c>
      <c r="Y2932" s="16">
        <v>0.9</v>
      </c>
      <c r="Z2932" s="16">
        <v>0.9</v>
      </c>
      <c r="AA2932" s="16">
        <v>0.9</v>
      </c>
      <c r="AB2932" s="16">
        <v>0.9</v>
      </c>
      <c r="AC2932" s="16">
        <v>0.17730000000000001</v>
      </c>
      <c r="AD2932" s="16">
        <v>0.17730000000000001</v>
      </c>
      <c r="AE2932" s="16">
        <v>0.17730000000000001</v>
      </c>
      <c r="AF2932" s="16" t="s">
        <v>413</v>
      </c>
    </row>
    <row r="2933" spans="1:32" ht="14.25" customHeight="1" x14ac:dyDescent="0.35">
      <c r="A2933" s="16" t="s">
        <v>1840</v>
      </c>
      <c r="B2933" s="16" t="s">
        <v>424</v>
      </c>
      <c r="C2933" s="16"/>
      <c r="D2933" s="16" t="s">
        <v>429</v>
      </c>
      <c r="E2933" s="17">
        <v>41821</v>
      </c>
      <c r="F2933" s="17">
        <v>41883</v>
      </c>
      <c r="G2933" s="16" t="s">
        <v>415</v>
      </c>
      <c r="H2933" s="16">
        <v>0.17730000000000001</v>
      </c>
      <c r="I2933" s="16">
        <v>0.17730000000000001</v>
      </c>
      <c r="J2933" s="16">
        <v>0.17730000000000001</v>
      </c>
      <c r="K2933" s="16">
        <v>0.17730000000000001</v>
      </c>
      <c r="L2933" s="16">
        <v>0.17730000000000001</v>
      </c>
      <c r="M2933" s="16">
        <v>0.17730000000000001</v>
      </c>
      <c r="N2933" s="16">
        <v>0.17730000000000001</v>
      </c>
      <c r="O2933" s="16">
        <v>0.17730000000000001</v>
      </c>
      <c r="P2933" s="16">
        <v>0.5</v>
      </c>
      <c r="Q2933" s="16">
        <v>0.5</v>
      </c>
      <c r="R2933" s="16">
        <v>0.5</v>
      </c>
      <c r="S2933" s="16">
        <v>0.5</v>
      </c>
      <c r="T2933" s="16">
        <v>0.5</v>
      </c>
      <c r="U2933" s="16">
        <v>0.5</v>
      </c>
      <c r="V2933" s="16">
        <v>0.5</v>
      </c>
      <c r="W2933" s="16">
        <v>0.5</v>
      </c>
      <c r="X2933" s="16">
        <v>0.5</v>
      </c>
      <c r="Y2933" s="16">
        <v>0.5</v>
      </c>
      <c r="Z2933" s="16">
        <v>0.5</v>
      </c>
      <c r="AA2933" s="16">
        <v>0.5</v>
      </c>
      <c r="AB2933" s="16">
        <v>0.17730000000000001</v>
      </c>
      <c r="AC2933" s="16">
        <v>0.17730000000000001</v>
      </c>
      <c r="AD2933" s="16">
        <v>0.17730000000000001</v>
      </c>
      <c r="AE2933" s="16">
        <v>0.17730000000000001</v>
      </c>
      <c r="AF2933" s="16" t="s">
        <v>413</v>
      </c>
    </row>
    <row r="2934" spans="1:32" ht="14.25" customHeight="1" x14ac:dyDescent="0.35">
      <c r="A2934" s="16" t="s">
        <v>1840</v>
      </c>
      <c r="B2934" s="16" t="s">
        <v>424</v>
      </c>
      <c r="C2934" s="16"/>
      <c r="D2934" s="16" t="s">
        <v>429</v>
      </c>
      <c r="E2934" s="17">
        <v>41640</v>
      </c>
      <c r="F2934" s="17">
        <v>41820</v>
      </c>
      <c r="G2934" s="16" t="s">
        <v>415</v>
      </c>
      <c r="H2934" s="16">
        <v>0.17730000000000001</v>
      </c>
      <c r="I2934" s="16">
        <v>0.17730000000000001</v>
      </c>
      <c r="J2934" s="16">
        <v>0.17730000000000001</v>
      </c>
      <c r="K2934" s="16">
        <v>0.17730000000000001</v>
      </c>
      <c r="L2934" s="16">
        <v>0.17730000000000001</v>
      </c>
      <c r="M2934" s="16">
        <v>0.17730000000000001</v>
      </c>
      <c r="N2934" s="16">
        <v>0.17730000000000001</v>
      </c>
      <c r="O2934" s="16">
        <v>0.9</v>
      </c>
      <c r="P2934" s="16">
        <v>0.9</v>
      </c>
      <c r="Q2934" s="16">
        <v>0.9</v>
      </c>
      <c r="R2934" s="16">
        <v>0.9</v>
      </c>
      <c r="S2934" s="16">
        <v>0.9</v>
      </c>
      <c r="T2934" s="16">
        <v>0.9</v>
      </c>
      <c r="U2934" s="16">
        <v>0.9</v>
      </c>
      <c r="V2934" s="16">
        <v>0.9</v>
      </c>
      <c r="W2934" s="16">
        <v>0.9</v>
      </c>
      <c r="X2934" s="16">
        <v>0.9</v>
      </c>
      <c r="Y2934" s="16">
        <v>0.9</v>
      </c>
      <c r="Z2934" s="16">
        <v>0.9</v>
      </c>
      <c r="AA2934" s="16">
        <v>0.9</v>
      </c>
      <c r="AB2934" s="16">
        <v>0.9</v>
      </c>
      <c r="AC2934" s="16">
        <v>0.17730000000000001</v>
      </c>
      <c r="AD2934" s="16">
        <v>0.17730000000000001</v>
      </c>
      <c r="AE2934" s="16">
        <v>0.17730000000000001</v>
      </c>
      <c r="AF2934" s="16" t="s">
        <v>413</v>
      </c>
    </row>
    <row r="2935" spans="1:32" ht="14.25" customHeight="1" x14ac:dyDescent="0.35">
      <c r="A2935" s="14" t="s">
        <v>1840</v>
      </c>
      <c r="B2935" s="14" t="s">
        <v>424</v>
      </c>
      <c r="C2935" s="14"/>
      <c r="D2935" s="14" t="s">
        <v>530</v>
      </c>
      <c r="E2935" s="15">
        <v>41821</v>
      </c>
      <c r="F2935" s="15">
        <v>41883</v>
      </c>
      <c r="G2935" s="14" t="s">
        <v>410</v>
      </c>
      <c r="H2935" s="14">
        <v>0.17730000000000001</v>
      </c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S2935" s="14"/>
      <c r="T2935" s="14"/>
      <c r="U2935" s="14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 t="s">
        <v>413</v>
      </c>
    </row>
    <row r="2936" spans="1:32" ht="14.25" customHeight="1" x14ac:dyDescent="0.35">
      <c r="A2936" s="14" t="s">
        <v>1840</v>
      </c>
      <c r="B2936" s="14" t="s">
        <v>424</v>
      </c>
      <c r="C2936" s="14"/>
      <c r="D2936" s="14" t="s">
        <v>530</v>
      </c>
      <c r="E2936" s="15">
        <v>41640</v>
      </c>
      <c r="F2936" s="15">
        <v>41820</v>
      </c>
      <c r="G2936" s="14" t="s">
        <v>410</v>
      </c>
      <c r="H2936" s="14">
        <v>0.17730000000000001</v>
      </c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S2936" s="14"/>
      <c r="T2936" s="14"/>
      <c r="U2936" s="14"/>
      <c r="V2936" s="14"/>
      <c r="W2936" s="14"/>
      <c r="X2936" s="14"/>
      <c r="Y2936" s="14"/>
      <c r="Z2936" s="14"/>
      <c r="AA2936" s="14"/>
      <c r="AB2936" s="14"/>
      <c r="AC2936" s="14"/>
      <c r="AD2936" s="14"/>
      <c r="AE2936" s="14"/>
      <c r="AF2936" s="14" t="s">
        <v>413</v>
      </c>
    </row>
    <row r="2937" spans="1:32" ht="14.25" customHeight="1" x14ac:dyDescent="0.35">
      <c r="A2937" s="16" t="s">
        <v>1840</v>
      </c>
      <c r="B2937" s="16" t="s">
        <v>424</v>
      </c>
      <c r="C2937" s="16"/>
      <c r="D2937" s="16" t="s">
        <v>418</v>
      </c>
      <c r="E2937" s="17">
        <v>41640</v>
      </c>
      <c r="F2937" s="17">
        <v>42004</v>
      </c>
      <c r="G2937" s="16" t="s">
        <v>410</v>
      </c>
      <c r="H2937" s="16">
        <v>0</v>
      </c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/>
      <c r="AE2937" s="16"/>
      <c r="AF2937" s="16" t="s">
        <v>413</v>
      </c>
    </row>
    <row r="2938" spans="1:32" ht="14.25" customHeight="1" x14ac:dyDescent="0.35">
      <c r="A2938" s="14" t="s">
        <v>1841</v>
      </c>
      <c r="B2938" s="14" t="s">
        <v>424</v>
      </c>
      <c r="C2938" s="14"/>
      <c r="D2938" s="14" t="s">
        <v>417</v>
      </c>
      <c r="E2938" s="15">
        <v>41640</v>
      </c>
      <c r="F2938" s="15">
        <v>42004</v>
      </c>
      <c r="G2938" s="14" t="s">
        <v>410</v>
      </c>
      <c r="H2938" s="14">
        <v>0.17730000000000001</v>
      </c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  <c r="U2938" s="14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 t="s">
        <v>413</v>
      </c>
    </row>
    <row r="2939" spans="1:32" ht="14.25" customHeight="1" x14ac:dyDescent="0.35">
      <c r="A2939" s="14" t="s">
        <v>1841</v>
      </c>
      <c r="B2939" s="14" t="s">
        <v>424</v>
      </c>
      <c r="C2939" s="14"/>
      <c r="D2939" s="14" t="s">
        <v>419</v>
      </c>
      <c r="E2939" s="15">
        <v>41640</v>
      </c>
      <c r="F2939" s="15">
        <v>42004</v>
      </c>
      <c r="G2939" s="14" t="s">
        <v>410</v>
      </c>
      <c r="H2939" s="14">
        <v>1</v>
      </c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S2939" s="14"/>
      <c r="T2939" s="14"/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 t="s">
        <v>413</v>
      </c>
    </row>
    <row r="2940" spans="1:32" ht="14.25" customHeight="1" x14ac:dyDescent="0.35">
      <c r="A2940" s="16" t="s">
        <v>1841</v>
      </c>
      <c r="B2940" s="16" t="s">
        <v>424</v>
      </c>
      <c r="C2940" s="16"/>
      <c r="D2940" s="16" t="s">
        <v>429</v>
      </c>
      <c r="E2940" s="17">
        <v>41883</v>
      </c>
      <c r="F2940" s="17">
        <v>42004</v>
      </c>
      <c r="G2940" s="16" t="s">
        <v>415</v>
      </c>
      <c r="H2940" s="16">
        <v>0.17730000000000001</v>
      </c>
      <c r="I2940" s="16">
        <v>0.17730000000000001</v>
      </c>
      <c r="J2940" s="16">
        <v>0.17730000000000001</v>
      </c>
      <c r="K2940" s="16">
        <v>0.17730000000000001</v>
      </c>
      <c r="L2940" s="16">
        <v>0.17730000000000001</v>
      </c>
      <c r="M2940" s="16">
        <v>0.17730000000000001</v>
      </c>
      <c r="N2940" s="16">
        <v>0.17730000000000001</v>
      </c>
      <c r="O2940" s="16">
        <v>0.9</v>
      </c>
      <c r="P2940" s="16">
        <v>0.9</v>
      </c>
      <c r="Q2940" s="16">
        <v>0.9</v>
      </c>
      <c r="R2940" s="16">
        <v>0.9</v>
      </c>
      <c r="S2940" s="16">
        <v>0.9</v>
      </c>
      <c r="T2940" s="16">
        <v>0.9</v>
      </c>
      <c r="U2940" s="16">
        <v>0.9</v>
      </c>
      <c r="V2940" s="16">
        <v>0.9</v>
      </c>
      <c r="W2940" s="16">
        <v>0.9</v>
      </c>
      <c r="X2940" s="16">
        <v>0.9</v>
      </c>
      <c r="Y2940" s="16">
        <v>0.9</v>
      </c>
      <c r="Z2940" s="16">
        <v>0.9</v>
      </c>
      <c r="AA2940" s="16">
        <v>0.9</v>
      </c>
      <c r="AB2940" s="16">
        <v>0.9</v>
      </c>
      <c r="AC2940" s="16">
        <v>0.17730000000000001</v>
      </c>
      <c r="AD2940" s="16">
        <v>0.17730000000000001</v>
      </c>
      <c r="AE2940" s="16">
        <v>0.17730000000000001</v>
      </c>
      <c r="AF2940" s="16" t="s">
        <v>413</v>
      </c>
    </row>
    <row r="2941" spans="1:32" ht="14.25" customHeight="1" x14ac:dyDescent="0.35">
      <c r="A2941" s="16" t="s">
        <v>1841</v>
      </c>
      <c r="B2941" s="16" t="s">
        <v>424</v>
      </c>
      <c r="C2941" s="16"/>
      <c r="D2941" s="16" t="s">
        <v>429</v>
      </c>
      <c r="E2941" s="17">
        <v>41821</v>
      </c>
      <c r="F2941" s="17">
        <v>41883</v>
      </c>
      <c r="G2941" s="16" t="s">
        <v>415</v>
      </c>
      <c r="H2941" s="16">
        <v>0.17730000000000001</v>
      </c>
      <c r="I2941" s="16">
        <v>0.17730000000000001</v>
      </c>
      <c r="J2941" s="16">
        <v>0.17730000000000001</v>
      </c>
      <c r="K2941" s="16">
        <v>0.17730000000000001</v>
      </c>
      <c r="L2941" s="16">
        <v>0.17730000000000001</v>
      </c>
      <c r="M2941" s="16">
        <v>0.17730000000000001</v>
      </c>
      <c r="N2941" s="16">
        <v>0.17730000000000001</v>
      </c>
      <c r="O2941" s="16">
        <v>0.17730000000000001</v>
      </c>
      <c r="P2941" s="16">
        <v>0.5</v>
      </c>
      <c r="Q2941" s="16">
        <v>0.5</v>
      </c>
      <c r="R2941" s="16">
        <v>0.5</v>
      </c>
      <c r="S2941" s="16">
        <v>0.5</v>
      </c>
      <c r="T2941" s="16">
        <v>0.5</v>
      </c>
      <c r="U2941" s="16">
        <v>0.5</v>
      </c>
      <c r="V2941" s="16">
        <v>0.5</v>
      </c>
      <c r="W2941" s="16">
        <v>0.5</v>
      </c>
      <c r="X2941" s="16">
        <v>0.5</v>
      </c>
      <c r="Y2941" s="16">
        <v>0.5</v>
      </c>
      <c r="Z2941" s="16">
        <v>0.5</v>
      </c>
      <c r="AA2941" s="16">
        <v>0.5</v>
      </c>
      <c r="AB2941" s="16">
        <v>0.17730000000000001</v>
      </c>
      <c r="AC2941" s="16">
        <v>0.17730000000000001</v>
      </c>
      <c r="AD2941" s="16">
        <v>0.17730000000000001</v>
      </c>
      <c r="AE2941" s="16">
        <v>0.17730000000000001</v>
      </c>
      <c r="AF2941" s="16" t="s">
        <v>413</v>
      </c>
    </row>
    <row r="2942" spans="1:32" ht="14.25" customHeight="1" x14ac:dyDescent="0.35">
      <c r="A2942" s="16" t="s">
        <v>1841</v>
      </c>
      <c r="B2942" s="16" t="s">
        <v>424</v>
      </c>
      <c r="C2942" s="16"/>
      <c r="D2942" s="16" t="s">
        <v>429</v>
      </c>
      <c r="E2942" s="17">
        <v>41640</v>
      </c>
      <c r="F2942" s="17">
        <v>41820</v>
      </c>
      <c r="G2942" s="16" t="s">
        <v>415</v>
      </c>
      <c r="H2942" s="16">
        <v>0.17730000000000001</v>
      </c>
      <c r="I2942" s="16">
        <v>0.17730000000000001</v>
      </c>
      <c r="J2942" s="16">
        <v>0.17730000000000001</v>
      </c>
      <c r="K2942" s="16">
        <v>0.17730000000000001</v>
      </c>
      <c r="L2942" s="16">
        <v>0.17730000000000001</v>
      </c>
      <c r="M2942" s="16">
        <v>0.17730000000000001</v>
      </c>
      <c r="N2942" s="16">
        <v>0.17730000000000001</v>
      </c>
      <c r="O2942" s="16">
        <v>0.9</v>
      </c>
      <c r="P2942" s="16">
        <v>0.9</v>
      </c>
      <c r="Q2942" s="16">
        <v>0.9</v>
      </c>
      <c r="R2942" s="16">
        <v>0.9</v>
      </c>
      <c r="S2942" s="16">
        <v>0.9</v>
      </c>
      <c r="T2942" s="16">
        <v>0.9</v>
      </c>
      <c r="U2942" s="16">
        <v>0.9</v>
      </c>
      <c r="V2942" s="16">
        <v>0.9</v>
      </c>
      <c r="W2942" s="16">
        <v>0.9</v>
      </c>
      <c r="X2942" s="16">
        <v>0.9</v>
      </c>
      <c r="Y2942" s="16">
        <v>0.9</v>
      </c>
      <c r="Z2942" s="16">
        <v>0.9</v>
      </c>
      <c r="AA2942" s="16">
        <v>0.9</v>
      </c>
      <c r="AB2942" s="16">
        <v>0.9</v>
      </c>
      <c r="AC2942" s="16">
        <v>0.17730000000000001</v>
      </c>
      <c r="AD2942" s="16">
        <v>0.17730000000000001</v>
      </c>
      <c r="AE2942" s="16">
        <v>0.17730000000000001</v>
      </c>
      <c r="AF2942" s="16" t="s">
        <v>413</v>
      </c>
    </row>
    <row r="2943" spans="1:32" ht="14.25" customHeight="1" x14ac:dyDescent="0.35">
      <c r="A2943" s="14" t="s">
        <v>1841</v>
      </c>
      <c r="B2943" s="14" t="s">
        <v>424</v>
      </c>
      <c r="C2943" s="14"/>
      <c r="D2943" s="14" t="s">
        <v>530</v>
      </c>
      <c r="E2943" s="15">
        <v>41821</v>
      </c>
      <c r="F2943" s="15">
        <v>41883</v>
      </c>
      <c r="G2943" s="14" t="s">
        <v>410</v>
      </c>
      <c r="H2943" s="14">
        <v>0.17730000000000001</v>
      </c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 t="s">
        <v>413</v>
      </c>
    </row>
    <row r="2944" spans="1:32" ht="14.25" customHeight="1" x14ac:dyDescent="0.35">
      <c r="A2944" s="14" t="s">
        <v>1841</v>
      </c>
      <c r="B2944" s="14" t="s">
        <v>424</v>
      </c>
      <c r="C2944" s="14"/>
      <c r="D2944" s="14" t="s">
        <v>530</v>
      </c>
      <c r="E2944" s="15">
        <v>41640</v>
      </c>
      <c r="F2944" s="15">
        <v>41820</v>
      </c>
      <c r="G2944" s="14" t="s">
        <v>410</v>
      </c>
      <c r="H2944" s="14">
        <v>0.17730000000000001</v>
      </c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S2944" s="14"/>
      <c r="T2944" s="14"/>
      <c r="U2944" s="14"/>
      <c r="V2944" s="14"/>
      <c r="W2944" s="14"/>
      <c r="X2944" s="14"/>
      <c r="Y2944" s="14"/>
      <c r="Z2944" s="14"/>
      <c r="AA2944" s="14"/>
      <c r="AB2944" s="14"/>
      <c r="AC2944" s="14"/>
      <c r="AD2944" s="14"/>
      <c r="AE2944" s="14"/>
      <c r="AF2944" s="14" t="s">
        <v>413</v>
      </c>
    </row>
    <row r="2945" spans="1:32" ht="14.25" customHeight="1" x14ac:dyDescent="0.35">
      <c r="A2945" s="16" t="s">
        <v>1841</v>
      </c>
      <c r="B2945" s="16" t="s">
        <v>424</v>
      </c>
      <c r="C2945" s="16"/>
      <c r="D2945" s="16" t="s">
        <v>418</v>
      </c>
      <c r="E2945" s="17">
        <v>41640</v>
      </c>
      <c r="F2945" s="17">
        <v>42004</v>
      </c>
      <c r="G2945" s="16" t="s">
        <v>410</v>
      </c>
      <c r="H2945" s="16">
        <v>0</v>
      </c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/>
      <c r="AD2945" s="16"/>
      <c r="AE2945" s="16"/>
      <c r="AF2945" s="16" t="s">
        <v>413</v>
      </c>
    </row>
    <row r="2946" spans="1:32" ht="14.25" customHeight="1" x14ac:dyDescent="0.35">
      <c r="A2946" s="14" t="s">
        <v>1842</v>
      </c>
      <c r="B2946" s="14" t="s">
        <v>424</v>
      </c>
      <c r="C2946" s="14"/>
      <c r="D2946" s="14" t="s">
        <v>417</v>
      </c>
      <c r="E2946" s="15">
        <v>41640</v>
      </c>
      <c r="F2946" s="15">
        <v>42004</v>
      </c>
      <c r="G2946" s="14" t="s">
        <v>410</v>
      </c>
      <c r="H2946" s="14">
        <v>0.17730000000000001</v>
      </c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F2946" s="14" t="s">
        <v>413</v>
      </c>
    </row>
    <row r="2947" spans="1:32" ht="14.25" customHeight="1" x14ac:dyDescent="0.35">
      <c r="A2947" s="14" t="s">
        <v>1842</v>
      </c>
      <c r="B2947" s="14" t="s">
        <v>424</v>
      </c>
      <c r="C2947" s="14"/>
      <c r="D2947" s="14" t="s">
        <v>419</v>
      </c>
      <c r="E2947" s="15">
        <v>41640</v>
      </c>
      <c r="F2947" s="15">
        <v>42004</v>
      </c>
      <c r="G2947" s="14" t="s">
        <v>410</v>
      </c>
      <c r="H2947" s="14">
        <v>1</v>
      </c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S2947" s="14"/>
      <c r="T2947" s="14"/>
      <c r="U2947" s="14"/>
      <c r="V2947" s="14"/>
      <c r="W2947" s="14"/>
      <c r="X2947" s="14"/>
      <c r="Y2947" s="14"/>
      <c r="Z2947" s="14"/>
      <c r="AA2947" s="14"/>
      <c r="AB2947" s="14"/>
      <c r="AC2947" s="14"/>
      <c r="AD2947" s="14"/>
      <c r="AE2947" s="14"/>
      <c r="AF2947" s="14" t="s">
        <v>413</v>
      </c>
    </row>
    <row r="2948" spans="1:32" ht="14.25" customHeight="1" x14ac:dyDescent="0.35">
      <c r="A2948" s="16" t="s">
        <v>1842</v>
      </c>
      <c r="B2948" s="16" t="s">
        <v>424</v>
      </c>
      <c r="C2948" s="16"/>
      <c r="D2948" s="16" t="s">
        <v>429</v>
      </c>
      <c r="E2948" s="17">
        <v>41883</v>
      </c>
      <c r="F2948" s="17">
        <v>42004</v>
      </c>
      <c r="G2948" s="16" t="s">
        <v>415</v>
      </c>
      <c r="H2948" s="16">
        <v>0.17730000000000001</v>
      </c>
      <c r="I2948" s="16">
        <v>0.17730000000000001</v>
      </c>
      <c r="J2948" s="16">
        <v>0.17730000000000001</v>
      </c>
      <c r="K2948" s="16">
        <v>0.17730000000000001</v>
      </c>
      <c r="L2948" s="16">
        <v>0.17730000000000001</v>
      </c>
      <c r="M2948" s="16">
        <v>0.17730000000000001</v>
      </c>
      <c r="N2948" s="16">
        <v>0.17730000000000001</v>
      </c>
      <c r="O2948" s="16">
        <v>0.9</v>
      </c>
      <c r="P2948" s="16">
        <v>0.9</v>
      </c>
      <c r="Q2948" s="16">
        <v>0.9</v>
      </c>
      <c r="R2948" s="16">
        <v>0.9</v>
      </c>
      <c r="S2948" s="16">
        <v>0.9</v>
      </c>
      <c r="T2948" s="16">
        <v>0.9</v>
      </c>
      <c r="U2948" s="16">
        <v>0.9</v>
      </c>
      <c r="V2948" s="16">
        <v>0.9</v>
      </c>
      <c r="W2948" s="16">
        <v>0.9</v>
      </c>
      <c r="X2948" s="16">
        <v>0.9</v>
      </c>
      <c r="Y2948" s="16">
        <v>0.9</v>
      </c>
      <c r="Z2948" s="16">
        <v>0.9</v>
      </c>
      <c r="AA2948" s="16">
        <v>0.9</v>
      </c>
      <c r="AB2948" s="16">
        <v>0.9</v>
      </c>
      <c r="AC2948" s="16">
        <v>0.17730000000000001</v>
      </c>
      <c r="AD2948" s="16">
        <v>0.17730000000000001</v>
      </c>
      <c r="AE2948" s="16">
        <v>0.17730000000000001</v>
      </c>
      <c r="AF2948" s="16" t="s">
        <v>413</v>
      </c>
    </row>
    <row r="2949" spans="1:32" ht="14.25" customHeight="1" x14ac:dyDescent="0.35">
      <c r="A2949" s="16" t="s">
        <v>1842</v>
      </c>
      <c r="B2949" s="16" t="s">
        <v>424</v>
      </c>
      <c r="C2949" s="16"/>
      <c r="D2949" s="16" t="s">
        <v>429</v>
      </c>
      <c r="E2949" s="17">
        <v>41821</v>
      </c>
      <c r="F2949" s="17">
        <v>41883</v>
      </c>
      <c r="G2949" s="16" t="s">
        <v>415</v>
      </c>
      <c r="H2949" s="16">
        <v>0.17730000000000001</v>
      </c>
      <c r="I2949" s="16">
        <v>0.17730000000000001</v>
      </c>
      <c r="J2949" s="16">
        <v>0.17730000000000001</v>
      </c>
      <c r="K2949" s="16">
        <v>0.17730000000000001</v>
      </c>
      <c r="L2949" s="16">
        <v>0.17730000000000001</v>
      </c>
      <c r="M2949" s="16">
        <v>0.17730000000000001</v>
      </c>
      <c r="N2949" s="16">
        <v>0.17730000000000001</v>
      </c>
      <c r="O2949" s="16">
        <v>0.17730000000000001</v>
      </c>
      <c r="P2949" s="16">
        <v>0.5</v>
      </c>
      <c r="Q2949" s="16">
        <v>0.5</v>
      </c>
      <c r="R2949" s="16">
        <v>0.5</v>
      </c>
      <c r="S2949" s="16">
        <v>0.5</v>
      </c>
      <c r="T2949" s="16">
        <v>0.5</v>
      </c>
      <c r="U2949" s="16">
        <v>0.5</v>
      </c>
      <c r="V2949" s="16">
        <v>0.5</v>
      </c>
      <c r="W2949" s="16">
        <v>0.5</v>
      </c>
      <c r="X2949" s="16">
        <v>0.5</v>
      </c>
      <c r="Y2949" s="16">
        <v>0.5</v>
      </c>
      <c r="Z2949" s="16">
        <v>0.5</v>
      </c>
      <c r="AA2949" s="16">
        <v>0.5</v>
      </c>
      <c r="AB2949" s="16">
        <v>0.17730000000000001</v>
      </c>
      <c r="AC2949" s="16">
        <v>0.17730000000000001</v>
      </c>
      <c r="AD2949" s="16">
        <v>0.17730000000000001</v>
      </c>
      <c r="AE2949" s="16">
        <v>0.17730000000000001</v>
      </c>
      <c r="AF2949" s="16" t="s">
        <v>413</v>
      </c>
    </row>
    <row r="2950" spans="1:32" ht="14.25" customHeight="1" x14ac:dyDescent="0.35">
      <c r="A2950" s="16" t="s">
        <v>1842</v>
      </c>
      <c r="B2950" s="16" t="s">
        <v>424</v>
      </c>
      <c r="C2950" s="16"/>
      <c r="D2950" s="16" t="s">
        <v>429</v>
      </c>
      <c r="E2950" s="17">
        <v>41640</v>
      </c>
      <c r="F2950" s="17">
        <v>41820</v>
      </c>
      <c r="G2950" s="16" t="s">
        <v>415</v>
      </c>
      <c r="H2950" s="16">
        <v>0.17730000000000001</v>
      </c>
      <c r="I2950" s="16">
        <v>0.17730000000000001</v>
      </c>
      <c r="J2950" s="16">
        <v>0.17730000000000001</v>
      </c>
      <c r="K2950" s="16">
        <v>0.17730000000000001</v>
      </c>
      <c r="L2950" s="16">
        <v>0.17730000000000001</v>
      </c>
      <c r="M2950" s="16">
        <v>0.17730000000000001</v>
      </c>
      <c r="N2950" s="16">
        <v>0.17730000000000001</v>
      </c>
      <c r="O2950" s="16">
        <v>0.9</v>
      </c>
      <c r="P2950" s="16">
        <v>0.9</v>
      </c>
      <c r="Q2950" s="16">
        <v>0.9</v>
      </c>
      <c r="R2950" s="16">
        <v>0.9</v>
      </c>
      <c r="S2950" s="16">
        <v>0.9</v>
      </c>
      <c r="T2950" s="16">
        <v>0.9</v>
      </c>
      <c r="U2950" s="16">
        <v>0.9</v>
      </c>
      <c r="V2950" s="16">
        <v>0.9</v>
      </c>
      <c r="W2950" s="16">
        <v>0.9</v>
      </c>
      <c r="X2950" s="16">
        <v>0.9</v>
      </c>
      <c r="Y2950" s="16">
        <v>0.9</v>
      </c>
      <c r="Z2950" s="16">
        <v>0.9</v>
      </c>
      <c r="AA2950" s="16">
        <v>0.9</v>
      </c>
      <c r="AB2950" s="16">
        <v>0.9</v>
      </c>
      <c r="AC2950" s="16">
        <v>0.17730000000000001</v>
      </c>
      <c r="AD2950" s="16">
        <v>0.17730000000000001</v>
      </c>
      <c r="AE2950" s="16">
        <v>0.17730000000000001</v>
      </c>
      <c r="AF2950" s="16" t="s">
        <v>413</v>
      </c>
    </row>
    <row r="2951" spans="1:32" ht="14.25" customHeight="1" x14ac:dyDescent="0.35">
      <c r="A2951" s="14" t="s">
        <v>1842</v>
      </c>
      <c r="B2951" s="14" t="s">
        <v>424</v>
      </c>
      <c r="C2951" s="14"/>
      <c r="D2951" s="14" t="s">
        <v>530</v>
      </c>
      <c r="E2951" s="15">
        <v>41821</v>
      </c>
      <c r="F2951" s="15">
        <v>41883</v>
      </c>
      <c r="G2951" s="14" t="s">
        <v>410</v>
      </c>
      <c r="H2951" s="14">
        <v>0.17730000000000001</v>
      </c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  <c r="U2951" s="14"/>
      <c r="V2951" s="14"/>
      <c r="W2951" s="14"/>
      <c r="X2951" s="14"/>
      <c r="Y2951" s="14"/>
      <c r="Z2951" s="14"/>
      <c r="AA2951" s="14"/>
      <c r="AB2951" s="14"/>
      <c r="AC2951" s="14"/>
      <c r="AD2951" s="14"/>
      <c r="AE2951" s="14"/>
      <c r="AF2951" s="14" t="s">
        <v>413</v>
      </c>
    </row>
    <row r="2952" spans="1:32" ht="14.25" customHeight="1" x14ac:dyDescent="0.35">
      <c r="A2952" s="14" t="s">
        <v>1842</v>
      </c>
      <c r="B2952" s="14" t="s">
        <v>424</v>
      </c>
      <c r="C2952" s="14"/>
      <c r="D2952" s="14" t="s">
        <v>530</v>
      </c>
      <c r="E2952" s="15">
        <v>41640</v>
      </c>
      <c r="F2952" s="15">
        <v>41820</v>
      </c>
      <c r="G2952" s="14" t="s">
        <v>410</v>
      </c>
      <c r="H2952" s="14">
        <v>0.17730000000000001</v>
      </c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  <c r="U2952" s="14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 t="s">
        <v>413</v>
      </c>
    </row>
    <row r="2953" spans="1:32" ht="14.25" customHeight="1" x14ac:dyDescent="0.35">
      <c r="A2953" s="16" t="s">
        <v>1842</v>
      </c>
      <c r="B2953" s="16" t="s">
        <v>424</v>
      </c>
      <c r="C2953" s="16"/>
      <c r="D2953" s="16" t="s">
        <v>418</v>
      </c>
      <c r="E2953" s="17">
        <v>41640</v>
      </c>
      <c r="F2953" s="17">
        <v>42004</v>
      </c>
      <c r="G2953" s="16" t="s">
        <v>410</v>
      </c>
      <c r="H2953" s="16">
        <v>0</v>
      </c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 t="s">
        <v>413</v>
      </c>
    </row>
    <row r="2954" spans="1:32" ht="14.25" customHeight="1" x14ac:dyDescent="0.35">
      <c r="A2954" s="14" t="s">
        <v>1843</v>
      </c>
      <c r="B2954" s="14" t="s">
        <v>424</v>
      </c>
      <c r="C2954" s="14"/>
      <c r="D2954" s="14" t="s">
        <v>417</v>
      </c>
      <c r="E2954" s="15">
        <v>41640</v>
      </c>
      <c r="F2954" s="15">
        <v>42004</v>
      </c>
      <c r="G2954" s="14" t="s">
        <v>410</v>
      </c>
      <c r="H2954" s="14">
        <v>0.17730000000000001</v>
      </c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 t="s">
        <v>413</v>
      </c>
    </row>
    <row r="2955" spans="1:32" ht="14.25" customHeight="1" x14ac:dyDescent="0.35">
      <c r="A2955" s="14" t="s">
        <v>1843</v>
      </c>
      <c r="B2955" s="14" t="s">
        <v>424</v>
      </c>
      <c r="C2955" s="14"/>
      <c r="D2955" s="14" t="s">
        <v>419</v>
      </c>
      <c r="E2955" s="15">
        <v>41640</v>
      </c>
      <c r="F2955" s="15">
        <v>42004</v>
      </c>
      <c r="G2955" s="14" t="s">
        <v>410</v>
      </c>
      <c r="H2955" s="14">
        <v>1</v>
      </c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  <c r="U2955" s="14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F2955" s="14" t="s">
        <v>413</v>
      </c>
    </row>
    <row r="2956" spans="1:32" ht="14.25" customHeight="1" x14ac:dyDescent="0.35">
      <c r="A2956" s="16" t="s">
        <v>1843</v>
      </c>
      <c r="B2956" s="16" t="s">
        <v>424</v>
      </c>
      <c r="C2956" s="16"/>
      <c r="D2956" s="16" t="s">
        <v>429</v>
      </c>
      <c r="E2956" s="17">
        <v>41883</v>
      </c>
      <c r="F2956" s="17">
        <v>42004</v>
      </c>
      <c r="G2956" s="16" t="s">
        <v>415</v>
      </c>
      <c r="H2956" s="16">
        <v>0.17730000000000001</v>
      </c>
      <c r="I2956" s="16">
        <v>0.17730000000000001</v>
      </c>
      <c r="J2956" s="16">
        <v>0.17730000000000001</v>
      </c>
      <c r="K2956" s="16">
        <v>0.17730000000000001</v>
      </c>
      <c r="L2956" s="16">
        <v>0.17730000000000001</v>
      </c>
      <c r="M2956" s="16">
        <v>0.17730000000000001</v>
      </c>
      <c r="N2956" s="16">
        <v>0.17730000000000001</v>
      </c>
      <c r="O2956" s="16">
        <v>0.9</v>
      </c>
      <c r="P2956" s="16">
        <v>0.9</v>
      </c>
      <c r="Q2956" s="16">
        <v>0.9</v>
      </c>
      <c r="R2956" s="16">
        <v>0.9</v>
      </c>
      <c r="S2956" s="16">
        <v>0.9</v>
      </c>
      <c r="T2956" s="16">
        <v>0.9</v>
      </c>
      <c r="U2956" s="16">
        <v>0.9</v>
      </c>
      <c r="V2956" s="16">
        <v>0.9</v>
      </c>
      <c r="W2956" s="16">
        <v>0.9</v>
      </c>
      <c r="X2956" s="16">
        <v>0.9</v>
      </c>
      <c r="Y2956" s="16">
        <v>0.9</v>
      </c>
      <c r="Z2956" s="16">
        <v>0.9</v>
      </c>
      <c r="AA2956" s="16">
        <v>0.9</v>
      </c>
      <c r="AB2956" s="16">
        <v>0.9</v>
      </c>
      <c r="AC2956" s="16">
        <v>0.17730000000000001</v>
      </c>
      <c r="AD2956" s="16">
        <v>0.17730000000000001</v>
      </c>
      <c r="AE2956" s="16">
        <v>0.17730000000000001</v>
      </c>
      <c r="AF2956" s="16" t="s">
        <v>413</v>
      </c>
    </row>
    <row r="2957" spans="1:32" ht="14.25" customHeight="1" x14ac:dyDescent="0.35">
      <c r="A2957" s="16" t="s">
        <v>1843</v>
      </c>
      <c r="B2957" s="16" t="s">
        <v>424</v>
      </c>
      <c r="C2957" s="16"/>
      <c r="D2957" s="16" t="s">
        <v>429</v>
      </c>
      <c r="E2957" s="17">
        <v>41821</v>
      </c>
      <c r="F2957" s="17">
        <v>41883</v>
      </c>
      <c r="G2957" s="16" t="s">
        <v>415</v>
      </c>
      <c r="H2957" s="16">
        <v>0.17730000000000001</v>
      </c>
      <c r="I2957" s="16">
        <v>0.17730000000000001</v>
      </c>
      <c r="J2957" s="16">
        <v>0.17730000000000001</v>
      </c>
      <c r="K2957" s="16">
        <v>0.17730000000000001</v>
      </c>
      <c r="L2957" s="16">
        <v>0.17730000000000001</v>
      </c>
      <c r="M2957" s="16">
        <v>0.17730000000000001</v>
      </c>
      <c r="N2957" s="16">
        <v>0.17730000000000001</v>
      </c>
      <c r="O2957" s="16">
        <v>0.17730000000000001</v>
      </c>
      <c r="P2957" s="16">
        <v>0.5</v>
      </c>
      <c r="Q2957" s="16">
        <v>0.5</v>
      </c>
      <c r="R2957" s="16">
        <v>0.5</v>
      </c>
      <c r="S2957" s="16">
        <v>0.5</v>
      </c>
      <c r="T2957" s="16">
        <v>0.5</v>
      </c>
      <c r="U2957" s="16">
        <v>0.5</v>
      </c>
      <c r="V2957" s="16">
        <v>0.5</v>
      </c>
      <c r="W2957" s="16">
        <v>0.5</v>
      </c>
      <c r="X2957" s="16">
        <v>0.5</v>
      </c>
      <c r="Y2957" s="16">
        <v>0.5</v>
      </c>
      <c r="Z2957" s="16">
        <v>0.5</v>
      </c>
      <c r="AA2957" s="16">
        <v>0.5</v>
      </c>
      <c r="AB2957" s="16">
        <v>0.17730000000000001</v>
      </c>
      <c r="AC2957" s="16">
        <v>0.17730000000000001</v>
      </c>
      <c r="AD2957" s="16">
        <v>0.17730000000000001</v>
      </c>
      <c r="AE2957" s="16">
        <v>0.17730000000000001</v>
      </c>
      <c r="AF2957" s="16" t="s">
        <v>413</v>
      </c>
    </row>
    <row r="2958" spans="1:32" ht="14.25" customHeight="1" x14ac:dyDescent="0.35">
      <c r="A2958" s="16" t="s">
        <v>1843</v>
      </c>
      <c r="B2958" s="16" t="s">
        <v>424</v>
      </c>
      <c r="C2958" s="16"/>
      <c r="D2958" s="16" t="s">
        <v>429</v>
      </c>
      <c r="E2958" s="17">
        <v>41640</v>
      </c>
      <c r="F2958" s="17">
        <v>41820</v>
      </c>
      <c r="G2958" s="16" t="s">
        <v>415</v>
      </c>
      <c r="H2958" s="16">
        <v>0.17730000000000001</v>
      </c>
      <c r="I2958" s="16">
        <v>0.17730000000000001</v>
      </c>
      <c r="J2958" s="16">
        <v>0.17730000000000001</v>
      </c>
      <c r="K2958" s="16">
        <v>0.17730000000000001</v>
      </c>
      <c r="L2958" s="16">
        <v>0.17730000000000001</v>
      </c>
      <c r="M2958" s="16">
        <v>0.17730000000000001</v>
      </c>
      <c r="N2958" s="16">
        <v>0.17730000000000001</v>
      </c>
      <c r="O2958" s="16">
        <v>0.9</v>
      </c>
      <c r="P2958" s="16">
        <v>0.9</v>
      </c>
      <c r="Q2958" s="16">
        <v>0.9</v>
      </c>
      <c r="R2958" s="16">
        <v>0.9</v>
      </c>
      <c r="S2958" s="16">
        <v>0.9</v>
      </c>
      <c r="T2958" s="16">
        <v>0.9</v>
      </c>
      <c r="U2958" s="16">
        <v>0.9</v>
      </c>
      <c r="V2958" s="16">
        <v>0.9</v>
      </c>
      <c r="W2958" s="16">
        <v>0.9</v>
      </c>
      <c r="X2958" s="16">
        <v>0.9</v>
      </c>
      <c r="Y2958" s="16">
        <v>0.9</v>
      </c>
      <c r="Z2958" s="16">
        <v>0.9</v>
      </c>
      <c r="AA2958" s="16">
        <v>0.9</v>
      </c>
      <c r="AB2958" s="16">
        <v>0.9</v>
      </c>
      <c r="AC2958" s="16">
        <v>0.17730000000000001</v>
      </c>
      <c r="AD2958" s="16">
        <v>0.17730000000000001</v>
      </c>
      <c r="AE2958" s="16">
        <v>0.17730000000000001</v>
      </c>
      <c r="AF2958" s="16" t="s">
        <v>413</v>
      </c>
    </row>
    <row r="2959" spans="1:32" ht="14.25" customHeight="1" x14ac:dyDescent="0.35">
      <c r="A2959" s="14" t="s">
        <v>1843</v>
      </c>
      <c r="B2959" s="14" t="s">
        <v>424</v>
      </c>
      <c r="C2959" s="14"/>
      <c r="D2959" s="14" t="s">
        <v>530</v>
      </c>
      <c r="E2959" s="15">
        <v>41821</v>
      </c>
      <c r="F2959" s="15">
        <v>41883</v>
      </c>
      <c r="G2959" s="14" t="s">
        <v>410</v>
      </c>
      <c r="H2959" s="14">
        <v>0.17730000000000001</v>
      </c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  <c r="U2959" s="14"/>
      <c r="V2959" s="14"/>
      <c r="W2959" s="14"/>
      <c r="X2959" s="14"/>
      <c r="Y2959" s="14"/>
      <c r="Z2959" s="14"/>
      <c r="AA2959" s="14"/>
      <c r="AB2959" s="14"/>
      <c r="AC2959" s="14"/>
      <c r="AD2959" s="14"/>
      <c r="AE2959" s="14"/>
      <c r="AF2959" s="14" t="s">
        <v>413</v>
      </c>
    </row>
    <row r="2960" spans="1:32" ht="14.25" customHeight="1" x14ac:dyDescent="0.35">
      <c r="A2960" s="14" t="s">
        <v>1843</v>
      </c>
      <c r="B2960" s="14" t="s">
        <v>424</v>
      </c>
      <c r="C2960" s="14"/>
      <c r="D2960" s="14" t="s">
        <v>530</v>
      </c>
      <c r="E2960" s="15">
        <v>41640</v>
      </c>
      <c r="F2960" s="15">
        <v>41820</v>
      </c>
      <c r="G2960" s="14" t="s">
        <v>410</v>
      </c>
      <c r="H2960" s="14">
        <v>0.17730000000000001</v>
      </c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 t="s">
        <v>413</v>
      </c>
    </row>
    <row r="2961" spans="1:32" ht="14.25" customHeight="1" x14ac:dyDescent="0.35">
      <c r="A2961" s="16" t="s">
        <v>1843</v>
      </c>
      <c r="B2961" s="16" t="s">
        <v>424</v>
      </c>
      <c r="C2961" s="16"/>
      <c r="D2961" s="16" t="s">
        <v>418</v>
      </c>
      <c r="E2961" s="17">
        <v>41640</v>
      </c>
      <c r="F2961" s="17">
        <v>42004</v>
      </c>
      <c r="G2961" s="16" t="s">
        <v>410</v>
      </c>
      <c r="H2961" s="16">
        <v>0</v>
      </c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6"/>
      <c r="AD2961" s="16"/>
      <c r="AE2961" s="16"/>
      <c r="AF2961" s="16" t="s">
        <v>413</v>
      </c>
    </row>
    <row r="2962" spans="1:32" ht="14.25" customHeight="1" x14ac:dyDescent="0.35">
      <c r="A2962" s="14" t="s">
        <v>1844</v>
      </c>
      <c r="B2962" s="14" t="s">
        <v>448</v>
      </c>
      <c r="C2962" s="14"/>
      <c r="D2962" s="14" t="s">
        <v>476</v>
      </c>
      <c r="E2962" s="15">
        <v>41640</v>
      </c>
      <c r="F2962" s="15">
        <v>42004</v>
      </c>
      <c r="G2962" s="14" t="s">
        <v>410</v>
      </c>
      <c r="H2962" s="14">
        <v>0</v>
      </c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S2962" s="14"/>
      <c r="T2962" s="14"/>
      <c r="U2962" s="14"/>
      <c r="V2962" s="14"/>
      <c r="W2962" s="14"/>
      <c r="X2962" s="14"/>
      <c r="Y2962" s="14"/>
      <c r="Z2962" s="14"/>
      <c r="AA2962" s="14"/>
      <c r="AB2962" s="14"/>
      <c r="AC2962" s="14"/>
      <c r="AD2962" s="14"/>
      <c r="AE2962" s="14"/>
      <c r="AF2962" s="14" t="s">
        <v>413</v>
      </c>
    </row>
    <row r="2963" spans="1:32" ht="14.25" customHeight="1" x14ac:dyDescent="0.35">
      <c r="A2963" s="16" t="s">
        <v>1844</v>
      </c>
      <c r="B2963" s="16" t="s">
        <v>448</v>
      </c>
      <c r="C2963" s="16"/>
      <c r="D2963" s="16" t="s">
        <v>419</v>
      </c>
      <c r="E2963" s="17">
        <v>41640</v>
      </c>
      <c r="F2963" s="17">
        <v>42004</v>
      </c>
      <c r="G2963" s="16" t="s">
        <v>415</v>
      </c>
      <c r="H2963" s="14">
        <v>0</v>
      </c>
      <c r="I2963" s="14">
        <v>0</v>
      </c>
      <c r="J2963" s="14">
        <v>0</v>
      </c>
      <c r="K2963" s="14">
        <v>0</v>
      </c>
      <c r="L2963" s="14">
        <v>0</v>
      </c>
      <c r="M2963" s="14">
        <v>0</v>
      </c>
      <c r="N2963" s="14">
        <v>0</v>
      </c>
      <c r="O2963" s="14">
        <v>0</v>
      </c>
      <c r="P2963" s="14">
        <v>0.15</v>
      </c>
      <c r="Q2963" s="14">
        <v>0.15</v>
      </c>
      <c r="R2963" s="14">
        <v>0.15</v>
      </c>
      <c r="S2963" s="14">
        <v>0.15</v>
      </c>
      <c r="T2963" s="14">
        <v>0.15</v>
      </c>
      <c r="U2963" s="14">
        <v>0.15</v>
      </c>
      <c r="V2963" s="14">
        <v>0.15</v>
      </c>
      <c r="W2963" s="14">
        <v>0.15</v>
      </c>
      <c r="X2963" s="14">
        <v>0.15</v>
      </c>
      <c r="Y2963" s="14">
        <v>0.15</v>
      </c>
      <c r="Z2963" s="14">
        <v>0.15</v>
      </c>
      <c r="AA2963" s="14">
        <v>0.15</v>
      </c>
      <c r="AB2963" s="14">
        <v>0.15</v>
      </c>
      <c r="AC2963" s="14">
        <v>0</v>
      </c>
      <c r="AD2963" s="14">
        <v>0</v>
      </c>
      <c r="AE2963" s="14">
        <v>0</v>
      </c>
      <c r="AF2963" s="16" t="s">
        <v>413</v>
      </c>
    </row>
    <row r="2964" spans="1:32" ht="14.25" customHeight="1" x14ac:dyDescent="0.35">
      <c r="A2964" s="14" t="s">
        <v>1844</v>
      </c>
      <c r="B2964" s="14" t="s">
        <v>448</v>
      </c>
      <c r="C2964" s="14"/>
      <c r="D2964" s="14" t="s">
        <v>429</v>
      </c>
      <c r="E2964" s="15">
        <v>41898</v>
      </c>
      <c r="F2964" s="15">
        <v>42004</v>
      </c>
      <c r="G2964" s="14" t="s">
        <v>415</v>
      </c>
      <c r="H2964" s="14">
        <v>0</v>
      </c>
      <c r="I2964" s="14">
        <v>0</v>
      </c>
      <c r="J2964" s="14">
        <v>0</v>
      </c>
      <c r="K2964" s="14">
        <v>0</v>
      </c>
      <c r="L2964" s="14">
        <v>0</v>
      </c>
      <c r="M2964" s="14">
        <v>0</v>
      </c>
      <c r="N2964" s="14">
        <v>0</v>
      </c>
      <c r="O2964" s="14">
        <v>0</v>
      </c>
      <c r="P2964" s="14">
        <v>0.95</v>
      </c>
      <c r="Q2964" s="14">
        <v>0.95</v>
      </c>
      <c r="R2964" s="14">
        <v>0.95</v>
      </c>
      <c r="S2964" s="14">
        <v>0.95</v>
      </c>
      <c r="T2964" s="14">
        <v>0.95</v>
      </c>
      <c r="U2964" s="14">
        <v>0.95</v>
      </c>
      <c r="V2964" s="14">
        <v>0.95</v>
      </c>
      <c r="W2964" s="14">
        <v>0.95</v>
      </c>
      <c r="X2964" s="14">
        <v>0.15</v>
      </c>
      <c r="Y2964" s="14">
        <v>0.15</v>
      </c>
      <c r="Z2964" s="14">
        <v>0.15</v>
      </c>
      <c r="AA2964" s="14">
        <v>0.15</v>
      </c>
      <c r="AB2964" s="14">
        <v>0.15</v>
      </c>
      <c r="AC2964" s="14">
        <v>0</v>
      </c>
      <c r="AD2964" s="14">
        <v>0</v>
      </c>
      <c r="AE2964" s="14">
        <v>0</v>
      </c>
      <c r="AF2964" s="14" t="s">
        <v>413</v>
      </c>
    </row>
    <row r="2965" spans="1:32" ht="14.25" customHeight="1" x14ac:dyDescent="0.35">
      <c r="A2965" s="14" t="s">
        <v>1844</v>
      </c>
      <c r="B2965" s="14" t="s">
        <v>448</v>
      </c>
      <c r="C2965" s="14"/>
      <c r="D2965" s="14" t="s">
        <v>429</v>
      </c>
      <c r="E2965" s="15">
        <v>41806</v>
      </c>
      <c r="F2965" s="15">
        <v>41897</v>
      </c>
      <c r="G2965" s="14" t="s">
        <v>415</v>
      </c>
      <c r="H2965" s="14">
        <v>0</v>
      </c>
      <c r="I2965" s="14">
        <v>0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0.15</v>
      </c>
      <c r="Q2965" s="14">
        <v>0.15</v>
      </c>
      <c r="R2965" s="14">
        <v>0.15</v>
      </c>
      <c r="S2965" s="14">
        <v>0.15</v>
      </c>
      <c r="T2965" s="14">
        <v>0.15</v>
      </c>
      <c r="U2965" s="14">
        <v>0.15</v>
      </c>
      <c r="V2965" s="14">
        <v>0.15</v>
      </c>
      <c r="W2965" s="14">
        <v>0.15</v>
      </c>
      <c r="X2965" s="14">
        <v>0.15</v>
      </c>
      <c r="Y2965" s="14">
        <v>0.15</v>
      </c>
      <c r="Z2965" s="14">
        <v>0.15</v>
      </c>
      <c r="AA2965" s="14">
        <v>0.15</v>
      </c>
      <c r="AB2965" s="14">
        <v>0.15</v>
      </c>
      <c r="AC2965" s="14">
        <v>0</v>
      </c>
      <c r="AD2965" s="14">
        <v>0</v>
      </c>
      <c r="AE2965" s="14">
        <v>0</v>
      </c>
      <c r="AF2965" s="14" t="s">
        <v>413</v>
      </c>
    </row>
    <row r="2966" spans="1:32" ht="14.25" customHeight="1" x14ac:dyDescent="0.35">
      <c r="A2966" s="14" t="s">
        <v>1844</v>
      </c>
      <c r="B2966" s="14" t="s">
        <v>448</v>
      </c>
      <c r="C2966" s="14"/>
      <c r="D2966" s="14" t="s">
        <v>429</v>
      </c>
      <c r="E2966" s="15">
        <v>41640</v>
      </c>
      <c r="F2966" s="15">
        <v>41805</v>
      </c>
      <c r="G2966" s="14" t="s">
        <v>415</v>
      </c>
      <c r="H2966" s="14">
        <v>0</v>
      </c>
      <c r="I2966" s="14">
        <v>0</v>
      </c>
      <c r="J2966" s="14">
        <v>0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0.95</v>
      </c>
      <c r="Q2966" s="14">
        <v>0.95</v>
      </c>
      <c r="R2966" s="14">
        <v>0.95</v>
      </c>
      <c r="S2966" s="14">
        <v>0.95</v>
      </c>
      <c r="T2966" s="14">
        <v>0.95</v>
      </c>
      <c r="U2966" s="14">
        <v>0.95</v>
      </c>
      <c r="V2966" s="14">
        <v>0.95</v>
      </c>
      <c r="W2966" s="14">
        <v>0.95</v>
      </c>
      <c r="X2966" s="14">
        <v>0.15</v>
      </c>
      <c r="Y2966" s="14">
        <v>0.15</v>
      </c>
      <c r="Z2966" s="14">
        <v>0.15</v>
      </c>
      <c r="AA2966" s="14">
        <v>0.15</v>
      </c>
      <c r="AB2966" s="14">
        <v>0.15</v>
      </c>
      <c r="AC2966" s="14">
        <v>0</v>
      </c>
      <c r="AD2966" s="14">
        <v>0</v>
      </c>
      <c r="AE2966" s="14">
        <v>0</v>
      </c>
      <c r="AF2966" s="14" t="s">
        <v>413</v>
      </c>
    </row>
    <row r="2967" spans="1:32" ht="14.25" customHeight="1" x14ac:dyDescent="0.35">
      <c r="A2967" s="16" t="s">
        <v>1844</v>
      </c>
      <c r="B2967" s="16" t="s">
        <v>448</v>
      </c>
      <c r="C2967" s="16"/>
      <c r="D2967" s="16" t="s">
        <v>530</v>
      </c>
      <c r="E2967" s="17">
        <v>41806</v>
      </c>
      <c r="F2967" s="17">
        <v>41897</v>
      </c>
      <c r="G2967" s="16" t="s">
        <v>410</v>
      </c>
      <c r="H2967" s="16">
        <v>0</v>
      </c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16"/>
      <c r="AA2967" s="16"/>
      <c r="AB2967" s="16"/>
      <c r="AC2967" s="16"/>
      <c r="AD2967" s="16"/>
      <c r="AE2967" s="16"/>
      <c r="AF2967" s="16" t="s">
        <v>413</v>
      </c>
    </row>
    <row r="2968" spans="1:32" ht="14.25" customHeight="1" x14ac:dyDescent="0.35">
      <c r="A2968" s="16" t="s">
        <v>1844</v>
      </c>
      <c r="B2968" s="16" t="s">
        <v>448</v>
      </c>
      <c r="C2968" s="16"/>
      <c r="D2968" s="16" t="s">
        <v>530</v>
      </c>
      <c r="E2968" s="17">
        <v>41640</v>
      </c>
      <c r="F2968" s="17">
        <v>41805</v>
      </c>
      <c r="G2968" s="16" t="s">
        <v>410</v>
      </c>
      <c r="H2968" s="16">
        <v>0</v>
      </c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6"/>
      <c r="AA2968" s="16"/>
      <c r="AB2968" s="16"/>
      <c r="AC2968" s="16"/>
      <c r="AD2968" s="16"/>
      <c r="AE2968" s="16"/>
      <c r="AF2968" s="16" t="s">
        <v>413</v>
      </c>
    </row>
    <row r="2969" spans="1:32" ht="14.25" customHeight="1" x14ac:dyDescent="0.35">
      <c r="A2969" s="16" t="s">
        <v>1845</v>
      </c>
      <c r="B2969" s="16" t="s">
        <v>448</v>
      </c>
      <c r="C2969" s="16"/>
      <c r="D2969" s="16" t="s">
        <v>476</v>
      </c>
      <c r="E2969" s="17">
        <v>41640</v>
      </c>
      <c r="F2969" s="17">
        <v>42004</v>
      </c>
      <c r="G2969" s="16" t="s">
        <v>410</v>
      </c>
      <c r="H2969" s="16">
        <v>0</v>
      </c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 t="s">
        <v>413</v>
      </c>
    </row>
    <row r="2970" spans="1:32" ht="14.25" customHeight="1" x14ac:dyDescent="0.35">
      <c r="A2970" s="14" t="s">
        <v>1845</v>
      </c>
      <c r="B2970" s="14" t="s">
        <v>448</v>
      </c>
      <c r="C2970" s="14"/>
      <c r="D2970" s="14" t="s">
        <v>419</v>
      </c>
      <c r="E2970" s="15">
        <v>41640</v>
      </c>
      <c r="F2970" s="15">
        <v>42004</v>
      </c>
      <c r="G2970" s="14" t="s">
        <v>415</v>
      </c>
      <c r="H2970" s="16">
        <v>0</v>
      </c>
      <c r="I2970" s="16">
        <v>0</v>
      </c>
      <c r="J2970" s="16">
        <v>0</v>
      </c>
      <c r="K2970" s="16">
        <v>0</v>
      </c>
      <c r="L2970" s="16">
        <v>0</v>
      </c>
      <c r="M2970" s="16">
        <v>0</v>
      </c>
      <c r="N2970" s="16">
        <v>0</v>
      </c>
      <c r="O2970" s="16">
        <v>0</v>
      </c>
      <c r="P2970" s="16">
        <v>0.15</v>
      </c>
      <c r="Q2970" s="16">
        <v>0.15</v>
      </c>
      <c r="R2970" s="16">
        <v>0.15</v>
      </c>
      <c r="S2970" s="16">
        <v>0.15</v>
      </c>
      <c r="T2970" s="16">
        <v>0.15</v>
      </c>
      <c r="U2970" s="16">
        <v>0.15</v>
      </c>
      <c r="V2970" s="16">
        <v>0.15</v>
      </c>
      <c r="W2970" s="16">
        <v>0.15</v>
      </c>
      <c r="X2970" s="16">
        <v>0.15</v>
      </c>
      <c r="Y2970" s="16">
        <v>0.35</v>
      </c>
      <c r="Z2970" s="16">
        <v>0.35</v>
      </c>
      <c r="AA2970" s="16">
        <v>0</v>
      </c>
      <c r="AB2970" s="16">
        <v>0</v>
      </c>
      <c r="AC2970" s="16">
        <v>0</v>
      </c>
      <c r="AD2970" s="16">
        <v>0</v>
      </c>
      <c r="AE2970" s="16">
        <v>0</v>
      </c>
      <c r="AF2970" s="14" t="s">
        <v>413</v>
      </c>
    </row>
    <row r="2971" spans="1:32" ht="14.25" customHeight="1" x14ac:dyDescent="0.35">
      <c r="A2971" s="16" t="s">
        <v>1845</v>
      </c>
      <c r="B2971" s="16" t="s">
        <v>448</v>
      </c>
      <c r="C2971" s="16"/>
      <c r="D2971" s="16" t="s">
        <v>429</v>
      </c>
      <c r="E2971" s="17">
        <v>41883</v>
      </c>
      <c r="F2971" s="17">
        <v>42004</v>
      </c>
      <c r="G2971" s="16" t="s">
        <v>415</v>
      </c>
      <c r="H2971" s="16">
        <v>0</v>
      </c>
      <c r="I2971" s="16">
        <v>0</v>
      </c>
      <c r="J2971" s="16">
        <v>0</v>
      </c>
      <c r="K2971" s="16">
        <v>0</v>
      </c>
      <c r="L2971" s="16">
        <v>0</v>
      </c>
      <c r="M2971" s="16">
        <v>0</v>
      </c>
      <c r="N2971" s="16">
        <v>0</v>
      </c>
      <c r="O2971" s="16">
        <v>0</v>
      </c>
      <c r="P2971" s="16">
        <v>0.25</v>
      </c>
      <c r="Q2971" s="16">
        <v>0.25</v>
      </c>
      <c r="R2971" s="16">
        <v>0.25</v>
      </c>
      <c r="S2971" s="16">
        <v>0.25</v>
      </c>
      <c r="T2971" s="16">
        <v>0.25</v>
      </c>
      <c r="U2971" s="16">
        <v>0.25</v>
      </c>
      <c r="V2971" s="16">
        <v>0.25</v>
      </c>
      <c r="W2971" s="16">
        <v>0.95</v>
      </c>
      <c r="X2971" s="16">
        <v>0.95</v>
      </c>
      <c r="Y2971" s="16">
        <v>0.95</v>
      </c>
      <c r="Z2971" s="16">
        <v>0.95</v>
      </c>
      <c r="AA2971" s="16">
        <v>0.95</v>
      </c>
      <c r="AB2971" s="16">
        <v>0</v>
      </c>
      <c r="AC2971" s="16">
        <v>0</v>
      </c>
      <c r="AD2971" s="16">
        <v>0</v>
      </c>
      <c r="AE2971" s="16">
        <v>0</v>
      </c>
      <c r="AF2971" s="16" t="s">
        <v>413</v>
      </c>
    </row>
    <row r="2972" spans="1:32" ht="14.25" customHeight="1" x14ac:dyDescent="0.35">
      <c r="A2972" s="16" t="s">
        <v>1845</v>
      </c>
      <c r="B2972" s="16" t="s">
        <v>448</v>
      </c>
      <c r="C2972" s="16"/>
      <c r="D2972" s="16" t="s">
        <v>429</v>
      </c>
      <c r="E2972" s="17">
        <v>41821</v>
      </c>
      <c r="F2972" s="17">
        <v>41883</v>
      </c>
      <c r="G2972" s="16" t="s">
        <v>415</v>
      </c>
      <c r="H2972" s="16">
        <v>0</v>
      </c>
      <c r="I2972" s="16">
        <v>0</v>
      </c>
      <c r="J2972" s="16">
        <v>0</v>
      </c>
      <c r="K2972" s="16">
        <v>0</v>
      </c>
      <c r="L2972" s="16">
        <v>0</v>
      </c>
      <c r="M2972" s="16">
        <v>0</v>
      </c>
      <c r="N2972" s="16">
        <v>0</v>
      </c>
      <c r="O2972" s="16">
        <v>0</v>
      </c>
      <c r="P2972" s="16">
        <v>0.15</v>
      </c>
      <c r="Q2972" s="16">
        <v>0.15</v>
      </c>
      <c r="R2972" s="16">
        <v>0.15</v>
      </c>
      <c r="S2972" s="16">
        <v>0.15</v>
      </c>
      <c r="T2972" s="16">
        <v>0.15</v>
      </c>
      <c r="U2972" s="16">
        <v>0.15</v>
      </c>
      <c r="V2972" s="16">
        <v>0.15</v>
      </c>
      <c r="W2972" s="16">
        <v>0.15</v>
      </c>
      <c r="X2972" s="16">
        <v>0.15</v>
      </c>
      <c r="Y2972" s="16">
        <v>0.35</v>
      </c>
      <c r="Z2972" s="16">
        <v>0.35</v>
      </c>
      <c r="AA2972" s="16">
        <v>0</v>
      </c>
      <c r="AB2972" s="16">
        <v>0</v>
      </c>
      <c r="AC2972" s="16">
        <v>0</v>
      </c>
      <c r="AD2972" s="16">
        <v>0</v>
      </c>
      <c r="AE2972" s="16">
        <v>0</v>
      </c>
      <c r="AF2972" s="16" t="s">
        <v>413</v>
      </c>
    </row>
    <row r="2973" spans="1:32" ht="14.25" customHeight="1" x14ac:dyDescent="0.35">
      <c r="A2973" s="16" t="s">
        <v>1845</v>
      </c>
      <c r="B2973" s="16" t="s">
        <v>448</v>
      </c>
      <c r="C2973" s="16"/>
      <c r="D2973" s="16" t="s">
        <v>429</v>
      </c>
      <c r="E2973" s="17">
        <v>41640</v>
      </c>
      <c r="F2973" s="17">
        <v>41820</v>
      </c>
      <c r="G2973" s="16" t="s">
        <v>415</v>
      </c>
      <c r="H2973" s="16">
        <v>0</v>
      </c>
      <c r="I2973" s="16">
        <v>0</v>
      </c>
      <c r="J2973" s="16">
        <v>0</v>
      </c>
      <c r="K2973" s="16">
        <v>0</v>
      </c>
      <c r="L2973" s="16">
        <v>0</v>
      </c>
      <c r="M2973" s="16">
        <v>0</v>
      </c>
      <c r="N2973" s="16">
        <v>0</v>
      </c>
      <c r="O2973" s="16">
        <v>0</v>
      </c>
      <c r="P2973" s="16">
        <v>0.25</v>
      </c>
      <c r="Q2973" s="16">
        <v>0.25</v>
      </c>
      <c r="R2973" s="16">
        <v>0.25</v>
      </c>
      <c r="S2973" s="16">
        <v>0.25</v>
      </c>
      <c r="T2973" s="16">
        <v>0.25</v>
      </c>
      <c r="U2973" s="16">
        <v>0.25</v>
      </c>
      <c r="V2973" s="16">
        <v>0.25</v>
      </c>
      <c r="W2973" s="16">
        <v>0.95</v>
      </c>
      <c r="X2973" s="16">
        <v>0.95</v>
      </c>
      <c r="Y2973" s="16">
        <v>0.95</v>
      </c>
      <c r="Z2973" s="16">
        <v>0.95</v>
      </c>
      <c r="AA2973" s="16">
        <v>0.95</v>
      </c>
      <c r="AB2973" s="16">
        <v>0</v>
      </c>
      <c r="AC2973" s="16">
        <v>0</v>
      </c>
      <c r="AD2973" s="16">
        <v>0</v>
      </c>
      <c r="AE2973" s="16">
        <v>0</v>
      </c>
      <c r="AF2973" s="16" t="s">
        <v>413</v>
      </c>
    </row>
    <row r="2974" spans="1:32" ht="14.25" customHeight="1" x14ac:dyDescent="0.35">
      <c r="A2974" s="14" t="s">
        <v>1845</v>
      </c>
      <c r="B2974" s="14" t="s">
        <v>448</v>
      </c>
      <c r="C2974" s="14"/>
      <c r="D2974" s="14" t="s">
        <v>530</v>
      </c>
      <c r="E2974" s="15">
        <v>41821</v>
      </c>
      <c r="F2974" s="15">
        <v>41883</v>
      </c>
      <c r="G2974" s="14" t="s">
        <v>410</v>
      </c>
      <c r="H2974" s="14">
        <v>0</v>
      </c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  <c r="U2974" s="14"/>
      <c r="V2974" s="14"/>
      <c r="W2974" s="14"/>
      <c r="X2974" s="14"/>
      <c r="Y2974" s="14"/>
      <c r="Z2974" s="14"/>
      <c r="AA2974" s="14"/>
      <c r="AB2974" s="14"/>
      <c r="AC2974" s="14"/>
      <c r="AD2974" s="14"/>
      <c r="AE2974" s="14"/>
      <c r="AF2974" s="14" t="s">
        <v>413</v>
      </c>
    </row>
    <row r="2975" spans="1:32" ht="14.25" customHeight="1" x14ac:dyDescent="0.35">
      <c r="A2975" s="14" t="s">
        <v>1845</v>
      </c>
      <c r="B2975" s="14" t="s">
        <v>448</v>
      </c>
      <c r="C2975" s="14"/>
      <c r="D2975" s="14" t="s">
        <v>530</v>
      </c>
      <c r="E2975" s="15">
        <v>41640</v>
      </c>
      <c r="F2975" s="15">
        <v>41820</v>
      </c>
      <c r="G2975" s="14" t="s">
        <v>410</v>
      </c>
      <c r="H2975" s="14">
        <v>0</v>
      </c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 t="s">
        <v>413</v>
      </c>
    </row>
    <row r="2976" spans="1:32" ht="14.25" customHeight="1" x14ac:dyDescent="0.35">
      <c r="A2976" s="14" t="s">
        <v>1846</v>
      </c>
      <c r="B2976" s="14" t="s">
        <v>448</v>
      </c>
      <c r="C2976" s="14"/>
      <c r="D2976" s="14" t="s">
        <v>476</v>
      </c>
      <c r="E2976" s="15">
        <v>41640</v>
      </c>
      <c r="F2976" s="15">
        <v>42004</v>
      </c>
      <c r="G2976" s="14" t="s">
        <v>410</v>
      </c>
      <c r="H2976" s="14">
        <v>0</v>
      </c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 t="s">
        <v>413</v>
      </c>
    </row>
    <row r="2977" spans="1:32" ht="14.25" customHeight="1" x14ac:dyDescent="0.35">
      <c r="A2977" s="16" t="s">
        <v>1846</v>
      </c>
      <c r="B2977" s="16" t="s">
        <v>448</v>
      </c>
      <c r="C2977" s="16"/>
      <c r="D2977" s="16" t="s">
        <v>419</v>
      </c>
      <c r="E2977" s="17">
        <v>41640</v>
      </c>
      <c r="F2977" s="17">
        <v>42004</v>
      </c>
      <c r="G2977" s="16" t="s">
        <v>415</v>
      </c>
      <c r="H2977" s="14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0.15</v>
      </c>
      <c r="R2977" s="14">
        <v>0.15</v>
      </c>
      <c r="S2977" s="14">
        <v>0.15</v>
      </c>
      <c r="T2977" s="14">
        <v>0.15</v>
      </c>
      <c r="U2977" s="14">
        <v>0.15</v>
      </c>
      <c r="V2977" s="14">
        <v>0.15</v>
      </c>
      <c r="W2977" s="14">
        <v>0.15</v>
      </c>
      <c r="X2977" s="14">
        <v>0.15</v>
      </c>
      <c r="Y2977" s="14">
        <v>0.35</v>
      </c>
      <c r="Z2977" s="14">
        <v>0.35</v>
      </c>
      <c r="AA2977" s="14">
        <v>0</v>
      </c>
      <c r="AB2977" s="14">
        <v>0</v>
      </c>
      <c r="AC2977" s="14">
        <v>0</v>
      </c>
      <c r="AD2977" s="14">
        <v>0</v>
      </c>
      <c r="AE2977" s="14">
        <v>0</v>
      </c>
      <c r="AF2977" s="16" t="s">
        <v>413</v>
      </c>
    </row>
    <row r="2978" spans="1:32" ht="14.25" customHeight="1" x14ac:dyDescent="0.35">
      <c r="A2978" s="14" t="s">
        <v>1846</v>
      </c>
      <c r="B2978" s="14" t="s">
        <v>448</v>
      </c>
      <c r="C2978" s="14"/>
      <c r="D2978" s="14" t="s">
        <v>429</v>
      </c>
      <c r="E2978" s="15">
        <v>41883</v>
      </c>
      <c r="F2978" s="15">
        <v>42004</v>
      </c>
      <c r="G2978" s="14" t="s">
        <v>415</v>
      </c>
      <c r="H2978" s="14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0.95</v>
      </c>
      <c r="R2978" s="14">
        <v>0.95</v>
      </c>
      <c r="S2978" s="14">
        <v>0.95</v>
      </c>
      <c r="T2978" s="14">
        <v>0.95</v>
      </c>
      <c r="U2978" s="14">
        <v>0.95</v>
      </c>
      <c r="V2978" s="14">
        <v>0.95</v>
      </c>
      <c r="W2978" s="14">
        <v>0.35</v>
      </c>
      <c r="X2978" s="14">
        <v>0.35</v>
      </c>
      <c r="Y2978" s="14">
        <v>0.35</v>
      </c>
      <c r="Z2978" s="14">
        <v>0.35</v>
      </c>
      <c r="AA2978" s="14">
        <v>0.35</v>
      </c>
      <c r="AB2978" s="14">
        <v>0</v>
      </c>
      <c r="AC2978" s="14">
        <v>0</v>
      </c>
      <c r="AD2978" s="14">
        <v>0</v>
      </c>
      <c r="AE2978" s="14">
        <v>0</v>
      </c>
      <c r="AF2978" s="14" t="s">
        <v>413</v>
      </c>
    </row>
    <row r="2979" spans="1:32" ht="14.25" customHeight="1" x14ac:dyDescent="0.35">
      <c r="A2979" s="14" t="s">
        <v>1846</v>
      </c>
      <c r="B2979" s="14" t="s">
        <v>448</v>
      </c>
      <c r="C2979" s="14"/>
      <c r="D2979" s="14" t="s">
        <v>429</v>
      </c>
      <c r="E2979" s="15">
        <v>41821</v>
      </c>
      <c r="F2979" s="15">
        <v>41883</v>
      </c>
      <c r="G2979" s="14" t="s">
        <v>415</v>
      </c>
      <c r="H2979" s="14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0.15</v>
      </c>
      <c r="R2979" s="14">
        <v>0.15</v>
      </c>
      <c r="S2979" s="14">
        <v>0.15</v>
      </c>
      <c r="T2979" s="14">
        <v>0.15</v>
      </c>
      <c r="U2979" s="14">
        <v>0.15</v>
      </c>
      <c r="V2979" s="14">
        <v>0.15</v>
      </c>
      <c r="W2979" s="14">
        <v>0.15</v>
      </c>
      <c r="X2979" s="14">
        <v>0.15</v>
      </c>
      <c r="Y2979" s="14">
        <v>0.35</v>
      </c>
      <c r="Z2979" s="14">
        <v>0.35</v>
      </c>
      <c r="AA2979" s="14">
        <v>0</v>
      </c>
      <c r="AB2979" s="14">
        <v>0</v>
      </c>
      <c r="AC2979" s="14">
        <v>0</v>
      </c>
      <c r="AD2979" s="14">
        <v>0</v>
      </c>
      <c r="AE2979" s="14">
        <v>0</v>
      </c>
      <c r="AF2979" s="14" t="s">
        <v>413</v>
      </c>
    </row>
    <row r="2980" spans="1:32" ht="14.25" customHeight="1" x14ac:dyDescent="0.35">
      <c r="A2980" s="14" t="s">
        <v>1846</v>
      </c>
      <c r="B2980" s="14" t="s">
        <v>448</v>
      </c>
      <c r="C2980" s="14"/>
      <c r="D2980" s="14" t="s">
        <v>429</v>
      </c>
      <c r="E2980" s="15">
        <v>41640</v>
      </c>
      <c r="F2980" s="15">
        <v>41820</v>
      </c>
      <c r="G2980" s="14" t="s">
        <v>415</v>
      </c>
      <c r="H2980" s="14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0.95</v>
      </c>
      <c r="R2980" s="14">
        <v>0.95</v>
      </c>
      <c r="S2980" s="14">
        <v>0.95</v>
      </c>
      <c r="T2980" s="14">
        <v>0.95</v>
      </c>
      <c r="U2980" s="14">
        <v>0.95</v>
      </c>
      <c r="V2980" s="14">
        <v>0.95</v>
      </c>
      <c r="W2980" s="14">
        <v>0.35</v>
      </c>
      <c r="X2980" s="14">
        <v>0.35</v>
      </c>
      <c r="Y2980" s="14">
        <v>0.35</v>
      </c>
      <c r="Z2980" s="14">
        <v>0.35</v>
      </c>
      <c r="AA2980" s="14">
        <v>0.35</v>
      </c>
      <c r="AB2980" s="14">
        <v>0</v>
      </c>
      <c r="AC2980" s="14">
        <v>0</v>
      </c>
      <c r="AD2980" s="14">
        <v>0</v>
      </c>
      <c r="AE2980" s="14">
        <v>0</v>
      </c>
      <c r="AF2980" s="14" t="s">
        <v>413</v>
      </c>
    </row>
    <row r="2981" spans="1:32" ht="14.25" customHeight="1" x14ac:dyDescent="0.35">
      <c r="A2981" s="16" t="s">
        <v>1846</v>
      </c>
      <c r="B2981" s="16" t="s">
        <v>448</v>
      </c>
      <c r="C2981" s="16"/>
      <c r="D2981" s="16" t="s">
        <v>530</v>
      </c>
      <c r="E2981" s="17">
        <v>41821</v>
      </c>
      <c r="F2981" s="17">
        <v>41883</v>
      </c>
      <c r="G2981" s="16" t="s">
        <v>410</v>
      </c>
      <c r="H2981" s="16">
        <v>0</v>
      </c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16"/>
      <c r="AA2981" s="16"/>
      <c r="AB2981" s="16"/>
      <c r="AC2981" s="16"/>
      <c r="AD2981" s="16"/>
      <c r="AE2981" s="16"/>
      <c r="AF2981" s="16" t="s">
        <v>413</v>
      </c>
    </row>
    <row r="2982" spans="1:32" ht="14.25" customHeight="1" x14ac:dyDescent="0.35">
      <c r="A2982" s="16" t="s">
        <v>1846</v>
      </c>
      <c r="B2982" s="16" t="s">
        <v>448</v>
      </c>
      <c r="C2982" s="16"/>
      <c r="D2982" s="16" t="s">
        <v>530</v>
      </c>
      <c r="E2982" s="17">
        <v>41640</v>
      </c>
      <c r="F2982" s="17">
        <v>41820</v>
      </c>
      <c r="G2982" s="16" t="s">
        <v>410</v>
      </c>
      <c r="H2982" s="16">
        <v>0</v>
      </c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6"/>
      <c r="AA2982" s="16"/>
      <c r="AB2982" s="16"/>
      <c r="AC2982" s="16"/>
      <c r="AD2982" s="16"/>
      <c r="AE2982" s="16"/>
      <c r="AF2982" s="16" t="s">
        <v>413</v>
      </c>
    </row>
    <row r="2983" spans="1:32" ht="14.25" customHeight="1" x14ac:dyDescent="0.35">
      <c r="A2983" s="16" t="s">
        <v>1847</v>
      </c>
      <c r="B2983" s="16" t="s">
        <v>448</v>
      </c>
      <c r="C2983" s="16"/>
      <c r="D2983" s="16" t="s">
        <v>476</v>
      </c>
      <c r="E2983" s="17">
        <v>41640</v>
      </c>
      <c r="F2983" s="17">
        <v>42004</v>
      </c>
      <c r="G2983" s="16" t="s">
        <v>410</v>
      </c>
      <c r="H2983" s="16">
        <v>0</v>
      </c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6"/>
      <c r="AA2983" s="16"/>
      <c r="AB2983" s="16"/>
      <c r="AC2983" s="16"/>
      <c r="AD2983" s="16"/>
      <c r="AE2983" s="16"/>
      <c r="AF2983" s="16" t="s">
        <v>413</v>
      </c>
    </row>
    <row r="2984" spans="1:32" ht="14.25" customHeight="1" x14ac:dyDescent="0.35">
      <c r="A2984" s="14" t="s">
        <v>1847</v>
      </c>
      <c r="B2984" s="14" t="s">
        <v>448</v>
      </c>
      <c r="C2984" s="14"/>
      <c r="D2984" s="14" t="s">
        <v>419</v>
      </c>
      <c r="E2984" s="15">
        <v>41640</v>
      </c>
      <c r="F2984" s="15">
        <v>42004</v>
      </c>
      <c r="G2984" s="14" t="s">
        <v>415</v>
      </c>
      <c r="H2984" s="16">
        <v>0</v>
      </c>
      <c r="I2984" s="16">
        <v>0</v>
      </c>
      <c r="J2984" s="16">
        <v>0</v>
      </c>
      <c r="K2984" s="16">
        <v>0</v>
      </c>
      <c r="L2984" s="16">
        <v>0</v>
      </c>
      <c r="M2984" s="16">
        <v>0</v>
      </c>
      <c r="N2984" s="16">
        <v>0</v>
      </c>
      <c r="O2984" s="16">
        <v>0</v>
      </c>
      <c r="P2984" s="16">
        <v>0.5</v>
      </c>
      <c r="Q2984" s="16">
        <v>0.5</v>
      </c>
      <c r="R2984" s="16">
        <v>0.5</v>
      </c>
      <c r="S2984" s="16">
        <v>0.5</v>
      </c>
      <c r="T2984" s="16">
        <v>0.5</v>
      </c>
      <c r="U2984" s="16">
        <v>0.5</v>
      </c>
      <c r="V2984" s="16">
        <v>0.5</v>
      </c>
      <c r="W2984" s="16">
        <v>0.5</v>
      </c>
      <c r="X2984" s="16">
        <v>0.5</v>
      </c>
      <c r="Y2984" s="16">
        <v>0.5</v>
      </c>
      <c r="Z2984" s="16">
        <v>0.5</v>
      </c>
      <c r="AA2984" s="16">
        <v>0.5</v>
      </c>
      <c r="AB2984" s="16">
        <v>0.5</v>
      </c>
      <c r="AC2984" s="16">
        <v>0</v>
      </c>
      <c r="AD2984" s="16">
        <v>0</v>
      </c>
      <c r="AE2984" s="16">
        <v>0</v>
      </c>
      <c r="AF2984" s="14" t="s">
        <v>413</v>
      </c>
    </row>
    <row r="2985" spans="1:32" ht="14.25" customHeight="1" x14ac:dyDescent="0.35">
      <c r="A2985" s="16" t="s">
        <v>1847</v>
      </c>
      <c r="B2985" s="16" t="s">
        <v>448</v>
      </c>
      <c r="C2985" s="16"/>
      <c r="D2985" s="16" t="s">
        <v>429</v>
      </c>
      <c r="E2985" s="17">
        <v>41883</v>
      </c>
      <c r="F2985" s="17">
        <v>42004</v>
      </c>
      <c r="G2985" s="16" t="s">
        <v>415</v>
      </c>
      <c r="H2985" s="16">
        <v>0</v>
      </c>
      <c r="I2985" s="16">
        <v>0</v>
      </c>
      <c r="J2985" s="16">
        <v>0</v>
      </c>
      <c r="K2985" s="16">
        <v>0</v>
      </c>
      <c r="L2985" s="16">
        <v>0</v>
      </c>
      <c r="M2985" s="16">
        <v>0</v>
      </c>
      <c r="N2985" s="16">
        <v>0</v>
      </c>
      <c r="O2985" s="16">
        <v>0</v>
      </c>
      <c r="P2985" s="16">
        <v>0.95</v>
      </c>
      <c r="Q2985" s="16">
        <v>0.95</v>
      </c>
      <c r="R2985" s="16">
        <v>0.95</v>
      </c>
      <c r="S2985" s="16">
        <v>0.95</v>
      </c>
      <c r="T2985" s="16">
        <v>0.95</v>
      </c>
      <c r="U2985" s="16">
        <v>0.95</v>
      </c>
      <c r="V2985" s="16">
        <v>0.95</v>
      </c>
      <c r="W2985" s="16">
        <v>0.95</v>
      </c>
      <c r="X2985" s="16">
        <v>0.95</v>
      </c>
      <c r="Y2985" s="16">
        <v>0.95</v>
      </c>
      <c r="Z2985" s="16">
        <v>0.95</v>
      </c>
      <c r="AA2985" s="16">
        <v>0.95</v>
      </c>
      <c r="AB2985" s="16">
        <v>0.95</v>
      </c>
      <c r="AC2985" s="16">
        <v>0</v>
      </c>
      <c r="AD2985" s="16">
        <v>0</v>
      </c>
      <c r="AE2985" s="16">
        <v>0</v>
      </c>
      <c r="AF2985" s="16" t="s">
        <v>413</v>
      </c>
    </row>
    <row r="2986" spans="1:32" ht="14.25" customHeight="1" x14ac:dyDescent="0.35">
      <c r="A2986" s="16" t="s">
        <v>1847</v>
      </c>
      <c r="B2986" s="16" t="s">
        <v>448</v>
      </c>
      <c r="C2986" s="16"/>
      <c r="D2986" s="16" t="s">
        <v>429</v>
      </c>
      <c r="E2986" s="17">
        <v>41821</v>
      </c>
      <c r="F2986" s="17">
        <v>41883</v>
      </c>
      <c r="G2986" s="16" t="s">
        <v>415</v>
      </c>
      <c r="H2986" s="16">
        <v>0</v>
      </c>
      <c r="I2986" s="16">
        <v>0</v>
      </c>
      <c r="J2986" s="16">
        <v>0</v>
      </c>
      <c r="K2986" s="16">
        <v>0</v>
      </c>
      <c r="L2986" s="16">
        <v>0</v>
      </c>
      <c r="M2986" s="16">
        <v>0</v>
      </c>
      <c r="N2986" s="16">
        <v>0</v>
      </c>
      <c r="O2986" s="16">
        <v>0</v>
      </c>
      <c r="P2986" s="16">
        <v>0.5</v>
      </c>
      <c r="Q2986" s="16">
        <v>0.5</v>
      </c>
      <c r="R2986" s="16">
        <v>0.5</v>
      </c>
      <c r="S2986" s="16">
        <v>0.5</v>
      </c>
      <c r="T2986" s="16">
        <v>0.5</v>
      </c>
      <c r="U2986" s="16">
        <v>0.5</v>
      </c>
      <c r="V2986" s="16">
        <v>0.5</v>
      </c>
      <c r="W2986" s="16">
        <v>0.5</v>
      </c>
      <c r="X2986" s="16">
        <v>0.5</v>
      </c>
      <c r="Y2986" s="16">
        <v>0.5</v>
      </c>
      <c r="Z2986" s="16">
        <v>0.5</v>
      </c>
      <c r="AA2986" s="16">
        <v>0.5</v>
      </c>
      <c r="AB2986" s="16">
        <v>0.5</v>
      </c>
      <c r="AC2986" s="16">
        <v>0</v>
      </c>
      <c r="AD2986" s="16">
        <v>0</v>
      </c>
      <c r="AE2986" s="16">
        <v>0</v>
      </c>
      <c r="AF2986" s="16" t="s">
        <v>413</v>
      </c>
    </row>
    <row r="2987" spans="1:32" ht="14.25" customHeight="1" x14ac:dyDescent="0.35">
      <c r="A2987" s="16" t="s">
        <v>1847</v>
      </c>
      <c r="B2987" s="16" t="s">
        <v>448</v>
      </c>
      <c r="C2987" s="16"/>
      <c r="D2987" s="16" t="s">
        <v>429</v>
      </c>
      <c r="E2987" s="17">
        <v>41640</v>
      </c>
      <c r="F2987" s="17">
        <v>41820</v>
      </c>
      <c r="G2987" s="16" t="s">
        <v>415</v>
      </c>
      <c r="H2987" s="16">
        <v>0</v>
      </c>
      <c r="I2987" s="16">
        <v>0</v>
      </c>
      <c r="J2987" s="16">
        <v>0</v>
      </c>
      <c r="K2987" s="16">
        <v>0</v>
      </c>
      <c r="L2987" s="16">
        <v>0</v>
      </c>
      <c r="M2987" s="16">
        <v>0</v>
      </c>
      <c r="N2987" s="16">
        <v>0</v>
      </c>
      <c r="O2987" s="16">
        <v>0</v>
      </c>
      <c r="P2987" s="16">
        <v>0.95</v>
      </c>
      <c r="Q2987" s="16">
        <v>0.95</v>
      </c>
      <c r="R2987" s="16">
        <v>0.95</v>
      </c>
      <c r="S2987" s="16">
        <v>0.95</v>
      </c>
      <c r="T2987" s="16">
        <v>0.95</v>
      </c>
      <c r="U2987" s="16">
        <v>0.95</v>
      </c>
      <c r="V2987" s="16">
        <v>0.95</v>
      </c>
      <c r="W2987" s="16">
        <v>0.95</v>
      </c>
      <c r="X2987" s="16">
        <v>0.95</v>
      </c>
      <c r="Y2987" s="16">
        <v>0.95</v>
      </c>
      <c r="Z2987" s="16">
        <v>0.95</v>
      </c>
      <c r="AA2987" s="16">
        <v>0.95</v>
      </c>
      <c r="AB2987" s="16">
        <v>0.95</v>
      </c>
      <c r="AC2987" s="16">
        <v>0</v>
      </c>
      <c r="AD2987" s="16">
        <v>0</v>
      </c>
      <c r="AE2987" s="16">
        <v>0</v>
      </c>
      <c r="AF2987" s="16" t="s">
        <v>413</v>
      </c>
    </row>
    <row r="2988" spans="1:32" ht="14.25" customHeight="1" x14ac:dyDescent="0.35">
      <c r="A2988" s="14" t="s">
        <v>1847</v>
      </c>
      <c r="B2988" s="14" t="s">
        <v>448</v>
      </c>
      <c r="C2988" s="14"/>
      <c r="D2988" s="14" t="s">
        <v>530</v>
      </c>
      <c r="E2988" s="15">
        <v>41821</v>
      </c>
      <c r="F2988" s="15">
        <v>41883</v>
      </c>
      <c r="G2988" s="14" t="s">
        <v>410</v>
      </c>
      <c r="H2988" s="14">
        <v>0</v>
      </c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 t="s">
        <v>413</v>
      </c>
    </row>
    <row r="2989" spans="1:32" ht="14.25" customHeight="1" x14ac:dyDescent="0.35">
      <c r="A2989" s="14" t="s">
        <v>1847</v>
      </c>
      <c r="B2989" s="14" t="s">
        <v>448</v>
      </c>
      <c r="C2989" s="14"/>
      <c r="D2989" s="14" t="s">
        <v>530</v>
      </c>
      <c r="E2989" s="15">
        <v>41640</v>
      </c>
      <c r="F2989" s="15">
        <v>41820</v>
      </c>
      <c r="G2989" s="14" t="s">
        <v>410</v>
      </c>
      <c r="H2989" s="14">
        <v>0</v>
      </c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 t="s">
        <v>413</v>
      </c>
    </row>
    <row r="2990" spans="1:32" ht="14.25" customHeight="1" x14ac:dyDescent="0.35">
      <c r="A2990" s="14" t="s">
        <v>1848</v>
      </c>
      <c r="B2990" s="14" t="s">
        <v>448</v>
      </c>
      <c r="C2990" s="14"/>
      <c r="D2990" s="14" t="s">
        <v>476</v>
      </c>
      <c r="E2990" s="15">
        <v>41640</v>
      </c>
      <c r="F2990" s="15">
        <v>42004</v>
      </c>
      <c r="G2990" s="14" t="s">
        <v>410</v>
      </c>
      <c r="H2990" s="14">
        <v>0</v>
      </c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 t="s">
        <v>413</v>
      </c>
    </row>
    <row r="2991" spans="1:32" ht="14.25" customHeight="1" x14ac:dyDescent="0.35">
      <c r="A2991" s="16" t="s">
        <v>1848</v>
      </c>
      <c r="B2991" s="16" t="s">
        <v>448</v>
      </c>
      <c r="C2991" s="16"/>
      <c r="D2991" s="16" t="s">
        <v>419</v>
      </c>
      <c r="E2991" s="17">
        <v>41640</v>
      </c>
      <c r="F2991" s="17">
        <v>42004</v>
      </c>
      <c r="G2991" s="16" t="s">
        <v>415</v>
      </c>
      <c r="H2991" s="16">
        <v>0</v>
      </c>
      <c r="I2991" s="16">
        <v>0</v>
      </c>
      <c r="J2991" s="16">
        <v>0</v>
      </c>
      <c r="K2991" s="16">
        <v>0</v>
      </c>
      <c r="L2991" s="16">
        <v>0</v>
      </c>
      <c r="M2991" s="16">
        <v>0</v>
      </c>
      <c r="N2991" s="16">
        <v>0</v>
      </c>
      <c r="O2991" s="16">
        <v>0</v>
      </c>
      <c r="P2991" s="16">
        <v>0.35</v>
      </c>
      <c r="Q2991" s="16">
        <v>0.35</v>
      </c>
      <c r="R2991" s="16">
        <v>0.35</v>
      </c>
      <c r="S2991" s="16">
        <v>0.35</v>
      </c>
      <c r="T2991" s="16">
        <v>0.35</v>
      </c>
      <c r="U2991" s="16">
        <v>0.35</v>
      </c>
      <c r="V2991" s="16">
        <v>0.35</v>
      </c>
      <c r="W2991" s="16">
        <v>0.35</v>
      </c>
      <c r="X2991" s="16">
        <v>0.95</v>
      </c>
      <c r="Y2991" s="16">
        <v>0.95</v>
      </c>
      <c r="Z2991" s="16">
        <v>0.95</v>
      </c>
      <c r="AA2991" s="16">
        <v>0.95</v>
      </c>
      <c r="AB2991" s="16">
        <v>0.95</v>
      </c>
      <c r="AC2991" s="16">
        <v>0</v>
      </c>
      <c r="AD2991" s="16">
        <v>0</v>
      </c>
      <c r="AE2991" s="16">
        <v>0</v>
      </c>
      <c r="AF2991" s="16" t="s">
        <v>413</v>
      </c>
    </row>
    <row r="2992" spans="1:32" ht="14.25" customHeight="1" x14ac:dyDescent="0.35">
      <c r="A2992" s="14" t="s">
        <v>1848</v>
      </c>
      <c r="B2992" s="14" t="s">
        <v>448</v>
      </c>
      <c r="C2992" s="14"/>
      <c r="D2992" s="14" t="s">
        <v>429</v>
      </c>
      <c r="E2992" s="15">
        <v>41883</v>
      </c>
      <c r="F2992" s="15">
        <v>42004</v>
      </c>
      <c r="G2992" s="14" t="s">
        <v>415</v>
      </c>
      <c r="H2992" s="14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0.35</v>
      </c>
      <c r="Q2992" s="14">
        <v>0.35</v>
      </c>
      <c r="R2992" s="14">
        <v>0.35</v>
      </c>
      <c r="S2992" s="14">
        <v>0.35</v>
      </c>
      <c r="T2992" s="14">
        <v>0.35</v>
      </c>
      <c r="U2992" s="14">
        <v>0.35</v>
      </c>
      <c r="V2992" s="14">
        <v>0.35</v>
      </c>
      <c r="W2992" s="14">
        <v>0.35</v>
      </c>
      <c r="X2992" s="14">
        <v>0.95</v>
      </c>
      <c r="Y2992" s="14">
        <v>0.95</v>
      </c>
      <c r="Z2992" s="14">
        <v>0.95</v>
      </c>
      <c r="AA2992" s="14">
        <v>0.95</v>
      </c>
      <c r="AB2992" s="14">
        <v>0.95</v>
      </c>
      <c r="AC2992" s="14">
        <v>0</v>
      </c>
      <c r="AD2992" s="14">
        <v>0</v>
      </c>
      <c r="AE2992" s="14">
        <v>0</v>
      </c>
      <c r="AF2992" s="14" t="s">
        <v>413</v>
      </c>
    </row>
    <row r="2993" spans="1:32" ht="14.25" customHeight="1" x14ac:dyDescent="0.35">
      <c r="A2993" s="14" t="s">
        <v>1848</v>
      </c>
      <c r="B2993" s="14" t="s">
        <v>448</v>
      </c>
      <c r="C2993" s="14"/>
      <c r="D2993" s="14" t="s">
        <v>429</v>
      </c>
      <c r="E2993" s="15">
        <v>41821</v>
      </c>
      <c r="F2993" s="15">
        <v>41883</v>
      </c>
      <c r="G2993" s="14" t="s">
        <v>415</v>
      </c>
      <c r="H2993" s="14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0.35</v>
      </c>
      <c r="Q2993" s="14">
        <v>0.35</v>
      </c>
      <c r="R2993" s="14">
        <v>0.35</v>
      </c>
      <c r="S2993" s="14">
        <v>0.35</v>
      </c>
      <c r="T2993" s="14">
        <v>0.35</v>
      </c>
      <c r="U2993" s="14">
        <v>0.35</v>
      </c>
      <c r="V2993" s="14">
        <v>0.35</v>
      </c>
      <c r="W2993" s="14">
        <v>0.35</v>
      </c>
      <c r="X2993" s="14">
        <v>0.35</v>
      </c>
      <c r="Y2993" s="14">
        <v>0.35</v>
      </c>
      <c r="Z2993" s="14">
        <v>0.35</v>
      </c>
      <c r="AA2993" s="14">
        <v>0.35</v>
      </c>
      <c r="AB2993" s="14">
        <v>0.35</v>
      </c>
      <c r="AC2993" s="14">
        <v>0</v>
      </c>
      <c r="AD2993" s="14">
        <v>0</v>
      </c>
      <c r="AE2993" s="14">
        <v>0</v>
      </c>
      <c r="AF2993" s="14" t="s">
        <v>413</v>
      </c>
    </row>
    <row r="2994" spans="1:32" ht="14.25" customHeight="1" x14ac:dyDescent="0.35">
      <c r="A2994" s="14" t="s">
        <v>1848</v>
      </c>
      <c r="B2994" s="14" t="s">
        <v>448</v>
      </c>
      <c r="C2994" s="14"/>
      <c r="D2994" s="14" t="s">
        <v>429</v>
      </c>
      <c r="E2994" s="15">
        <v>41640</v>
      </c>
      <c r="F2994" s="15">
        <v>41820</v>
      </c>
      <c r="G2994" s="14" t="s">
        <v>415</v>
      </c>
      <c r="H2994" s="14">
        <v>0</v>
      </c>
      <c r="I2994" s="14">
        <v>0</v>
      </c>
      <c r="J2994" s="14">
        <v>0</v>
      </c>
      <c r="K2994" s="14">
        <v>0</v>
      </c>
      <c r="L2994" s="14">
        <v>0</v>
      </c>
      <c r="M2994" s="14">
        <v>0</v>
      </c>
      <c r="N2994" s="14">
        <v>0</v>
      </c>
      <c r="O2994" s="14">
        <v>0</v>
      </c>
      <c r="P2994" s="14">
        <v>0.35</v>
      </c>
      <c r="Q2994" s="14">
        <v>0.35</v>
      </c>
      <c r="R2994" s="14">
        <v>0.35</v>
      </c>
      <c r="S2994" s="14">
        <v>0.35</v>
      </c>
      <c r="T2994" s="14">
        <v>0.35</v>
      </c>
      <c r="U2994" s="14">
        <v>0.35</v>
      </c>
      <c r="V2994" s="14">
        <v>0.35</v>
      </c>
      <c r="W2994" s="14">
        <v>0.35</v>
      </c>
      <c r="X2994" s="14">
        <v>0.95</v>
      </c>
      <c r="Y2994" s="14">
        <v>0.95</v>
      </c>
      <c r="Z2994" s="14">
        <v>0.95</v>
      </c>
      <c r="AA2994" s="14">
        <v>0.95</v>
      </c>
      <c r="AB2994" s="14">
        <v>0.95</v>
      </c>
      <c r="AC2994" s="14">
        <v>0</v>
      </c>
      <c r="AD2994" s="14">
        <v>0</v>
      </c>
      <c r="AE2994" s="14">
        <v>0</v>
      </c>
      <c r="AF2994" s="14" t="s">
        <v>413</v>
      </c>
    </row>
    <row r="2995" spans="1:32" ht="14.25" customHeight="1" x14ac:dyDescent="0.35">
      <c r="A2995" s="16" t="s">
        <v>1848</v>
      </c>
      <c r="B2995" s="16" t="s">
        <v>448</v>
      </c>
      <c r="C2995" s="16"/>
      <c r="D2995" s="16" t="s">
        <v>530</v>
      </c>
      <c r="E2995" s="17">
        <v>41821</v>
      </c>
      <c r="F2995" s="17">
        <v>41883</v>
      </c>
      <c r="G2995" s="16" t="s">
        <v>410</v>
      </c>
      <c r="H2995" s="16">
        <v>0</v>
      </c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16"/>
      <c r="AA2995" s="16"/>
      <c r="AB2995" s="16"/>
      <c r="AC2995" s="16"/>
      <c r="AD2995" s="16"/>
      <c r="AE2995" s="16"/>
      <c r="AF2995" s="16" t="s">
        <v>413</v>
      </c>
    </row>
    <row r="2996" spans="1:32" ht="14.25" customHeight="1" x14ac:dyDescent="0.35">
      <c r="A2996" s="16" t="s">
        <v>1848</v>
      </c>
      <c r="B2996" s="16" t="s">
        <v>448</v>
      </c>
      <c r="C2996" s="16"/>
      <c r="D2996" s="16" t="s">
        <v>530</v>
      </c>
      <c r="E2996" s="17">
        <v>41640</v>
      </c>
      <c r="F2996" s="17">
        <v>41820</v>
      </c>
      <c r="G2996" s="16" t="s">
        <v>410</v>
      </c>
      <c r="H2996" s="16">
        <v>0</v>
      </c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16"/>
      <c r="AA2996" s="16"/>
      <c r="AB2996" s="16"/>
      <c r="AC2996" s="16"/>
      <c r="AD2996" s="16"/>
      <c r="AE2996" s="16"/>
      <c r="AF2996" s="16" t="s">
        <v>413</v>
      </c>
    </row>
    <row r="2997" spans="1:32" ht="14.25" customHeight="1" x14ac:dyDescent="0.35">
      <c r="A2997" s="16" t="s">
        <v>1849</v>
      </c>
      <c r="B2997" s="16" t="s">
        <v>448</v>
      </c>
      <c r="C2997" s="16"/>
      <c r="D2997" s="16" t="s">
        <v>476</v>
      </c>
      <c r="E2997" s="17">
        <v>41640</v>
      </c>
      <c r="F2997" s="17">
        <v>42004</v>
      </c>
      <c r="G2997" s="16" t="s">
        <v>410</v>
      </c>
      <c r="H2997" s="16">
        <v>0</v>
      </c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16"/>
      <c r="AA2997" s="16"/>
      <c r="AB2997" s="16"/>
      <c r="AC2997" s="16"/>
      <c r="AD2997" s="16"/>
      <c r="AE2997" s="16"/>
      <c r="AF2997" s="16" t="s">
        <v>413</v>
      </c>
    </row>
    <row r="2998" spans="1:32" ht="14.25" customHeight="1" x14ac:dyDescent="0.35">
      <c r="A2998" s="14" t="s">
        <v>1849</v>
      </c>
      <c r="B2998" s="14" t="s">
        <v>448</v>
      </c>
      <c r="C2998" s="14"/>
      <c r="D2998" s="14" t="s">
        <v>419</v>
      </c>
      <c r="E2998" s="15">
        <v>41640</v>
      </c>
      <c r="F2998" s="15">
        <v>42004</v>
      </c>
      <c r="G2998" s="14" t="s">
        <v>415</v>
      </c>
      <c r="H2998" s="16">
        <v>0</v>
      </c>
      <c r="I2998" s="16">
        <v>0</v>
      </c>
      <c r="J2998" s="16">
        <v>0</v>
      </c>
      <c r="K2998" s="16">
        <v>0</v>
      </c>
      <c r="L2998" s="16">
        <v>0</v>
      </c>
      <c r="M2998" s="16">
        <v>0</v>
      </c>
      <c r="N2998" s="16">
        <v>0</v>
      </c>
      <c r="O2998" s="16">
        <v>0</v>
      </c>
      <c r="P2998" s="16">
        <v>0.5</v>
      </c>
      <c r="Q2998" s="16">
        <v>0.5</v>
      </c>
      <c r="R2998" s="16">
        <v>0.5</v>
      </c>
      <c r="S2998" s="16">
        <v>0.5</v>
      </c>
      <c r="T2998" s="16">
        <v>0.5</v>
      </c>
      <c r="U2998" s="16">
        <v>0.5</v>
      </c>
      <c r="V2998" s="16">
        <v>0.5</v>
      </c>
      <c r="W2998" s="16">
        <v>0.5</v>
      </c>
      <c r="X2998" s="16">
        <v>0.5</v>
      </c>
      <c r="Y2998" s="16">
        <v>0.15</v>
      </c>
      <c r="Z2998" s="16">
        <v>0.15</v>
      </c>
      <c r="AA2998" s="16">
        <v>0.15</v>
      </c>
      <c r="AB2998" s="16">
        <v>0.15</v>
      </c>
      <c r="AC2998" s="16">
        <v>0</v>
      </c>
      <c r="AD2998" s="16">
        <v>0</v>
      </c>
      <c r="AE2998" s="16">
        <v>0</v>
      </c>
      <c r="AF2998" s="14" t="s">
        <v>413</v>
      </c>
    </row>
    <row r="2999" spans="1:32" ht="14.25" customHeight="1" x14ac:dyDescent="0.35">
      <c r="A2999" s="16" t="s">
        <v>1849</v>
      </c>
      <c r="B2999" s="16" t="s">
        <v>448</v>
      </c>
      <c r="C2999" s="16"/>
      <c r="D2999" s="16" t="s">
        <v>429</v>
      </c>
      <c r="E2999" s="17">
        <v>41883</v>
      </c>
      <c r="F2999" s="17">
        <v>42004</v>
      </c>
      <c r="G2999" s="16" t="s">
        <v>415</v>
      </c>
      <c r="H2999" s="16">
        <v>0</v>
      </c>
      <c r="I2999" s="16">
        <v>0</v>
      </c>
      <c r="J2999" s="16">
        <v>0</v>
      </c>
      <c r="K2999" s="16">
        <v>0</v>
      </c>
      <c r="L2999" s="16">
        <v>0</v>
      </c>
      <c r="M2999" s="16">
        <v>0</v>
      </c>
      <c r="N2999" s="16">
        <v>0</v>
      </c>
      <c r="O2999" s="16">
        <v>0</v>
      </c>
      <c r="P2999" s="16">
        <v>0.95</v>
      </c>
      <c r="Q2999" s="16">
        <v>0.95</v>
      </c>
      <c r="R2999" s="16">
        <v>0.95</v>
      </c>
      <c r="S2999" s="16">
        <v>0.95</v>
      </c>
      <c r="T2999" s="16">
        <v>0.95</v>
      </c>
      <c r="U2999" s="16">
        <v>0.95</v>
      </c>
      <c r="V2999" s="16">
        <v>0.95</v>
      </c>
      <c r="W2999" s="16">
        <v>0.95</v>
      </c>
      <c r="X2999" s="16">
        <v>0.95</v>
      </c>
      <c r="Y2999" s="16">
        <v>0.15</v>
      </c>
      <c r="Z2999" s="16">
        <v>0.15</v>
      </c>
      <c r="AA2999" s="16">
        <v>0.15</v>
      </c>
      <c r="AB2999" s="16">
        <v>0.15</v>
      </c>
      <c r="AC2999" s="16">
        <v>0</v>
      </c>
      <c r="AD2999" s="16">
        <v>0</v>
      </c>
      <c r="AE2999" s="16">
        <v>0</v>
      </c>
      <c r="AF2999" s="16" t="s">
        <v>413</v>
      </c>
    </row>
    <row r="3000" spans="1:32" ht="14.25" customHeight="1" x14ac:dyDescent="0.35">
      <c r="A3000" s="16" t="s">
        <v>1849</v>
      </c>
      <c r="B3000" s="16" t="s">
        <v>448</v>
      </c>
      <c r="C3000" s="16"/>
      <c r="D3000" s="16" t="s">
        <v>429</v>
      </c>
      <c r="E3000" s="17">
        <v>41821</v>
      </c>
      <c r="F3000" s="17">
        <v>41883</v>
      </c>
      <c r="G3000" s="16" t="s">
        <v>415</v>
      </c>
      <c r="H3000" s="16">
        <v>0</v>
      </c>
      <c r="I3000" s="16">
        <v>0</v>
      </c>
      <c r="J3000" s="16">
        <v>0</v>
      </c>
      <c r="K3000" s="16">
        <v>0</v>
      </c>
      <c r="L3000" s="16">
        <v>0</v>
      </c>
      <c r="M3000" s="16">
        <v>0</v>
      </c>
      <c r="N3000" s="16">
        <v>0</v>
      </c>
      <c r="O3000" s="16">
        <v>0</v>
      </c>
      <c r="P3000" s="16">
        <v>0.5</v>
      </c>
      <c r="Q3000" s="16">
        <v>0.5</v>
      </c>
      <c r="R3000" s="16">
        <v>0.5</v>
      </c>
      <c r="S3000" s="16">
        <v>0.5</v>
      </c>
      <c r="T3000" s="16">
        <v>0.5</v>
      </c>
      <c r="U3000" s="16">
        <v>0.5</v>
      </c>
      <c r="V3000" s="16">
        <v>0.5</v>
      </c>
      <c r="W3000" s="16">
        <v>0.5</v>
      </c>
      <c r="X3000" s="16">
        <v>0.5</v>
      </c>
      <c r="Y3000" s="16">
        <v>0.15</v>
      </c>
      <c r="Z3000" s="16">
        <v>0.15</v>
      </c>
      <c r="AA3000" s="16">
        <v>0.15</v>
      </c>
      <c r="AB3000" s="16">
        <v>0.15</v>
      </c>
      <c r="AC3000" s="16">
        <v>0</v>
      </c>
      <c r="AD3000" s="16">
        <v>0</v>
      </c>
      <c r="AE3000" s="16">
        <v>0</v>
      </c>
      <c r="AF3000" s="16" t="s">
        <v>413</v>
      </c>
    </row>
    <row r="3001" spans="1:32" ht="14.25" customHeight="1" x14ac:dyDescent="0.35">
      <c r="A3001" s="16" t="s">
        <v>1849</v>
      </c>
      <c r="B3001" s="16" t="s">
        <v>448</v>
      </c>
      <c r="C3001" s="16"/>
      <c r="D3001" s="16" t="s">
        <v>429</v>
      </c>
      <c r="E3001" s="17">
        <v>41640</v>
      </c>
      <c r="F3001" s="17">
        <v>41820</v>
      </c>
      <c r="G3001" s="16" t="s">
        <v>415</v>
      </c>
      <c r="H3001" s="16">
        <v>0</v>
      </c>
      <c r="I3001" s="16">
        <v>0</v>
      </c>
      <c r="J3001" s="16">
        <v>0</v>
      </c>
      <c r="K3001" s="16">
        <v>0</v>
      </c>
      <c r="L3001" s="16">
        <v>0</v>
      </c>
      <c r="M3001" s="16">
        <v>0</v>
      </c>
      <c r="N3001" s="16">
        <v>0</v>
      </c>
      <c r="O3001" s="16">
        <v>0</v>
      </c>
      <c r="P3001" s="16">
        <v>0.95</v>
      </c>
      <c r="Q3001" s="16">
        <v>0.95</v>
      </c>
      <c r="R3001" s="16">
        <v>0.95</v>
      </c>
      <c r="S3001" s="16">
        <v>0.95</v>
      </c>
      <c r="T3001" s="16">
        <v>0.95</v>
      </c>
      <c r="U3001" s="16">
        <v>0.95</v>
      </c>
      <c r="V3001" s="16">
        <v>0.95</v>
      </c>
      <c r="W3001" s="16">
        <v>0.95</v>
      </c>
      <c r="X3001" s="16">
        <v>0.95</v>
      </c>
      <c r="Y3001" s="16">
        <v>0.15</v>
      </c>
      <c r="Z3001" s="16">
        <v>0.15</v>
      </c>
      <c r="AA3001" s="16">
        <v>0.15</v>
      </c>
      <c r="AB3001" s="16">
        <v>0.15</v>
      </c>
      <c r="AC3001" s="16">
        <v>0</v>
      </c>
      <c r="AD3001" s="16">
        <v>0</v>
      </c>
      <c r="AE3001" s="16">
        <v>0</v>
      </c>
      <c r="AF3001" s="16" t="s">
        <v>413</v>
      </c>
    </row>
    <row r="3002" spans="1:32" ht="14.25" customHeight="1" x14ac:dyDescent="0.35">
      <c r="A3002" s="14" t="s">
        <v>1849</v>
      </c>
      <c r="B3002" s="14" t="s">
        <v>448</v>
      </c>
      <c r="C3002" s="14"/>
      <c r="D3002" s="14" t="s">
        <v>530</v>
      </c>
      <c r="E3002" s="15">
        <v>41821</v>
      </c>
      <c r="F3002" s="15">
        <v>41883</v>
      </c>
      <c r="G3002" s="14" t="s">
        <v>410</v>
      </c>
      <c r="H3002" s="14">
        <v>0</v>
      </c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 t="s">
        <v>413</v>
      </c>
    </row>
    <row r="3003" spans="1:32" ht="14.25" customHeight="1" x14ac:dyDescent="0.35">
      <c r="A3003" s="14" t="s">
        <v>1849</v>
      </c>
      <c r="B3003" s="14" t="s">
        <v>448</v>
      </c>
      <c r="C3003" s="14"/>
      <c r="D3003" s="14" t="s">
        <v>530</v>
      </c>
      <c r="E3003" s="15">
        <v>41640</v>
      </c>
      <c r="F3003" s="15">
        <v>41820</v>
      </c>
      <c r="G3003" s="14" t="s">
        <v>410</v>
      </c>
      <c r="H3003" s="14">
        <v>0</v>
      </c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S3003" s="14"/>
      <c r="T3003" s="14"/>
      <c r="U3003" s="14"/>
      <c r="V3003" s="14"/>
      <c r="W3003" s="14"/>
      <c r="X3003" s="14"/>
      <c r="Y3003" s="14"/>
      <c r="Z3003" s="14"/>
      <c r="AA3003" s="14"/>
      <c r="AB3003" s="14"/>
      <c r="AC3003" s="14"/>
      <c r="AD3003" s="14"/>
      <c r="AE3003" s="14"/>
      <c r="AF3003" s="14" t="s">
        <v>413</v>
      </c>
    </row>
    <row r="3004" spans="1:32" ht="14.25" customHeight="1" x14ac:dyDescent="0.35">
      <c r="A3004" s="14" t="s">
        <v>1850</v>
      </c>
      <c r="B3004" s="14" t="s">
        <v>460</v>
      </c>
      <c r="C3004" s="14"/>
      <c r="D3004" s="14" t="s">
        <v>417</v>
      </c>
      <c r="E3004" s="15">
        <v>41640</v>
      </c>
      <c r="F3004" s="15">
        <v>42004</v>
      </c>
      <c r="G3004" s="14" t="s">
        <v>410</v>
      </c>
      <c r="H3004" s="14">
        <v>0</v>
      </c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  <c r="AA3004" s="14"/>
      <c r="AB3004" s="14"/>
      <c r="AC3004" s="14"/>
      <c r="AD3004" s="14"/>
      <c r="AE3004" s="14"/>
      <c r="AF3004" s="14" t="s">
        <v>413</v>
      </c>
    </row>
    <row r="3005" spans="1:32" ht="14.25" customHeight="1" x14ac:dyDescent="0.35">
      <c r="A3005" s="16" t="s">
        <v>1850</v>
      </c>
      <c r="B3005" s="16" t="s">
        <v>460</v>
      </c>
      <c r="C3005" s="16"/>
      <c r="D3005" s="16" t="s">
        <v>512</v>
      </c>
      <c r="E3005" s="17">
        <v>41898</v>
      </c>
      <c r="F3005" s="17">
        <v>42004</v>
      </c>
      <c r="G3005" s="16" t="s">
        <v>410</v>
      </c>
      <c r="H3005" s="16">
        <v>0</v>
      </c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16"/>
      <c r="AA3005" s="16"/>
      <c r="AB3005" s="16"/>
      <c r="AC3005" s="16"/>
      <c r="AD3005" s="16"/>
      <c r="AE3005" s="16"/>
      <c r="AF3005" s="16" t="s">
        <v>413</v>
      </c>
    </row>
    <row r="3006" spans="1:32" ht="14.25" customHeight="1" x14ac:dyDescent="0.35">
      <c r="A3006" s="14" t="s">
        <v>1850</v>
      </c>
      <c r="B3006" s="14" t="s">
        <v>460</v>
      </c>
      <c r="C3006" s="14"/>
      <c r="D3006" s="14" t="s">
        <v>419</v>
      </c>
      <c r="E3006" s="15">
        <v>41640</v>
      </c>
      <c r="F3006" s="15">
        <v>42004</v>
      </c>
      <c r="G3006" s="14" t="s">
        <v>415</v>
      </c>
      <c r="H3006" s="14">
        <v>0.05</v>
      </c>
      <c r="I3006" s="14">
        <v>0.05</v>
      </c>
      <c r="J3006" s="14">
        <v>0.05</v>
      </c>
      <c r="K3006" s="14">
        <v>0.05</v>
      </c>
      <c r="L3006" s="14">
        <v>0.05</v>
      </c>
      <c r="M3006" s="14">
        <v>0.05</v>
      </c>
      <c r="N3006" s="14">
        <v>0.05</v>
      </c>
      <c r="O3006" s="14">
        <v>0.1</v>
      </c>
      <c r="P3006" s="14">
        <v>0.34</v>
      </c>
      <c r="Q3006" s="14">
        <v>0.6</v>
      </c>
      <c r="R3006" s="14">
        <v>0.63</v>
      </c>
      <c r="S3006" s="14">
        <v>0.72</v>
      </c>
      <c r="T3006" s="14">
        <v>0.79</v>
      </c>
      <c r="U3006" s="14">
        <v>0.83</v>
      </c>
      <c r="V3006" s="14">
        <v>0.61</v>
      </c>
      <c r="W3006" s="14">
        <v>0.65</v>
      </c>
      <c r="X3006" s="14">
        <v>0.1</v>
      </c>
      <c r="Y3006" s="14">
        <v>0.1</v>
      </c>
      <c r="Z3006" s="14">
        <v>0.19</v>
      </c>
      <c r="AA3006" s="14">
        <v>0.25</v>
      </c>
      <c r="AB3006" s="14">
        <v>0.22</v>
      </c>
      <c r="AC3006" s="14">
        <v>0.22</v>
      </c>
      <c r="AD3006" s="14">
        <v>0.12</v>
      </c>
      <c r="AE3006" s="14">
        <v>0.09</v>
      </c>
      <c r="AF3006" s="14" t="s">
        <v>413</v>
      </c>
    </row>
    <row r="3007" spans="1:32" ht="14.25" customHeight="1" x14ac:dyDescent="0.35">
      <c r="A3007" s="16" t="s">
        <v>1850</v>
      </c>
      <c r="B3007" s="16" t="s">
        <v>460</v>
      </c>
      <c r="C3007" s="16"/>
      <c r="D3007" s="16" t="s">
        <v>1762</v>
      </c>
      <c r="E3007" s="17">
        <v>41806</v>
      </c>
      <c r="F3007" s="17">
        <v>41897</v>
      </c>
      <c r="G3007" s="16" t="s">
        <v>410</v>
      </c>
      <c r="H3007" s="16">
        <v>0</v>
      </c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16"/>
      <c r="AA3007" s="16"/>
      <c r="AB3007" s="16"/>
      <c r="AC3007" s="16"/>
      <c r="AD3007" s="16"/>
      <c r="AE3007" s="16"/>
      <c r="AF3007" s="16" t="s">
        <v>413</v>
      </c>
    </row>
    <row r="3008" spans="1:32" ht="14.25" customHeight="1" x14ac:dyDescent="0.35">
      <c r="A3008" s="16" t="s">
        <v>1850</v>
      </c>
      <c r="B3008" s="16" t="s">
        <v>460</v>
      </c>
      <c r="C3008" s="16"/>
      <c r="D3008" s="16" t="s">
        <v>1762</v>
      </c>
      <c r="E3008" s="17">
        <v>41640</v>
      </c>
      <c r="F3008" s="17">
        <v>41805</v>
      </c>
      <c r="G3008" s="16" t="s">
        <v>410</v>
      </c>
      <c r="H3008" s="16">
        <v>0</v>
      </c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6"/>
      <c r="AA3008" s="16"/>
      <c r="AB3008" s="16"/>
      <c r="AC3008" s="16"/>
      <c r="AD3008" s="16"/>
      <c r="AE3008" s="16"/>
      <c r="AF3008" s="16" t="s">
        <v>413</v>
      </c>
    </row>
    <row r="3009" spans="1:32" ht="14.25" customHeight="1" x14ac:dyDescent="0.35">
      <c r="A3009" s="14" t="s">
        <v>1850</v>
      </c>
      <c r="B3009" s="14" t="s">
        <v>460</v>
      </c>
      <c r="C3009" s="14"/>
      <c r="D3009" s="14" t="s">
        <v>429</v>
      </c>
      <c r="E3009" s="15">
        <v>41898</v>
      </c>
      <c r="F3009" s="15">
        <v>42004</v>
      </c>
      <c r="G3009" s="14" t="s">
        <v>415</v>
      </c>
      <c r="H3009" s="14">
        <v>0</v>
      </c>
      <c r="I3009" s="14">
        <v>0</v>
      </c>
      <c r="J3009" s="14">
        <v>0</v>
      </c>
      <c r="K3009" s="14">
        <v>0</v>
      </c>
      <c r="L3009" s="14">
        <v>0</v>
      </c>
      <c r="M3009" s="14">
        <v>0</v>
      </c>
      <c r="N3009" s="14">
        <v>0</v>
      </c>
      <c r="O3009" s="14">
        <v>0</v>
      </c>
      <c r="P3009" s="14">
        <v>0.34</v>
      </c>
      <c r="Q3009" s="14">
        <v>0.6</v>
      </c>
      <c r="R3009" s="14">
        <v>0.63</v>
      </c>
      <c r="S3009" s="14">
        <v>0.72</v>
      </c>
      <c r="T3009" s="14">
        <v>0.79</v>
      </c>
      <c r="U3009" s="14">
        <v>0.83</v>
      </c>
      <c r="V3009" s="14">
        <v>0.61</v>
      </c>
      <c r="W3009" s="14">
        <v>0.65</v>
      </c>
      <c r="X3009" s="14">
        <v>0.1</v>
      </c>
      <c r="Y3009" s="14">
        <v>0.1</v>
      </c>
      <c r="Z3009" s="14">
        <v>0.19</v>
      </c>
      <c r="AA3009" s="14">
        <v>0.25</v>
      </c>
      <c r="AB3009" s="14">
        <v>0</v>
      </c>
      <c r="AC3009" s="14">
        <v>0</v>
      </c>
      <c r="AD3009" s="14">
        <v>0</v>
      </c>
      <c r="AE3009" s="14">
        <v>0</v>
      </c>
      <c r="AF3009" s="14" t="s">
        <v>413</v>
      </c>
    </row>
    <row r="3010" spans="1:32" ht="14.25" customHeight="1" x14ac:dyDescent="0.35">
      <c r="A3010" s="14" t="s">
        <v>1850</v>
      </c>
      <c r="B3010" s="14" t="s">
        <v>460</v>
      </c>
      <c r="C3010" s="14"/>
      <c r="D3010" s="14" t="s">
        <v>429</v>
      </c>
      <c r="E3010" s="15">
        <v>41806</v>
      </c>
      <c r="F3010" s="15">
        <v>41897</v>
      </c>
      <c r="G3010" s="14" t="s">
        <v>415</v>
      </c>
      <c r="H3010" s="14">
        <v>0</v>
      </c>
      <c r="I3010" s="14">
        <v>0</v>
      </c>
      <c r="J3010" s="14">
        <v>0</v>
      </c>
      <c r="K3010" s="14">
        <v>0</v>
      </c>
      <c r="L3010" s="14">
        <v>0</v>
      </c>
      <c r="M3010" s="14">
        <v>0</v>
      </c>
      <c r="N3010" s="14">
        <v>0</v>
      </c>
      <c r="O3010" s="14">
        <v>0</v>
      </c>
      <c r="P3010" s="14">
        <v>0.1</v>
      </c>
      <c r="Q3010" s="14">
        <v>0.1</v>
      </c>
      <c r="R3010" s="14">
        <v>0.1</v>
      </c>
      <c r="S3010" s="14">
        <v>0.1</v>
      </c>
      <c r="T3010" s="14">
        <v>0.1</v>
      </c>
      <c r="U3010" s="14">
        <v>0.1</v>
      </c>
      <c r="V3010" s="14">
        <v>0.1</v>
      </c>
      <c r="W3010" s="14">
        <v>0.1</v>
      </c>
      <c r="X3010" s="14">
        <v>0.1</v>
      </c>
      <c r="Y3010" s="14">
        <v>0.1</v>
      </c>
      <c r="Z3010" s="14">
        <v>0.19</v>
      </c>
      <c r="AA3010" s="14">
        <v>0.25</v>
      </c>
      <c r="AB3010" s="14">
        <v>0</v>
      </c>
      <c r="AC3010" s="14">
        <v>0</v>
      </c>
      <c r="AD3010" s="14">
        <v>0</v>
      </c>
      <c r="AE3010" s="14">
        <v>0</v>
      </c>
      <c r="AF3010" s="14" t="s">
        <v>413</v>
      </c>
    </row>
    <row r="3011" spans="1:32" ht="14.25" customHeight="1" x14ac:dyDescent="0.35">
      <c r="A3011" s="14" t="s">
        <v>1850</v>
      </c>
      <c r="B3011" s="14" t="s">
        <v>460</v>
      </c>
      <c r="C3011" s="14"/>
      <c r="D3011" s="14" t="s">
        <v>429</v>
      </c>
      <c r="E3011" s="15">
        <v>41640</v>
      </c>
      <c r="F3011" s="15">
        <v>41805</v>
      </c>
      <c r="G3011" s="14" t="s">
        <v>415</v>
      </c>
      <c r="H3011" s="14">
        <v>0</v>
      </c>
      <c r="I3011" s="14">
        <v>0</v>
      </c>
      <c r="J3011" s="14">
        <v>0</v>
      </c>
      <c r="K3011" s="14">
        <v>0</v>
      </c>
      <c r="L3011" s="14">
        <v>0</v>
      </c>
      <c r="M3011" s="14">
        <v>0</v>
      </c>
      <c r="N3011" s="14">
        <v>0</v>
      </c>
      <c r="O3011" s="14">
        <v>0</v>
      </c>
      <c r="P3011" s="14">
        <v>0.34</v>
      </c>
      <c r="Q3011" s="14">
        <v>0.6</v>
      </c>
      <c r="R3011" s="14">
        <v>0.63</v>
      </c>
      <c r="S3011" s="14">
        <v>0.72</v>
      </c>
      <c r="T3011" s="14">
        <v>0.79</v>
      </c>
      <c r="U3011" s="14">
        <v>0.83</v>
      </c>
      <c r="V3011" s="14">
        <v>0.61</v>
      </c>
      <c r="W3011" s="14">
        <v>0.65</v>
      </c>
      <c r="X3011" s="14">
        <v>0.1</v>
      </c>
      <c r="Y3011" s="14">
        <v>0.1</v>
      </c>
      <c r="Z3011" s="14">
        <v>0.19</v>
      </c>
      <c r="AA3011" s="14">
        <v>0.25</v>
      </c>
      <c r="AB3011" s="14">
        <v>0</v>
      </c>
      <c r="AC3011" s="14">
        <v>0</v>
      </c>
      <c r="AD3011" s="14">
        <v>0</v>
      </c>
      <c r="AE3011" s="14">
        <v>0</v>
      </c>
      <c r="AF3011" s="14" t="s">
        <v>413</v>
      </c>
    </row>
    <row r="3012" spans="1:32" ht="14.25" customHeight="1" x14ac:dyDescent="0.35">
      <c r="A3012" s="16" t="s">
        <v>1850</v>
      </c>
      <c r="B3012" s="16" t="s">
        <v>460</v>
      </c>
      <c r="C3012" s="16"/>
      <c r="D3012" s="16" t="s">
        <v>418</v>
      </c>
      <c r="E3012" s="17">
        <v>41640</v>
      </c>
      <c r="F3012" s="17">
        <v>42004</v>
      </c>
      <c r="G3012" s="16" t="s">
        <v>415</v>
      </c>
      <c r="H3012" s="16">
        <v>0.03</v>
      </c>
      <c r="I3012" s="16">
        <v>0.03</v>
      </c>
      <c r="J3012" s="16">
        <v>0.03</v>
      </c>
      <c r="K3012" s="16">
        <v>0.03</v>
      </c>
      <c r="L3012" s="16">
        <v>0.03</v>
      </c>
      <c r="M3012" s="16">
        <v>0.03</v>
      </c>
      <c r="N3012" s="16">
        <v>0.03</v>
      </c>
      <c r="O3012" s="16">
        <v>0.03</v>
      </c>
      <c r="P3012" s="16">
        <v>0.03</v>
      </c>
      <c r="Q3012" s="16">
        <v>0.05</v>
      </c>
      <c r="R3012" s="16">
        <v>0.05</v>
      </c>
      <c r="S3012" s="16">
        <v>0.05</v>
      </c>
      <c r="T3012" s="16">
        <v>0.05</v>
      </c>
      <c r="U3012" s="16">
        <v>0.03</v>
      </c>
      <c r="V3012" s="16">
        <v>0.03</v>
      </c>
      <c r="W3012" s="16">
        <v>0.03</v>
      </c>
      <c r="X3012" s="16">
        <v>0.03</v>
      </c>
      <c r="Y3012" s="16">
        <v>0.03</v>
      </c>
      <c r="Z3012" s="16">
        <v>0.03</v>
      </c>
      <c r="AA3012" s="16">
        <v>0.03</v>
      </c>
      <c r="AB3012" s="16">
        <v>0.03</v>
      </c>
      <c r="AC3012" s="16">
        <v>0.03</v>
      </c>
      <c r="AD3012" s="16">
        <v>0.03</v>
      </c>
      <c r="AE3012" s="16">
        <v>0.03</v>
      </c>
      <c r="AF3012" s="16" t="s">
        <v>413</v>
      </c>
    </row>
    <row r="3013" spans="1:32" ht="14.25" customHeight="1" x14ac:dyDescent="0.35">
      <c r="A3013" s="16" t="s">
        <v>1851</v>
      </c>
      <c r="B3013" s="16" t="s">
        <v>408</v>
      </c>
      <c r="C3013" s="16" t="s">
        <v>412</v>
      </c>
      <c r="D3013" s="16" t="s">
        <v>409</v>
      </c>
      <c r="E3013" s="17">
        <v>41640</v>
      </c>
      <c r="F3013" s="17">
        <v>42004</v>
      </c>
      <c r="G3013" s="16" t="s">
        <v>410</v>
      </c>
      <c r="H3013" s="16">
        <v>60</v>
      </c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16"/>
      <c r="AA3013" s="16"/>
      <c r="AB3013" s="16"/>
      <c r="AC3013" s="16"/>
      <c r="AD3013" s="16"/>
      <c r="AE3013" s="16"/>
      <c r="AF3013" s="16" t="s">
        <v>413</v>
      </c>
    </row>
    <row r="3014" spans="1:32" ht="14.25" customHeight="1" x14ac:dyDescent="0.35">
      <c r="A3014" s="14" t="s">
        <v>1852</v>
      </c>
      <c r="B3014" s="14" t="s">
        <v>408</v>
      </c>
      <c r="C3014" s="14" t="s">
        <v>412</v>
      </c>
      <c r="D3014" s="14" t="s">
        <v>409</v>
      </c>
      <c r="E3014" s="15">
        <v>41640</v>
      </c>
      <c r="F3014" s="15">
        <v>42004</v>
      </c>
      <c r="G3014" s="14" t="s">
        <v>410</v>
      </c>
      <c r="H3014" s="14">
        <v>82.22</v>
      </c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4"/>
      <c r="U3014" s="14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4"/>
      <c r="AF3014" s="14" t="s">
        <v>413</v>
      </c>
    </row>
    <row r="3015" spans="1:32" ht="14.25" customHeight="1" x14ac:dyDescent="0.35">
      <c r="A3015" s="16" t="s">
        <v>1853</v>
      </c>
      <c r="B3015" s="16" t="s">
        <v>420</v>
      </c>
      <c r="C3015" s="16" t="s">
        <v>414</v>
      </c>
      <c r="D3015" s="16" t="s">
        <v>476</v>
      </c>
      <c r="E3015" s="17">
        <v>41640</v>
      </c>
      <c r="F3015" s="17">
        <v>42004</v>
      </c>
      <c r="G3015" s="16" t="s">
        <v>410</v>
      </c>
      <c r="H3015" s="16">
        <v>29.44</v>
      </c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16"/>
      <c r="AA3015" s="16"/>
      <c r="AB3015" s="16"/>
      <c r="AC3015" s="16"/>
      <c r="AD3015" s="16"/>
      <c r="AE3015" s="16"/>
      <c r="AF3015" s="16" t="s">
        <v>413</v>
      </c>
    </row>
    <row r="3016" spans="1:32" ht="14.25" customHeight="1" x14ac:dyDescent="0.35">
      <c r="A3016" s="14" t="s">
        <v>1853</v>
      </c>
      <c r="B3016" s="14" t="s">
        <v>420</v>
      </c>
      <c r="C3016" s="14" t="s">
        <v>414</v>
      </c>
      <c r="D3016" s="14" t="s">
        <v>419</v>
      </c>
      <c r="E3016" s="15">
        <v>41640</v>
      </c>
      <c r="F3016" s="15">
        <v>42004</v>
      </c>
      <c r="G3016" s="14" t="s">
        <v>410</v>
      </c>
      <c r="H3016" s="14">
        <v>24</v>
      </c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4"/>
      <c r="U3016" s="14"/>
      <c r="V3016" s="14"/>
      <c r="W3016" s="14"/>
      <c r="X3016" s="14"/>
      <c r="Y3016" s="14"/>
      <c r="Z3016" s="14"/>
      <c r="AA3016" s="14"/>
      <c r="AB3016" s="14"/>
      <c r="AC3016" s="14"/>
      <c r="AD3016" s="14"/>
      <c r="AE3016" s="14"/>
      <c r="AF3016" s="14" t="s">
        <v>413</v>
      </c>
    </row>
    <row r="3017" spans="1:32" ht="14.25" customHeight="1" x14ac:dyDescent="0.35">
      <c r="A3017" s="16" t="s">
        <v>1853</v>
      </c>
      <c r="B3017" s="16" t="s">
        <v>420</v>
      </c>
      <c r="C3017" s="16" t="s">
        <v>414</v>
      </c>
      <c r="D3017" s="16" t="s">
        <v>429</v>
      </c>
      <c r="E3017" s="17">
        <v>41640</v>
      </c>
      <c r="F3017" s="17">
        <v>42004</v>
      </c>
      <c r="G3017" s="16" t="s">
        <v>415</v>
      </c>
      <c r="H3017" s="16">
        <v>29.44</v>
      </c>
      <c r="I3017" s="16">
        <v>29.44</v>
      </c>
      <c r="J3017" s="16">
        <v>29.44</v>
      </c>
      <c r="K3017" s="16">
        <v>29.44</v>
      </c>
      <c r="L3017" s="16">
        <v>29.44</v>
      </c>
      <c r="M3017" s="16">
        <v>29.44</v>
      </c>
      <c r="N3017" s="16">
        <v>24</v>
      </c>
      <c r="O3017" s="16">
        <v>24</v>
      </c>
      <c r="P3017" s="16">
        <v>24</v>
      </c>
      <c r="Q3017" s="16">
        <v>24</v>
      </c>
      <c r="R3017" s="16">
        <v>24</v>
      </c>
      <c r="S3017" s="16">
        <v>24</v>
      </c>
      <c r="T3017" s="16">
        <v>24</v>
      </c>
      <c r="U3017" s="16">
        <v>24</v>
      </c>
      <c r="V3017" s="16">
        <v>24</v>
      </c>
      <c r="W3017" s="16">
        <v>24</v>
      </c>
      <c r="X3017" s="16">
        <v>24</v>
      </c>
      <c r="Y3017" s="16">
        <v>24</v>
      </c>
      <c r="Z3017" s="16">
        <v>24</v>
      </c>
      <c r="AA3017" s="16">
        <v>24</v>
      </c>
      <c r="AB3017" s="16">
        <v>24</v>
      </c>
      <c r="AC3017" s="16">
        <v>29.44</v>
      </c>
      <c r="AD3017" s="16">
        <v>29.44</v>
      </c>
      <c r="AE3017" s="16">
        <v>29.44</v>
      </c>
      <c r="AF3017" s="16" t="s">
        <v>413</v>
      </c>
    </row>
    <row r="3018" spans="1:32" ht="14.25" customHeight="1" x14ac:dyDescent="0.35">
      <c r="A3018" s="14" t="s">
        <v>1854</v>
      </c>
      <c r="B3018" s="14" t="s">
        <v>420</v>
      </c>
      <c r="C3018" s="14" t="s">
        <v>414</v>
      </c>
      <c r="D3018" s="14" t="s">
        <v>453</v>
      </c>
      <c r="E3018" s="15">
        <v>41640</v>
      </c>
      <c r="F3018" s="15">
        <v>42004</v>
      </c>
      <c r="G3018" s="14" t="s">
        <v>410</v>
      </c>
      <c r="H3018" s="16">
        <v>24</v>
      </c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6"/>
      <c r="AA3018" s="16"/>
      <c r="AB3018" s="16"/>
      <c r="AC3018" s="16"/>
      <c r="AD3018" s="16"/>
      <c r="AE3018" s="16"/>
      <c r="AF3018" s="14" t="s">
        <v>413</v>
      </c>
    </row>
    <row r="3019" spans="1:32" ht="14.25" customHeight="1" x14ac:dyDescent="0.35">
      <c r="A3019" s="16" t="s">
        <v>1854</v>
      </c>
      <c r="B3019" s="16" t="s">
        <v>420</v>
      </c>
      <c r="C3019" s="16" t="s">
        <v>414</v>
      </c>
      <c r="D3019" s="16" t="s">
        <v>418</v>
      </c>
      <c r="E3019" s="17">
        <v>41640</v>
      </c>
      <c r="F3019" s="17">
        <v>42004</v>
      </c>
      <c r="G3019" s="16" t="s">
        <v>410</v>
      </c>
      <c r="H3019" s="16">
        <v>29.44</v>
      </c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16"/>
      <c r="AA3019" s="16"/>
      <c r="AB3019" s="16"/>
      <c r="AC3019" s="16"/>
      <c r="AD3019" s="16"/>
      <c r="AE3019" s="16"/>
      <c r="AF3019" s="16" t="s">
        <v>413</v>
      </c>
    </row>
    <row r="3020" spans="1:32" ht="14.25" customHeight="1" x14ac:dyDescent="0.35">
      <c r="A3020" s="14" t="s">
        <v>1855</v>
      </c>
      <c r="B3020" s="14" t="s">
        <v>420</v>
      </c>
      <c r="C3020" s="14" t="s">
        <v>414</v>
      </c>
      <c r="D3020" s="14" t="s">
        <v>476</v>
      </c>
      <c r="E3020" s="15">
        <v>41640</v>
      </c>
      <c r="F3020" s="15">
        <v>42004</v>
      </c>
      <c r="G3020" s="14" t="s">
        <v>410</v>
      </c>
      <c r="H3020" s="14">
        <v>29.44</v>
      </c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 t="s">
        <v>413</v>
      </c>
    </row>
    <row r="3021" spans="1:32" ht="14.25" customHeight="1" x14ac:dyDescent="0.35">
      <c r="A3021" s="14" t="s">
        <v>1855</v>
      </c>
      <c r="B3021" s="14" t="s">
        <v>420</v>
      </c>
      <c r="C3021" s="14" t="s">
        <v>414</v>
      </c>
      <c r="D3021" s="14" t="s">
        <v>419</v>
      </c>
      <c r="E3021" s="15">
        <v>41640</v>
      </c>
      <c r="F3021" s="15">
        <v>42004</v>
      </c>
      <c r="G3021" s="14" t="s">
        <v>410</v>
      </c>
      <c r="H3021" s="14">
        <v>24</v>
      </c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16"/>
      <c r="AA3021" s="16"/>
      <c r="AB3021" s="16"/>
      <c r="AC3021" s="16"/>
      <c r="AD3021" s="16"/>
      <c r="AE3021" s="16"/>
      <c r="AF3021" s="16" t="s">
        <v>413</v>
      </c>
    </row>
    <row r="3022" spans="1:32" ht="14.25" customHeight="1" x14ac:dyDescent="0.35">
      <c r="A3022" s="14" t="s">
        <v>1855</v>
      </c>
      <c r="B3022" s="14" t="s">
        <v>420</v>
      </c>
      <c r="C3022" s="14" t="s">
        <v>414</v>
      </c>
      <c r="D3022" s="14" t="s">
        <v>429</v>
      </c>
      <c r="E3022" s="15">
        <v>41640</v>
      </c>
      <c r="F3022" s="15">
        <v>42004</v>
      </c>
      <c r="G3022" s="14" t="s">
        <v>415</v>
      </c>
      <c r="H3022" s="16">
        <v>29.44</v>
      </c>
      <c r="I3022" s="16">
        <v>29.44</v>
      </c>
      <c r="J3022" s="16">
        <v>29.44</v>
      </c>
      <c r="K3022" s="16">
        <v>29.44</v>
      </c>
      <c r="L3022" s="16">
        <v>29.44</v>
      </c>
      <c r="M3022" s="16">
        <v>29.44</v>
      </c>
      <c r="N3022" s="16">
        <v>24</v>
      </c>
      <c r="O3022" s="16">
        <v>24</v>
      </c>
      <c r="P3022" s="16">
        <v>24</v>
      </c>
      <c r="Q3022" s="16">
        <v>24</v>
      </c>
      <c r="R3022" s="16">
        <v>24</v>
      </c>
      <c r="S3022" s="16">
        <v>24</v>
      </c>
      <c r="T3022" s="16">
        <v>24</v>
      </c>
      <c r="U3022" s="16">
        <v>24</v>
      </c>
      <c r="V3022" s="16">
        <v>24</v>
      </c>
      <c r="W3022" s="16">
        <v>24</v>
      </c>
      <c r="X3022" s="16">
        <v>24</v>
      </c>
      <c r="Y3022" s="16">
        <v>24</v>
      </c>
      <c r="Z3022" s="16">
        <v>24</v>
      </c>
      <c r="AA3022" s="16">
        <v>24</v>
      </c>
      <c r="AB3022" s="16">
        <v>24</v>
      </c>
      <c r="AC3022" s="16">
        <v>29.44</v>
      </c>
      <c r="AD3022" s="16">
        <v>29.44</v>
      </c>
      <c r="AE3022" s="16">
        <v>29.44</v>
      </c>
      <c r="AF3022" s="16" t="s">
        <v>413</v>
      </c>
    </row>
    <row r="3023" spans="1:32" ht="14.25" customHeight="1" x14ac:dyDescent="0.35">
      <c r="A3023" s="16" t="s">
        <v>1856</v>
      </c>
      <c r="B3023" s="16" t="s">
        <v>420</v>
      </c>
      <c r="C3023" s="16" t="s">
        <v>414</v>
      </c>
      <c r="D3023" s="16" t="s">
        <v>1769</v>
      </c>
      <c r="E3023" s="17">
        <v>41640</v>
      </c>
      <c r="F3023" s="17">
        <v>42004</v>
      </c>
      <c r="G3023" s="14" t="s">
        <v>410</v>
      </c>
      <c r="H3023" s="16">
        <v>29.44</v>
      </c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16"/>
      <c r="AA3023" s="16"/>
      <c r="AB3023" s="16"/>
      <c r="AC3023" s="16"/>
      <c r="AD3023" s="16"/>
      <c r="AE3023" s="16"/>
      <c r="AF3023" s="16" t="s">
        <v>413</v>
      </c>
    </row>
    <row r="3024" spans="1:32" ht="14.25" customHeight="1" x14ac:dyDescent="0.35">
      <c r="A3024" s="14" t="s">
        <v>1856</v>
      </c>
      <c r="B3024" s="14" t="s">
        <v>420</v>
      </c>
      <c r="C3024" s="14" t="s">
        <v>414</v>
      </c>
      <c r="D3024" s="14" t="s">
        <v>419</v>
      </c>
      <c r="E3024" s="15">
        <v>41640</v>
      </c>
      <c r="F3024" s="15">
        <v>42004</v>
      </c>
      <c r="G3024" s="14" t="s">
        <v>410</v>
      </c>
      <c r="H3024" s="14">
        <v>24</v>
      </c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  <c r="AA3024" s="14"/>
      <c r="AB3024" s="14"/>
      <c r="AC3024" s="14"/>
      <c r="AD3024" s="14"/>
      <c r="AE3024" s="14"/>
      <c r="AF3024" s="14" t="s">
        <v>413</v>
      </c>
    </row>
    <row r="3025" spans="1:32" ht="14.25" customHeight="1" x14ac:dyDescent="0.35">
      <c r="A3025" s="16" t="s">
        <v>1857</v>
      </c>
      <c r="B3025" s="16" t="s">
        <v>420</v>
      </c>
      <c r="C3025" s="16" t="s">
        <v>414</v>
      </c>
      <c r="D3025" s="16" t="s">
        <v>476</v>
      </c>
      <c r="E3025" s="17">
        <v>41640</v>
      </c>
      <c r="F3025" s="17">
        <v>42004</v>
      </c>
      <c r="G3025" s="16" t="s">
        <v>410</v>
      </c>
      <c r="H3025" s="16">
        <v>29.44</v>
      </c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  <c r="AC3025" s="16"/>
      <c r="AD3025" s="16"/>
      <c r="AE3025" s="16"/>
      <c r="AF3025" s="16" t="s">
        <v>413</v>
      </c>
    </row>
    <row r="3026" spans="1:32" ht="14.25" customHeight="1" x14ac:dyDescent="0.35">
      <c r="A3026" s="14" t="s">
        <v>1857</v>
      </c>
      <c r="B3026" s="14" t="s">
        <v>420</v>
      </c>
      <c r="C3026" s="14" t="s">
        <v>414</v>
      </c>
      <c r="D3026" s="14" t="s">
        <v>419</v>
      </c>
      <c r="E3026" s="15">
        <v>41640</v>
      </c>
      <c r="F3026" s="15">
        <v>42004</v>
      </c>
      <c r="G3026" s="14" t="s">
        <v>410</v>
      </c>
      <c r="H3026" s="14">
        <v>24</v>
      </c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 t="s">
        <v>413</v>
      </c>
    </row>
    <row r="3027" spans="1:32" ht="14.25" customHeight="1" x14ac:dyDescent="0.35">
      <c r="A3027" s="16" t="s">
        <v>1857</v>
      </c>
      <c r="B3027" s="16" t="s">
        <v>420</v>
      </c>
      <c r="C3027" s="16" t="s">
        <v>414</v>
      </c>
      <c r="D3027" s="16" t="s">
        <v>429</v>
      </c>
      <c r="E3027" s="17">
        <v>41640</v>
      </c>
      <c r="F3027" s="17">
        <v>42004</v>
      </c>
      <c r="G3027" s="16" t="s">
        <v>415</v>
      </c>
      <c r="H3027" s="16">
        <v>29.44</v>
      </c>
      <c r="I3027" s="16">
        <v>29.44</v>
      </c>
      <c r="J3027" s="16">
        <v>29.44</v>
      </c>
      <c r="K3027" s="16">
        <v>29.44</v>
      </c>
      <c r="L3027" s="16">
        <v>29.44</v>
      </c>
      <c r="M3027" s="16">
        <v>29.44</v>
      </c>
      <c r="N3027" s="16">
        <v>27.8</v>
      </c>
      <c r="O3027" s="16">
        <v>25.6</v>
      </c>
      <c r="P3027" s="16">
        <v>24</v>
      </c>
      <c r="Q3027" s="16">
        <v>24</v>
      </c>
      <c r="R3027" s="16">
        <v>24</v>
      </c>
      <c r="S3027" s="16">
        <v>24</v>
      </c>
      <c r="T3027" s="16">
        <v>24</v>
      </c>
      <c r="U3027" s="16">
        <v>24</v>
      </c>
      <c r="V3027" s="16">
        <v>24</v>
      </c>
      <c r="W3027" s="16">
        <v>24</v>
      </c>
      <c r="X3027" s="16">
        <v>24</v>
      </c>
      <c r="Y3027" s="16">
        <v>24</v>
      </c>
      <c r="Z3027" s="16">
        <v>24</v>
      </c>
      <c r="AA3027" s="16">
        <v>24</v>
      </c>
      <c r="AB3027" s="16">
        <v>24</v>
      </c>
      <c r="AC3027" s="16">
        <v>29.44</v>
      </c>
      <c r="AD3027" s="16">
        <v>29.44</v>
      </c>
      <c r="AE3027" s="16">
        <v>29.44</v>
      </c>
      <c r="AF3027" s="16" t="s">
        <v>413</v>
      </c>
    </row>
    <row r="3028" spans="1:32" ht="14.25" customHeight="1" x14ac:dyDescent="0.35">
      <c r="A3028" s="14" t="s">
        <v>1858</v>
      </c>
      <c r="B3028" s="14" t="s">
        <v>420</v>
      </c>
      <c r="C3028" s="14" t="s">
        <v>414</v>
      </c>
      <c r="D3028" s="14" t="s">
        <v>476</v>
      </c>
      <c r="E3028" s="15">
        <v>41640</v>
      </c>
      <c r="F3028" s="15">
        <v>42004</v>
      </c>
      <c r="G3028" s="14" t="s">
        <v>410</v>
      </c>
      <c r="H3028" s="14">
        <v>29.44</v>
      </c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  <c r="U3028" s="14"/>
      <c r="V3028" s="14"/>
      <c r="W3028" s="14"/>
      <c r="X3028" s="14"/>
      <c r="Y3028" s="14"/>
      <c r="Z3028" s="14"/>
      <c r="AA3028" s="14"/>
      <c r="AB3028" s="14"/>
      <c r="AC3028" s="14"/>
      <c r="AD3028" s="14"/>
      <c r="AE3028" s="14"/>
      <c r="AF3028" s="14" t="s">
        <v>413</v>
      </c>
    </row>
    <row r="3029" spans="1:32" ht="14.25" customHeight="1" x14ac:dyDescent="0.35">
      <c r="A3029" s="16" t="s">
        <v>1858</v>
      </c>
      <c r="B3029" s="16" t="s">
        <v>420</v>
      </c>
      <c r="C3029" s="16" t="s">
        <v>414</v>
      </c>
      <c r="D3029" s="16" t="s">
        <v>419</v>
      </c>
      <c r="E3029" s="17">
        <v>41640</v>
      </c>
      <c r="F3029" s="17">
        <v>42004</v>
      </c>
      <c r="G3029" s="16" t="s">
        <v>410</v>
      </c>
      <c r="H3029" s="16">
        <v>24</v>
      </c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16"/>
      <c r="AA3029" s="16"/>
      <c r="AB3029" s="16"/>
      <c r="AC3029" s="16"/>
      <c r="AD3029" s="16"/>
      <c r="AE3029" s="16"/>
      <c r="AF3029" s="16" t="s">
        <v>413</v>
      </c>
    </row>
    <row r="3030" spans="1:32" ht="14.25" customHeight="1" x14ac:dyDescent="0.35">
      <c r="A3030" s="14" t="s">
        <v>1858</v>
      </c>
      <c r="B3030" s="14" t="s">
        <v>420</v>
      </c>
      <c r="C3030" s="14" t="s">
        <v>414</v>
      </c>
      <c r="D3030" s="14" t="s">
        <v>429</v>
      </c>
      <c r="E3030" s="15">
        <v>41640</v>
      </c>
      <c r="F3030" s="15">
        <v>42004</v>
      </c>
      <c r="G3030" s="14" t="s">
        <v>415</v>
      </c>
      <c r="H3030" s="14">
        <v>29.44</v>
      </c>
      <c r="I3030" s="14">
        <v>29.44</v>
      </c>
      <c r="J3030" s="14">
        <v>29.44</v>
      </c>
      <c r="K3030" s="14">
        <v>29.44</v>
      </c>
      <c r="L3030" s="14">
        <v>29.44</v>
      </c>
      <c r="M3030" s="14">
        <v>29.44</v>
      </c>
      <c r="N3030" s="14">
        <v>27.8</v>
      </c>
      <c r="O3030" s="14">
        <v>25.6</v>
      </c>
      <c r="P3030" s="14">
        <v>24</v>
      </c>
      <c r="Q3030" s="14">
        <v>24</v>
      </c>
      <c r="R3030" s="14">
        <v>24</v>
      </c>
      <c r="S3030" s="14">
        <v>24</v>
      </c>
      <c r="T3030" s="14">
        <v>24</v>
      </c>
      <c r="U3030" s="14">
        <v>24</v>
      </c>
      <c r="V3030" s="14">
        <v>24</v>
      </c>
      <c r="W3030" s="14">
        <v>24</v>
      </c>
      <c r="X3030" s="14">
        <v>24</v>
      </c>
      <c r="Y3030" s="14">
        <v>24</v>
      </c>
      <c r="Z3030" s="14">
        <v>24</v>
      </c>
      <c r="AA3030" s="14">
        <v>24</v>
      </c>
      <c r="AB3030" s="14">
        <v>24</v>
      </c>
      <c r="AC3030" s="14">
        <v>29.44</v>
      </c>
      <c r="AD3030" s="14">
        <v>29.44</v>
      </c>
      <c r="AE3030" s="14">
        <v>29.44</v>
      </c>
      <c r="AF3030" s="14" t="s">
        <v>413</v>
      </c>
    </row>
    <row r="3031" spans="1:32" ht="14.25" customHeight="1" x14ac:dyDescent="0.35">
      <c r="A3031" s="16" t="s">
        <v>1859</v>
      </c>
      <c r="B3031" s="16" t="s">
        <v>518</v>
      </c>
      <c r="C3031" s="16" t="s">
        <v>412</v>
      </c>
      <c r="D3031" s="16" t="s">
        <v>453</v>
      </c>
      <c r="E3031" s="17">
        <v>41640</v>
      </c>
      <c r="F3031" s="17">
        <v>42004</v>
      </c>
      <c r="G3031" s="16" t="s">
        <v>410</v>
      </c>
      <c r="H3031" s="16">
        <v>0.6</v>
      </c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16"/>
      <c r="AA3031" s="16"/>
      <c r="AB3031" s="16"/>
      <c r="AC3031" s="16"/>
      <c r="AD3031" s="16"/>
      <c r="AE3031" s="16"/>
      <c r="AF3031" s="16" t="s">
        <v>413</v>
      </c>
    </row>
    <row r="3032" spans="1:32" ht="14.25" customHeight="1" x14ac:dyDescent="0.35">
      <c r="A3032" s="16" t="s">
        <v>1859</v>
      </c>
      <c r="B3032" s="16" t="s">
        <v>518</v>
      </c>
      <c r="C3032" s="16" t="s">
        <v>412</v>
      </c>
      <c r="D3032" s="16" t="s">
        <v>454</v>
      </c>
      <c r="E3032" s="17">
        <v>41913</v>
      </c>
      <c r="F3032" s="17">
        <v>42004</v>
      </c>
      <c r="G3032" s="16" t="s">
        <v>410</v>
      </c>
      <c r="H3032" s="16">
        <v>1.1000000000000001</v>
      </c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6"/>
      <c r="AA3032" s="16"/>
      <c r="AB3032" s="16"/>
      <c r="AC3032" s="16"/>
      <c r="AD3032" s="16"/>
      <c r="AE3032" s="16"/>
      <c r="AF3032" s="16" t="s">
        <v>413</v>
      </c>
    </row>
    <row r="3033" spans="1:32" ht="14.25" customHeight="1" x14ac:dyDescent="0.35">
      <c r="A3033" s="14" t="s">
        <v>1859</v>
      </c>
      <c r="B3033" s="14" t="s">
        <v>518</v>
      </c>
      <c r="C3033" s="14" t="s">
        <v>412</v>
      </c>
      <c r="D3033" s="14" t="s">
        <v>454</v>
      </c>
      <c r="E3033" s="15">
        <v>41640</v>
      </c>
      <c r="F3033" s="15">
        <v>41759</v>
      </c>
      <c r="G3033" s="14" t="s">
        <v>410</v>
      </c>
      <c r="H3033" s="14">
        <v>1.1000000000000001</v>
      </c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4"/>
      <c r="U3033" s="14"/>
      <c r="V3033" s="14"/>
      <c r="W3033" s="14"/>
      <c r="X3033" s="14"/>
      <c r="Y3033" s="14"/>
      <c r="Z3033" s="14"/>
      <c r="AA3033" s="14"/>
      <c r="AB3033" s="14"/>
      <c r="AC3033" s="14"/>
      <c r="AD3033" s="14"/>
      <c r="AE3033" s="14"/>
      <c r="AF3033" s="14" t="s">
        <v>413</v>
      </c>
    </row>
    <row r="3034" spans="1:32" ht="14.25" customHeight="1" x14ac:dyDescent="0.35">
      <c r="A3034" s="14" t="s">
        <v>1859</v>
      </c>
      <c r="B3034" s="14" t="s">
        <v>518</v>
      </c>
      <c r="C3034" s="14" t="s">
        <v>412</v>
      </c>
      <c r="D3034" s="14" t="s">
        <v>418</v>
      </c>
      <c r="E3034" s="15">
        <v>41640</v>
      </c>
      <c r="F3034" s="15">
        <v>42004</v>
      </c>
      <c r="G3034" s="14" t="s">
        <v>410</v>
      </c>
      <c r="H3034" s="14">
        <v>1.1000000000000001</v>
      </c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  <c r="AA3034" s="14"/>
      <c r="AB3034" s="14"/>
      <c r="AC3034" s="14"/>
      <c r="AD3034" s="14"/>
      <c r="AE3034" s="14"/>
      <c r="AF3034" s="14" t="s">
        <v>413</v>
      </c>
    </row>
    <row r="3035" spans="1:32" ht="14.25" customHeight="1" x14ac:dyDescent="0.35">
      <c r="A3035" s="16" t="s">
        <v>1860</v>
      </c>
      <c r="B3035" s="16" t="s">
        <v>408</v>
      </c>
      <c r="C3035" s="16" t="s">
        <v>412</v>
      </c>
      <c r="D3035" s="16" t="s">
        <v>409</v>
      </c>
      <c r="E3035" s="17">
        <v>41640</v>
      </c>
      <c r="F3035" s="17">
        <v>42004</v>
      </c>
      <c r="G3035" s="16" t="s">
        <v>410</v>
      </c>
      <c r="H3035" s="16">
        <v>1</v>
      </c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6"/>
      <c r="AA3035" s="16"/>
      <c r="AB3035" s="16"/>
      <c r="AC3035" s="16"/>
      <c r="AD3035" s="16"/>
      <c r="AE3035" s="16"/>
      <c r="AF3035" s="16" t="s">
        <v>413</v>
      </c>
    </row>
    <row r="3036" spans="1:32" ht="14.25" customHeight="1" x14ac:dyDescent="0.35">
      <c r="A3036" s="14" t="s">
        <v>1861</v>
      </c>
      <c r="B3036" s="14" t="s">
        <v>408</v>
      </c>
      <c r="C3036" s="14" t="s">
        <v>414</v>
      </c>
      <c r="D3036" s="14" t="s">
        <v>409</v>
      </c>
      <c r="E3036" s="15">
        <v>41640</v>
      </c>
      <c r="F3036" s="15">
        <v>42004</v>
      </c>
      <c r="G3036" s="14" t="s">
        <v>410</v>
      </c>
      <c r="H3036" s="14">
        <v>6.7</v>
      </c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S3036" s="14"/>
      <c r="T3036" s="14"/>
      <c r="U3036" s="14"/>
      <c r="V3036" s="14"/>
      <c r="W3036" s="14"/>
      <c r="X3036" s="14"/>
      <c r="Y3036" s="14"/>
      <c r="Z3036" s="14"/>
      <c r="AA3036" s="14"/>
      <c r="AB3036" s="14"/>
      <c r="AC3036" s="14"/>
      <c r="AD3036" s="14"/>
      <c r="AE3036" s="14"/>
      <c r="AF3036" s="14" t="s">
        <v>413</v>
      </c>
    </row>
    <row r="3037" spans="1:32" ht="14.25" customHeight="1" x14ac:dyDescent="0.35">
      <c r="A3037" s="16" t="s">
        <v>1862</v>
      </c>
      <c r="B3037" s="16" t="s">
        <v>408</v>
      </c>
      <c r="C3037" s="16"/>
      <c r="D3037" s="16" t="s">
        <v>409</v>
      </c>
      <c r="E3037" s="17">
        <v>41640</v>
      </c>
      <c r="F3037" s="17">
        <v>42004</v>
      </c>
      <c r="G3037" s="16" t="s">
        <v>410</v>
      </c>
      <c r="H3037" s="16">
        <v>4</v>
      </c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16"/>
      <c r="AA3037" s="16"/>
      <c r="AB3037" s="16"/>
      <c r="AC3037" s="16"/>
      <c r="AD3037" s="16"/>
      <c r="AE3037" s="16"/>
      <c r="AF3037" s="16" t="s">
        <v>413</v>
      </c>
    </row>
    <row r="3038" spans="1:32" ht="14.25" customHeight="1" x14ac:dyDescent="0.35">
      <c r="A3038" s="14" t="s">
        <v>1863</v>
      </c>
      <c r="B3038" s="14" t="s">
        <v>424</v>
      </c>
      <c r="C3038" s="14"/>
      <c r="D3038" s="14" t="s">
        <v>409</v>
      </c>
      <c r="E3038" s="15">
        <v>41640</v>
      </c>
      <c r="F3038" s="15">
        <v>42004</v>
      </c>
      <c r="G3038" s="14" t="s">
        <v>410</v>
      </c>
      <c r="H3038" s="14">
        <v>1</v>
      </c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F3038" s="14" t="s">
        <v>413</v>
      </c>
    </row>
    <row r="3039" spans="1:32" ht="14.25" customHeight="1" x14ac:dyDescent="0.35">
      <c r="A3039" s="16" t="s">
        <v>1864</v>
      </c>
      <c r="B3039" s="16" t="s">
        <v>424</v>
      </c>
      <c r="C3039" s="16"/>
      <c r="D3039" s="16" t="s">
        <v>476</v>
      </c>
      <c r="E3039" s="17">
        <v>41640</v>
      </c>
      <c r="F3039" s="17">
        <v>42004</v>
      </c>
      <c r="G3039" s="16" t="s">
        <v>410</v>
      </c>
      <c r="H3039" s="16">
        <v>0</v>
      </c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6"/>
      <c r="AA3039" s="16"/>
      <c r="AB3039" s="16"/>
      <c r="AC3039" s="16"/>
      <c r="AD3039" s="16"/>
      <c r="AE3039" s="16"/>
      <c r="AF3039" s="16" t="s">
        <v>413</v>
      </c>
    </row>
    <row r="3040" spans="1:32" ht="14.25" customHeight="1" x14ac:dyDescent="0.35">
      <c r="A3040" s="14" t="s">
        <v>1864</v>
      </c>
      <c r="B3040" s="14" t="s">
        <v>424</v>
      </c>
      <c r="C3040" s="14"/>
      <c r="D3040" s="14" t="s">
        <v>419</v>
      </c>
      <c r="E3040" s="15">
        <v>41640</v>
      </c>
      <c r="F3040" s="15">
        <v>42004</v>
      </c>
      <c r="G3040" s="14" t="s">
        <v>410</v>
      </c>
      <c r="H3040" s="14">
        <v>0.3</v>
      </c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4" t="s">
        <v>413</v>
      </c>
    </row>
    <row r="3041" spans="1:32" ht="14.25" customHeight="1" x14ac:dyDescent="0.35">
      <c r="A3041" s="16" t="s">
        <v>1864</v>
      </c>
      <c r="B3041" s="16" t="s">
        <v>424</v>
      </c>
      <c r="C3041" s="16"/>
      <c r="D3041" s="16" t="s">
        <v>429</v>
      </c>
      <c r="E3041" s="17">
        <v>41640</v>
      </c>
      <c r="F3041" s="17">
        <v>42004</v>
      </c>
      <c r="G3041" s="16" t="s">
        <v>415</v>
      </c>
      <c r="H3041" s="16">
        <v>0</v>
      </c>
      <c r="I3041" s="16">
        <v>0</v>
      </c>
      <c r="J3041" s="16">
        <v>0</v>
      </c>
      <c r="K3041" s="16">
        <v>0</v>
      </c>
      <c r="L3041" s="16">
        <v>0</v>
      </c>
      <c r="M3041" s="16">
        <v>0</v>
      </c>
      <c r="N3041" s="16">
        <v>0</v>
      </c>
      <c r="O3041" s="16">
        <v>0</v>
      </c>
      <c r="P3041" s="16">
        <v>0.3</v>
      </c>
      <c r="Q3041" s="16">
        <v>0.3</v>
      </c>
      <c r="R3041" s="16">
        <v>0.3</v>
      </c>
      <c r="S3041" s="16">
        <v>0.3</v>
      </c>
      <c r="T3041" s="16">
        <v>0.3</v>
      </c>
      <c r="U3041" s="16">
        <v>0.3</v>
      </c>
      <c r="V3041" s="16">
        <v>0.3</v>
      </c>
      <c r="W3041" s="16">
        <v>0.15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  <c r="AC3041" s="16">
        <v>0</v>
      </c>
      <c r="AD3041" s="16">
        <v>0</v>
      </c>
      <c r="AE3041" s="16">
        <v>0</v>
      </c>
      <c r="AF3041" s="16" t="s">
        <v>413</v>
      </c>
    </row>
    <row r="3042" spans="1:32" ht="14.25" customHeight="1" x14ac:dyDescent="0.35">
      <c r="A3042" s="14" t="s">
        <v>1865</v>
      </c>
      <c r="B3042" s="14" t="s">
        <v>408</v>
      </c>
      <c r="C3042" s="14"/>
      <c r="D3042" s="14" t="s">
        <v>409</v>
      </c>
      <c r="E3042" s="15">
        <v>41640</v>
      </c>
      <c r="F3042" s="15">
        <v>42004</v>
      </c>
      <c r="G3042" s="14" t="s">
        <v>410</v>
      </c>
      <c r="H3042" s="14">
        <v>0.5</v>
      </c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 t="s">
        <v>413</v>
      </c>
    </row>
    <row r="3043" spans="1:32" ht="14.25" customHeight="1" x14ac:dyDescent="0.35">
      <c r="A3043" s="16" t="s">
        <v>1866</v>
      </c>
      <c r="B3043" s="16" t="s">
        <v>408</v>
      </c>
      <c r="C3043" s="16"/>
      <c r="D3043" s="16" t="s">
        <v>409</v>
      </c>
      <c r="E3043" s="17">
        <v>41640</v>
      </c>
      <c r="F3043" s="17">
        <v>42004</v>
      </c>
      <c r="G3043" s="16" t="s">
        <v>410</v>
      </c>
      <c r="H3043" s="16">
        <v>1</v>
      </c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6"/>
      <c r="AA3043" s="16"/>
      <c r="AB3043" s="16"/>
      <c r="AC3043" s="16"/>
      <c r="AD3043" s="16"/>
      <c r="AE3043" s="16"/>
      <c r="AF3043" s="16" t="s">
        <v>413</v>
      </c>
    </row>
    <row r="3044" spans="1:32" ht="14.25" customHeight="1" x14ac:dyDescent="0.35">
      <c r="A3044" s="14" t="s">
        <v>1867</v>
      </c>
      <c r="B3044" s="14" t="s">
        <v>424</v>
      </c>
      <c r="C3044" s="14"/>
      <c r="D3044" s="14" t="s">
        <v>409</v>
      </c>
      <c r="E3044" s="15">
        <v>41640</v>
      </c>
      <c r="F3044" s="15">
        <v>42004</v>
      </c>
      <c r="G3044" s="14" t="s">
        <v>415</v>
      </c>
      <c r="H3044" s="14">
        <v>0</v>
      </c>
      <c r="I3044" s="14">
        <v>0</v>
      </c>
      <c r="J3044" s="14">
        <v>0</v>
      </c>
      <c r="K3044" s="14">
        <v>0</v>
      </c>
      <c r="L3044" s="14">
        <v>0</v>
      </c>
      <c r="M3044" s="14">
        <v>0</v>
      </c>
      <c r="N3044" s="14">
        <v>1</v>
      </c>
      <c r="O3044" s="14">
        <v>1</v>
      </c>
      <c r="P3044" s="14">
        <v>1</v>
      </c>
      <c r="Q3044" s="14">
        <v>1</v>
      </c>
      <c r="R3044" s="14">
        <v>1</v>
      </c>
      <c r="S3044" s="14">
        <v>1</v>
      </c>
      <c r="T3044" s="14">
        <v>1</v>
      </c>
      <c r="U3044" s="14">
        <v>1</v>
      </c>
      <c r="V3044" s="14">
        <v>1</v>
      </c>
      <c r="W3044" s="14">
        <v>1</v>
      </c>
      <c r="X3044" s="14">
        <v>1</v>
      </c>
      <c r="Y3044" s="14">
        <v>1</v>
      </c>
      <c r="Z3044" s="14">
        <v>1</v>
      </c>
      <c r="AA3044" s="14">
        <v>1</v>
      </c>
      <c r="AB3044" s="14">
        <v>1</v>
      </c>
      <c r="AC3044" s="14">
        <v>1</v>
      </c>
      <c r="AD3044" s="14">
        <v>1</v>
      </c>
      <c r="AE3044" s="14">
        <v>1</v>
      </c>
      <c r="AF3044" s="14" t="s">
        <v>413</v>
      </c>
    </row>
    <row r="3045" spans="1:32" ht="14.25" customHeight="1" x14ac:dyDescent="0.35">
      <c r="A3045" s="16" t="s">
        <v>1868</v>
      </c>
      <c r="B3045" s="16" t="s">
        <v>424</v>
      </c>
      <c r="C3045" s="16"/>
      <c r="D3045" s="16" t="s">
        <v>409</v>
      </c>
      <c r="E3045" s="17">
        <v>41640</v>
      </c>
      <c r="F3045" s="17">
        <v>42004</v>
      </c>
      <c r="G3045" s="16" t="s">
        <v>415</v>
      </c>
      <c r="H3045" s="16">
        <v>0.7</v>
      </c>
      <c r="I3045" s="16">
        <v>0.7</v>
      </c>
      <c r="J3045" s="16">
        <v>0.7</v>
      </c>
      <c r="K3045" s="16">
        <v>0.7</v>
      </c>
      <c r="L3045" s="16">
        <v>0.7</v>
      </c>
      <c r="M3045" s="16">
        <v>0.7</v>
      </c>
      <c r="N3045" s="16">
        <v>1</v>
      </c>
      <c r="O3045" s="16">
        <v>1</v>
      </c>
      <c r="P3045" s="16">
        <v>1</v>
      </c>
      <c r="Q3045" s="16">
        <v>1</v>
      </c>
      <c r="R3045" s="16">
        <v>1</v>
      </c>
      <c r="S3045" s="16">
        <v>1</v>
      </c>
      <c r="T3045" s="16">
        <v>1</v>
      </c>
      <c r="U3045" s="16">
        <v>1</v>
      </c>
      <c r="V3045" s="16">
        <v>1</v>
      </c>
      <c r="W3045" s="16">
        <v>1</v>
      </c>
      <c r="X3045" s="16">
        <v>1</v>
      </c>
      <c r="Y3045" s="16">
        <v>1</v>
      </c>
      <c r="Z3045" s="16">
        <v>1</v>
      </c>
      <c r="AA3045" s="16">
        <v>1</v>
      </c>
      <c r="AB3045" s="16">
        <v>1</v>
      </c>
      <c r="AC3045" s="16">
        <v>1</v>
      </c>
      <c r="AD3045" s="16">
        <v>1</v>
      </c>
      <c r="AE3045" s="16">
        <v>1</v>
      </c>
      <c r="AF3045" s="16" t="s">
        <v>413</v>
      </c>
    </row>
    <row r="3046" spans="1:32" ht="14.25" customHeight="1" x14ac:dyDescent="0.35">
      <c r="A3046" s="14" t="s">
        <v>1869</v>
      </c>
      <c r="B3046" s="14" t="s">
        <v>408</v>
      </c>
      <c r="C3046" s="14" t="s">
        <v>412</v>
      </c>
      <c r="D3046" s="14" t="s">
        <v>409</v>
      </c>
      <c r="E3046" s="15">
        <v>41640</v>
      </c>
      <c r="F3046" s="15">
        <v>42004</v>
      </c>
      <c r="G3046" s="14" t="s">
        <v>410</v>
      </c>
      <c r="H3046" s="14">
        <v>1</v>
      </c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  <c r="U3046" s="14"/>
      <c r="V3046" s="14"/>
      <c r="W3046" s="14"/>
      <c r="X3046" s="14"/>
      <c r="Y3046" s="14"/>
      <c r="Z3046" s="14"/>
      <c r="AA3046" s="14"/>
      <c r="AB3046" s="14"/>
      <c r="AC3046" s="14"/>
      <c r="AD3046" s="14"/>
      <c r="AE3046" s="14"/>
      <c r="AF3046" s="14" t="s">
        <v>413</v>
      </c>
    </row>
    <row r="3047" spans="1:32" ht="14.25" customHeight="1" x14ac:dyDescent="0.35">
      <c r="A3047" s="16" t="s">
        <v>1870</v>
      </c>
      <c r="B3047" s="16" t="s">
        <v>408</v>
      </c>
      <c r="C3047" s="16" t="s">
        <v>414</v>
      </c>
      <c r="D3047" s="16" t="s">
        <v>409</v>
      </c>
      <c r="E3047" s="17">
        <v>41640</v>
      </c>
      <c r="F3047" s="17">
        <v>42004</v>
      </c>
      <c r="G3047" s="16" t="s">
        <v>410</v>
      </c>
      <c r="H3047" s="16">
        <v>16</v>
      </c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16"/>
      <c r="AA3047" s="16"/>
      <c r="AB3047" s="16"/>
      <c r="AC3047" s="16"/>
      <c r="AD3047" s="16"/>
      <c r="AE3047" s="16"/>
      <c r="AF3047" s="16" t="s">
        <v>413</v>
      </c>
    </row>
    <row r="3048" spans="1:32" ht="14.25" customHeight="1" x14ac:dyDescent="0.35">
      <c r="A3048" s="14" t="s">
        <v>1871</v>
      </c>
      <c r="B3048" s="14" t="s">
        <v>600</v>
      </c>
      <c r="C3048" s="14"/>
      <c r="D3048" s="14" t="s">
        <v>417</v>
      </c>
      <c r="E3048" s="15">
        <v>41640</v>
      </c>
      <c r="F3048" s="15">
        <v>42004</v>
      </c>
      <c r="G3048" s="14" t="s">
        <v>410</v>
      </c>
      <c r="H3048" s="14">
        <v>0</v>
      </c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 t="s">
        <v>413</v>
      </c>
    </row>
    <row r="3049" spans="1:32" ht="14.25" customHeight="1" x14ac:dyDescent="0.35">
      <c r="A3049" s="16" t="s">
        <v>1871</v>
      </c>
      <c r="B3049" s="16" t="s">
        <v>600</v>
      </c>
      <c r="C3049" s="16"/>
      <c r="D3049" s="16" t="s">
        <v>1301</v>
      </c>
      <c r="E3049" s="17">
        <v>41640</v>
      </c>
      <c r="F3049" s="17">
        <v>42004</v>
      </c>
      <c r="G3049" s="16" t="s">
        <v>415</v>
      </c>
      <c r="H3049" s="16">
        <v>0</v>
      </c>
      <c r="I3049" s="16">
        <v>0</v>
      </c>
      <c r="J3049" s="16">
        <v>0</v>
      </c>
      <c r="K3049" s="16">
        <v>0</v>
      </c>
      <c r="L3049" s="16">
        <v>0</v>
      </c>
      <c r="M3049" s="16">
        <v>0</v>
      </c>
      <c r="N3049" s="16">
        <v>0</v>
      </c>
      <c r="O3049" s="16">
        <v>1</v>
      </c>
      <c r="P3049" s="16">
        <v>1</v>
      </c>
      <c r="Q3049" s="16">
        <v>1</v>
      </c>
      <c r="R3049" s="16">
        <v>1</v>
      </c>
      <c r="S3049" s="16">
        <v>1</v>
      </c>
      <c r="T3049" s="16">
        <v>1</v>
      </c>
      <c r="U3049" s="16">
        <v>1</v>
      </c>
      <c r="V3049" s="16">
        <v>1</v>
      </c>
      <c r="W3049" s="16">
        <v>1</v>
      </c>
      <c r="X3049" s="16">
        <v>1</v>
      </c>
      <c r="Y3049" s="16">
        <v>1</v>
      </c>
      <c r="Z3049" s="16">
        <v>1</v>
      </c>
      <c r="AA3049" s="16">
        <v>1</v>
      </c>
      <c r="AB3049" s="16">
        <v>1</v>
      </c>
      <c r="AC3049" s="16">
        <v>0</v>
      </c>
      <c r="AD3049" s="16">
        <v>0</v>
      </c>
      <c r="AE3049" s="16">
        <v>0</v>
      </c>
      <c r="AF3049" s="16" t="s">
        <v>413</v>
      </c>
    </row>
    <row r="3050" spans="1:32" ht="14.25" customHeight="1" x14ac:dyDescent="0.35">
      <c r="A3050" s="14" t="s">
        <v>1872</v>
      </c>
      <c r="B3050" s="14" t="s">
        <v>420</v>
      </c>
      <c r="C3050" s="14" t="s">
        <v>414</v>
      </c>
      <c r="D3050" s="14" t="s">
        <v>453</v>
      </c>
      <c r="E3050" s="15">
        <v>41640</v>
      </c>
      <c r="F3050" s="15">
        <v>42004</v>
      </c>
      <c r="G3050" s="14" t="s">
        <v>410</v>
      </c>
      <c r="H3050" s="14">
        <v>15.6</v>
      </c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  <c r="U3050" s="14"/>
      <c r="V3050" s="14"/>
      <c r="W3050" s="14"/>
      <c r="X3050" s="14"/>
      <c r="Y3050" s="14"/>
      <c r="Z3050" s="14"/>
      <c r="AA3050" s="14"/>
      <c r="AB3050" s="14"/>
      <c r="AC3050" s="14"/>
      <c r="AD3050" s="14"/>
      <c r="AE3050" s="14"/>
      <c r="AF3050" s="14" t="s">
        <v>413</v>
      </c>
    </row>
    <row r="3051" spans="1:32" ht="14.25" customHeight="1" x14ac:dyDescent="0.35">
      <c r="A3051" s="14" t="s">
        <v>1872</v>
      </c>
      <c r="B3051" s="14" t="s">
        <v>420</v>
      </c>
      <c r="C3051" s="14" t="s">
        <v>414</v>
      </c>
      <c r="D3051" s="14" t="s">
        <v>429</v>
      </c>
      <c r="E3051" s="15">
        <v>41640</v>
      </c>
      <c r="F3051" s="15">
        <v>42004</v>
      </c>
      <c r="G3051" s="14" t="s">
        <v>415</v>
      </c>
      <c r="H3051" s="14">
        <v>15.6</v>
      </c>
      <c r="I3051" s="14">
        <v>15.6</v>
      </c>
      <c r="J3051" s="14">
        <v>15.6</v>
      </c>
      <c r="K3051" s="14">
        <v>15.6</v>
      </c>
      <c r="L3051" s="14">
        <v>15.6</v>
      </c>
      <c r="M3051" s="14">
        <v>15.6</v>
      </c>
      <c r="N3051" s="14">
        <v>21</v>
      </c>
      <c r="O3051" s="14">
        <v>21</v>
      </c>
      <c r="P3051" s="14">
        <v>21</v>
      </c>
      <c r="Q3051" s="14">
        <v>21</v>
      </c>
      <c r="R3051" s="14">
        <v>21</v>
      </c>
      <c r="S3051" s="14">
        <v>21</v>
      </c>
      <c r="T3051" s="14">
        <v>21</v>
      </c>
      <c r="U3051" s="14">
        <v>21</v>
      </c>
      <c r="V3051" s="14">
        <v>21</v>
      </c>
      <c r="W3051" s="14">
        <v>21</v>
      </c>
      <c r="X3051" s="14">
        <v>21</v>
      </c>
      <c r="Y3051" s="14">
        <v>21</v>
      </c>
      <c r="Z3051" s="14">
        <v>21</v>
      </c>
      <c r="AA3051" s="14">
        <v>21</v>
      </c>
      <c r="AB3051" s="14">
        <v>21</v>
      </c>
      <c r="AC3051" s="14">
        <v>15.6</v>
      </c>
      <c r="AD3051" s="14">
        <v>15.6</v>
      </c>
      <c r="AE3051" s="14">
        <v>15.6</v>
      </c>
      <c r="AF3051" s="14" t="s">
        <v>413</v>
      </c>
    </row>
    <row r="3052" spans="1:32" ht="14.25" customHeight="1" x14ac:dyDescent="0.35">
      <c r="A3052" s="16" t="s">
        <v>1872</v>
      </c>
      <c r="B3052" s="16" t="s">
        <v>420</v>
      </c>
      <c r="C3052" s="16" t="s">
        <v>414</v>
      </c>
      <c r="D3052" s="16" t="s">
        <v>418</v>
      </c>
      <c r="E3052" s="17">
        <v>41640</v>
      </c>
      <c r="F3052" s="17">
        <v>42004</v>
      </c>
      <c r="G3052" s="16" t="s">
        <v>410</v>
      </c>
      <c r="H3052" s="16">
        <v>21</v>
      </c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6"/>
      <c r="AA3052" s="16"/>
      <c r="AB3052" s="16"/>
      <c r="AC3052" s="16"/>
      <c r="AD3052" s="16"/>
      <c r="AE3052" s="16"/>
      <c r="AF3052" s="16" t="s">
        <v>413</v>
      </c>
    </row>
    <row r="3053" spans="1:32" ht="14.25" customHeight="1" x14ac:dyDescent="0.35">
      <c r="A3053" s="16" t="s">
        <v>1873</v>
      </c>
      <c r="B3053" s="16" t="s">
        <v>420</v>
      </c>
      <c r="C3053" s="16" t="s">
        <v>414</v>
      </c>
      <c r="D3053" s="16" t="s">
        <v>453</v>
      </c>
      <c r="E3053" s="17">
        <v>41640</v>
      </c>
      <c r="F3053" s="17">
        <v>42004</v>
      </c>
      <c r="G3053" s="16" t="s">
        <v>410</v>
      </c>
      <c r="H3053" s="16">
        <v>15.6</v>
      </c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6"/>
      <c r="AA3053" s="16"/>
      <c r="AB3053" s="16"/>
      <c r="AC3053" s="16"/>
      <c r="AD3053" s="16"/>
      <c r="AE3053" s="16"/>
      <c r="AF3053" s="16" t="s">
        <v>413</v>
      </c>
    </row>
    <row r="3054" spans="1:32" ht="14.25" customHeight="1" x14ac:dyDescent="0.35">
      <c r="A3054" s="16" t="s">
        <v>1873</v>
      </c>
      <c r="B3054" s="16" t="s">
        <v>420</v>
      </c>
      <c r="C3054" s="16" t="s">
        <v>414</v>
      </c>
      <c r="D3054" s="16" t="s">
        <v>429</v>
      </c>
      <c r="E3054" s="15">
        <v>41640</v>
      </c>
      <c r="F3054" s="15">
        <v>42004</v>
      </c>
      <c r="G3054" s="14" t="s">
        <v>415</v>
      </c>
      <c r="H3054" s="14">
        <v>15.6</v>
      </c>
      <c r="I3054" s="14">
        <v>15.6</v>
      </c>
      <c r="J3054" s="14">
        <v>15.6</v>
      </c>
      <c r="K3054" s="14">
        <v>15.6</v>
      </c>
      <c r="L3054" s="14">
        <v>15.6</v>
      </c>
      <c r="M3054" s="14">
        <v>15.6</v>
      </c>
      <c r="N3054" s="14">
        <v>21</v>
      </c>
      <c r="O3054" s="14">
        <v>21</v>
      </c>
      <c r="P3054" s="14">
        <v>21</v>
      </c>
      <c r="Q3054" s="14">
        <v>21</v>
      </c>
      <c r="R3054" s="14">
        <v>21</v>
      </c>
      <c r="S3054" s="14">
        <v>21</v>
      </c>
      <c r="T3054" s="14">
        <v>21</v>
      </c>
      <c r="U3054" s="14">
        <v>21</v>
      </c>
      <c r="V3054" s="14">
        <v>21</v>
      </c>
      <c r="W3054" s="14">
        <v>21</v>
      </c>
      <c r="X3054" s="14">
        <v>21</v>
      </c>
      <c r="Y3054" s="14">
        <v>21</v>
      </c>
      <c r="Z3054" s="14">
        <v>21</v>
      </c>
      <c r="AA3054" s="14">
        <v>21</v>
      </c>
      <c r="AB3054" s="14">
        <v>21</v>
      </c>
      <c r="AC3054" s="14">
        <v>15.6</v>
      </c>
      <c r="AD3054" s="14">
        <v>15.6</v>
      </c>
      <c r="AE3054" s="14">
        <v>15.6</v>
      </c>
      <c r="AF3054" s="16" t="s">
        <v>413</v>
      </c>
    </row>
    <row r="3055" spans="1:32" ht="14.25" customHeight="1" x14ac:dyDescent="0.35">
      <c r="A3055" s="16" t="s">
        <v>1873</v>
      </c>
      <c r="B3055" s="16" t="s">
        <v>420</v>
      </c>
      <c r="C3055" s="16" t="s">
        <v>414</v>
      </c>
      <c r="D3055" s="14" t="s">
        <v>418</v>
      </c>
      <c r="E3055" s="17">
        <v>41640</v>
      </c>
      <c r="F3055" s="17">
        <v>42004</v>
      </c>
      <c r="G3055" s="16" t="s">
        <v>410</v>
      </c>
      <c r="H3055" s="14">
        <v>21</v>
      </c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S3055" s="14"/>
      <c r="T3055" s="14"/>
      <c r="U3055" s="14"/>
      <c r="V3055" s="14"/>
      <c r="W3055" s="14"/>
      <c r="X3055" s="14"/>
      <c r="Y3055" s="14"/>
      <c r="Z3055" s="14"/>
      <c r="AA3055" s="14"/>
      <c r="AB3055" s="14"/>
      <c r="AC3055" s="14"/>
      <c r="AD3055" s="14"/>
      <c r="AE3055" s="14"/>
      <c r="AF3055" s="16" t="s">
        <v>413</v>
      </c>
    </row>
    <row r="3056" spans="1:32" ht="14.25" customHeight="1" x14ac:dyDescent="0.35">
      <c r="A3056" s="14" t="s">
        <v>1874</v>
      </c>
      <c r="B3056" s="14" t="s">
        <v>420</v>
      </c>
      <c r="C3056" s="14" t="s">
        <v>414</v>
      </c>
      <c r="D3056" s="14" t="s">
        <v>1767</v>
      </c>
      <c r="E3056" s="15">
        <v>41640</v>
      </c>
      <c r="F3056" s="15">
        <v>42004</v>
      </c>
      <c r="G3056" s="14" t="s">
        <v>410</v>
      </c>
      <c r="H3056" s="14">
        <v>15.6</v>
      </c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  <c r="AA3056" s="14"/>
      <c r="AB3056" s="14"/>
      <c r="AC3056" s="14"/>
      <c r="AD3056" s="14"/>
      <c r="AE3056" s="14"/>
      <c r="AF3056" s="14" t="s">
        <v>413</v>
      </c>
    </row>
    <row r="3057" spans="1:32" ht="14.25" customHeight="1" x14ac:dyDescent="0.35">
      <c r="A3057" s="16" t="s">
        <v>1874</v>
      </c>
      <c r="B3057" s="16" t="s">
        <v>420</v>
      </c>
      <c r="C3057" s="16" t="s">
        <v>414</v>
      </c>
      <c r="D3057" s="16" t="s">
        <v>418</v>
      </c>
      <c r="E3057" s="17">
        <v>41640</v>
      </c>
      <c r="F3057" s="17">
        <v>42004</v>
      </c>
      <c r="G3057" s="16" t="s">
        <v>410</v>
      </c>
      <c r="H3057" s="16">
        <v>21</v>
      </c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  <c r="AA3057" s="16"/>
      <c r="AB3057" s="16"/>
      <c r="AC3057" s="16"/>
      <c r="AD3057" s="16"/>
      <c r="AE3057" s="16"/>
      <c r="AF3057" s="16" t="s">
        <v>413</v>
      </c>
    </row>
    <row r="3058" spans="1:32" ht="14.25" customHeight="1" x14ac:dyDescent="0.35">
      <c r="A3058" s="14" t="s">
        <v>1875</v>
      </c>
      <c r="B3058" s="14" t="s">
        <v>420</v>
      </c>
      <c r="C3058" s="14" t="s">
        <v>414</v>
      </c>
      <c r="D3058" s="14" t="s">
        <v>453</v>
      </c>
      <c r="E3058" s="15">
        <v>41640</v>
      </c>
      <c r="F3058" s="15">
        <v>42004</v>
      </c>
      <c r="G3058" s="14" t="s">
        <v>410</v>
      </c>
      <c r="H3058" s="14">
        <v>15.6</v>
      </c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S3058" s="14"/>
      <c r="T3058" s="14"/>
      <c r="U3058" s="14"/>
      <c r="V3058" s="14"/>
      <c r="W3058" s="14"/>
      <c r="X3058" s="14"/>
      <c r="Y3058" s="14"/>
      <c r="Z3058" s="14"/>
      <c r="AA3058" s="14"/>
      <c r="AB3058" s="14"/>
      <c r="AC3058" s="14"/>
      <c r="AD3058" s="14"/>
      <c r="AE3058" s="14"/>
      <c r="AF3058" s="14" t="s">
        <v>413</v>
      </c>
    </row>
    <row r="3059" spans="1:32" ht="14.25" customHeight="1" x14ac:dyDescent="0.35">
      <c r="A3059" s="14" t="s">
        <v>1875</v>
      </c>
      <c r="B3059" s="14" t="s">
        <v>420</v>
      </c>
      <c r="C3059" s="14" t="s">
        <v>414</v>
      </c>
      <c r="D3059" s="14" t="s">
        <v>429</v>
      </c>
      <c r="E3059" s="15">
        <v>41640</v>
      </c>
      <c r="F3059" s="15">
        <v>42004</v>
      </c>
      <c r="G3059" s="14" t="s">
        <v>415</v>
      </c>
      <c r="H3059" s="14">
        <v>15.6</v>
      </c>
      <c r="I3059" s="14">
        <v>15.6</v>
      </c>
      <c r="J3059" s="14">
        <v>15.6</v>
      </c>
      <c r="K3059" s="14">
        <v>15.6</v>
      </c>
      <c r="L3059" s="14">
        <v>15.6</v>
      </c>
      <c r="M3059" s="14">
        <v>15.6</v>
      </c>
      <c r="N3059" s="14">
        <v>17.8</v>
      </c>
      <c r="O3059" s="14">
        <v>20</v>
      </c>
      <c r="P3059" s="14">
        <v>21</v>
      </c>
      <c r="Q3059" s="14">
        <v>21</v>
      </c>
      <c r="R3059" s="14">
        <v>21</v>
      </c>
      <c r="S3059" s="14">
        <v>21</v>
      </c>
      <c r="T3059" s="14">
        <v>21</v>
      </c>
      <c r="U3059" s="14">
        <v>21</v>
      </c>
      <c r="V3059" s="14">
        <v>21</v>
      </c>
      <c r="W3059" s="14">
        <v>21</v>
      </c>
      <c r="X3059" s="14">
        <v>21</v>
      </c>
      <c r="Y3059" s="14">
        <v>21</v>
      </c>
      <c r="Z3059" s="14">
        <v>21</v>
      </c>
      <c r="AA3059" s="14">
        <v>21</v>
      </c>
      <c r="AB3059" s="14">
        <v>21</v>
      </c>
      <c r="AC3059" s="14">
        <v>15.6</v>
      </c>
      <c r="AD3059" s="14">
        <v>15.6</v>
      </c>
      <c r="AE3059" s="14">
        <v>15.6</v>
      </c>
      <c r="AF3059" s="14" t="s">
        <v>413</v>
      </c>
    </row>
    <row r="3060" spans="1:32" ht="14.25" customHeight="1" x14ac:dyDescent="0.35">
      <c r="A3060" s="16" t="s">
        <v>1875</v>
      </c>
      <c r="B3060" s="16" t="s">
        <v>420</v>
      </c>
      <c r="C3060" s="16" t="s">
        <v>414</v>
      </c>
      <c r="D3060" s="16" t="s">
        <v>418</v>
      </c>
      <c r="E3060" s="17">
        <v>41640</v>
      </c>
      <c r="F3060" s="17">
        <v>42004</v>
      </c>
      <c r="G3060" s="16" t="s">
        <v>410</v>
      </c>
      <c r="H3060" s="16">
        <v>21</v>
      </c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6"/>
      <c r="AA3060" s="16"/>
      <c r="AB3060" s="16"/>
      <c r="AC3060" s="16"/>
      <c r="AD3060" s="16"/>
      <c r="AE3060" s="16"/>
      <c r="AF3060" s="16" t="s">
        <v>413</v>
      </c>
    </row>
    <row r="3061" spans="1:32" ht="14.25" customHeight="1" x14ac:dyDescent="0.35">
      <c r="A3061" s="16" t="s">
        <v>1876</v>
      </c>
      <c r="B3061" s="16" t="s">
        <v>420</v>
      </c>
      <c r="C3061" s="16" t="s">
        <v>414</v>
      </c>
      <c r="D3061" s="16" t="s">
        <v>453</v>
      </c>
      <c r="E3061" s="17">
        <v>41640</v>
      </c>
      <c r="F3061" s="17">
        <v>42004</v>
      </c>
      <c r="G3061" s="16" t="s">
        <v>410</v>
      </c>
      <c r="H3061" s="16">
        <v>15.6</v>
      </c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16"/>
      <c r="AA3061" s="16"/>
      <c r="AB3061" s="16"/>
      <c r="AC3061" s="16"/>
      <c r="AD3061" s="16"/>
      <c r="AE3061" s="16"/>
      <c r="AF3061" s="16" t="s">
        <v>413</v>
      </c>
    </row>
    <row r="3062" spans="1:32" ht="14.25" customHeight="1" x14ac:dyDescent="0.35">
      <c r="A3062" s="16" t="s">
        <v>1876</v>
      </c>
      <c r="B3062" s="16" t="s">
        <v>420</v>
      </c>
      <c r="C3062" s="16" t="s">
        <v>414</v>
      </c>
      <c r="D3062" s="16" t="s">
        <v>429</v>
      </c>
      <c r="E3062" s="17">
        <v>41640</v>
      </c>
      <c r="F3062" s="17">
        <v>42004</v>
      </c>
      <c r="G3062" s="16" t="s">
        <v>415</v>
      </c>
      <c r="H3062" s="16">
        <v>15.6</v>
      </c>
      <c r="I3062" s="16">
        <v>15.6</v>
      </c>
      <c r="J3062" s="16">
        <v>15.6</v>
      </c>
      <c r="K3062" s="16">
        <v>15.6</v>
      </c>
      <c r="L3062" s="16">
        <v>15.6</v>
      </c>
      <c r="M3062" s="16">
        <v>15.6</v>
      </c>
      <c r="N3062" s="16">
        <v>17.8</v>
      </c>
      <c r="O3062" s="16">
        <v>20</v>
      </c>
      <c r="P3062" s="16">
        <v>21</v>
      </c>
      <c r="Q3062" s="16">
        <v>21</v>
      </c>
      <c r="R3062" s="16">
        <v>21</v>
      </c>
      <c r="S3062" s="16">
        <v>21</v>
      </c>
      <c r="T3062" s="16">
        <v>21</v>
      </c>
      <c r="U3062" s="16">
        <v>21</v>
      </c>
      <c r="V3062" s="16">
        <v>21</v>
      </c>
      <c r="W3062" s="16">
        <v>21</v>
      </c>
      <c r="X3062" s="16">
        <v>21</v>
      </c>
      <c r="Y3062" s="16">
        <v>21</v>
      </c>
      <c r="Z3062" s="16">
        <v>21</v>
      </c>
      <c r="AA3062" s="16">
        <v>21</v>
      </c>
      <c r="AB3062" s="16">
        <v>21</v>
      </c>
      <c r="AC3062" s="16">
        <v>15.6</v>
      </c>
      <c r="AD3062" s="16">
        <v>15.6</v>
      </c>
      <c r="AE3062" s="16">
        <v>15.6</v>
      </c>
      <c r="AF3062" s="16" t="s">
        <v>413</v>
      </c>
    </row>
    <row r="3063" spans="1:32" ht="14.25" customHeight="1" x14ac:dyDescent="0.35">
      <c r="A3063" s="14" t="s">
        <v>1876</v>
      </c>
      <c r="B3063" s="14" t="s">
        <v>420</v>
      </c>
      <c r="C3063" s="14" t="s">
        <v>414</v>
      </c>
      <c r="D3063" s="14" t="s">
        <v>418</v>
      </c>
      <c r="E3063" s="15">
        <v>41640</v>
      </c>
      <c r="F3063" s="15">
        <v>42004</v>
      </c>
      <c r="G3063" s="14" t="s">
        <v>410</v>
      </c>
      <c r="H3063" s="14">
        <v>21</v>
      </c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  <c r="AA3063" s="14"/>
      <c r="AB3063" s="14"/>
      <c r="AC3063" s="14"/>
      <c r="AD3063" s="14"/>
      <c r="AE3063" s="14"/>
      <c r="AF3063" s="14" t="s">
        <v>413</v>
      </c>
    </row>
    <row r="3064" spans="1:32" ht="14.25" customHeight="1" x14ac:dyDescent="0.35">
      <c r="A3064" s="14" t="s">
        <v>1877</v>
      </c>
      <c r="B3064" s="14" t="s">
        <v>408</v>
      </c>
      <c r="C3064" s="14"/>
      <c r="D3064" s="14" t="s">
        <v>409</v>
      </c>
      <c r="E3064" s="15">
        <v>41640</v>
      </c>
      <c r="F3064" s="15">
        <v>42004</v>
      </c>
      <c r="G3064" s="14" t="s">
        <v>410</v>
      </c>
      <c r="H3064" s="14">
        <v>65</v>
      </c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S3064" s="14"/>
      <c r="T3064" s="14"/>
      <c r="U3064" s="14"/>
      <c r="V3064" s="14"/>
      <c r="W3064" s="14"/>
      <c r="X3064" s="14"/>
      <c r="Y3064" s="14"/>
      <c r="Z3064" s="14"/>
      <c r="AA3064" s="14"/>
      <c r="AB3064" s="14"/>
      <c r="AC3064" s="14"/>
      <c r="AD3064" s="14"/>
      <c r="AE3064" s="14"/>
      <c r="AF3064" s="14" t="s">
        <v>413</v>
      </c>
    </row>
    <row r="3065" spans="1:32" ht="14.25" customHeight="1" x14ac:dyDescent="0.35">
      <c r="A3065" s="16" t="s">
        <v>1878</v>
      </c>
      <c r="B3065" s="16" t="s">
        <v>600</v>
      </c>
      <c r="C3065" s="16"/>
      <c r="D3065" s="16" t="s">
        <v>417</v>
      </c>
      <c r="E3065" s="17">
        <v>41640</v>
      </c>
      <c r="F3065" s="17">
        <v>42004</v>
      </c>
      <c r="G3065" s="16" t="s">
        <v>410</v>
      </c>
      <c r="H3065" s="16">
        <v>0</v>
      </c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  <c r="AA3065" s="16"/>
      <c r="AB3065" s="16"/>
      <c r="AC3065" s="16"/>
      <c r="AD3065" s="16"/>
      <c r="AE3065" s="16"/>
      <c r="AF3065" s="16" t="s">
        <v>413</v>
      </c>
    </row>
    <row r="3066" spans="1:32" ht="14.25" customHeight="1" x14ac:dyDescent="0.35">
      <c r="A3066" s="14" t="s">
        <v>1878</v>
      </c>
      <c r="B3066" s="14" t="s">
        <v>600</v>
      </c>
      <c r="C3066" s="14"/>
      <c r="D3066" s="14" t="s">
        <v>1301</v>
      </c>
      <c r="E3066" s="15">
        <v>41640</v>
      </c>
      <c r="F3066" s="15">
        <v>42004</v>
      </c>
      <c r="G3066" s="14" t="s">
        <v>415</v>
      </c>
      <c r="H3066" s="14">
        <v>0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1</v>
      </c>
      <c r="P3066" s="14">
        <v>1</v>
      </c>
      <c r="Q3066" s="14">
        <v>1</v>
      </c>
      <c r="R3066" s="14">
        <v>1</v>
      </c>
      <c r="S3066" s="14">
        <v>1</v>
      </c>
      <c r="T3066" s="14">
        <v>1</v>
      </c>
      <c r="U3066" s="14">
        <v>1</v>
      </c>
      <c r="V3066" s="14">
        <v>1</v>
      </c>
      <c r="W3066" s="14">
        <v>1</v>
      </c>
      <c r="X3066" s="14">
        <v>1</v>
      </c>
      <c r="Y3066" s="14">
        <v>1</v>
      </c>
      <c r="Z3066" s="14">
        <v>1</v>
      </c>
      <c r="AA3066" s="14">
        <v>1</v>
      </c>
      <c r="AB3066" s="14">
        <v>1</v>
      </c>
      <c r="AC3066" s="14">
        <v>0</v>
      </c>
      <c r="AD3066" s="14">
        <v>0</v>
      </c>
      <c r="AE3066" s="14">
        <v>0</v>
      </c>
      <c r="AF3066" s="14" t="s">
        <v>413</v>
      </c>
    </row>
    <row r="3067" spans="1:32" ht="14.25" customHeight="1" x14ac:dyDescent="0.35">
      <c r="A3067" s="16" t="s">
        <v>1879</v>
      </c>
      <c r="B3067" s="16" t="s">
        <v>408</v>
      </c>
      <c r="C3067" s="16" t="s">
        <v>414</v>
      </c>
      <c r="D3067" s="16" t="s">
        <v>409</v>
      </c>
      <c r="E3067" s="17">
        <v>41640</v>
      </c>
      <c r="F3067" s="17">
        <v>42004</v>
      </c>
      <c r="G3067" s="16" t="s">
        <v>410</v>
      </c>
      <c r="H3067" s="16">
        <v>82</v>
      </c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6"/>
      <c r="AA3067" s="16"/>
      <c r="AB3067" s="16"/>
      <c r="AC3067" s="16"/>
      <c r="AD3067" s="16"/>
      <c r="AE3067" s="16"/>
      <c r="AF3067" s="16" t="s">
        <v>413</v>
      </c>
    </row>
    <row r="3068" spans="1:32" ht="14.25" customHeight="1" x14ac:dyDescent="0.35">
      <c r="A3068" s="14" t="s">
        <v>1880</v>
      </c>
      <c r="B3068" s="14" t="s">
        <v>441</v>
      </c>
      <c r="C3068" s="14"/>
      <c r="D3068" s="14" t="s">
        <v>409</v>
      </c>
      <c r="E3068" s="15">
        <v>41640</v>
      </c>
      <c r="F3068" s="15">
        <v>42004</v>
      </c>
      <c r="G3068" s="14" t="s">
        <v>410</v>
      </c>
      <c r="H3068" s="14">
        <v>0</v>
      </c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  <c r="U3068" s="14"/>
      <c r="V3068" s="14"/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4" t="s">
        <v>413</v>
      </c>
    </row>
    <row r="3069" spans="1:32" ht="14.25" customHeight="1" x14ac:dyDescent="0.35">
      <c r="A3069" s="16" t="s">
        <v>1880</v>
      </c>
      <c r="B3069" s="16" t="s">
        <v>441</v>
      </c>
      <c r="C3069" s="16"/>
      <c r="D3069" s="16" t="s">
        <v>429</v>
      </c>
      <c r="E3069" s="17">
        <v>41640</v>
      </c>
      <c r="F3069" s="17">
        <v>42004</v>
      </c>
      <c r="G3069" s="16" t="s">
        <v>415</v>
      </c>
      <c r="H3069" s="16">
        <v>0</v>
      </c>
      <c r="I3069" s="16">
        <v>0</v>
      </c>
      <c r="J3069" s="16">
        <v>0</v>
      </c>
      <c r="K3069" s="16">
        <v>0</v>
      </c>
      <c r="L3069" s="16">
        <v>0</v>
      </c>
      <c r="M3069" s="16">
        <v>0</v>
      </c>
      <c r="N3069" s="16">
        <v>0</v>
      </c>
      <c r="O3069" s="16">
        <v>1</v>
      </c>
      <c r="P3069" s="16">
        <v>0.14399999999999999</v>
      </c>
      <c r="Q3069" s="16">
        <v>0.14399999999999999</v>
      </c>
      <c r="R3069" s="16">
        <v>0.14399999999999999</v>
      </c>
      <c r="S3069" s="16">
        <v>0.14399999999999999</v>
      </c>
      <c r="T3069" s="16">
        <v>0.14399999999999999</v>
      </c>
      <c r="U3069" s="16">
        <v>0.14399999999999999</v>
      </c>
      <c r="V3069" s="16">
        <v>0.14399999999999999</v>
      </c>
      <c r="W3069" s="16">
        <v>1</v>
      </c>
      <c r="X3069" s="16">
        <v>1</v>
      </c>
      <c r="Y3069" s="16">
        <v>0.14399999999999999</v>
      </c>
      <c r="Z3069" s="16">
        <v>0.14399999999999999</v>
      </c>
      <c r="AA3069" s="16">
        <v>0</v>
      </c>
      <c r="AB3069" s="16">
        <v>0</v>
      </c>
      <c r="AC3069" s="16">
        <v>0</v>
      </c>
      <c r="AD3069" s="16">
        <v>0</v>
      </c>
      <c r="AE3069" s="16">
        <v>0</v>
      </c>
      <c r="AF3069" s="16" t="s">
        <v>413</v>
      </c>
    </row>
    <row r="3070" spans="1:32" ht="14.25" customHeight="1" x14ac:dyDescent="0.35">
      <c r="A3070" s="14" t="s">
        <v>1881</v>
      </c>
      <c r="B3070" s="14" t="s">
        <v>441</v>
      </c>
      <c r="C3070" s="14"/>
      <c r="D3070" s="14" t="s">
        <v>409</v>
      </c>
      <c r="E3070" s="15">
        <v>41640</v>
      </c>
      <c r="F3070" s="15">
        <v>42004</v>
      </c>
      <c r="G3070" s="14" t="s">
        <v>415</v>
      </c>
      <c r="H3070" s="14">
        <v>1</v>
      </c>
      <c r="I3070" s="14">
        <v>1</v>
      </c>
      <c r="J3070" s="14">
        <v>1</v>
      </c>
      <c r="K3070" s="14">
        <v>1</v>
      </c>
      <c r="L3070" s="14">
        <v>1</v>
      </c>
      <c r="M3070" s="14">
        <v>1</v>
      </c>
      <c r="N3070" s="14">
        <v>1</v>
      </c>
      <c r="O3070" s="14">
        <v>0.25</v>
      </c>
      <c r="P3070" s="14">
        <v>0.25</v>
      </c>
      <c r="Q3070" s="14">
        <v>0.25</v>
      </c>
      <c r="R3070" s="14">
        <v>0.25</v>
      </c>
      <c r="S3070" s="14">
        <v>0.25</v>
      </c>
      <c r="T3070" s="14">
        <v>0.25</v>
      </c>
      <c r="U3070" s="14">
        <v>0.25</v>
      </c>
      <c r="V3070" s="14">
        <v>0.25</v>
      </c>
      <c r="W3070" s="14">
        <v>0.25</v>
      </c>
      <c r="X3070" s="14">
        <v>0.25</v>
      </c>
      <c r="Y3070" s="14">
        <v>0.25</v>
      </c>
      <c r="Z3070" s="14">
        <v>0.25</v>
      </c>
      <c r="AA3070" s="14">
        <v>0.25</v>
      </c>
      <c r="AB3070" s="14">
        <v>0.25</v>
      </c>
      <c r="AC3070" s="14">
        <v>1</v>
      </c>
      <c r="AD3070" s="14">
        <v>1</v>
      </c>
      <c r="AE3070" s="14">
        <v>1</v>
      </c>
      <c r="AF3070" s="14" t="s">
        <v>413</v>
      </c>
    </row>
    <row r="3071" spans="1:32" ht="14.25" customHeight="1" x14ac:dyDescent="0.35">
      <c r="A3071" s="16" t="s">
        <v>265</v>
      </c>
      <c r="B3071" s="16" t="s">
        <v>441</v>
      </c>
      <c r="C3071" s="16"/>
      <c r="D3071" s="16" t="s">
        <v>476</v>
      </c>
      <c r="E3071" s="17">
        <v>41640</v>
      </c>
      <c r="F3071" s="17">
        <v>42004</v>
      </c>
      <c r="G3071" s="16" t="s">
        <v>410</v>
      </c>
      <c r="H3071" s="16">
        <v>1</v>
      </c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16"/>
      <c r="AA3071" s="16"/>
      <c r="AB3071" s="16"/>
      <c r="AC3071" s="16"/>
      <c r="AD3071" s="16"/>
      <c r="AE3071" s="16"/>
      <c r="AF3071" s="16" t="s">
        <v>413</v>
      </c>
    </row>
    <row r="3072" spans="1:32" ht="14.25" customHeight="1" x14ac:dyDescent="0.35">
      <c r="A3072" s="14" t="s">
        <v>265</v>
      </c>
      <c r="B3072" s="14" t="s">
        <v>441</v>
      </c>
      <c r="C3072" s="14"/>
      <c r="D3072" s="14" t="s">
        <v>556</v>
      </c>
      <c r="E3072" s="15">
        <v>41640</v>
      </c>
      <c r="F3072" s="15">
        <v>42004</v>
      </c>
      <c r="G3072" s="14" t="s">
        <v>415</v>
      </c>
      <c r="H3072" s="14">
        <v>1</v>
      </c>
      <c r="I3072" s="14">
        <v>1</v>
      </c>
      <c r="J3072" s="14">
        <v>1</v>
      </c>
      <c r="K3072" s="14">
        <v>1</v>
      </c>
      <c r="L3072" s="14">
        <v>1</v>
      </c>
      <c r="M3072" s="14">
        <v>1</v>
      </c>
      <c r="N3072" s="14">
        <v>1</v>
      </c>
      <c r="O3072" s="14">
        <v>0.25</v>
      </c>
      <c r="P3072" s="14">
        <v>0.25</v>
      </c>
      <c r="Q3072" s="14">
        <v>0.25</v>
      </c>
      <c r="R3072" s="14">
        <v>0.25</v>
      </c>
      <c r="S3072" s="14">
        <v>0.25</v>
      </c>
      <c r="T3072" s="14">
        <v>0.25</v>
      </c>
      <c r="U3072" s="14">
        <v>0.25</v>
      </c>
      <c r="V3072" s="14">
        <v>0.25</v>
      </c>
      <c r="W3072" s="14">
        <v>0.25</v>
      </c>
      <c r="X3072" s="14">
        <v>0.25</v>
      </c>
      <c r="Y3072" s="14">
        <v>0.25</v>
      </c>
      <c r="Z3072" s="14">
        <v>0.25</v>
      </c>
      <c r="AA3072" s="14">
        <v>0.25</v>
      </c>
      <c r="AB3072" s="14">
        <v>0.25</v>
      </c>
      <c r="AC3072" s="14">
        <v>1</v>
      </c>
      <c r="AD3072" s="14">
        <v>1</v>
      </c>
      <c r="AE3072" s="14">
        <v>1</v>
      </c>
      <c r="AF3072" s="14" t="s">
        <v>413</v>
      </c>
    </row>
    <row r="3073" spans="1:32" ht="14.25" customHeight="1" x14ac:dyDescent="0.35">
      <c r="A3073" s="16" t="s">
        <v>1882</v>
      </c>
      <c r="B3073" s="16" t="s">
        <v>427</v>
      </c>
      <c r="C3073" s="16"/>
      <c r="D3073" s="16" t="s">
        <v>417</v>
      </c>
      <c r="E3073" s="17">
        <v>41640</v>
      </c>
      <c r="F3073" s="17">
        <v>42004</v>
      </c>
      <c r="G3073" s="16" t="s">
        <v>410</v>
      </c>
      <c r="H3073" s="16">
        <v>0</v>
      </c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  <c r="AA3073" s="16"/>
      <c r="AB3073" s="16"/>
      <c r="AC3073" s="16"/>
      <c r="AD3073" s="16"/>
      <c r="AE3073" s="16"/>
      <c r="AF3073" s="16" t="s">
        <v>413</v>
      </c>
    </row>
    <row r="3074" spans="1:32" ht="14.25" customHeight="1" x14ac:dyDescent="0.35">
      <c r="A3074" s="16" t="s">
        <v>1882</v>
      </c>
      <c r="B3074" s="16" t="s">
        <v>427</v>
      </c>
      <c r="C3074" s="16"/>
      <c r="D3074" s="16" t="s">
        <v>429</v>
      </c>
      <c r="E3074" s="17">
        <v>41883</v>
      </c>
      <c r="F3074" s="17">
        <v>42004</v>
      </c>
      <c r="G3074" s="16" t="s">
        <v>415</v>
      </c>
      <c r="H3074" s="16">
        <v>0</v>
      </c>
      <c r="I3074" s="16">
        <v>0</v>
      </c>
      <c r="J3074" s="16">
        <v>0</v>
      </c>
      <c r="K3074" s="16">
        <v>0</v>
      </c>
      <c r="L3074" s="16">
        <v>0</v>
      </c>
      <c r="M3074" s="16">
        <v>0</v>
      </c>
      <c r="N3074" s="16">
        <v>0</v>
      </c>
      <c r="O3074" s="16">
        <v>0</v>
      </c>
      <c r="P3074" s="16">
        <v>0.74629629629629601</v>
      </c>
      <c r="Q3074" s="16">
        <v>0.74629629629629601</v>
      </c>
      <c r="R3074" s="16">
        <v>0.74629629629629601</v>
      </c>
      <c r="S3074" s="16">
        <v>0.74629629629629601</v>
      </c>
      <c r="T3074" s="16">
        <v>0.74629629629629601</v>
      </c>
      <c r="U3074" s="16">
        <v>0.74629629629629601</v>
      </c>
      <c r="V3074" s="16">
        <v>0.74629629629629601</v>
      </c>
      <c r="W3074" s="16">
        <v>0.74629629629629601</v>
      </c>
      <c r="X3074" s="16">
        <v>0.74629629629629601</v>
      </c>
      <c r="Y3074" s="16">
        <v>0.74629629629629601</v>
      </c>
      <c r="Z3074" s="16">
        <v>0.74629629629629601</v>
      </c>
      <c r="AA3074" s="16">
        <v>0.74629629629629601</v>
      </c>
      <c r="AB3074" s="16">
        <v>0.74629629629629601</v>
      </c>
      <c r="AC3074" s="16">
        <v>0</v>
      </c>
      <c r="AD3074" s="16">
        <v>0</v>
      </c>
      <c r="AE3074" s="16">
        <v>0</v>
      </c>
      <c r="AF3074" s="16" t="s">
        <v>413</v>
      </c>
    </row>
    <row r="3075" spans="1:32" ht="14.25" customHeight="1" x14ac:dyDescent="0.35">
      <c r="A3075" s="16" t="s">
        <v>1882</v>
      </c>
      <c r="B3075" s="16" t="s">
        <v>427</v>
      </c>
      <c r="C3075" s="16"/>
      <c r="D3075" s="16" t="s">
        <v>429</v>
      </c>
      <c r="E3075" s="17">
        <v>41821</v>
      </c>
      <c r="F3075" s="17">
        <v>41883</v>
      </c>
      <c r="G3075" s="16" t="s">
        <v>415</v>
      </c>
      <c r="H3075" s="16">
        <v>0</v>
      </c>
      <c r="I3075" s="16">
        <v>0</v>
      </c>
      <c r="J3075" s="16">
        <v>0</v>
      </c>
      <c r="K3075" s="16">
        <v>0</v>
      </c>
      <c r="L3075" s="16">
        <v>0</v>
      </c>
      <c r="M3075" s="16">
        <v>0</v>
      </c>
      <c r="N3075" s="16">
        <v>0</v>
      </c>
      <c r="O3075" s="16">
        <v>0</v>
      </c>
      <c r="P3075" s="16">
        <v>0.74629629629629601</v>
      </c>
      <c r="Q3075" s="16">
        <v>0.74629629629629601</v>
      </c>
      <c r="R3075" s="16">
        <v>0.74629629629629601</v>
      </c>
      <c r="S3075" s="16">
        <v>0.74629629629629601</v>
      </c>
      <c r="T3075" s="16">
        <v>0.74629629629629601</v>
      </c>
      <c r="U3075" s="16">
        <v>0.74629629629629601</v>
      </c>
      <c r="V3075" s="16">
        <v>0.74629629629629601</v>
      </c>
      <c r="W3075" s="16">
        <v>0.74629629629629601</v>
      </c>
      <c r="X3075" s="16">
        <v>0.74629629629629601</v>
      </c>
      <c r="Y3075" s="16">
        <v>0.74629629629629601</v>
      </c>
      <c r="Z3075" s="16">
        <v>0.74629629629629601</v>
      </c>
      <c r="AA3075" s="16">
        <v>0.74629629629629601</v>
      </c>
      <c r="AB3075" s="16">
        <v>0.74629629629629601</v>
      </c>
      <c r="AC3075" s="16">
        <v>0</v>
      </c>
      <c r="AD3075" s="16">
        <v>0</v>
      </c>
      <c r="AE3075" s="16">
        <v>0</v>
      </c>
      <c r="AF3075" s="16" t="s">
        <v>413</v>
      </c>
    </row>
    <row r="3076" spans="1:32" ht="14.25" customHeight="1" x14ac:dyDescent="0.35">
      <c r="A3076" s="16" t="s">
        <v>1882</v>
      </c>
      <c r="B3076" s="16" t="s">
        <v>427</v>
      </c>
      <c r="C3076" s="16"/>
      <c r="D3076" s="16" t="s">
        <v>429</v>
      </c>
      <c r="E3076" s="17">
        <v>41640</v>
      </c>
      <c r="F3076" s="17">
        <v>41820</v>
      </c>
      <c r="G3076" s="16" t="s">
        <v>415</v>
      </c>
      <c r="H3076" s="16">
        <v>0</v>
      </c>
      <c r="I3076" s="16">
        <v>0</v>
      </c>
      <c r="J3076" s="16">
        <v>0</v>
      </c>
      <c r="K3076" s="16">
        <v>0</v>
      </c>
      <c r="L3076" s="16">
        <v>0</v>
      </c>
      <c r="M3076" s="16">
        <v>0</v>
      </c>
      <c r="N3076" s="16">
        <v>0</v>
      </c>
      <c r="O3076" s="16">
        <v>0</v>
      </c>
      <c r="P3076" s="16">
        <v>0.74629629629629601</v>
      </c>
      <c r="Q3076" s="16">
        <v>0.74629629629629601</v>
      </c>
      <c r="R3076" s="16">
        <v>0.74629629629629601</v>
      </c>
      <c r="S3076" s="16">
        <v>0.74629629629629601</v>
      </c>
      <c r="T3076" s="16">
        <v>0.74629629629629601</v>
      </c>
      <c r="U3076" s="16">
        <v>0.74629629629629601</v>
      </c>
      <c r="V3076" s="16">
        <v>0.74629629629629601</v>
      </c>
      <c r="W3076" s="16">
        <v>0.74629629629629601</v>
      </c>
      <c r="X3076" s="16">
        <v>0.74629629629629601</v>
      </c>
      <c r="Y3076" s="16">
        <v>0</v>
      </c>
      <c r="Z3076" s="16">
        <v>0</v>
      </c>
      <c r="AA3076" s="16">
        <v>0</v>
      </c>
      <c r="AB3076" s="16">
        <v>0</v>
      </c>
      <c r="AC3076" s="16">
        <v>0</v>
      </c>
      <c r="AD3076" s="16">
        <v>0</v>
      </c>
      <c r="AE3076" s="16">
        <v>0</v>
      </c>
      <c r="AF3076" s="16" t="s">
        <v>413</v>
      </c>
    </row>
    <row r="3077" spans="1:32" ht="14.25" customHeight="1" x14ac:dyDescent="0.35">
      <c r="A3077" s="14" t="s">
        <v>1882</v>
      </c>
      <c r="B3077" s="14" t="s">
        <v>427</v>
      </c>
      <c r="C3077" s="14"/>
      <c r="D3077" s="14" t="s">
        <v>530</v>
      </c>
      <c r="E3077" s="15">
        <v>41821</v>
      </c>
      <c r="F3077" s="15">
        <v>41883</v>
      </c>
      <c r="G3077" s="14" t="s">
        <v>410</v>
      </c>
      <c r="H3077" s="14">
        <v>0</v>
      </c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 t="s">
        <v>413</v>
      </c>
    </row>
    <row r="3078" spans="1:32" ht="14.25" customHeight="1" x14ac:dyDescent="0.35">
      <c r="A3078" s="14" t="s">
        <v>1882</v>
      </c>
      <c r="B3078" s="14" t="s">
        <v>427</v>
      </c>
      <c r="C3078" s="14"/>
      <c r="D3078" s="14" t="s">
        <v>530</v>
      </c>
      <c r="E3078" s="15">
        <v>41640</v>
      </c>
      <c r="F3078" s="15">
        <v>41820</v>
      </c>
      <c r="G3078" s="14" t="s">
        <v>410</v>
      </c>
      <c r="H3078" s="14">
        <v>0</v>
      </c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  <c r="AA3078" s="14"/>
      <c r="AB3078" s="14"/>
      <c r="AC3078" s="14"/>
      <c r="AD3078" s="14"/>
      <c r="AE3078" s="14"/>
      <c r="AF3078" s="14" t="s">
        <v>413</v>
      </c>
    </row>
    <row r="3079" spans="1:32" ht="14.25" customHeight="1" x14ac:dyDescent="0.35">
      <c r="A3079" s="14" t="s">
        <v>1882</v>
      </c>
      <c r="B3079" s="14" t="s">
        <v>427</v>
      </c>
      <c r="C3079" s="14"/>
      <c r="D3079" s="14" t="s">
        <v>421</v>
      </c>
      <c r="E3079" s="15">
        <v>41640</v>
      </c>
      <c r="F3079" s="15">
        <v>42004</v>
      </c>
      <c r="G3079" s="14" t="s">
        <v>415</v>
      </c>
      <c r="H3079" s="14">
        <v>0</v>
      </c>
      <c r="I3079" s="14">
        <v>0</v>
      </c>
      <c r="J3079" s="14">
        <v>0</v>
      </c>
      <c r="K3079" s="14">
        <v>0</v>
      </c>
      <c r="L3079" s="14">
        <v>0</v>
      </c>
      <c r="M3079" s="14">
        <v>0</v>
      </c>
      <c r="N3079" s="14">
        <v>0</v>
      </c>
      <c r="O3079" s="14">
        <v>0</v>
      </c>
      <c r="P3079" s="14">
        <v>0.74629629629629601</v>
      </c>
      <c r="Q3079" s="14">
        <v>0.74629629629629601</v>
      </c>
      <c r="R3079" s="14">
        <v>0.74629629629629601</v>
      </c>
      <c r="S3079" s="14">
        <v>0.74629629629629601</v>
      </c>
      <c r="T3079" s="14">
        <v>0.74629629629629601</v>
      </c>
      <c r="U3079" s="14">
        <v>0.74629629629629601</v>
      </c>
      <c r="V3079" s="14">
        <v>0.74629629629629601</v>
      </c>
      <c r="W3079" s="14">
        <v>0.74629629629629601</v>
      </c>
      <c r="X3079" s="14">
        <v>0.74629629629629601</v>
      </c>
      <c r="Y3079" s="14">
        <v>0.74629629629629601</v>
      </c>
      <c r="Z3079" s="14">
        <v>0.74629629629629601</v>
      </c>
      <c r="AA3079" s="14">
        <v>0.74629629629629601</v>
      </c>
      <c r="AB3079" s="14">
        <v>0.74629629629629601</v>
      </c>
      <c r="AC3079" s="14">
        <v>0</v>
      </c>
      <c r="AD3079" s="14">
        <v>0</v>
      </c>
      <c r="AE3079" s="14">
        <v>0</v>
      </c>
      <c r="AF3079" s="14" t="s">
        <v>413</v>
      </c>
    </row>
    <row r="3080" spans="1:32" ht="14.25" customHeight="1" x14ac:dyDescent="0.35">
      <c r="A3080" s="14" t="s">
        <v>1883</v>
      </c>
      <c r="B3080" s="14" t="s">
        <v>427</v>
      </c>
      <c r="C3080" s="14"/>
      <c r="D3080" s="14" t="s">
        <v>476</v>
      </c>
      <c r="E3080" s="15">
        <v>41640</v>
      </c>
      <c r="F3080" s="15">
        <v>42004</v>
      </c>
      <c r="G3080" s="14" t="s">
        <v>410</v>
      </c>
      <c r="H3080" s="14">
        <v>0.1</v>
      </c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S3080" s="14"/>
      <c r="T3080" s="14"/>
      <c r="U3080" s="14"/>
      <c r="V3080" s="14"/>
      <c r="W3080" s="14"/>
      <c r="X3080" s="14"/>
      <c r="Y3080" s="14"/>
      <c r="Z3080" s="14"/>
      <c r="AA3080" s="14"/>
      <c r="AB3080" s="14"/>
      <c r="AC3080" s="14"/>
      <c r="AD3080" s="14"/>
      <c r="AE3080" s="14"/>
      <c r="AF3080" s="14" t="s">
        <v>413</v>
      </c>
    </row>
    <row r="3081" spans="1:32" ht="14.25" customHeight="1" x14ac:dyDescent="0.35">
      <c r="A3081" s="16" t="s">
        <v>1883</v>
      </c>
      <c r="B3081" s="16" t="s">
        <v>427</v>
      </c>
      <c r="C3081" s="16"/>
      <c r="D3081" s="16" t="s">
        <v>419</v>
      </c>
      <c r="E3081" s="17">
        <v>41640</v>
      </c>
      <c r="F3081" s="17">
        <v>42004</v>
      </c>
      <c r="G3081" s="16" t="s">
        <v>415</v>
      </c>
      <c r="H3081" s="16">
        <v>0.1</v>
      </c>
      <c r="I3081" s="16">
        <v>0.1</v>
      </c>
      <c r="J3081" s="16">
        <v>0.1</v>
      </c>
      <c r="K3081" s="16">
        <v>0.1</v>
      </c>
      <c r="L3081" s="16">
        <v>0.1</v>
      </c>
      <c r="M3081" s="16">
        <v>0.1</v>
      </c>
      <c r="N3081" s="16">
        <v>0.1</v>
      </c>
      <c r="O3081" s="16">
        <v>0.1</v>
      </c>
      <c r="P3081" s="16">
        <v>0.15</v>
      </c>
      <c r="Q3081" s="16">
        <v>0.15</v>
      </c>
      <c r="R3081" s="16">
        <v>0.25</v>
      </c>
      <c r="S3081" s="16">
        <v>0.25</v>
      </c>
      <c r="T3081" s="16">
        <v>0.25</v>
      </c>
      <c r="U3081" s="16">
        <v>0.15</v>
      </c>
      <c r="V3081" s="16">
        <v>0.15</v>
      </c>
      <c r="W3081" s="16">
        <v>0.1</v>
      </c>
      <c r="X3081" s="16">
        <v>0.1</v>
      </c>
      <c r="Y3081" s="16">
        <v>0.1</v>
      </c>
      <c r="Z3081" s="16">
        <v>0.1</v>
      </c>
      <c r="AA3081" s="16">
        <v>0.1</v>
      </c>
      <c r="AB3081" s="16">
        <v>0.1</v>
      </c>
      <c r="AC3081" s="16">
        <v>0.1</v>
      </c>
      <c r="AD3081" s="16">
        <v>0.1</v>
      </c>
      <c r="AE3081" s="16">
        <v>0.1</v>
      </c>
      <c r="AF3081" s="16" t="s">
        <v>413</v>
      </c>
    </row>
    <row r="3082" spans="1:32" ht="14.25" customHeight="1" x14ac:dyDescent="0.35">
      <c r="A3082" s="14" t="s">
        <v>1883</v>
      </c>
      <c r="B3082" s="14" t="s">
        <v>427</v>
      </c>
      <c r="C3082" s="14"/>
      <c r="D3082" s="14" t="s">
        <v>429</v>
      </c>
      <c r="E3082" s="15">
        <v>41883</v>
      </c>
      <c r="F3082" s="15">
        <v>42004</v>
      </c>
      <c r="G3082" s="14" t="s">
        <v>415</v>
      </c>
      <c r="H3082" s="14">
        <v>0.1</v>
      </c>
      <c r="I3082" s="14">
        <v>0.1</v>
      </c>
      <c r="J3082" s="14">
        <v>0.1</v>
      </c>
      <c r="K3082" s="14">
        <v>0.1</v>
      </c>
      <c r="L3082" s="14">
        <v>0.1</v>
      </c>
      <c r="M3082" s="14">
        <v>0.1</v>
      </c>
      <c r="N3082" s="14">
        <v>0.1</v>
      </c>
      <c r="O3082" s="14">
        <v>0.1</v>
      </c>
      <c r="P3082" s="14">
        <v>0.15</v>
      </c>
      <c r="Q3082" s="14">
        <v>0.15</v>
      </c>
      <c r="R3082" s="14">
        <v>0.25</v>
      </c>
      <c r="S3082" s="14">
        <v>0.25</v>
      </c>
      <c r="T3082" s="14">
        <v>0.25</v>
      </c>
      <c r="U3082" s="14">
        <v>0.15</v>
      </c>
      <c r="V3082" s="14">
        <v>0.15</v>
      </c>
      <c r="W3082" s="14">
        <v>0.1</v>
      </c>
      <c r="X3082" s="14">
        <v>0.1</v>
      </c>
      <c r="Y3082" s="14">
        <v>0.1</v>
      </c>
      <c r="Z3082" s="14">
        <v>0.1</v>
      </c>
      <c r="AA3082" s="14">
        <v>0.1</v>
      </c>
      <c r="AB3082" s="14">
        <v>0.1</v>
      </c>
      <c r="AC3082" s="14">
        <v>0.1</v>
      </c>
      <c r="AD3082" s="14">
        <v>0.1</v>
      </c>
      <c r="AE3082" s="14">
        <v>0.1</v>
      </c>
      <c r="AF3082" s="14" t="s">
        <v>413</v>
      </c>
    </row>
    <row r="3083" spans="1:32" ht="14.25" customHeight="1" x14ac:dyDescent="0.35">
      <c r="A3083" s="14" t="s">
        <v>1883</v>
      </c>
      <c r="B3083" s="14" t="s">
        <v>427</v>
      </c>
      <c r="C3083" s="14"/>
      <c r="D3083" s="14" t="s">
        <v>429</v>
      </c>
      <c r="E3083" s="15">
        <v>41821</v>
      </c>
      <c r="F3083" s="15">
        <v>41883</v>
      </c>
      <c r="G3083" s="14" t="s">
        <v>415</v>
      </c>
      <c r="H3083" s="14">
        <v>0.1</v>
      </c>
      <c r="I3083" s="14">
        <v>0.1</v>
      </c>
      <c r="J3083" s="14">
        <v>0.1</v>
      </c>
      <c r="K3083" s="14">
        <v>0.1</v>
      </c>
      <c r="L3083" s="14">
        <v>0.1</v>
      </c>
      <c r="M3083" s="14">
        <v>0.1</v>
      </c>
      <c r="N3083" s="14">
        <v>0.1</v>
      </c>
      <c r="O3083" s="14">
        <v>0.1</v>
      </c>
      <c r="P3083" s="14">
        <v>0.15</v>
      </c>
      <c r="Q3083" s="14">
        <v>0.15</v>
      </c>
      <c r="R3083" s="14">
        <v>0.25</v>
      </c>
      <c r="S3083" s="14">
        <v>0.25</v>
      </c>
      <c r="T3083" s="14">
        <v>0.25</v>
      </c>
      <c r="U3083" s="14">
        <v>0.15</v>
      </c>
      <c r="V3083" s="14">
        <v>0.15</v>
      </c>
      <c r="W3083" s="14">
        <v>0.1</v>
      </c>
      <c r="X3083" s="14">
        <v>0.1</v>
      </c>
      <c r="Y3083" s="14">
        <v>0.1</v>
      </c>
      <c r="Z3083" s="14">
        <v>0.1</v>
      </c>
      <c r="AA3083" s="14">
        <v>0.1</v>
      </c>
      <c r="AB3083" s="14">
        <v>0.1</v>
      </c>
      <c r="AC3083" s="14">
        <v>0.1</v>
      </c>
      <c r="AD3083" s="14">
        <v>0.1</v>
      </c>
      <c r="AE3083" s="14">
        <v>0.1</v>
      </c>
      <c r="AF3083" s="14" t="s">
        <v>413</v>
      </c>
    </row>
    <row r="3084" spans="1:32" ht="14.25" customHeight="1" x14ac:dyDescent="0.35">
      <c r="A3084" s="14" t="s">
        <v>1883</v>
      </c>
      <c r="B3084" s="14" t="s">
        <v>427</v>
      </c>
      <c r="C3084" s="14"/>
      <c r="D3084" s="14" t="s">
        <v>429</v>
      </c>
      <c r="E3084" s="15">
        <v>41640</v>
      </c>
      <c r="F3084" s="15">
        <v>41820</v>
      </c>
      <c r="G3084" s="14" t="s">
        <v>415</v>
      </c>
      <c r="H3084" s="14">
        <v>0.1</v>
      </c>
      <c r="I3084" s="14">
        <v>0.1</v>
      </c>
      <c r="J3084" s="14">
        <v>0.1</v>
      </c>
      <c r="K3084" s="14">
        <v>0.1</v>
      </c>
      <c r="L3084" s="14">
        <v>0.1</v>
      </c>
      <c r="M3084" s="14">
        <v>0.1</v>
      </c>
      <c r="N3084" s="14">
        <v>0.1</v>
      </c>
      <c r="O3084" s="14">
        <v>0.1</v>
      </c>
      <c r="P3084" s="14">
        <v>0.15</v>
      </c>
      <c r="Q3084" s="14">
        <v>0.15</v>
      </c>
      <c r="R3084" s="14">
        <v>0.25</v>
      </c>
      <c r="S3084" s="14">
        <v>0.25</v>
      </c>
      <c r="T3084" s="14">
        <v>0.25</v>
      </c>
      <c r="U3084" s="14">
        <v>0.15</v>
      </c>
      <c r="V3084" s="14">
        <v>0.15</v>
      </c>
      <c r="W3084" s="14">
        <v>0.1</v>
      </c>
      <c r="X3084" s="14">
        <v>0.1</v>
      </c>
      <c r="Y3084" s="14">
        <v>0.1</v>
      </c>
      <c r="Z3084" s="14">
        <v>0.1</v>
      </c>
      <c r="AA3084" s="14">
        <v>0.1</v>
      </c>
      <c r="AB3084" s="14">
        <v>0.1</v>
      </c>
      <c r="AC3084" s="14">
        <v>0.1</v>
      </c>
      <c r="AD3084" s="14">
        <v>0.1</v>
      </c>
      <c r="AE3084" s="14">
        <v>0.1</v>
      </c>
      <c r="AF3084" s="14" t="s">
        <v>413</v>
      </c>
    </row>
    <row r="3085" spans="1:32" ht="14.25" customHeight="1" x14ac:dyDescent="0.35">
      <c r="A3085" s="16" t="s">
        <v>1883</v>
      </c>
      <c r="B3085" s="16" t="s">
        <v>427</v>
      </c>
      <c r="C3085" s="16"/>
      <c r="D3085" s="16" t="s">
        <v>530</v>
      </c>
      <c r="E3085" s="17">
        <v>41821</v>
      </c>
      <c r="F3085" s="17">
        <v>41883</v>
      </c>
      <c r="G3085" s="16" t="s">
        <v>410</v>
      </c>
      <c r="H3085" s="16">
        <v>0.1</v>
      </c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16"/>
      <c r="AA3085" s="16"/>
      <c r="AB3085" s="16"/>
      <c r="AC3085" s="16"/>
      <c r="AD3085" s="16"/>
      <c r="AE3085" s="16"/>
      <c r="AF3085" s="16" t="s">
        <v>413</v>
      </c>
    </row>
    <row r="3086" spans="1:32" ht="14.25" customHeight="1" x14ac:dyDescent="0.35">
      <c r="A3086" s="16" t="s">
        <v>1883</v>
      </c>
      <c r="B3086" s="16" t="s">
        <v>427</v>
      </c>
      <c r="C3086" s="16"/>
      <c r="D3086" s="16" t="s">
        <v>530</v>
      </c>
      <c r="E3086" s="17">
        <v>41640</v>
      </c>
      <c r="F3086" s="17">
        <v>41820</v>
      </c>
      <c r="G3086" s="16" t="s">
        <v>410</v>
      </c>
      <c r="H3086" s="16">
        <v>0.1</v>
      </c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6"/>
      <c r="AA3086" s="16"/>
      <c r="AB3086" s="16"/>
      <c r="AC3086" s="16"/>
      <c r="AD3086" s="16"/>
      <c r="AE3086" s="16"/>
      <c r="AF3086" s="16" t="s">
        <v>413</v>
      </c>
    </row>
    <row r="3087" spans="1:32" ht="14.25" customHeight="1" x14ac:dyDescent="0.35">
      <c r="A3087" s="16" t="s">
        <v>1884</v>
      </c>
      <c r="B3087" s="16" t="s">
        <v>427</v>
      </c>
      <c r="C3087" s="16"/>
      <c r="D3087" s="16" t="s">
        <v>417</v>
      </c>
      <c r="E3087" s="17">
        <v>41640</v>
      </c>
      <c r="F3087" s="17">
        <v>42004</v>
      </c>
      <c r="G3087" s="16" t="s">
        <v>410</v>
      </c>
      <c r="H3087" s="16">
        <v>0</v>
      </c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16"/>
      <c r="AA3087" s="16"/>
      <c r="AB3087" s="16"/>
      <c r="AC3087" s="16"/>
      <c r="AD3087" s="16"/>
      <c r="AE3087" s="16"/>
      <c r="AF3087" s="16" t="s">
        <v>413</v>
      </c>
    </row>
    <row r="3088" spans="1:32" ht="14.25" customHeight="1" x14ac:dyDescent="0.35">
      <c r="A3088" s="16" t="s">
        <v>1884</v>
      </c>
      <c r="B3088" s="16" t="s">
        <v>427</v>
      </c>
      <c r="C3088" s="16"/>
      <c r="D3088" s="16" t="s">
        <v>429</v>
      </c>
      <c r="E3088" s="17">
        <v>41883</v>
      </c>
      <c r="F3088" s="17">
        <v>42004</v>
      </c>
      <c r="G3088" s="16" t="s">
        <v>415</v>
      </c>
      <c r="H3088" s="16">
        <v>0</v>
      </c>
      <c r="I3088" s="16">
        <v>0</v>
      </c>
      <c r="J3088" s="16">
        <v>0</v>
      </c>
      <c r="K3088" s="16">
        <v>0</v>
      </c>
      <c r="L3088" s="16">
        <v>0</v>
      </c>
      <c r="M3088" s="16">
        <v>0</v>
      </c>
      <c r="N3088" s="16">
        <v>0</v>
      </c>
      <c r="O3088" s="16">
        <v>0</v>
      </c>
      <c r="P3088" s="16">
        <v>1</v>
      </c>
      <c r="Q3088" s="16">
        <v>1</v>
      </c>
      <c r="R3088" s="16">
        <v>1</v>
      </c>
      <c r="S3088" s="16">
        <v>1</v>
      </c>
      <c r="T3088" s="16">
        <v>1</v>
      </c>
      <c r="U3088" s="16">
        <v>1</v>
      </c>
      <c r="V3088" s="16">
        <v>1</v>
      </c>
      <c r="W3088" s="16">
        <v>1</v>
      </c>
      <c r="X3088" s="16">
        <v>1</v>
      </c>
      <c r="Y3088" s="16">
        <v>1</v>
      </c>
      <c r="Z3088" s="16">
        <v>1</v>
      </c>
      <c r="AA3088" s="16">
        <v>1</v>
      </c>
      <c r="AB3088" s="16">
        <v>1</v>
      </c>
      <c r="AC3088" s="16">
        <v>0</v>
      </c>
      <c r="AD3088" s="16">
        <v>0</v>
      </c>
      <c r="AE3088" s="16">
        <v>0</v>
      </c>
      <c r="AF3088" s="16" t="s">
        <v>413</v>
      </c>
    </row>
    <row r="3089" spans="1:32" ht="14.25" customHeight="1" x14ac:dyDescent="0.35">
      <c r="A3089" s="16" t="s">
        <v>1884</v>
      </c>
      <c r="B3089" s="16" t="s">
        <v>427</v>
      </c>
      <c r="C3089" s="16"/>
      <c r="D3089" s="16" t="s">
        <v>429</v>
      </c>
      <c r="E3089" s="17">
        <v>41821</v>
      </c>
      <c r="F3089" s="17">
        <v>41883</v>
      </c>
      <c r="G3089" s="16" t="s">
        <v>415</v>
      </c>
      <c r="H3089" s="16">
        <v>0</v>
      </c>
      <c r="I3089" s="16">
        <v>0</v>
      </c>
      <c r="J3089" s="16">
        <v>0</v>
      </c>
      <c r="K3089" s="16">
        <v>0</v>
      </c>
      <c r="L3089" s="16">
        <v>0</v>
      </c>
      <c r="M3089" s="16">
        <v>0</v>
      </c>
      <c r="N3089" s="16">
        <v>0</v>
      </c>
      <c r="O3089" s="16">
        <v>0</v>
      </c>
      <c r="P3089" s="16">
        <v>1</v>
      </c>
      <c r="Q3089" s="16">
        <v>1</v>
      </c>
      <c r="R3089" s="16">
        <v>1</v>
      </c>
      <c r="S3089" s="16">
        <v>1</v>
      </c>
      <c r="T3089" s="16">
        <v>1</v>
      </c>
      <c r="U3089" s="16">
        <v>1</v>
      </c>
      <c r="V3089" s="16">
        <v>1</v>
      </c>
      <c r="W3089" s="16">
        <v>1</v>
      </c>
      <c r="X3089" s="16">
        <v>1</v>
      </c>
      <c r="Y3089" s="16">
        <v>1</v>
      </c>
      <c r="Z3089" s="16">
        <v>1</v>
      </c>
      <c r="AA3089" s="16">
        <v>1</v>
      </c>
      <c r="AB3089" s="16">
        <v>1</v>
      </c>
      <c r="AC3089" s="16">
        <v>0</v>
      </c>
      <c r="AD3089" s="16">
        <v>0</v>
      </c>
      <c r="AE3089" s="16">
        <v>0</v>
      </c>
      <c r="AF3089" s="16" t="s">
        <v>413</v>
      </c>
    </row>
    <row r="3090" spans="1:32" ht="14.25" customHeight="1" x14ac:dyDescent="0.35">
      <c r="A3090" s="16" t="s">
        <v>1884</v>
      </c>
      <c r="B3090" s="16" t="s">
        <v>427</v>
      </c>
      <c r="C3090" s="16"/>
      <c r="D3090" s="16" t="s">
        <v>429</v>
      </c>
      <c r="E3090" s="17">
        <v>41640</v>
      </c>
      <c r="F3090" s="17">
        <v>41820</v>
      </c>
      <c r="G3090" s="16" t="s">
        <v>415</v>
      </c>
      <c r="H3090" s="16">
        <v>0</v>
      </c>
      <c r="I3090" s="16">
        <v>0</v>
      </c>
      <c r="J3090" s="16">
        <v>0</v>
      </c>
      <c r="K3090" s="16">
        <v>0</v>
      </c>
      <c r="L3090" s="16">
        <v>0</v>
      </c>
      <c r="M3090" s="16">
        <v>0</v>
      </c>
      <c r="N3090" s="16">
        <v>0</v>
      </c>
      <c r="O3090" s="16">
        <v>0</v>
      </c>
      <c r="P3090" s="16">
        <v>1</v>
      </c>
      <c r="Q3090" s="16">
        <v>1</v>
      </c>
      <c r="R3090" s="16">
        <v>1</v>
      </c>
      <c r="S3090" s="16">
        <v>1</v>
      </c>
      <c r="T3090" s="16">
        <v>1</v>
      </c>
      <c r="U3090" s="16">
        <v>1</v>
      </c>
      <c r="V3090" s="16">
        <v>1</v>
      </c>
      <c r="W3090" s="16">
        <v>1</v>
      </c>
      <c r="X3090" s="16">
        <v>1</v>
      </c>
      <c r="Y3090" s="16">
        <v>0</v>
      </c>
      <c r="Z3090" s="16">
        <v>0</v>
      </c>
      <c r="AA3090" s="16">
        <v>0</v>
      </c>
      <c r="AB3090" s="16">
        <v>0</v>
      </c>
      <c r="AC3090" s="16">
        <v>0</v>
      </c>
      <c r="AD3090" s="16">
        <v>0</v>
      </c>
      <c r="AE3090" s="16">
        <v>0</v>
      </c>
      <c r="AF3090" s="16" t="s">
        <v>413</v>
      </c>
    </row>
    <row r="3091" spans="1:32" ht="14.25" customHeight="1" x14ac:dyDescent="0.35">
      <c r="A3091" s="14" t="s">
        <v>1884</v>
      </c>
      <c r="B3091" s="14" t="s">
        <v>427</v>
      </c>
      <c r="C3091" s="14"/>
      <c r="D3091" s="14" t="s">
        <v>530</v>
      </c>
      <c r="E3091" s="15">
        <v>41821</v>
      </c>
      <c r="F3091" s="15">
        <v>41883</v>
      </c>
      <c r="G3091" s="14" t="s">
        <v>410</v>
      </c>
      <c r="H3091" s="14">
        <v>0</v>
      </c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  <c r="U3091" s="14"/>
      <c r="V3091" s="14"/>
      <c r="W3091" s="14"/>
      <c r="X3091" s="14"/>
      <c r="Y3091" s="14"/>
      <c r="Z3091" s="14"/>
      <c r="AA3091" s="14"/>
      <c r="AB3091" s="14"/>
      <c r="AC3091" s="14"/>
      <c r="AD3091" s="14"/>
      <c r="AE3091" s="14"/>
      <c r="AF3091" s="14" t="s">
        <v>413</v>
      </c>
    </row>
    <row r="3092" spans="1:32" ht="14.25" customHeight="1" x14ac:dyDescent="0.35">
      <c r="A3092" s="14" t="s">
        <v>1884</v>
      </c>
      <c r="B3092" s="14" t="s">
        <v>427</v>
      </c>
      <c r="C3092" s="14"/>
      <c r="D3092" s="14" t="s">
        <v>530</v>
      </c>
      <c r="E3092" s="15">
        <v>41640</v>
      </c>
      <c r="F3092" s="15">
        <v>41820</v>
      </c>
      <c r="G3092" s="14" t="s">
        <v>410</v>
      </c>
      <c r="H3092" s="14">
        <v>0</v>
      </c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  <c r="U3092" s="14"/>
      <c r="V3092" s="14"/>
      <c r="W3092" s="14"/>
      <c r="X3092" s="14"/>
      <c r="Y3092" s="14"/>
      <c r="Z3092" s="14"/>
      <c r="AA3092" s="14"/>
      <c r="AB3092" s="14"/>
      <c r="AC3092" s="14"/>
      <c r="AD3092" s="14"/>
      <c r="AE3092" s="14"/>
      <c r="AF3092" s="14" t="s">
        <v>413</v>
      </c>
    </row>
    <row r="3093" spans="1:32" ht="14.25" customHeight="1" x14ac:dyDescent="0.35">
      <c r="A3093" s="14" t="s">
        <v>1884</v>
      </c>
      <c r="B3093" s="14" t="s">
        <v>427</v>
      </c>
      <c r="C3093" s="14"/>
      <c r="D3093" s="14" t="s">
        <v>421</v>
      </c>
      <c r="E3093" s="15">
        <v>41640</v>
      </c>
      <c r="F3093" s="15">
        <v>42004</v>
      </c>
      <c r="G3093" s="14" t="s">
        <v>415</v>
      </c>
      <c r="H3093" s="14">
        <v>0</v>
      </c>
      <c r="I3093" s="14">
        <v>0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1</v>
      </c>
      <c r="Q3093" s="14">
        <v>1</v>
      </c>
      <c r="R3093" s="14">
        <v>1</v>
      </c>
      <c r="S3093" s="14">
        <v>1</v>
      </c>
      <c r="T3093" s="14">
        <v>1</v>
      </c>
      <c r="U3093" s="14">
        <v>1</v>
      </c>
      <c r="V3093" s="14">
        <v>1</v>
      </c>
      <c r="W3093" s="14">
        <v>1</v>
      </c>
      <c r="X3093" s="14">
        <v>1</v>
      </c>
      <c r="Y3093" s="14">
        <v>1</v>
      </c>
      <c r="Z3093" s="14">
        <v>1</v>
      </c>
      <c r="AA3093" s="14">
        <v>1</v>
      </c>
      <c r="AB3093" s="14">
        <v>1</v>
      </c>
      <c r="AC3093" s="14">
        <v>0</v>
      </c>
      <c r="AD3093" s="14">
        <v>0</v>
      </c>
      <c r="AE3093" s="14">
        <v>0</v>
      </c>
      <c r="AF3093" s="14" t="s">
        <v>413</v>
      </c>
    </row>
    <row r="3094" spans="1:32" ht="14.25" customHeight="1" x14ac:dyDescent="0.35">
      <c r="A3094" s="14" t="s">
        <v>1885</v>
      </c>
      <c r="B3094" s="14" t="s">
        <v>427</v>
      </c>
      <c r="C3094" s="14"/>
      <c r="D3094" s="14" t="s">
        <v>409</v>
      </c>
      <c r="E3094" s="15">
        <v>41640</v>
      </c>
      <c r="F3094" s="15">
        <v>42004</v>
      </c>
      <c r="G3094" s="14" t="s">
        <v>410</v>
      </c>
      <c r="H3094" s="14">
        <v>1</v>
      </c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  <c r="U3094" s="14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 t="s">
        <v>413</v>
      </c>
    </row>
    <row r="3095" spans="1:32" ht="14.25" customHeight="1" x14ac:dyDescent="0.35">
      <c r="A3095" s="16" t="s">
        <v>1886</v>
      </c>
      <c r="B3095" s="16" t="s">
        <v>427</v>
      </c>
      <c r="C3095" s="16"/>
      <c r="D3095" s="16" t="s">
        <v>476</v>
      </c>
      <c r="E3095" s="17">
        <v>41640</v>
      </c>
      <c r="F3095" s="17">
        <v>42004</v>
      </c>
      <c r="G3095" s="16" t="s">
        <v>410</v>
      </c>
      <c r="H3095" s="16">
        <v>0.02</v>
      </c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16"/>
      <c r="AA3095" s="16"/>
      <c r="AB3095" s="16"/>
      <c r="AC3095" s="16"/>
      <c r="AD3095" s="16"/>
      <c r="AE3095" s="16"/>
      <c r="AF3095" s="16" t="s">
        <v>413</v>
      </c>
    </row>
    <row r="3096" spans="1:32" ht="14.25" customHeight="1" x14ac:dyDescent="0.35">
      <c r="A3096" s="14" t="s">
        <v>1886</v>
      </c>
      <c r="B3096" s="14" t="s">
        <v>427</v>
      </c>
      <c r="C3096" s="14"/>
      <c r="D3096" s="14" t="s">
        <v>419</v>
      </c>
      <c r="E3096" s="15">
        <v>41640</v>
      </c>
      <c r="F3096" s="15">
        <v>42004</v>
      </c>
      <c r="G3096" s="14" t="s">
        <v>415</v>
      </c>
      <c r="H3096" s="14">
        <v>0.02</v>
      </c>
      <c r="I3096" s="14">
        <v>0.02</v>
      </c>
      <c r="J3096" s="14">
        <v>0.02</v>
      </c>
      <c r="K3096" s="14">
        <v>0.02</v>
      </c>
      <c r="L3096" s="14">
        <v>0.02</v>
      </c>
      <c r="M3096" s="14">
        <v>0.02</v>
      </c>
      <c r="N3096" s="14">
        <v>0.02</v>
      </c>
      <c r="O3096" s="14">
        <v>0.02</v>
      </c>
      <c r="P3096" s="14">
        <v>0.15</v>
      </c>
      <c r="Q3096" s="14">
        <v>0.15</v>
      </c>
      <c r="R3096" s="14">
        <v>0.2</v>
      </c>
      <c r="S3096" s="14">
        <v>0.2</v>
      </c>
      <c r="T3096" s="14">
        <v>0.2</v>
      </c>
      <c r="U3096" s="14">
        <v>0.1</v>
      </c>
      <c r="V3096" s="14">
        <v>0.1</v>
      </c>
      <c r="W3096" s="14">
        <v>0.02</v>
      </c>
      <c r="X3096" s="14">
        <v>0.02</v>
      </c>
      <c r="Y3096" s="14">
        <v>0.02</v>
      </c>
      <c r="Z3096" s="14">
        <v>0.02</v>
      </c>
      <c r="AA3096" s="14">
        <v>0.02</v>
      </c>
      <c r="AB3096" s="14">
        <v>0.02</v>
      </c>
      <c r="AC3096" s="14">
        <v>0.02</v>
      </c>
      <c r="AD3096" s="14">
        <v>0.02</v>
      </c>
      <c r="AE3096" s="14">
        <v>0.02</v>
      </c>
      <c r="AF3096" s="14" t="s">
        <v>413</v>
      </c>
    </row>
    <row r="3097" spans="1:32" ht="14.25" customHeight="1" x14ac:dyDescent="0.35">
      <c r="A3097" s="16" t="s">
        <v>1886</v>
      </c>
      <c r="B3097" s="16" t="s">
        <v>427</v>
      </c>
      <c r="C3097" s="16"/>
      <c r="D3097" s="16" t="s">
        <v>429</v>
      </c>
      <c r="E3097" s="17">
        <v>41883</v>
      </c>
      <c r="F3097" s="17">
        <v>42004</v>
      </c>
      <c r="G3097" s="16" t="s">
        <v>415</v>
      </c>
      <c r="H3097" s="16">
        <v>0.02</v>
      </c>
      <c r="I3097" s="16">
        <v>0.02</v>
      </c>
      <c r="J3097" s="16">
        <v>0.02</v>
      </c>
      <c r="K3097" s="16">
        <v>0.02</v>
      </c>
      <c r="L3097" s="16">
        <v>0.02</v>
      </c>
      <c r="M3097" s="16">
        <v>0.02</v>
      </c>
      <c r="N3097" s="16">
        <v>0.02</v>
      </c>
      <c r="O3097" s="16">
        <v>0.02</v>
      </c>
      <c r="P3097" s="16">
        <v>0.15</v>
      </c>
      <c r="Q3097" s="16">
        <v>0.15</v>
      </c>
      <c r="R3097" s="16">
        <v>0.2</v>
      </c>
      <c r="S3097" s="16">
        <v>0.2</v>
      </c>
      <c r="T3097" s="16">
        <v>0.2</v>
      </c>
      <c r="U3097" s="16">
        <v>0.1</v>
      </c>
      <c r="V3097" s="16">
        <v>0.1</v>
      </c>
      <c r="W3097" s="16">
        <v>0.02</v>
      </c>
      <c r="X3097" s="16">
        <v>0.02</v>
      </c>
      <c r="Y3097" s="16">
        <v>0.02</v>
      </c>
      <c r="Z3097" s="16">
        <v>0.02</v>
      </c>
      <c r="AA3097" s="16">
        <v>0.02</v>
      </c>
      <c r="AB3097" s="16">
        <v>0.02</v>
      </c>
      <c r="AC3097" s="16">
        <v>0.02</v>
      </c>
      <c r="AD3097" s="16">
        <v>0.02</v>
      </c>
      <c r="AE3097" s="16">
        <v>0.02</v>
      </c>
      <c r="AF3097" s="16" t="s">
        <v>413</v>
      </c>
    </row>
    <row r="3098" spans="1:32" ht="14.25" customHeight="1" x14ac:dyDescent="0.35">
      <c r="A3098" s="16" t="s">
        <v>1886</v>
      </c>
      <c r="B3098" s="16" t="s">
        <v>427</v>
      </c>
      <c r="C3098" s="16"/>
      <c r="D3098" s="16" t="s">
        <v>429</v>
      </c>
      <c r="E3098" s="17">
        <v>41821</v>
      </c>
      <c r="F3098" s="17">
        <v>41883</v>
      </c>
      <c r="G3098" s="16" t="s">
        <v>415</v>
      </c>
      <c r="H3098" s="16">
        <v>0.02</v>
      </c>
      <c r="I3098" s="16">
        <v>0.02</v>
      </c>
      <c r="J3098" s="16">
        <v>0.02</v>
      </c>
      <c r="K3098" s="16">
        <v>0.02</v>
      </c>
      <c r="L3098" s="16">
        <v>0.02</v>
      </c>
      <c r="M3098" s="16">
        <v>0.02</v>
      </c>
      <c r="N3098" s="16">
        <v>0.02</v>
      </c>
      <c r="O3098" s="16">
        <v>0.02</v>
      </c>
      <c r="P3098" s="16">
        <v>0.15</v>
      </c>
      <c r="Q3098" s="16">
        <v>0.15</v>
      </c>
      <c r="R3098" s="16">
        <v>0.2</v>
      </c>
      <c r="S3098" s="16">
        <v>0.2</v>
      </c>
      <c r="T3098" s="16">
        <v>0.2</v>
      </c>
      <c r="U3098" s="16">
        <v>0.1</v>
      </c>
      <c r="V3098" s="16">
        <v>0.1</v>
      </c>
      <c r="W3098" s="16">
        <v>0.02</v>
      </c>
      <c r="X3098" s="16">
        <v>0.02</v>
      </c>
      <c r="Y3098" s="16">
        <v>0.02</v>
      </c>
      <c r="Z3098" s="16">
        <v>0.02</v>
      </c>
      <c r="AA3098" s="16">
        <v>0.02</v>
      </c>
      <c r="AB3098" s="16">
        <v>0.02</v>
      </c>
      <c r="AC3098" s="16">
        <v>0.02</v>
      </c>
      <c r="AD3098" s="16">
        <v>0.02</v>
      </c>
      <c r="AE3098" s="16">
        <v>0.02</v>
      </c>
      <c r="AF3098" s="16" t="s">
        <v>413</v>
      </c>
    </row>
    <row r="3099" spans="1:32" ht="14.25" customHeight="1" x14ac:dyDescent="0.35">
      <c r="A3099" s="16" t="s">
        <v>1886</v>
      </c>
      <c r="B3099" s="16" t="s">
        <v>427</v>
      </c>
      <c r="C3099" s="16"/>
      <c r="D3099" s="16" t="s">
        <v>429</v>
      </c>
      <c r="E3099" s="17">
        <v>41640</v>
      </c>
      <c r="F3099" s="17">
        <v>41820</v>
      </c>
      <c r="G3099" s="16" t="s">
        <v>415</v>
      </c>
      <c r="H3099" s="16">
        <v>0.02</v>
      </c>
      <c r="I3099" s="16">
        <v>0.02</v>
      </c>
      <c r="J3099" s="16">
        <v>0.02</v>
      </c>
      <c r="K3099" s="16">
        <v>0.02</v>
      </c>
      <c r="L3099" s="16">
        <v>0.02</v>
      </c>
      <c r="M3099" s="16">
        <v>0.02</v>
      </c>
      <c r="N3099" s="16">
        <v>0.02</v>
      </c>
      <c r="O3099" s="16">
        <v>0.02</v>
      </c>
      <c r="P3099" s="16">
        <v>0.15</v>
      </c>
      <c r="Q3099" s="16">
        <v>0.15</v>
      </c>
      <c r="R3099" s="16">
        <v>0.2</v>
      </c>
      <c r="S3099" s="16">
        <v>0.2</v>
      </c>
      <c r="T3099" s="16">
        <v>0.2</v>
      </c>
      <c r="U3099" s="16">
        <v>0.1</v>
      </c>
      <c r="V3099" s="16">
        <v>0.1</v>
      </c>
      <c r="W3099" s="16">
        <v>0.02</v>
      </c>
      <c r="X3099" s="16">
        <v>0.02</v>
      </c>
      <c r="Y3099" s="16">
        <v>0.02</v>
      </c>
      <c r="Z3099" s="16">
        <v>0.02</v>
      </c>
      <c r="AA3099" s="16">
        <v>0.02</v>
      </c>
      <c r="AB3099" s="16">
        <v>0.02</v>
      </c>
      <c r="AC3099" s="16">
        <v>0.02</v>
      </c>
      <c r="AD3099" s="16">
        <v>0.02</v>
      </c>
      <c r="AE3099" s="16">
        <v>0.02</v>
      </c>
      <c r="AF3099" s="16" t="s">
        <v>413</v>
      </c>
    </row>
    <row r="3100" spans="1:32" ht="14.25" customHeight="1" x14ac:dyDescent="0.35">
      <c r="A3100" s="14" t="s">
        <v>1886</v>
      </c>
      <c r="B3100" s="14" t="s">
        <v>427</v>
      </c>
      <c r="C3100" s="14"/>
      <c r="D3100" s="14" t="s">
        <v>530</v>
      </c>
      <c r="E3100" s="15">
        <v>41821</v>
      </c>
      <c r="F3100" s="15">
        <v>41883</v>
      </c>
      <c r="G3100" s="14" t="s">
        <v>410</v>
      </c>
      <c r="H3100" s="14">
        <v>0.02</v>
      </c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F3100" s="14" t="s">
        <v>413</v>
      </c>
    </row>
    <row r="3101" spans="1:32" ht="14.25" customHeight="1" x14ac:dyDescent="0.35">
      <c r="A3101" s="14" t="s">
        <v>1886</v>
      </c>
      <c r="B3101" s="14" t="s">
        <v>427</v>
      </c>
      <c r="C3101" s="14"/>
      <c r="D3101" s="14" t="s">
        <v>530</v>
      </c>
      <c r="E3101" s="15">
        <v>41640</v>
      </c>
      <c r="F3101" s="15">
        <v>41820</v>
      </c>
      <c r="G3101" s="14" t="s">
        <v>410</v>
      </c>
      <c r="H3101" s="14">
        <v>0.02</v>
      </c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S3101" s="14"/>
      <c r="T3101" s="14"/>
      <c r="U3101" s="14"/>
      <c r="V3101" s="14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 t="s">
        <v>413</v>
      </c>
    </row>
    <row r="3102" spans="1:32" ht="14.25" customHeight="1" x14ac:dyDescent="0.35">
      <c r="A3102" s="14" t="s">
        <v>1887</v>
      </c>
      <c r="B3102" s="14" t="s">
        <v>427</v>
      </c>
      <c r="C3102" s="14" t="s">
        <v>414</v>
      </c>
      <c r="D3102" s="14" t="s">
        <v>409</v>
      </c>
      <c r="E3102" s="15">
        <v>41640</v>
      </c>
      <c r="F3102" s="15">
        <v>42004</v>
      </c>
      <c r="G3102" s="14" t="s">
        <v>410</v>
      </c>
      <c r="H3102" s="14">
        <v>55</v>
      </c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F3102" s="14" t="s">
        <v>413</v>
      </c>
    </row>
    <row r="3103" spans="1:32" ht="14.25" customHeight="1" x14ac:dyDescent="0.35">
      <c r="A3103" s="16" t="s">
        <v>1888</v>
      </c>
      <c r="B3103" s="16" t="s">
        <v>427</v>
      </c>
      <c r="C3103" s="16"/>
      <c r="D3103" s="16" t="s">
        <v>409</v>
      </c>
      <c r="E3103" s="17">
        <v>41640</v>
      </c>
      <c r="F3103" s="17">
        <v>42004</v>
      </c>
      <c r="G3103" s="16" t="s">
        <v>410</v>
      </c>
      <c r="H3103" s="16">
        <v>0.05</v>
      </c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16"/>
      <c r="AA3103" s="16"/>
      <c r="AB3103" s="16"/>
      <c r="AC3103" s="16"/>
      <c r="AD3103" s="16"/>
      <c r="AE3103" s="16"/>
      <c r="AF3103" s="16" t="s">
        <v>413</v>
      </c>
    </row>
    <row r="3104" spans="1:32" ht="14.25" customHeight="1" x14ac:dyDescent="0.35">
      <c r="A3104" s="14" t="s">
        <v>1889</v>
      </c>
      <c r="B3104" s="14" t="s">
        <v>427</v>
      </c>
      <c r="C3104" s="14"/>
      <c r="D3104" s="14" t="s">
        <v>409</v>
      </c>
      <c r="E3104" s="15">
        <v>41640</v>
      </c>
      <c r="F3104" s="15">
        <v>42004</v>
      </c>
      <c r="G3104" s="14" t="s">
        <v>410</v>
      </c>
      <c r="H3104" s="14">
        <v>0.2</v>
      </c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  <c r="AA3104" s="14"/>
      <c r="AB3104" s="14"/>
      <c r="AC3104" s="14"/>
      <c r="AD3104" s="14"/>
      <c r="AE3104" s="14"/>
      <c r="AF3104" s="14" t="s">
        <v>413</v>
      </c>
    </row>
    <row r="3105" spans="1:32" ht="14.25" customHeight="1" x14ac:dyDescent="0.35">
      <c r="A3105" s="16" t="s">
        <v>1890</v>
      </c>
      <c r="B3105" s="16" t="s">
        <v>427</v>
      </c>
      <c r="C3105" s="16" t="s">
        <v>414</v>
      </c>
      <c r="D3105" s="16" t="s">
        <v>409</v>
      </c>
      <c r="E3105" s="17">
        <v>41640</v>
      </c>
      <c r="F3105" s="17">
        <v>42004</v>
      </c>
      <c r="G3105" s="16" t="s">
        <v>410</v>
      </c>
      <c r="H3105" s="16">
        <v>60</v>
      </c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6"/>
      <c r="AD3105" s="16"/>
      <c r="AE3105" s="16"/>
      <c r="AF3105" s="16" t="s">
        <v>413</v>
      </c>
    </row>
    <row r="3106" spans="1:32" ht="14.25" customHeight="1" x14ac:dyDescent="0.35">
      <c r="A3106" s="14" t="s">
        <v>1891</v>
      </c>
      <c r="B3106" s="14" t="s">
        <v>427</v>
      </c>
      <c r="C3106" s="14" t="s">
        <v>412</v>
      </c>
      <c r="D3106" s="14" t="s">
        <v>417</v>
      </c>
      <c r="E3106" s="15">
        <v>41640</v>
      </c>
      <c r="F3106" s="15">
        <v>42004</v>
      </c>
      <c r="G3106" s="14" t="s">
        <v>415</v>
      </c>
      <c r="H3106" s="14">
        <v>0</v>
      </c>
      <c r="I3106" s="14">
        <v>0</v>
      </c>
      <c r="J3106" s="14">
        <v>0</v>
      </c>
      <c r="K3106" s="14">
        <v>0</v>
      </c>
      <c r="L3106" s="14">
        <v>725</v>
      </c>
      <c r="M3106" s="14">
        <v>417</v>
      </c>
      <c r="N3106" s="14">
        <v>290</v>
      </c>
      <c r="O3106" s="14">
        <v>0</v>
      </c>
      <c r="P3106" s="14">
        <v>0</v>
      </c>
      <c r="Q3106" s="14">
        <v>0</v>
      </c>
      <c r="R3106" s="14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  <c r="AC3106" s="14">
        <v>0</v>
      </c>
      <c r="AD3106" s="14">
        <v>0</v>
      </c>
      <c r="AE3106" s="14">
        <v>0</v>
      </c>
      <c r="AF3106" s="14" t="s">
        <v>413</v>
      </c>
    </row>
    <row r="3107" spans="1:32" ht="14.25" customHeight="1" x14ac:dyDescent="0.35">
      <c r="A3107" s="16" t="s">
        <v>1891</v>
      </c>
      <c r="B3107" s="16" t="s">
        <v>427</v>
      </c>
      <c r="C3107" s="16" t="s">
        <v>412</v>
      </c>
      <c r="D3107" s="16" t="s">
        <v>622</v>
      </c>
      <c r="E3107" s="17">
        <v>41640</v>
      </c>
      <c r="F3107" s="17">
        <v>42004</v>
      </c>
      <c r="G3107" s="16" t="s">
        <v>415</v>
      </c>
      <c r="H3107" s="16">
        <v>0</v>
      </c>
      <c r="I3107" s="16">
        <v>0</v>
      </c>
      <c r="J3107" s="16">
        <v>0</v>
      </c>
      <c r="K3107" s="16">
        <v>0</v>
      </c>
      <c r="L3107" s="16">
        <v>125</v>
      </c>
      <c r="M3107" s="16">
        <v>117</v>
      </c>
      <c r="N3107" s="16">
        <v>90</v>
      </c>
      <c r="O3107" s="16">
        <v>0</v>
      </c>
      <c r="P3107" s="16">
        <v>0</v>
      </c>
      <c r="Q3107" s="16">
        <v>0</v>
      </c>
      <c r="R3107" s="16">
        <v>0</v>
      </c>
      <c r="S3107" s="16">
        <v>0</v>
      </c>
      <c r="T3107" s="16">
        <v>0</v>
      </c>
      <c r="U3107" s="16">
        <v>0</v>
      </c>
      <c r="V3107" s="16">
        <v>0</v>
      </c>
      <c r="W3107" s="16">
        <v>0</v>
      </c>
      <c r="X3107" s="16">
        <v>0</v>
      </c>
      <c r="Y3107" s="16">
        <v>0</v>
      </c>
      <c r="Z3107" s="16">
        <v>0</v>
      </c>
      <c r="AA3107" s="16">
        <v>125</v>
      </c>
      <c r="AB3107" s="16">
        <v>117</v>
      </c>
      <c r="AC3107" s="16">
        <v>90</v>
      </c>
      <c r="AD3107" s="16">
        <v>0</v>
      </c>
      <c r="AE3107" s="16">
        <v>0</v>
      </c>
      <c r="AF3107" s="16" t="s">
        <v>413</v>
      </c>
    </row>
    <row r="3108" spans="1:32" ht="14.25" customHeight="1" x14ac:dyDescent="0.35">
      <c r="A3108" s="14" t="s">
        <v>1892</v>
      </c>
      <c r="B3108" s="14" t="s">
        <v>427</v>
      </c>
      <c r="C3108" s="14" t="s">
        <v>412</v>
      </c>
      <c r="D3108" s="14" t="s">
        <v>409</v>
      </c>
      <c r="E3108" s="15">
        <v>41640</v>
      </c>
      <c r="F3108" s="15">
        <v>42004</v>
      </c>
      <c r="G3108" s="14" t="s">
        <v>410</v>
      </c>
      <c r="H3108" s="14">
        <v>0</v>
      </c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  <c r="AA3108" s="14"/>
      <c r="AB3108" s="14"/>
      <c r="AC3108" s="14"/>
      <c r="AD3108" s="14"/>
      <c r="AE3108" s="14"/>
      <c r="AF3108" s="14" t="s">
        <v>413</v>
      </c>
    </row>
    <row r="3109" spans="1:32" ht="14.25" customHeight="1" x14ac:dyDescent="0.35">
      <c r="A3109" s="35" t="s">
        <v>1893</v>
      </c>
      <c r="B3109" s="35" t="s">
        <v>550</v>
      </c>
      <c r="C3109" s="35"/>
      <c r="D3109" s="35" t="s">
        <v>417</v>
      </c>
      <c r="E3109" s="36">
        <v>41640</v>
      </c>
      <c r="F3109" s="36">
        <v>42004</v>
      </c>
      <c r="G3109" s="35" t="s">
        <v>410</v>
      </c>
      <c r="H3109" s="35">
        <v>0</v>
      </c>
      <c r="I3109" s="35"/>
      <c r="J3109" s="35"/>
      <c r="K3109" s="35"/>
      <c r="L3109" s="35"/>
      <c r="M3109" s="35"/>
      <c r="N3109" s="35"/>
      <c r="O3109" s="35"/>
      <c r="P3109" s="35"/>
      <c r="Q3109" s="35"/>
      <c r="R3109" s="35"/>
      <c r="S3109" s="35"/>
      <c r="T3109" s="35"/>
      <c r="U3109" s="35"/>
      <c r="V3109" s="35"/>
      <c r="W3109" s="35"/>
      <c r="X3109" s="35"/>
      <c r="Y3109" s="35"/>
      <c r="Z3109" s="35"/>
      <c r="AA3109" s="35"/>
      <c r="AB3109" s="35"/>
      <c r="AC3109" s="35"/>
      <c r="AD3109" s="35"/>
      <c r="AE3109" s="35"/>
      <c r="AF3109" s="35" t="s">
        <v>413</v>
      </c>
    </row>
    <row r="3110" spans="1:32" ht="14.25" customHeight="1" x14ac:dyDescent="0.35">
      <c r="A3110" s="35" t="s">
        <v>1893</v>
      </c>
      <c r="B3110" s="35" t="s">
        <v>550</v>
      </c>
      <c r="C3110" s="35"/>
      <c r="D3110" s="35" t="s">
        <v>1301</v>
      </c>
      <c r="E3110" s="36">
        <v>41640</v>
      </c>
      <c r="F3110" s="36">
        <v>42004</v>
      </c>
      <c r="G3110" s="35" t="s">
        <v>415</v>
      </c>
      <c r="H3110" s="35">
        <v>0</v>
      </c>
      <c r="I3110" s="35">
        <v>0</v>
      </c>
      <c r="J3110" s="35">
        <v>0</v>
      </c>
      <c r="K3110" s="35">
        <v>0</v>
      </c>
      <c r="L3110" s="35">
        <v>0</v>
      </c>
      <c r="M3110" s="35">
        <v>0</v>
      </c>
      <c r="N3110" s="35">
        <v>0</v>
      </c>
      <c r="O3110" s="35">
        <v>0</v>
      </c>
      <c r="P3110" s="35">
        <v>1</v>
      </c>
      <c r="Q3110" s="35">
        <v>1</v>
      </c>
      <c r="R3110" s="35">
        <v>1</v>
      </c>
      <c r="S3110" s="35">
        <v>1</v>
      </c>
      <c r="T3110" s="35">
        <v>1</v>
      </c>
      <c r="U3110" s="35">
        <v>1</v>
      </c>
      <c r="V3110" s="35">
        <v>1</v>
      </c>
      <c r="W3110" s="35">
        <v>1</v>
      </c>
      <c r="X3110" s="35">
        <v>1</v>
      </c>
      <c r="Y3110" s="35">
        <v>1</v>
      </c>
      <c r="Z3110" s="35">
        <v>1</v>
      </c>
      <c r="AA3110" s="35">
        <v>1</v>
      </c>
      <c r="AB3110" s="35">
        <v>1</v>
      </c>
      <c r="AC3110" s="35">
        <v>0</v>
      </c>
      <c r="AD3110" s="35">
        <v>0</v>
      </c>
      <c r="AE3110" s="35">
        <v>0</v>
      </c>
      <c r="AF3110" s="35" t="s">
        <v>413</v>
      </c>
    </row>
    <row r="3111" spans="1:32" ht="14.25" customHeight="1" x14ac:dyDescent="0.35">
      <c r="A3111" s="16" t="s">
        <v>1894</v>
      </c>
      <c r="B3111" s="16" t="s">
        <v>550</v>
      </c>
      <c r="C3111" s="16"/>
      <c r="D3111" s="16" t="s">
        <v>1895</v>
      </c>
      <c r="E3111" s="17">
        <v>41640</v>
      </c>
      <c r="F3111" s="17">
        <v>42004</v>
      </c>
      <c r="G3111" s="16" t="s">
        <v>410</v>
      </c>
      <c r="H3111" s="16">
        <v>1</v>
      </c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16"/>
      <c r="AA3111" s="16"/>
      <c r="AB3111" s="16"/>
      <c r="AC3111" s="16"/>
      <c r="AD3111" s="16"/>
      <c r="AE3111" s="16"/>
      <c r="AF3111" s="16" t="s">
        <v>413</v>
      </c>
    </row>
    <row r="3112" spans="1:32" ht="14.25" customHeight="1" x14ac:dyDescent="0.35">
      <c r="A3112" s="14" t="s">
        <v>1896</v>
      </c>
      <c r="B3112" s="14" t="s">
        <v>408</v>
      </c>
      <c r="C3112" s="14" t="s">
        <v>412</v>
      </c>
      <c r="D3112" s="14" t="s">
        <v>409</v>
      </c>
      <c r="E3112" s="15">
        <v>41640</v>
      </c>
      <c r="F3112" s="15">
        <v>42004</v>
      </c>
      <c r="G3112" s="14" t="s">
        <v>410</v>
      </c>
      <c r="H3112" s="14">
        <v>1</v>
      </c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  <c r="U3112" s="14"/>
      <c r="V3112" s="14"/>
      <c r="W3112" s="14"/>
      <c r="X3112" s="14"/>
      <c r="Y3112" s="14"/>
      <c r="Z3112" s="14"/>
      <c r="AA3112" s="14"/>
      <c r="AB3112" s="14"/>
      <c r="AC3112" s="14"/>
      <c r="AD3112" s="14"/>
      <c r="AE3112" s="14"/>
      <c r="AF3112" s="14" t="s">
        <v>413</v>
      </c>
    </row>
    <row r="3113" spans="1:32" ht="14.25" customHeight="1" x14ac:dyDescent="0.35">
      <c r="A3113" s="16" t="s">
        <v>1897</v>
      </c>
      <c r="B3113" s="16" t="s">
        <v>408</v>
      </c>
      <c r="C3113" s="16" t="s">
        <v>412</v>
      </c>
      <c r="D3113" s="16" t="s">
        <v>409</v>
      </c>
      <c r="E3113" s="17">
        <v>41640</v>
      </c>
      <c r="F3113" s="17">
        <v>42004</v>
      </c>
      <c r="G3113" s="16" t="s">
        <v>410</v>
      </c>
      <c r="H3113" s="16">
        <v>1</v>
      </c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/>
      <c r="AB3113" s="16"/>
      <c r="AC3113" s="16"/>
      <c r="AD3113" s="16"/>
      <c r="AE3113" s="16"/>
      <c r="AF3113" s="16" t="s">
        <v>413</v>
      </c>
    </row>
    <row r="3114" spans="1:32" ht="14.25" customHeight="1" x14ac:dyDescent="0.35">
      <c r="A3114" s="14" t="s">
        <v>1898</v>
      </c>
      <c r="B3114" s="14" t="s">
        <v>408</v>
      </c>
      <c r="C3114" s="14" t="s">
        <v>414</v>
      </c>
      <c r="D3114" s="14" t="s">
        <v>409</v>
      </c>
      <c r="E3114" s="15">
        <v>41640</v>
      </c>
      <c r="F3114" s="15">
        <v>42004</v>
      </c>
      <c r="G3114" s="14" t="s">
        <v>410</v>
      </c>
      <c r="H3114" s="14">
        <v>13</v>
      </c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 t="s">
        <v>413</v>
      </c>
    </row>
    <row r="3115" spans="1:32" ht="14.25" customHeight="1" x14ac:dyDescent="0.35">
      <c r="A3115" s="16" t="s">
        <v>1898</v>
      </c>
      <c r="B3115" s="16" t="s">
        <v>408</v>
      </c>
      <c r="C3115" s="16" t="s">
        <v>414</v>
      </c>
      <c r="D3115" s="16" t="s">
        <v>454</v>
      </c>
      <c r="E3115" s="17">
        <v>41913</v>
      </c>
      <c r="F3115" s="17">
        <v>42004</v>
      </c>
      <c r="G3115" s="16" t="s">
        <v>410</v>
      </c>
      <c r="H3115" s="16">
        <v>13</v>
      </c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6"/>
      <c r="AA3115" s="16"/>
      <c r="AB3115" s="16"/>
      <c r="AC3115" s="16"/>
      <c r="AD3115" s="16"/>
      <c r="AE3115" s="16"/>
      <c r="AF3115" s="16" t="s">
        <v>413</v>
      </c>
    </row>
    <row r="3116" spans="1:32" ht="14.25" customHeight="1" x14ac:dyDescent="0.35">
      <c r="A3116" s="14" t="s">
        <v>1898</v>
      </c>
      <c r="B3116" s="14" t="s">
        <v>408</v>
      </c>
      <c r="C3116" s="14" t="s">
        <v>414</v>
      </c>
      <c r="D3116" s="14" t="s">
        <v>454</v>
      </c>
      <c r="E3116" s="15">
        <v>41640</v>
      </c>
      <c r="F3116" s="15">
        <v>41729</v>
      </c>
      <c r="G3116" s="14" t="s">
        <v>410</v>
      </c>
      <c r="H3116" s="14">
        <v>13</v>
      </c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  <c r="U3116" s="14"/>
      <c r="V3116" s="14"/>
      <c r="W3116" s="14"/>
      <c r="X3116" s="14"/>
      <c r="Y3116" s="14"/>
      <c r="Z3116" s="14"/>
      <c r="AA3116" s="14"/>
      <c r="AB3116" s="14"/>
      <c r="AC3116" s="14"/>
      <c r="AD3116" s="14"/>
      <c r="AE3116" s="14"/>
      <c r="AF3116" s="14" t="s">
        <v>413</v>
      </c>
    </row>
    <row r="3117" spans="1:32" ht="14.25" customHeight="1" x14ac:dyDescent="0.35">
      <c r="A3117" s="16" t="s">
        <v>1899</v>
      </c>
      <c r="B3117" s="16" t="s">
        <v>408</v>
      </c>
      <c r="C3117" s="16" t="s">
        <v>412</v>
      </c>
      <c r="D3117" s="16" t="s">
        <v>409</v>
      </c>
      <c r="E3117" s="17">
        <v>41640</v>
      </c>
      <c r="F3117" s="17">
        <v>42004</v>
      </c>
      <c r="G3117" s="16" t="s">
        <v>410</v>
      </c>
      <c r="H3117" s="16">
        <v>0</v>
      </c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16"/>
      <c r="AA3117" s="16"/>
      <c r="AB3117" s="16"/>
      <c r="AC3117" s="16"/>
      <c r="AD3117" s="16"/>
      <c r="AE3117" s="16"/>
      <c r="AF3117" s="16" t="s">
        <v>413</v>
      </c>
    </row>
    <row r="3118" spans="1:32" ht="14.25" customHeight="1" x14ac:dyDescent="0.35">
      <c r="A3118" s="14" t="s">
        <v>1900</v>
      </c>
      <c r="B3118" s="14" t="s">
        <v>460</v>
      </c>
      <c r="C3118" s="14" t="s">
        <v>414</v>
      </c>
      <c r="D3118" s="14" t="s">
        <v>409</v>
      </c>
      <c r="E3118" s="15">
        <v>41640</v>
      </c>
      <c r="F3118" s="15">
        <v>42004</v>
      </c>
      <c r="G3118" s="14" t="s">
        <v>410</v>
      </c>
      <c r="H3118" s="14">
        <v>22</v>
      </c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  <c r="U3118" s="14"/>
      <c r="V3118" s="14"/>
      <c r="W3118" s="14"/>
      <c r="X3118" s="14"/>
      <c r="Y3118" s="14"/>
      <c r="Z3118" s="14"/>
      <c r="AA3118" s="14"/>
      <c r="AB3118" s="14"/>
      <c r="AC3118" s="14"/>
      <c r="AD3118" s="14"/>
      <c r="AE3118" s="14"/>
      <c r="AF3118" s="14" t="s">
        <v>413</v>
      </c>
    </row>
    <row r="3119" spans="1:32" ht="14.25" customHeight="1" x14ac:dyDescent="0.35">
      <c r="A3119" s="16" t="s">
        <v>1901</v>
      </c>
      <c r="B3119" s="16" t="s">
        <v>460</v>
      </c>
      <c r="C3119" s="16" t="s">
        <v>414</v>
      </c>
      <c r="D3119" s="16" t="s">
        <v>409</v>
      </c>
      <c r="E3119" s="17">
        <v>41640</v>
      </c>
      <c r="F3119" s="17">
        <v>42004</v>
      </c>
      <c r="G3119" s="16" t="s">
        <v>410</v>
      </c>
      <c r="H3119" s="16">
        <v>60</v>
      </c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16"/>
      <c r="AA3119" s="16"/>
      <c r="AB3119" s="16"/>
      <c r="AC3119" s="16"/>
      <c r="AD3119" s="16"/>
      <c r="AE3119" s="16"/>
      <c r="AF3119" s="16" t="s">
        <v>413</v>
      </c>
    </row>
    <row r="3120" spans="1:32" ht="14.25" customHeight="1" x14ac:dyDescent="0.35">
      <c r="A3120" s="14" t="s">
        <v>1902</v>
      </c>
      <c r="B3120" s="14" t="s">
        <v>460</v>
      </c>
      <c r="C3120" s="14" t="s">
        <v>414</v>
      </c>
      <c r="D3120" s="14" t="s">
        <v>409</v>
      </c>
      <c r="E3120" s="15">
        <v>41640</v>
      </c>
      <c r="F3120" s="15">
        <v>42004</v>
      </c>
      <c r="G3120" s="14" t="s">
        <v>410</v>
      </c>
      <c r="H3120" s="14">
        <v>60</v>
      </c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F3120" s="14" t="s">
        <v>413</v>
      </c>
    </row>
    <row r="3121" spans="1:32" ht="14.25" customHeight="1" x14ac:dyDescent="0.35">
      <c r="A3121" s="16" t="s">
        <v>1903</v>
      </c>
      <c r="B3121" s="16" t="s">
        <v>408</v>
      </c>
      <c r="C3121" s="16" t="s">
        <v>414</v>
      </c>
      <c r="D3121" s="16" t="s">
        <v>409</v>
      </c>
      <c r="E3121" s="17">
        <v>41640</v>
      </c>
      <c r="F3121" s="17">
        <v>42004</v>
      </c>
      <c r="G3121" s="16" t="s">
        <v>410</v>
      </c>
      <c r="H3121" s="16">
        <v>12.8</v>
      </c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 t="s">
        <v>413</v>
      </c>
    </row>
    <row r="3122" spans="1:32" ht="14.25" customHeight="1" x14ac:dyDescent="0.35">
      <c r="A3122" s="14" t="s">
        <v>1904</v>
      </c>
      <c r="B3122" s="14" t="s">
        <v>448</v>
      </c>
      <c r="C3122" s="14"/>
      <c r="D3122" s="14" t="s">
        <v>417</v>
      </c>
      <c r="E3122" s="15">
        <v>41640</v>
      </c>
      <c r="F3122" s="15">
        <v>42004</v>
      </c>
      <c r="G3122" s="14" t="s">
        <v>410</v>
      </c>
      <c r="H3122" s="14">
        <v>0.17730000000000001</v>
      </c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S3122" s="14"/>
      <c r="T3122" s="14"/>
      <c r="U3122" s="14"/>
      <c r="V3122" s="14"/>
      <c r="W3122" s="14"/>
      <c r="X3122" s="14"/>
      <c r="Y3122" s="14"/>
      <c r="Z3122" s="14"/>
      <c r="AA3122" s="14"/>
      <c r="AB3122" s="14"/>
      <c r="AC3122" s="14"/>
      <c r="AD3122" s="14"/>
      <c r="AE3122" s="14"/>
      <c r="AF3122" s="14" t="s">
        <v>413</v>
      </c>
    </row>
    <row r="3123" spans="1:32" ht="14.25" customHeight="1" x14ac:dyDescent="0.35">
      <c r="A3123" s="14" t="s">
        <v>1904</v>
      </c>
      <c r="B3123" s="14" t="s">
        <v>448</v>
      </c>
      <c r="C3123" s="14"/>
      <c r="D3123" s="14" t="s">
        <v>419</v>
      </c>
      <c r="E3123" s="15">
        <v>41640</v>
      </c>
      <c r="F3123" s="15">
        <v>42004</v>
      </c>
      <c r="G3123" s="14" t="s">
        <v>410</v>
      </c>
      <c r="H3123" s="14">
        <v>1</v>
      </c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S3123" s="14"/>
      <c r="T3123" s="14"/>
      <c r="U3123" s="14"/>
      <c r="V3123" s="14"/>
      <c r="W3123" s="14"/>
      <c r="X3123" s="14"/>
      <c r="Y3123" s="14"/>
      <c r="Z3123" s="14"/>
      <c r="AA3123" s="14"/>
      <c r="AB3123" s="14"/>
      <c r="AC3123" s="14"/>
      <c r="AD3123" s="14"/>
      <c r="AE3123" s="14"/>
      <c r="AF3123" s="14" t="s">
        <v>413</v>
      </c>
    </row>
    <row r="3124" spans="1:32" ht="14.25" customHeight="1" x14ac:dyDescent="0.35">
      <c r="A3124" s="16" t="s">
        <v>1904</v>
      </c>
      <c r="B3124" s="16" t="s">
        <v>448</v>
      </c>
      <c r="C3124" s="16"/>
      <c r="D3124" s="16" t="s">
        <v>429</v>
      </c>
      <c r="E3124" s="17">
        <v>41883</v>
      </c>
      <c r="F3124" s="17">
        <v>42004</v>
      </c>
      <c r="G3124" s="16" t="s">
        <v>415</v>
      </c>
      <c r="H3124" s="16">
        <v>0.17730000000000001</v>
      </c>
      <c r="I3124" s="16">
        <v>0.17730000000000001</v>
      </c>
      <c r="J3124" s="16">
        <v>0.17730000000000001</v>
      </c>
      <c r="K3124" s="16">
        <v>0.17730000000000001</v>
      </c>
      <c r="L3124" s="16">
        <v>0.17730000000000001</v>
      </c>
      <c r="M3124" s="16">
        <v>0.17730000000000001</v>
      </c>
      <c r="N3124" s="16">
        <v>0.17730000000000001</v>
      </c>
      <c r="O3124" s="16">
        <v>0.46800000000000003</v>
      </c>
      <c r="P3124" s="16">
        <v>0.46800000000000003</v>
      </c>
      <c r="Q3124" s="16">
        <v>0.46800000000000003</v>
      </c>
      <c r="R3124" s="16">
        <v>0.46800000000000003</v>
      </c>
      <c r="S3124" s="16">
        <v>0.46800000000000003</v>
      </c>
      <c r="T3124" s="16">
        <v>0.46800000000000003</v>
      </c>
      <c r="U3124" s="16">
        <v>0.46800000000000003</v>
      </c>
      <c r="V3124" s="16">
        <v>0.46800000000000003</v>
      </c>
      <c r="W3124" s="16">
        <v>0.46800000000000003</v>
      </c>
      <c r="X3124" s="16">
        <v>0.46800000000000003</v>
      </c>
      <c r="Y3124" s="16">
        <v>0.46800000000000003</v>
      </c>
      <c r="Z3124" s="16">
        <v>0.46800000000000003</v>
      </c>
      <c r="AA3124" s="16">
        <v>0.46800000000000003</v>
      </c>
      <c r="AB3124" s="16">
        <v>0.46800000000000003</v>
      </c>
      <c r="AC3124" s="16">
        <v>0.17730000000000001</v>
      </c>
      <c r="AD3124" s="16">
        <v>0.17730000000000001</v>
      </c>
      <c r="AE3124" s="16">
        <v>0.17730000000000001</v>
      </c>
      <c r="AF3124" s="16" t="s">
        <v>413</v>
      </c>
    </row>
    <row r="3125" spans="1:32" ht="14.25" customHeight="1" x14ac:dyDescent="0.35">
      <c r="A3125" s="16" t="s">
        <v>1904</v>
      </c>
      <c r="B3125" s="16" t="s">
        <v>448</v>
      </c>
      <c r="C3125" s="16"/>
      <c r="D3125" s="16" t="s">
        <v>429</v>
      </c>
      <c r="E3125" s="17">
        <v>41821</v>
      </c>
      <c r="F3125" s="17">
        <v>41883</v>
      </c>
      <c r="G3125" s="16" t="s">
        <v>415</v>
      </c>
      <c r="H3125" s="16">
        <v>0.17730000000000001</v>
      </c>
      <c r="I3125" s="16">
        <v>0.17730000000000001</v>
      </c>
      <c r="J3125" s="16">
        <v>0.17730000000000001</v>
      </c>
      <c r="K3125" s="16">
        <v>0.17730000000000001</v>
      </c>
      <c r="L3125" s="16">
        <v>0.17730000000000001</v>
      </c>
      <c r="M3125" s="16">
        <v>0.17730000000000001</v>
      </c>
      <c r="N3125" s="16">
        <v>0.17730000000000001</v>
      </c>
      <c r="O3125" s="16">
        <v>0.17730000000000001</v>
      </c>
      <c r="P3125" s="16">
        <v>0.26</v>
      </c>
      <c r="Q3125" s="16">
        <v>0.26</v>
      </c>
      <c r="R3125" s="16">
        <v>0.26</v>
      </c>
      <c r="S3125" s="16">
        <v>0.26</v>
      </c>
      <c r="T3125" s="16">
        <v>0.26</v>
      </c>
      <c r="U3125" s="16">
        <v>0.26</v>
      </c>
      <c r="V3125" s="16">
        <v>0.26</v>
      </c>
      <c r="W3125" s="16">
        <v>0.26</v>
      </c>
      <c r="X3125" s="16">
        <v>0.26</v>
      </c>
      <c r="Y3125" s="16">
        <v>0.26</v>
      </c>
      <c r="Z3125" s="16">
        <v>0.26</v>
      </c>
      <c r="AA3125" s="16">
        <v>0.26</v>
      </c>
      <c r="AB3125" s="16">
        <v>0.17730000000000001</v>
      </c>
      <c r="AC3125" s="16">
        <v>0.17730000000000001</v>
      </c>
      <c r="AD3125" s="16">
        <v>0.17730000000000001</v>
      </c>
      <c r="AE3125" s="16">
        <v>0.17730000000000001</v>
      </c>
      <c r="AF3125" s="16" t="s">
        <v>413</v>
      </c>
    </row>
    <row r="3126" spans="1:32" ht="14.25" customHeight="1" x14ac:dyDescent="0.35">
      <c r="A3126" s="16" t="s">
        <v>1904</v>
      </c>
      <c r="B3126" s="16" t="s">
        <v>448</v>
      </c>
      <c r="C3126" s="16"/>
      <c r="D3126" s="16" t="s">
        <v>429</v>
      </c>
      <c r="E3126" s="17">
        <v>41640</v>
      </c>
      <c r="F3126" s="17">
        <v>41820</v>
      </c>
      <c r="G3126" s="16" t="s">
        <v>415</v>
      </c>
      <c r="H3126" s="16">
        <v>0.17730000000000001</v>
      </c>
      <c r="I3126" s="16">
        <v>0.17730000000000001</v>
      </c>
      <c r="J3126" s="16">
        <v>0.17730000000000001</v>
      </c>
      <c r="K3126" s="16">
        <v>0.17730000000000001</v>
      </c>
      <c r="L3126" s="16">
        <v>0.17730000000000001</v>
      </c>
      <c r="M3126" s="16">
        <v>0.17730000000000001</v>
      </c>
      <c r="N3126" s="16">
        <v>0.17730000000000001</v>
      </c>
      <c r="O3126" s="16">
        <v>0.46800000000000003</v>
      </c>
      <c r="P3126" s="16">
        <v>0.46800000000000003</v>
      </c>
      <c r="Q3126" s="16">
        <v>0.46800000000000003</v>
      </c>
      <c r="R3126" s="16">
        <v>0.46800000000000003</v>
      </c>
      <c r="S3126" s="16">
        <v>0.46800000000000003</v>
      </c>
      <c r="T3126" s="16">
        <v>0.46800000000000003</v>
      </c>
      <c r="U3126" s="16">
        <v>0.46800000000000003</v>
      </c>
      <c r="V3126" s="16">
        <v>0.46800000000000003</v>
      </c>
      <c r="W3126" s="16">
        <v>0.46800000000000003</v>
      </c>
      <c r="X3126" s="16">
        <v>0.46800000000000003</v>
      </c>
      <c r="Y3126" s="16">
        <v>0.46800000000000003</v>
      </c>
      <c r="Z3126" s="16">
        <v>0.46800000000000003</v>
      </c>
      <c r="AA3126" s="16">
        <v>0.46800000000000003</v>
      </c>
      <c r="AB3126" s="16">
        <v>0.46800000000000003</v>
      </c>
      <c r="AC3126" s="16">
        <v>0.17730000000000001</v>
      </c>
      <c r="AD3126" s="16">
        <v>0.17730000000000001</v>
      </c>
      <c r="AE3126" s="16">
        <v>0.17730000000000001</v>
      </c>
      <c r="AF3126" s="16" t="s">
        <v>413</v>
      </c>
    </row>
    <row r="3127" spans="1:32" ht="14.25" customHeight="1" x14ac:dyDescent="0.35">
      <c r="A3127" s="14" t="s">
        <v>1904</v>
      </c>
      <c r="B3127" s="14" t="s">
        <v>448</v>
      </c>
      <c r="C3127" s="14"/>
      <c r="D3127" s="14" t="s">
        <v>530</v>
      </c>
      <c r="E3127" s="15">
        <v>41821</v>
      </c>
      <c r="F3127" s="15">
        <v>41883</v>
      </c>
      <c r="G3127" s="14" t="s">
        <v>410</v>
      </c>
      <c r="H3127" s="14">
        <v>0.17730000000000001</v>
      </c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S3127" s="14"/>
      <c r="T3127" s="14"/>
      <c r="U3127" s="14"/>
      <c r="V3127" s="14"/>
      <c r="W3127" s="14"/>
      <c r="X3127" s="14"/>
      <c r="Y3127" s="14"/>
      <c r="Z3127" s="14"/>
      <c r="AA3127" s="14"/>
      <c r="AB3127" s="14"/>
      <c r="AC3127" s="14"/>
      <c r="AD3127" s="14"/>
      <c r="AE3127" s="14"/>
      <c r="AF3127" s="14" t="s">
        <v>413</v>
      </c>
    </row>
    <row r="3128" spans="1:32" ht="14.25" customHeight="1" x14ac:dyDescent="0.35">
      <c r="A3128" s="14" t="s">
        <v>1904</v>
      </c>
      <c r="B3128" s="14" t="s">
        <v>448</v>
      </c>
      <c r="C3128" s="14"/>
      <c r="D3128" s="14" t="s">
        <v>530</v>
      </c>
      <c r="E3128" s="15">
        <v>41640</v>
      </c>
      <c r="F3128" s="15">
        <v>41820</v>
      </c>
      <c r="G3128" s="14" t="s">
        <v>410</v>
      </c>
      <c r="H3128" s="14">
        <v>0.17730000000000001</v>
      </c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S3128" s="14"/>
      <c r="T3128" s="14"/>
      <c r="U3128" s="14"/>
      <c r="V3128" s="14"/>
      <c r="W3128" s="14"/>
      <c r="X3128" s="14"/>
      <c r="Y3128" s="14"/>
      <c r="Z3128" s="14"/>
      <c r="AA3128" s="14"/>
      <c r="AB3128" s="14"/>
      <c r="AC3128" s="14"/>
      <c r="AD3128" s="14"/>
      <c r="AE3128" s="14"/>
      <c r="AF3128" s="14" t="s">
        <v>413</v>
      </c>
    </row>
    <row r="3129" spans="1:32" ht="14.25" customHeight="1" x14ac:dyDescent="0.35">
      <c r="A3129" s="16" t="s">
        <v>1904</v>
      </c>
      <c r="B3129" s="16" t="s">
        <v>448</v>
      </c>
      <c r="C3129" s="16"/>
      <c r="D3129" s="16" t="s">
        <v>418</v>
      </c>
      <c r="E3129" s="17">
        <v>41640</v>
      </c>
      <c r="F3129" s="17">
        <v>42004</v>
      </c>
      <c r="G3129" s="16" t="s">
        <v>410</v>
      </c>
      <c r="H3129" s="16">
        <v>0</v>
      </c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/>
      <c r="AC3129" s="16"/>
      <c r="AD3129" s="16"/>
      <c r="AE3129" s="16"/>
      <c r="AF3129" s="16" t="s">
        <v>413</v>
      </c>
    </row>
    <row r="3130" spans="1:32" ht="14.25" customHeight="1" x14ac:dyDescent="0.35">
      <c r="A3130" s="14" t="s">
        <v>1905</v>
      </c>
      <c r="B3130" s="14" t="s">
        <v>408</v>
      </c>
      <c r="C3130" s="14"/>
      <c r="D3130" s="14" t="s">
        <v>409</v>
      </c>
      <c r="E3130" s="15">
        <v>41640</v>
      </c>
      <c r="F3130" s="15">
        <v>42004</v>
      </c>
      <c r="G3130" s="14" t="s">
        <v>410</v>
      </c>
      <c r="H3130" s="14">
        <v>0</v>
      </c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  <c r="U3130" s="14"/>
      <c r="V3130" s="14"/>
      <c r="W3130" s="14"/>
      <c r="X3130" s="14"/>
      <c r="Y3130" s="14"/>
      <c r="Z3130" s="14"/>
      <c r="AA3130" s="14"/>
      <c r="AB3130" s="14"/>
      <c r="AC3130" s="14"/>
      <c r="AD3130" s="14"/>
      <c r="AE3130" s="14"/>
      <c r="AF3130" s="14" t="s">
        <v>413</v>
      </c>
    </row>
    <row r="3131" spans="1:32" ht="14.25" customHeight="1" x14ac:dyDescent="0.35">
      <c r="A3131" s="16" t="s">
        <v>1906</v>
      </c>
      <c r="B3131" s="16" t="s">
        <v>448</v>
      </c>
      <c r="C3131" s="16"/>
      <c r="D3131" s="16" t="s">
        <v>453</v>
      </c>
      <c r="E3131" s="17">
        <v>41640</v>
      </c>
      <c r="F3131" s="17">
        <v>42004</v>
      </c>
      <c r="G3131" s="16" t="s">
        <v>415</v>
      </c>
      <c r="H3131" s="16">
        <v>0</v>
      </c>
      <c r="I3131" s="16">
        <v>0</v>
      </c>
      <c r="J3131" s="16">
        <v>0</v>
      </c>
      <c r="K3131" s="16">
        <v>0</v>
      </c>
      <c r="L3131" s="16">
        <v>0</v>
      </c>
      <c r="M3131" s="16">
        <v>0</v>
      </c>
      <c r="N3131" s="16">
        <v>0</v>
      </c>
      <c r="O3131" s="16">
        <v>0</v>
      </c>
      <c r="P3131" s="16">
        <v>0.25</v>
      </c>
      <c r="Q3131" s="16">
        <v>0.25</v>
      </c>
      <c r="R3131" s="16">
        <v>0.25</v>
      </c>
      <c r="S3131" s="16">
        <v>0.25</v>
      </c>
      <c r="T3131" s="16">
        <v>0.25</v>
      </c>
      <c r="U3131" s="16">
        <v>0.25</v>
      </c>
      <c r="V3131" s="16">
        <v>0.25</v>
      </c>
      <c r="W3131" s="16">
        <v>0.95</v>
      </c>
      <c r="X3131" s="16">
        <v>0.95</v>
      </c>
      <c r="Y3131" s="16">
        <v>0.1</v>
      </c>
      <c r="Z3131" s="16">
        <v>0.1</v>
      </c>
      <c r="AA3131" s="16">
        <v>0.1</v>
      </c>
      <c r="AB3131" s="16">
        <v>0</v>
      </c>
      <c r="AC3131" s="16">
        <v>0</v>
      </c>
      <c r="AD3131" s="16">
        <v>0</v>
      </c>
      <c r="AE3131" s="16">
        <v>0</v>
      </c>
      <c r="AF3131" s="16" t="s">
        <v>411</v>
      </c>
    </row>
    <row r="3132" spans="1:32" ht="14.25" customHeight="1" x14ac:dyDescent="0.35">
      <c r="A3132" s="14" t="s">
        <v>1906</v>
      </c>
      <c r="B3132" s="14" t="s">
        <v>448</v>
      </c>
      <c r="C3132" s="14"/>
      <c r="D3132" s="14" t="s">
        <v>429</v>
      </c>
      <c r="E3132" s="15">
        <v>41883</v>
      </c>
      <c r="F3132" s="15">
        <v>42004</v>
      </c>
      <c r="G3132" s="14" t="s">
        <v>415</v>
      </c>
      <c r="H3132" s="14">
        <v>0</v>
      </c>
      <c r="I3132" s="14">
        <v>0</v>
      </c>
      <c r="J3132" s="14">
        <v>0</v>
      </c>
      <c r="K3132" s="14">
        <v>0</v>
      </c>
      <c r="L3132" s="14">
        <v>0</v>
      </c>
      <c r="M3132" s="14">
        <v>0</v>
      </c>
      <c r="N3132" s="14">
        <v>0</v>
      </c>
      <c r="O3132" s="14">
        <v>0</v>
      </c>
      <c r="P3132" s="14">
        <v>0.25</v>
      </c>
      <c r="Q3132" s="14">
        <v>0.25</v>
      </c>
      <c r="R3132" s="14">
        <v>0.25</v>
      </c>
      <c r="S3132" s="14">
        <v>0.25</v>
      </c>
      <c r="T3132" s="14">
        <v>0.25</v>
      </c>
      <c r="U3132" s="14">
        <v>0.25</v>
      </c>
      <c r="V3132" s="14">
        <v>0.25</v>
      </c>
      <c r="W3132" s="14">
        <v>0.95</v>
      </c>
      <c r="X3132" s="14">
        <v>0.95</v>
      </c>
      <c r="Y3132" s="14">
        <v>0.1</v>
      </c>
      <c r="Z3132" s="14">
        <v>0.1</v>
      </c>
      <c r="AA3132" s="14">
        <v>0.1</v>
      </c>
      <c r="AB3132" s="14">
        <v>0</v>
      </c>
      <c r="AC3132" s="14">
        <v>0</v>
      </c>
      <c r="AD3132" s="14">
        <v>0</v>
      </c>
      <c r="AE3132" s="14">
        <v>0</v>
      </c>
      <c r="AF3132" s="14" t="s">
        <v>411</v>
      </c>
    </row>
    <row r="3133" spans="1:32" ht="14.25" customHeight="1" x14ac:dyDescent="0.35">
      <c r="A3133" s="14" t="s">
        <v>1906</v>
      </c>
      <c r="B3133" s="14" t="s">
        <v>448</v>
      </c>
      <c r="C3133" s="14"/>
      <c r="D3133" s="14" t="s">
        <v>429</v>
      </c>
      <c r="E3133" s="15">
        <v>41821</v>
      </c>
      <c r="F3133" s="15">
        <v>41883</v>
      </c>
      <c r="G3133" s="14" t="s">
        <v>415</v>
      </c>
      <c r="H3133" s="14">
        <v>0</v>
      </c>
      <c r="I3133" s="14">
        <v>0</v>
      </c>
      <c r="J3133" s="14">
        <v>0</v>
      </c>
      <c r="K3133" s="14">
        <v>0</v>
      </c>
      <c r="L3133" s="14">
        <v>0</v>
      </c>
      <c r="M3133" s="14">
        <v>0</v>
      </c>
      <c r="N3133" s="14">
        <v>0</v>
      </c>
      <c r="O3133" s="14">
        <v>0</v>
      </c>
      <c r="P3133" s="14">
        <v>0.15</v>
      </c>
      <c r="Q3133" s="14">
        <v>0.15</v>
      </c>
      <c r="R3133" s="14">
        <v>0.15</v>
      </c>
      <c r="S3133" s="14">
        <v>0.15</v>
      </c>
      <c r="T3133" s="14">
        <v>0.15</v>
      </c>
      <c r="U3133" s="14">
        <v>0.15</v>
      </c>
      <c r="V3133" s="14">
        <v>0.15</v>
      </c>
      <c r="W3133" s="14">
        <v>0.15</v>
      </c>
      <c r="X3133" s="14">
        <v>0.15</v>
      </c>
      <c r="Y3133" s="14">
        <v>0.35</v>
      </c>
      <c r="Z3133" s="14">
        <v>0.35</v>
      </c>
      <c r="AA3133" s="14">
        <v>0</v>
      </c>
      <c r="AB3133" s="14">
        <v>0</v>
      </c>
      <c r="AC3133" s="14">
        <v>0</v>
      </c>
      <c r="AD3133" s="14">
        <v>0</v>
      </c>
      <c r="AE3133" s="14">
        <v>0</v>
      </c>
      <c r="AF3133" s="14" t="s">
        <v>411</v>
      </c>
    </row>
    <row r="3134" spans="1:32" ht="14.25" customHeight="1" x14ac:dyDescent="0.35">
      <c r="A3134" s="16" t="s">
        <v>1906</v>
      </c>
      <c r="B3134" s="16" t="s">
        <v>448</v>
      </c>
      <c r="C3134" s="16"/>
      <c r="D3134" s="16" t="s">
        <v>530</v>
      </c>
      <c r="E3134" s="17">
        <v>41883</v>
      </c>
      <c r="F3134" s="17">
        <v>42004</v>
      </c>
      <c r="G3134" s="16" t="s">
        <v>410</v>
      </c>
      <c r="H3134" s="16">
        <v>0</v>
      </c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6"/>
      <c r="AA3134" s="16"/>
      <c r="AB3134" s="16"/>
      <c r="AC3134" s="16"/>
      <c r="AD3134" s="16"/>
      <c r="AE3134" s="16"/>
      <c r="AF3134" s="16" t="s">
        <v>411</v>
      </c>
    </row>
    <row r="3135" spans="1:32" ht="14.25" customHeight="1" x14ac:dyDescent="0.35">
      <c r="A3135" s="16" t="s">
        <v>1906</v>
      </c>
      <c r="B3135" s="16" t="s">
        <v>448</v>
      </c>
      <c r="C3135" s="16"/>
      <c r="D3135" s="16" t="s">
        <v>530</v>
      </c>
      <c r="E3135" s="17">
        <v>41821</v>
      </c>
      <c r="F3135" s="17">
        <v>41883</v>
      </c>
      <c r="G3135" s="16" t="s">
        <v>410</v>
      </c>
      <c r="H3135" s="16">
        <v>0</v>
      </c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6"/>
      <c r="AA3135" s="16"/>
      <c r="AB3135" s="16"/>
      <c r="AC3135" s="16"/>
      <c r="AD3135" s="16"/>
      <c r="AE3135" s="16"/>
      <c r="AF3135" s="16" t="s">
        <v>411</v>
      </c>
    </row>
    <row r="3136" spans="1:32" ht="14.25" customHeight="1" x14ac:dyDescent="0.35">
      <c r="A3136" s="16" t="s">
        <v>1906</v>
      </c>
      <c r="B3136" s="16" t="s">
        <v>448</v>
      </c>
      <c r="C3136" s="16"/>
      <c r="D3136" s="16" t="s">
        <v>530</v>
      </c>
      <c r="E3136" s="17">
        <v>41640</v>
      </c>
      <c r="F3136" s="17">
        <v>41820</v>
      </c>
      <c r="G3136" s="16" t="s">
        <v>410</v>
      </c>
      <c r="H3136" s="16">
        <v>0</v>
      </c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  <c r="AA3136" s="16"/>
      <c r="AB3136" s="16"/>
      <c r="AC3136" s="16"/>
      <c r="AD3136" s="16"/>
      <c r="AE3136" s="16"/>
      <c r="AF3136" s="16" t="s">
        <v>411</v>
      </c>
    </row>
    <row r="3137" spans="1:32" ht="14.25" customHeight="1" x14ac:dyDescent="0.35">
      <c r="A3137" s="14" t="s">
        <v>1906</v>
      </c>
      <c r="B3137" s="14" t="s">
        <v>448</v>
      </c>
      <c r="C3137" s="14"/>
      <c r="D3137" s="14" t="s">
        <v>418</v>
      </c>
      <c r="E3137" s="15">
        <v>41640</v>
      </c>
      <c r="F3137" s="15">
        <v>42004</v>
      </c>
      <c r="G3137" s="14" t="s">
        <v>410</v>
      </c>
      <c r="H3137" s="14">
        <v>0</v>
      </c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4"/>
      <c r="AF3137" s="14" t="s">
        <v>411</v>
      </c>
    </row>
    <row r="3138" spans="1:32" ht="14.25" customHeight="1" x14ac:dyDescent="0.35">
      <c r="A3138" s="14" t="s">
        <v>1907</v>
      </c>
      <c r="B3138" s="14" t="s">
        <v>416</v>
      </c>
      <c r="C3138" s="14"/>
      <c r="D3138" s="14" t="s">
        <v>453</v>
      </c>
      <c r="E3138" s="15">
        <v>41640</v>
      </c>
      <c r="F3138" s="15">
        <v>42004</v>
      </c>
      <c r="G3138" s="14" t="s">
        <v>415</v>
      </c>
      <c r="H3138" s="14">
        <v>0</v>
      </c>
      <c r="I3138" s="14">
        <v>0</v>
      </c>
      <c r="J3138" s="14">
        <v>0</v>
      </c>
      <c r="K3138" s="14">
        <v>0</v>
      </c>
      <c r="L3138" s="14">
        <v>0</v>
      </c>
      <c r="M3138" s="14">
        <v>0</v>
      </c>
      <c r="N3138" s="14">
        <v>0</v>
      </c>
      <c r="O3138" s="14">
        <v>0</v>
      </c>
      <c r="P3138" s="14">
        <v>0.3</v>
      </c>
      <c r="Q3138" s="14">
        <v>0.3</v>
      </c>
      <c r="R3138" s="14">
        <v>0.3</v>
      </c>
      <c r="S3138" s="14">
        <v>0.3</v>
      </c>
      <c r="T3138" s="14">
        <v>0.3</v>
      </c>
      <c r="U3138" s="14">
        <v>0.3</v>
      </c>
      <c r="V3138" s="14">
        <v>0.3</v>
      </c>
      <c r="W3138" s="14">
        <v>0.15</v>
      </c>
      <c r="X3138" s="14">
        <v>0</v>
      </c>
      <c r="Y3138" s="14">
        <v>0</v>
      </c>
      <c r="Z3138" s="14">
        <v>0</v>
      </c>
      <c r="AA3138" s="14">
        <v>0</v>
      </c>
      <c r="AB3138" s="14">
        <v>0</v>
      </c>
      <c r="AC3138" s="14">
        <v>0</v>
      </c>
      <c r="AD3138" s="14">
        <v>0</v>
      </c>
      <c r="AE3138" s="14">
        <v>0</v>
      </c>
      <c r="AF3138" s="14" t="s">
        <v>411</v>
      </c>
    </row>
    <row r="3139" spans="1:32" ht="14.25" customHeight="1" x14ac:dyDescent="0.35">
      <c r="A3139" s="16" t="s">
        <v>1907</v>
      </c>
      <c r="B3139" s="16" t="s">
        <v>416</v>
      </c>
      <c r="C3139" s="16"/>
      <c r="D3139" s="16" t="s">
        <v>1039</v>
      </c>
      <c r="E3139" s="17">
        <v>41640</v>
      </c>
      <c r="F3139" s="17">
        <v>42004</v>
      </c>
      <c r="G3139" s="16" t="s">
        <v>410</v>
      </c>
      <c r="H3139" s="16">
        <v>0</v>
      </c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6"/>
      <c r="AA3139" s="16"/>
      <c r="AB3139" s="16"/>
      <c r="AC3139" s="16"/>
      <c r="AD3139" s="16"/>
      <c r="AE3139" s="16"/>
      <c r="AF3139" s="16" t="s">
        <v>411</v>
      </c>
    </row>
    <row r="3140" spans="1:32" ht="14.25" customHeight="1" x14ac:dyDescent="0.35">
      <c r="A3140" s="14" t="s">
        <v>1908</v>
      </c>
      <c r="B3140" s="14" t="s">
        <v>427</v>
      </c>
      <c r="C3140" s="14"/>
      <c r="D3140" s="14" t="s">
        <v>453</v>
      </c>
      <c r="E3140" s="15">
        <v>41640</v>
      </c>
      <c r="F3140" s="15">
        <v>42004</v>
      </c>
      <c r="G3140" s="14" t="s">
        <v>415</v>
      </c>
      <c r="H3140" s="14">
        <v>0.35</v>
      </c>
      <c r="I3140" s="14">
        <v>0.35</v>
      </c>
      <c r="J3140" s="14">
        <v>0.35</v>
      </c>
      <c r="K3140" s="14">
        <v>0.35</v>
      </c>
      <c r="L3140" s="14">
        <v>0.35</v>
      </c>
      <c r="M3140" s="14">
        <v>0.35</v>
      </c>
      <c r="N3140" s="14">
        <v>0.35</v>
      </c>
      <c r="O3140" s="14">
        <v>0.35</v>
      </c>
      <c r="P3140" s="14">
        <v>0.95</v>
      </c>
      <c r="Q3140" s="14">
        <v>0.95</v>
      </c>
      <c r="R3140" s="14">
        <v>0.95</v>
      </c>
      <c r="S3140" s="14">
        <v>0.95</v>
      </c>
      <c r="T3140" s="14">
        <v>0.95</v>
      </c>
      <c r="U3140" s="14">
        <v>0.95</v>
      </c>
      <c r="V3140" s="14">
        <v>0.95</v>
      </c>
      <c r="W3140" s="14">
        <v>0.95</v>
      </c>
      <c r="X3140" s="14">
        <v>0.95</v>
      </c>
      <c r="Y3140" s="14">
        <v>0.35</v>
      </c>
      <c r="Z3140" s="14">
        <v>0.35</v>
      </c>
      <c r="AA3140" s="14">
        <v>0.35</v>
      </c>
      <c r="AB3140" s="14">
        <v>0.35</v>
      </c>
      <c r="AC3140" s="14">
        <v>0.35</v>
      </c>
      <c r="AD3140" s="14">
        <v>0.35</v>
      </c>
      <c r="AE3140" s="14">
        <v>0.35</v>
      </c>
      <c r="AF3140" s="14" t="s">
        <v>411</v>
      </c>
    </row>
    <row r="3141" spans="1:32" ht="14.25" customHeight="1" x14ac:dyDescent="0.35">
      <c r="A3141" s="16" t="s">
        <v>1908</v>
      </c>
      <c r="B3141" s="16" t="s">
        <v>427</v>
      </c>
      <c r="C3141" s="16"/>
      <c r="D3141" s="16" t="s">
        <v>429</v>
      </c>
      <c r="E3141" s="17">
        <v>41883</v>
      </c>
      <c r="F3141" s="17">
        <v>42004</v>
      </c>
      <c r="G3141" s="16" t="s">
        <v>415</v>
      </c>
      <c r="H3141" s="16">
        <v>0.35</v>
      </c>
      <c r="I3141" s="16">
        <v>0.35</v>
      </c>
      <c r="J3141" s="16">
        <v>0.35</v>
      </c>
      <c r="K3141" s="16">
        <v>0.35</v>
      </c>
      <c r="L3141" s="16">
        <v>0.35</v>
      </c>
      <c r="M3141" s="16">
        <v>0.35</v>
      </c>
      <c r="N3141" s="16">
        <v>0.35</v>
      </c>
      <c r="O3141" s="16">
        <v>0.35</v>
      </c>
      <c r="P3141" s="16">
        <v>0.95</v>
      </c>
      <c r="Q3141" s="16">
        <v>0.95</v>
      </c>
      <c r="R3141" s="16">
        <v>0.95</v>
      </c>
      <c r="S3141" s="16">
        <v>0.95</v>
      </c>
      <c r="T3141" s="16">
        <v>0.95</v>
      </c>
      <c r="U3141" s="16">
        <v>0.95</v>
      </c>
      <c r="V3141" s="16">
        <v>0.95</v>
      </c>
      <c r="W3141" s="16">
        <v>0.95</v>
      </c>
      <c r="X3141" s="16">
        <v>0.95</v>
      </c>
      <c r="Y3141" s="16">
        <v>0.35</v>
      </c>
      <c r="Z3141" s="16">
        <v>0.35</v>
      </c>
      <c r="AA3141" s="16">
        <v>0.35</v>
      </c>
      <c r="AB3141" s="16">
        <v>0.35</v>
      </c>
      <c r="AC3141" s="16">
        <v>0.35</v>
      </c>
      <c r="AD3141" s="16">
        <v>0.35</v>
      </c>
      <c r="AE3141" s="16">
        <v>0.35</v>
      </c>
      <c r="AF3141" s="16" t="s">
        <v>411</v>
      </c>
    </row>
    <row r="3142" spans="1:32" ht="14.25" customHeight="1" x14ac:dyDescent="0.35">
      <c r="A3142" s="16" t="s">
        <v>1908</v>
      </c>
      <c r="B3142" s="16" t="s">
        <v>427</v>
      </c>
      <c r="C3142" s="16"/>
      <c r="D3142" s="16" t="s">
        <v>429</v>
      </c>
      <c r="E3142" s="17">
        <v>41821</v>
      </c>
      <c r="F3142" s="17">
        <v>41883</v>
      </c>
      <c r="G3142" s="16" t="s">
        <v>415</v>
      </c>
      <c r="H3142" s="16">
        <v>0.25</v>
      </c>
      <c r="I3142" s="16">
        <v>0.25</v>
      </c>
      <c r="J3142" s="16">
        <v>0.25</v>
      </c>
      <c r="K3142" s="16">
        <v>0.25</v>
      </c>
      <c r="L3142" s="16">
        <v>0.25</v>
      </c>
      <c r="M3142" s="16">
        <v>0.25</v>
      </c>
      <c r="N3142" s="16">
        <v>0.25</v>
      </c>
      <c r="O3142" s="16">
        <v>0.25</v>
      </c>
      <c r="P3142" s="16">
        <v>0.5</v>
      </c>
      <c r="Q3142" s="16">
        <v>0.5</v>
      </c>
      <c r="R3142" s="16">
        <v>0.5</v>
      </c>
      <c r="S3142" s="16">
        <v>0.5</v>
      </c>
      <c r="T3142" s="16">
        <v>0.5</v>
      </c>
      <c r="U3142" s="16">
        <v>0.5</v>
      </c>
      <c r="V3142" s="16">
        <v>0.5</v>
      </c>
      <c r="W3142" s="16">
        <v>0.5</v>
      </c>
      <c r="X3142" s="16">
        <v>0.5</v>
      </c>
      <c r="Y3142" s="16">
        <v>0.25</v>
      </c>
      <c r="Z3142" s="16">
        <v>0.25</v>
      </c>
      <c r="AA3142" s="16">
        <v>0.25</v>
      </c>
      <c r="AB3142" s="16">
        <v>0.25</v>
      </c>
      <c r="AC3142" s="16">
        <v>0.25</v>
      </c>
      <c r="AD3142" s="16">
        <v>0.25</v>
      </c>
      <c r="AE3142" s="16">
        <v>0.25</v>
      </c>
      <c r="AF3142" s="16" t="s">
        <v>411</v>
      </c>
    </row>
    <row r="3143" spans="1:32" ht="14.25" customHeight="1" x14ac:dyDescent="0.35">
      <c r="A3143" s="14" t="s">
        <v>1908</v>
      </c>
      <c r="B3143" s="14" t="s">
        <v>427</v>
      </c>
      <c r="C3143" s="14"/>
      <c r="D3143" s="14" t="s">
        <v>530</v>
      </c>
      <c r="E3143" s="15">
        <v>41883</v>
      </c>
      <c r="F3143" s="15">
        <v>42004</v>
      </c>
      <c r="G3143" s="14" t="s">
        <v>410</v>
      </c>
      <c r="H3143" s="14">
        <v>0.35</v>
      </c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4"/>
      <c r="AF3143" s="14" t="s">
        <v>411</v>
      </c>
    </row>
    <row r="3144" spans="1:32" ht="14.25" customHeight="1" x14ac:dyDescent="0.35">
      <c r="A3144" s="14" t="s">
        <v>1908</v>
      </c>
      <c r="B3144" s="14" t="s">
        <v>427</v>
      </c>
      <c r="C3144" s="14"/>
      <c r="D3144" s="14" t="s">
        <v>530</v>
      </c>
      <c r="E3144" s="15">
        <v>41821</v>
      </c>
      <c r="F3144" s="15">
        <v>41883</v>
      </c>
      <c r="G3144" s="14" t="s">
        <v>410</v>
      </c>
      <c r="H3144" s="14">
        <v>0.25</v>
      </c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F3144" s="14" t="s">
        <v>411</v>
      </c>
    </row>
    <row r="3145" spans="1:32" ht="14.25" customHeight="1" x14ac:dyDescent="0.35">
      <c r="A3145" s="14" t="s">
        <v>1908</v>
      </c>
      <c r="B3145" s="14" t="s">
        <v>427</v>
      </c>
      <c r="C3145" s="14"/>
      <c r="D3145" s="14" t="s">
        <v>530</v>
      </c>
      <c r="E3145" s="15">
        <v>41640</v>
      </c>
      <c r="F3145" s="15">
        <v>41820</v>
      </c>
      <c r="G3145" s="14" t="s">
        <v>410</v>
      </c>
      <c r="H3145" s="14">
        <v>0.35</v>
      </c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S3145" s="14"/>
      <c r="T3145" s="14"/>
      <c r="U3145" s="14"/>
      <c r="V3145" s="14"/>
      <c r="W3145" s="14"/>
      <c r="X3145" s="14"/>
      <c r="Y3145" s="14"/>
      <c r="Z3145" s="14"/>
      <c r="AA3145" s="14"/>
      <c r="AB3145" s="14"/>
      <c r="AC3145" s="14"/>
      <c r="AD3145" s="14"/>
      <c r="AE3145" s="14"/>
      <c r="AF3145" s="14" t="s">
        <v>411</v>
      </c>
    </row>
    <row r="3146" spans="1:32" ht="14.25" customHeight="1" x14ac:dyDescent="0.35">
      <c r="A3146" s="16" t="s">
        <v>1908</v>
      </c>
      <c r="B3146" s="16" t="s">
        <v>427</v>
      </c>
      <c r="C3146" s="16"/>
      <c r="D3146" s="16" t="s">
        <v>418</v>
      </c>
      <c r="E3146" s="17">
        <v>41640</v>
      </c>
      <c r="F3146" s="17">
        <v>42004</v>
      </c>
      <c r="G3146" s="16" t="s">
        <v>410</v>
      </c>
      <c r="H3146" s="16">
        <v>0.35</v>
      </c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/>
      <c r="AF3146" s="16" t="s">
        <v>411</v>
      </c>
    </row>
    <row r="3147" spans="1:32" ht="14.25" customHeight="1" x14ac:dyDescent="0.35">
      <c r="A3147" s="16" t="s">
        <v>1909</v>
      </c>
      <c r="B3147" s="16" t="s">
        <v>424</v>
      </c>
      <c r="C3147" s="16"/>
      <c r="D3147" s="16" t="s">
        <v>453</v>
      </c>
      <c r="E3147" s="17">
        <v>41640</v>
      </c>
      <c r="F3147" s="17">
        <v>42004</v>
      </c>
      <c r="G3147" s="16" t="s">
        <v>415</v>
      </c>
      <c r="H3147" s="16">
        <v>0.17730000000000001</v>
      </c>
      <c r="I3147" s="16">
        <v>0.17730000000000001</v>
      </c>
      <c r="J3147" s="16">
        <v>0.17730000000000001</v>
      </c>
      <c r="K3147" s="16">
        <v>0.17730000000000001</v>
      </c>
      <c r="L3147" s="16">
        <v>0.17730000000000001</v>
      </c>
      <c r="M3147" s="16">
        <v>0.17730000000000001</v>
      </c>
      <c r="N3147" s="16">
        <v>0.17730000000000001</v>
      </c>
      <c r="O3147" s="16">
        <v>0.9</v>
      </c>
      <c r="P3147" s="16">
        <v>0.9</v>
      </c>
      <c r="Q3147" s="16">
        <v>0.9</v>
      </c>
      <c r="R3147" s="16">
        <v>0.9</v>
      </c>
      <c r="S3147" s="16">
        <v>0.9</v>
      </c>
      <c r="T3147" s="16">
        <v>0.9</v>
      </c>
      <c r="U3147" s="16">
        <v>0.9</v>
      </c>
      <c r="V3147" s="16">
        <v>0.9</v>
      </c>
      <c r="W3147" s="16">
        <v>0.9</v>
      </c>
      <c r="X3147" s="16">
        <v>0.9</v>
      </c>
      <c r="Y3147" s="16">
        <v>0.9</v>
      </c>
      <c r="Z3147" s="16">
        <v>0.9</v>
      </c>
      <c r="AA3147" s="16">
        <v>0.9</v>
      </c>
      <c r="AB3147" s="16">
        <v>0.9</v>
      </c>
      <c r="AC3147" s="16">
        <v>0.17730000000000001</v>
      </c>
      <c r="AD3147" s="16">
        <v>0.17730000000000001</v>
      </c>
      <c r="AE3147" s="16">
        <v>0.17730000000000001</v>
      </c>
      <c r="AF3147" s="16" t="s">
        <v>411</v>
      </c>
    </row>
    <row r="3148" spans="1:32" ht="14.25" customHeight="1" x14ac:dyDescent="0.35">
      <c r="A3148" s="14" t="s">
        <v>1909</v>
      </c>
      <c r="B3148" s="14" t="s">
        <v>424</v>
      </c>
      <c r="C3148" s="14"/>
      <c r="D3148" s="14" t="s">
        <v>429</v>
      </c>
      <c r="E3148" s="15">
        <v>41883</v>
      </c>
      <c r="F3148" s="15">
        <v>42004</v>
      </c>
      <c r="G3148" s="14" t="s">
        <v>415</v>
      </c>
      <c r="H3148" s="14">
        <v>0.17730000000000001</v>
      </c>
      <c r="I3148" s="14">
        <v>0.17730000000000001</v>
      </c>
      <c r="J3148" s="14">
        <v>0.17730000000000001</v>
      </c>
      <c r="K3148" s="14">
        <v>0.17730000000000001</v>
      </c>
      <c r="L3148" s="14">
        <v>0.17730000000000001</v>
      </c>
      <c r="M3148" s="14">
        <v>0.17730000000000001</v>
      </c>
      <c r="N3148" s="14">
        <v>0.17730000000000001</v>
      </c>
      <c r="O3148" s="14">
        <v>0.9</v>
      </c>
      <c r="P3148" s="14">
        <v>0.9</v>
      </c>
      <c r="Q3148" s="14">
        <v>0.9</v>
      </c>
      <c r="R3148" s="14">
        <v>0.9</v>
      </c>
      <c r="S3148" s="14">
        <v>0.9</v>
      </c>
      <c r="T3148" s="14">
        <v>0.9</v>
      </c>
      <c r="U3148" s="14">
        <v>0.9</v>
      </c>
      <c r="V3148" s="14">
        <v>0.9</v>
      </c>
      <c r="W3148" s="14">
        <v>0.9</v>
      </c>
      <c r="X3148" s="14">
        <v>0.9</v>
      </c>
      <c r="Y3148" s="14">
        <v>0.9</v>
      </c>
      <c r="Z3148" s="14">
        <v>0.9</v>
      </c>
      <c r="AA3148" s="14">
        <v>0.9</v>
      </c>
      <c r="AB3148" s="14">
        <v>0.9</v>
      </c>
      <c r="AC3148" s="14">
        <v>0.17730000000000001</v>
      </c>
      <c r="AD3148" s="14">
        <v>0.17730000000000001</v>
      </c>
      <c r="AE3148" s="14">
        <v>0.17730000000000001</v>
      </c>
      <c r="AF3148" s="14" t="s">
        <v>411</v>
      </c>
    </row>
    <row r="3149" spans="1:32" ht="14.25" customHeight="1" x14ac:dyDescent="0.35">
      <c r="A3149" s="14" t="s">
        <v>1909</v>
      </c>
      <c r="B3149" s="14" t="s">
        <v>424</v>
      </c>
      <c r="C3149" s="14"/>
      <c r="D3149" s="14" t="s">
        <v>429</v>
      </c>
      <c r="E3149" s="15">
        <v>41821</v>
      </c>
      <c r="F3149" s="15">
        <v>41883</v>
      </c>
      <c r="G3149" s="14" t="s">
        <v>415</v>
      </c>
      <c r="H3149" s="14">
        <v>0.17730000000000001</v>
      </c>
      <c r="I3149" s="14">
        <v>0.17730000000000001</v>
      </c>
      <c r="J3149" s="14">
        <v>0.17730000000000001</v>
      </c>
      <c r="K3149" s="14">
        <v>0.17730000000000001</v>
      </c>
      <c r="L3149" s="14">
        <v>0.17730000000000001</v>
      </c>
      <c r="M3149" s="14">
        <v>0.17730000000000001</v>
      </c>
      <c r="N3149" s="14">
        <v>0.17730000000000001</v>
      </c>
      <c r="O3149" s="14">
        <v>0.17730000000000001</v>
      </c>
      <c r="P3149" s="14">
        <v>0.5</v>
      </c>
      <c r="Q3149" s="14">
        <v>0.5</v>
      </c>
      <c r="R3149" s="14">
        <v>0.5</v>
      </c>
      <c r="S3149" s="14">
        <v>0.5</v>
      </c>
      <c r="T3149" s="14">
        <v>0.5</v>
      </c>
      <c r="U3149" s="14">
        <v>0.5</v>
      </c>
      <c r="V3149" s="14">
        <v>0.5</v>
      </c>
      <c r="W3149" s="14">
        <v>0.5</v>
      </c>
      <c r="X3149" s="14">
        <v>0.5</v>
      </c>
      <c r="Y3149" s="14">
        <v>0.5</v>
      </c>
      <c r="Z3149" s="14">
        <v>0.5</v>
      </c>
      <c r="AA3149" s="14">
        <v>0.5</v>
      </c>
      <c r="AB3149" s="14">
        <v>0.17730000000000001</v>
      </c>
      <c r="AC3149" s="14">
        <v>0.17730000000000001</v>
      </c>
      <c r="AD3149" s="14">
        <v>0.17730000000000001</v>
      </c>
      <c r="AE3149" s="14">
        <v>0.17730000000000001</v>
      </c>
      <c r="AF3149" s="14" t="s">
        <v>411</v>
      </c>
    </row>
    <row r="3150" spans="1:32" ht="14.25" customHeight="1" x14ac:dyDescent="0.35">
      <c r="A3150" s="16" t="s">
        <v>1909</v>
      </c>
      <c r="B3150" s="16" t="s">
        <v>424</v>
      </c>
      <c r="C3150" s="16"/>
      <c r="D3150" s="16" t="s">
        <v>530</v>
      </c>
      <c r="E3150" s="17">
        <v>41883</v>
      </c>
      <c r="F3150" s="17">
        <v>42004</v>
      </c>
      <c r="G3150" s="16" t="s">
        <v>410</v>
      </c>
      <c r="H3150" s="16">
        <v>0.17730000000000001</v>
      </c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6"/>
      <c r="AA3150" s="16"/>
      <c r="AB3150" s="16"/>
      <c r="AC3150" s="16"/>
      <c r="AD3150" s="16"/>
      <c r="AE3150" s="16"/>
      <c r="AF3150" s="16" t="s">
        <v>411</v>
      </c>
    </row>
    <row r="3151" spans="1:32" ht="14.25" customHeight="1" x14ac:dyDescent="0.35">
      <c r="A3151" s="16" t="s">
        <v>1909</v>
      </c>
      <c r="B3151" s="16" t="s">
        <v>424</v>
      </c>
      <c r="C3151" s="16"/>
      <c r="D3151" s="16" t="s">
        <v>530</v>
      </c>
      <c r="E3151" s="17">
        <v>41821</v>
      </c>
      <c r="F3151" s="17">
        <v>41883</v>
      </c>
      <c r="G3151" s="16" t="s">
        <v>410</v>
      </c>
      <c r="H3151" s="16">
        <v>0.17730000000000001</v>
      </c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6"/>
      <c r="AA3151" s="16"/>
      <c r="AB3151" s="16"/>
      <c r="AC3151" s="16"/>
      <c r="AD3151" s="16"/>
      <c r="AE3151" s="16"/>
      <c r="AF3151" s="16" t="s">
        <v>411</v>
      </c>
    </row>
    <row r="3152" spans="1:32" ht="14.25" customHeight="1" x14ac:dyDescent="0.35">
      <c r="A3152" s="16" t="s">
        <v>1909</v>
      </c>
      <c r="B3152" s="16" t="s">
        <v>424</v>
      </c>
      <c r="C3152" s="16"/>
      <c r="D3152" s="16" t="s">
        <v>530</v>
      </c>
      <c r="E3152" s="17">
        <v>41640</v>
      </c>
      <c r="F3152" s="17">
        <v>41820</v>
      </c>
      <c r="G3152" s="16" t="s">
        <v>410</v>
      </c>
      <c r="H3152" s="16">
        <v>0.17730000000000001</v>
      </c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6"/>
      <c r="AA3152" s="16"/>
      <c r="AB3152" s="16"/>
      <c r="AC3152" s="16"/>
      <c r="AD3152" s="16"/>
      <c r="AE3152" s="16"/>
      <c r="AF3152" s="16" t="s">
        <v>411</v>
      </c>
    </row>
    <row r="3153" spans="1:32" ht="14.25" customHeight="1" x14ac:dyDescent="0.35">
      <c r="A3153" s="14" t="s">
        <v>1909</v>
      </c>
      <c r="B3153" s="14" t="s">
        <v>424</v>
      </c>
      <c r="C3153" s="14"/>
      <c r="D3153" s="14" t="s">
        <v>418</v>
      </c>
      <c r="E3153" s="15">
        <v>41640</v>
      </c>
      <c r="F3153" s="15">
        <v>42004</v>
      </c>
      <c r="G3153" s="14" t="s">
        <v>410</v>
      </c>
      <c r="H3153" s="14">
        <v>0.17730000000000001</v>
      </c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  <c r="U3153" s="14"/>
      <c r="V3153" s="14"/>
      <c r="W3153" s="14"/>
      <c r="X3153" s="14"/>
      <c r="Y3153" s="14"/>
      <c r="Z3153" s="14"/>
      <c r="AA3153" s="14"/>
      <c r="AB3153" s="14"/>
      <c r="AC3153" s="14"/>
      <c r="AD3153" s="14"/>
      <c r="AE3153" s="14"/>
      <c r="AF3153" s="14" t="s">
        <v>411</v>
      </c>
    </row>
    <row r="3154" spans="1:32" ht="14.25" customHeight="1" x14ac:dyDescent="0.35">
      <c r="A3154" s="14" t="s">
        <v>1910</v>
      </c>
      <c r="B3154" s="14" t="s">
        <v>448</v>
      </c>
      <c r="C3154" s="14"/>
      <c r="D3154" s="14" t="s">
        <v>453</v>
      </c>
      <c r="E3154" s="15">
        <v>41640</v>
      </c>
      <c r="F3154" s="15">
        <v>42004</v>
      </c>
      <c r="G3154" s="14" t="s">
        <v>415</v>
      </c>
      <c r="H3154" s="14">
        <v>0</v>
      </c>
      <c r="I3154" s="14">
        <v>0</v>
      </c>
      <c r="J3154" s="14">
        <v>0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0.7</v>
      </c>
      <c r="Q3154" s="14">
        <v>0.7</v>
      </c>
      <c r="R3154" s="14">
        <v>0.7</v>
      </c>
      <c r="S3154" s="14">
        <v>0.7</v>
      </c>
      <c r="T3154" s="14">
        <v>0.7</v>
      </c>
      <c r="U3154" s="14">
        <v>0.7</v>
      </c>
      <c r="V3154" s="14">
        <v>0.7</v>
      </c>
      <c r="W3154" s="14">
        <v>0.7</v>
      </c>
      <c r="X3154" s="14">
        <v>0.15</v>
      </c>
      <c r="Y3154" s="14">
        <v>0.15</v>
      </c>
      <c r="Z3154" s="14">
        <v>0.15</v>
      </c>
      <c r="AA3154" s="14">
        <v>0.15</v>
      </c>
      <c r="AB3154" s="14">
        <v>0.15</v>
      </c>
      <c r="AC3154" s="14">
        <v>0</v>
      </c>
      <c r="AD3154" s="14">
        <v>0</v>
      </c>
      <c r="AE3154" s="14">
        <v>0</v>
      </c>
      <c r="AF3154" s="14" t="s">
        <v>411</v>
      </c>
    </row>
    <row r="3155" spans="1:32" ht="14.25" customHeight="1" x14ac:dyDescent="0.35">
      <c r="A3155" s="16" t="s">
        <v>1910</v>
      </c>
      <c r="B3155" s="16" t="s">
        <v>448</v>
      </c>
      <c r="C3155" s="16"/>
      <c r="D3155" s="16" t="s">
        <v>429</v>
      </c>
      <c r="E3155" s="17">
        <v>41883</v>
      </c>
      <c r="F3155" s="17">
        <v>42004</v>
      </c>
      <c r="G3155" s="16" t="s">
        <v>415</v>
      </c>
      <c r="H3155" s="16">
        <v>0</v>
      </c>
      <c r="I3155" s="16">
        <v>0</v>
      </c>
      <c r="J3155" s="16">
        <v>0</v>
      </c>
      <c r="K3155" s="16">
        <v>0</v>
      </c>
      <c r="L3155" s="16">
        <v>0</v>
      </c>
      <c r="M3155" s="16">
        <v>0</v>
      </c>
      <c r="N3155" s="16">
        <v>0</v>
      </c>
      <c r="O3155" s="16">
        <v>0</v>
      </c>
      <c r="P3155" s="16">
        <v>0.7</v>
      </c>
      <c r="Q3155" s="16">
        <v>0.7</v>
      </c>
      <c r="R3155" s="16">
        <v>0.7</v>
      </c>
      <c r="S3155" s="16">
        <v>0.7</v>
      </c>
      <c r="T3155" s="16">
        <v>0.7</v>
      </c>
      <c r="U3155" s="16">
        <v>0.7</v>
      </c>
      <c r="V3155" s="16">
        <v>0.7</v>
      </c>
      <c r="W3155" s="16">
        <v>0.7</v>
      </c>
      <c r="X3155" s="16">
        <v>0.15</v>
      </c>
      <c r="Y3155" s="16">
        <v>0.15</v>
      </c>
      <c r="Z3155" s="16">
        <v>0.15</v>
      </c>
      <c r="AA3155" s="16">
        <v>0.15</v>
      </c>
      <c r="AB3155" s="16">
        <v>0.15</v>
      </c>
      <c r="AC3155" s="16">
        <v>0</v>
      </c>
      <c r="AD3155" s="16">
        <v>0</v>
      </c>
      <c r="AE3155" s="16">
        <v>0</v>
      </c>
      <c r="AF3155" s="16" t="s">
        <v>411</v>
      </c>
    </row>
    <row r="3156" spans="1:32" ht="14.25" customHeight="1" x14ac:dyDescent="0.35">
      <c r="A3156" s="16" t="s">
        <v>1910</v>
      </c>
      <c r="B3156" s="16" t="s">
        <v>448</v>
      </c>
      <c r="C3156" s="16"/>
      <c r="D3156" s="16" t="s">
        <v>429</v>
      </c>
      <c r="E3156" s="17">
        <v>41821</v>
      </c>
      <c r="F3156" s="17">
        <v>41883</v>
      </c>
      <c r="G3156" s="16" t="s">
        <v>415</v>
      </c>
      <c r="H3156" s="16">
        <v>0</v>
      </c>
      <c r="I3156" s="16">
        <v>0</v>
      </c>
      <c r="J3156" s="16">
        <v>0</v>
      </c>
      <c r="K3156" s="16">
        <v>0</v>
      </c>
      <c r="L3156" s="16">
        <v>0</v>
      </c>
      <c r="M3156" s="16">
        <v>0</v>
      </c>
      <c r="N3156" s="16">
        <v>0</v>
      </c>
      <c r="O3156" s="16">
        <v>0</v>
      </c>
      <c r="P3156" s="16">
        <v>0.15</v>
      </c>
      <c r="Q3156" s="16">
        <v>0.15</v>
      </c>
      <c r="R3156" s="16">
        <v>0.15</v>
      </c>
      <c r="S3156" s="16">
        <v>0.15</v>
      </c>
      <c r="T3156" s="16">
        <v>0.15</v>
      </c>
      <c r="U3156" s="16">
        <v>0.15</v>
      </c>
      <c r="V3156" s="16">
        <v>0.15</v>
      </c>
      <c r="W3156" s="16">
        <v>0.15</v>
      </c>
      <c r="X3156" s="16">
        <v>0.15</v>
      </c>
      <c r="Y3156" s="16">
        <v>0.15</v>
      </c>
      <c r="Z3156" s="16">
        <v>0.15</v>
      </c>
      <c r="AA3156" s="16">
        <v>0.15</v>
      </c>
      <c r="AB3156" s="16">
        <v>0.15</v>
      </c>
      <c r="AC3156" s="16">
        <v>0</v>
      </c>
      <c r="AD3156" s="16">
        <v>0</v>
      </c>
      <c r="AE3156" s="16">
        <v>0</v>
      </c>
      <c r="AF3156" s="16" t="s">
        <v>411</v>
      </c>
    </row>
    <row r="3157" spans="1:32" ht="14.25" customHeight="1" x14ac:dyDescent="0.35">
      <c r="A3157" s="14" t="s">
        <v>1910</v>
      </c>
      <c r="B3157" s="14" t="s">
        <v>448</v>
      </c>
      <c r="C3157" s="14"/>
      <c r="D3157" s="14" t="s">
        <v>530</v>
      </c>
      <c r="E3157" s="15">
        <v>41883</v>
      </c>
      <c r="F3157" s="15">
        <v>42004</v>
      </c>
      <c r="G3157" s="14" t="s">
        <v>410</v>
      </c>
      <c r="H3157" s="14">
        <v>0</v>
      </c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F3157" s="14" t="s">
        <v>411</v>
      </c>
    </row>
    <row r="3158" spans="1:32" ht="14.25" customHeight="1" x14ac:dyDescent="0.35">
      <c r="A3158" s="14" t="s">
        <v>1910</v>
      </c>
      <c r="B3158" s="14" t="s">
        <v>448</v>
      </c>
      <c r="C3158" s="14"/>
      <c r="D3158" s="14" t="s">
        <v>530</v>
      </c>
      <c r="E3158" s="15">
        <v>41821</v>
      </c>
      <c r="F3158" s="15">
        <v>41883</v>
      </c>
      <c r="G3158" s="14" t="s">
        <v>410</v>
      </c>
      <c r="H3158" s="14">
        <v>0</v>
      </c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 t="s">
        <v>411</v>
      </c>
    </row>
    <row r="3159" spans="1:32" ht="14.25" customHeight="1" x14ac:dyDescent="0.35">
      <c r="A3159" s="14" t="s">
        <v>1910</v>
      </c>
      <c r="B3159" s="14" t="s">
        <v>448</v>
      </c>
      <c r="C3159" s="14"/>
      <c r="D3159" s="14" t="s">
        <v>530</v>
      </c>
      <c r="E3159" s="15">
        <v>41640</v>
      </c>
      <c r="F3159" s="15">
        <v>41820</v>
      </c>
      <c r="G3159" s="14" t="s">
        <v>410</v>
      </c>
      <c r="H3159" s="14">
        <v>0</v>
      </c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  <c r="AA3159" s="14"/>
      <c r="AB3159" s="14"/>
      <c r="AC3159" s="14"/>
      <c r="AD3159" s="14"/>
      <c r="AE3159" s="14"/>
      <c r="AF3159" s="14" t="s">
        <v>411</v>
      </c>
    </row>
    <row r="3160" spans="1:32" ht="14.25" customHeight="1" x14ac:dyDescent="0.35">
      <c r="A3160" s="16" t="s">
        <v>1910</v>
      </c>
      <c r="B3160" s="16" t="s">
        <v>448</v>
      </c>
      <c r="C3160" s="16"/>
      <c r="D3160" s="16" t="s">
        <v>418</v>
      </c>
      <c r="E3160" s="17">
        <v>41640</v>
      </c>
      <c r="F3160" s="17">
        <v>42004</v>
      </c>
      <c r="G3160" s="16" t="s">
        <v>410</v>
      </c>
      <c r="H3160" s="16">
        <v>0</v>
      </c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  <c r="AA3160" s="16"/>
      <c r="AB3160" s="16"/>
      <c r="AC3160" s="16"/>
      <c r="AD3160" s="16"/>
      <c r="AE3160" s="16"/>
      <c r="AF3160" s="16" t="s">
        <v>411</v>
      </c>
    </row>
    <row r="3161" spans="1:32" ht="14.25" customHeight="1" x14ac:dyDescent="0.35">
      <c r="A3161" s="16" t="s">
        <v>1911</v>
      </c>
      <c r="B3161" s="16" t="s">
        <v>448</v>
      </c>
      <c r="C3161" s="16"/>
      <c r="D3161" s="16" t="s">
        <v>453</v>
      </c>
      <c r="E3161" s="17">
        <v>41640</v>
      </c>
      <c r="F3161" s="17">
        <v>42004</v>
      </c>
      <c r="G3161" s="16" t="s">
        <v>415</v>
      </c>
      <c r="H3161" s="16">
        <v>0</v>
      </c>
      <c r="I3161" s="16">
        <v>0</v>
      </c>
      <c r="J3161" s="16">
        <v>0</v>
      </c>
      <c r="K3161" s="16">
        <v>0</v>
      </c>
      <c r="L3161" s="16">
        <v>0</v>
      </c>
      <c r="M3161" s="16">
        <v>0</v>
      </c>
      <c r="N3161" s="16">
        <v>0</v>
      </c>
      <c r="O3161" s="16">
        <v>0.15</v>
      </c>
      <c r="P3161" s="16">
        <v>0.15</v>
      </c>
      <c r="Q3161" s="16">
        <v>0.05</v>
      </c>
      <c r="R3161" s="16">
        <v>0.05</v>
      </c>
      <c r="S3161" s="16">
        <v>0.95</v>
      </c>
      <c r="T3161" s="16">
        <v>0.95</v>
      </c>
      <c r="U3161" s="16">
        <v>0.15</v>
      </c>
      <c r="V3161" s="16">
        <v>0.15</v>
      </c>
      <c r="W3161" s="16">
        <v>0</v>
      </c>
      <c r="X3161" s="16">
        <v>0</v>
      </c>
      <c r="Y3161" s="16">
        <v>0</v>
      </c>
      <c r="Z3161" s="16">
        <v>0</v>
      </c>
      <c r="AA3161" s="16">
        <v>0</v>
      </c>
      <c r="AB3161" s="16">
        <v>0</v>
      </c>
      <c r="AC3161" s="16">
        <v>0</v>
      </c>
      <c r="AD3161" s="16">
        <v>0</v>
      </c>
      <c r="AE3161" s="16">
        <v>0</v>
      </c>
      <c r="AF3161" s="16" t="s">
        <v>411</v>
      </c>
    </row>
    <row r="3162" spans="1:32" ht="14.25" customHeight="1" x14ac:dyDescent="0.35">
      <c r="A3162" s="14" t="s">
        <v>1911</v>
      </c>
      <c r="B3162" s="14" t="s">
        <v>448</v>
      </c>
      <c r="C3162" s="14"/>
      <c r="D3162" s="14" t="s">
        <v>429</v>
      </c>
      <c r="E3162" s="15">
        <v>41883</v>
      </c>
      <c r="F3162" s="15">
        <v>42004</v>
      </c>
      <c r="G3162" s="14" t="s">
        <v>415</v>
      </c>
      <c r="H3162" s="14">
        <v>0</v>
      </c>
      <c r="I3162" s="14">
        <v>0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0.15</v>
      </c>
      <c r="P3162" s="14">
        <v>0.15</v>
      </c>
      <c r="Q3162" s="14">
        <v>0.05</v>
      </c>
      <c r="R3162" s="14">
        <v>0.05</v>
      </c>
      <c r="S3162" s="14">
        <v>0.95</v>
      </c>
      <c r="T3162" s="14">
        <v>0.95</v>
      </c>
      <c r="U3162" s="14">
        <v>0.15</v>
      </c>
      <c r="V3162" s="14">
        <v>0.15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  <c r="AC3162" s="14">
        <v>0</v>
      </c>
      <c r="AD3162" s="14">
        <v>0</v>
      </c>
      <c r="AE3162" s="14">
        <v>0</v>
      </c>
      <c r="AF3162" s="14" t="s">
        <v>411</v>
      </c>
    </row>
    <row r="3163" spans="1:32" ht="14.25" customHeight="1" x14ac:dyDescent="0.35">
      <c r="A3163" s="14" t="s">
        <v>1911</v>
      </c>
      <c r="B3163" s="14" t="s">
        <v>448</v>
      </c>
      <c r="C3163" s="14"/>
      <c r="D3163" s="14" t="s">
        <v>429</v>
      </c>
      <c r="E3163" s="15">
        <v>41821</v>
      </c>
      <c r="F3163" s="15">
        <v>41883</v>
      </c>
      <c r="G3163" s="14" t="s">
        <v>415</v>
      </c>
      <c r="H3163" s="14">
        <v>0</v>
      </c>
      <c r="I3163" s="14">
        <v>0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0.25</v>
      </c>
      <c r="R3163" s="14">
        <v>0.25</v>
      </c>
      <c r="S3163" s="14">
        <v>0.25</v>
      </c>
      <c r="T3163" s="14">
        <v>0.25</v>
      </c>
      <c r="U3163" s="14">
        <v>0.25</v>
      </c>
      <c r="V3163" s="14">
        <v>0.25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  <c r="AC3163" s="14">
        <v>0</v>
      </c>
      <c r="AD3163" s="14">
        <v>0</v>
      </c>
      <c r="AE3163" s="14">
        <v>0</v>
      </c>
      <c r="AF3163" s="14" t="s">
        <v>411</v>
      </c>
    </row>
    <row r="3164" spans="1:32" ht="14.25" customHeight="1" x14ac:dyDescent="0.35">
      <c r="A3164" s="16" t="s">
        <v>1911</v>
      </c>
      <c r="B3164" s="16" t="s">
        <v>448</v>
      </c>
      <c r="C3164" s="16"/>
      <c r="D3164" s="16" t="s">
        <v>530</v>
      </c>
      <c r="E3164" s="17">
        <v>41883</v>
      </c>
      <c r="F3164" s="17">
        <v>42004</v>
      </c>
      <c r="G3164" s="16" t="s">
        <v>410</v>
      </c>
      <c r="H3164" s="16">
        <v>0</v>
      </c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  <c r="AA3164" s="16"/>
      <c r="AB3164" s="16"/>
      <c r="AC3164" s="16"/>
      <c r="AD3164" s="16"/>
      <c r="AE3164" s="16"/>
      <c r="AF3164" s="16" t="s">
        <v>411</v>
      </c>
    </row>
    <row r="3165" spans="1:32" ht="14.25" customHeight="1" x14ac:dyDescent="0.35">
      <c r="A3165" s="16" t="s">
        <v>1911</v>
      </c>
      <c r="B3165" s="16" t="s">
        <v>448</v>
      </c>
      <c r="C3165" s="16"/>
      <c r="D3165" s="16" t="s">
        <v>530</v>
      </c>
      <c r="E3165" s="17">
        <v>41821</v>
      </c>
      <c r="F3165" s="17">
        <v>41883</v>
      </c>
      <c r="G3165" s="16" t="s">
        <v>410</v>
      </c>
      <c r="H3165" s="16">
        <v>0</v>
      </c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16"/>
      <c r="AA3165" s="16"/>
      <c r="AB3165" s="16"/>
      <c r="AC3165" s="16"/>
      <c r="AD3165" s="16"/>
      <c r="AE3165" s="16"/>
      <c r="AF3165" s="16" t="s">
        <v>411</v>
      </c>
    </row>
    <row r="3166" spans="1:32" ht="14.25" customHeight="1" x14ac:dyDescent="0.35">
      <c r="A3166" s="16" t="s">
        <v>1911</v>
      </c>
      <c r="B3166" s="16" t="s">
        <v>448</v>
      </c>
      <c r="C3166" s="16"/>
      <c r="D3166" s="16" t="s">
        <v>530</v>
      </c>
      <c r="E3166" s="17">
        <v>41640</v>
      </c>
      <c r="F3166" s="17">
        <v>41820</v>
      </c>
      <c r="G3166" s="16" t="s">
        <v>410</v>
      </c>
      <c r="H3166" s="16">
        <v>0</v>
      </c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6"/>
      <c r="AA3166" s="16"/>
      <c r="AB3166" s="16"/>
      <c r="AC3166" s="16"/>
      <c r="AD3166" s="16"/>
      <c r="AE3166" s="16"/>
      <c r="AF3166" s="16" t="s">
        <v>411</v>
      </c>
    </row>
    <row r="3167" spans="1:32" ht="14.25" customHeight="1" x14ac:dyDescent="0.35">
      <c r="A3167" s="14" t="s">
        <v>1911</v>
      </c>
      <c r="B3167" s="14" t="s">
        <v>448</v>
      </c>
      <c r="C3167" s="14"/>
      <c r="D3167" s="14" t="s">
        <v>418</v>
      </c>
      <c r="E3167" s="15">
        <v>41640</v>
      </c>
      <c r="F3167" s="15">
        <v>42004</v>
      </c>
      <c r="G3167" s="14" t="s">
        <v>410</v>
      </c>
      <c r="H3167" s="14">
        <v>0</v>
      </c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S3167" s="14"/>
      <c r="T3167" s="14"/>
      <c r="U3167" s="14"/>
      <c r="V3167" s="14"/>
      <c r="W3167" s="14"/>
      <c r="X3167" s="14"/>
      <c r="Y3167" s="14"/>
      <c r="Z3167" s="14"/>
      <c r="AA3167" s="14"/>
      <c r="AB3167" s="14"/>
      <c r="AC3167" s="14"/>
      <c r="AD3167" s="14"/>
      <c r="AE3167" s="14"/>
      <c r="AF3167" s="14" t="s">
        <v>411</v>
      </c>
    </row>
    <row r="3168" spans="1:32" ht="14.25" customHeight="1" x14ac:dyDescent="0.35">
      <c r="A3168" s="14" t="s">
        <v>1912</v>
      </c>
      <c r="B3168" s="14" t="s">
        <v>420</v>
      </c>
      <c r="C3168" s="14" t="s">
        <v>414</v>
      </c>
      <c r="D3168" s="14" t="s">
        <v>417</v>
      </c>
      <c r="E3168" s="15">
        <v>41640</v>
      </c>
      <c r="F3168" s="15">
        <v>42004</v>
      </c>
      <c r="G3168" s="14" t="s">
        <v>415</v>
      </c>
      <c r="H3168" s="14">
        <v>27</v>
      </c>
      <c r="I3168" s="14">
        <v>27</v>
      </c>
      <c r="J3168" s="14">
        <v>27</v>
      </c>
      <c r="K3168" s="14">
        <v>27</v>
      </c>
      <c r="L3168" s="14">
        <v>27</v>
      </c>
      <c r="M3168" s="14">
        <v>27</v>
      </c>
      <c r="N3168" s="14">
        <v>24</v>
      </c>
      <c r="O3168" s="14">
        <v>24</v>
      </c>
      <c r="P3168" s="14">
        <v>24</v>
      </c>
      <c r="Q3168" s="14">
        <v>24</v>
      </c>
      <c r="R3168" s="14">
        <v>24</v>
      </c>
      <c r="S3168" s="14">
        <v>24</v>
      </c>
      <c r="T3168" s="14">
        <v>24</v>
      </c>
      <c r="U3168" s="14">
        <v>24</v>
      </c>
      <c r="V3168" s="14">
        <v>24</v>
      </c>
      <c r="W3168" s="14">
        <v>24</v>
      </c>
      <c r="X3168" s="14">
        <v>24</v>
      </c>
      <c r="Y3168" s="14">
        <v>24</v>
      </c>
      <c r="Z3168" s="14">
        <v>24</v>
      </c>
      <c r="AA3168" s="14">
        <v>24</v>
      </c>
      <c r="AB3168" s="14">
        <v>24</v>
      </c>
      <c r="AC3168" s="14">
        <v>27</v>
      </c>
      <c r="AD3168" s="14">
        <v>27</v>
      </c>
      <c r="AE3168" s="14">
        <v>27</v>
      </c>
      <c r="AF3168" s="14" t="s">
        <v>411</v>
      </c>
    </row>
    <row r="3169" spans="1:32" ht="14.25" customHeight="1" x14ac:dyDescent="0.35">
      <c r="A3169" s="14" t="s">
        <v>1912</v>
      </c>
      <c r="B3169" s="14" t="s">
        <v>420</v>
      </c>
      <c r="C3169" s="14" t="s">
        <v>414</v>
      </c>
      <c r="D3169" s="14" t="s">
        <v>419</v>
      </c>
      <c r="E3169" s="15">
        <v>41640</v>
      </c>
      <c r="F3169" s="15">
        <v>42004</v>
      </c>
      <c r="G3169" s="14" t="s">
        <v>410</v>
      </c>
      <c r="H3169" s="14">
        <v>24</v>
      </c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 t="s">
        <v>411</v>
      </c>
    </row>
    <row r="3170" spans="1:32" ht="14.25" customHeight="1" x14ac:dyDescent="0.35">
      <c r="A3170" s="16" t="s">
        <v>1912</v>
      </c>
      <c r="B3170" s="16" t="s">
        <v>420</v>
      </c>
      <c r="C3170" s="16" t="s">
        <v>414</v>
      </c>
      <c r="D3170" s="16" t="s">
        <v>454</v>
      </c>
      <c r="E3170" s="17">
        <v>41883</v>
      </c>
      <c r="F3170" s="17">
        <v>42004</v>
      </c>
      <c r="G3170" s="16" t="s">
        <v>415</v>
      </c>
      <c r="H3170" s="16">
        <v>27</v>
      </c>
      <c r="I3170" s="16">
        <v>27</v>
      </c>
      <c r="J3170" s="16">
        <v>27</v>
      </c>
      <c r="K3170" s="16">
        <v>27</v>
      </c>
      <c r="L3170" s="16">
        <v>27</v>
      </c>
      <c r="M3170" s="16">
        <v>27</v>
      </c>
      <c r="N3170" s="16">
        <v>24</v>
      </c>
      <c r="O3170" s="16">
        <v>24</v>
      </c>
      <c r="P3170" s="16">
        <v>24</v>
      </c>
      <c r="Q3170" s="16">
        <v>24</v>
      </c>
      <c r="R3170" s="16">
        <v>24</v>
      </c>
      <c r="S3170" s="16">
        <v>24</v>
      </c>
      <c r="T3170" s="16">
        <v>24</v>
      </c>
      <c r="U3170" s="16">
        <v>24</v>
      </c>
      <c r="V3170" s="16">
        <v>24</v>
      </c>
      <c r="W3170" s="16">
        <v>24</v>
      </c>
      <c r="X3170" s="16">
        <v>24</v>
      </c>
      <c r="Y3170" s="16">
        <v>24</v>
      </c>
      <c r="Z3170" s="16">
        <v>24</v>
      </c>
      <c r="AA3170" s="16">
        <v>24</v>
      </c>
      <c r="AB3170" s="16">
        <v>24</v>
      </c>
      <c r="AC3170" s="16">
        <v>27</v>
      </c>
      <c r="AD3170" s="16">
        <v>27</v>
      </c>
      <c r="AE3170" s="16">
        <v>27</v>
      </c>
      <c r="AF3170" s="16" t="s">
        <v>411</v>
      </c>
    </row>
    <row r="3171" spans="1:32" ht="14.25" customHeight="1" x14ac:dyDescent="0.35">
      <c r="A3171" s="14" t="s">
        <v>1912</v>
      </c>
      <c r="B3171" s="14" t="s">
        <v>420</v>
      </c>
      <c r="C3171" s="14" t="s">
        <v>414</v>
      </c>
      <c r="D3171" s="14" t="s">
        <v>454</v>
      </c>
      <c r="E3171" s="15">
        <v>41821</v>
      </c>
      <c r="F3171" s="15">
        <v>41883</v>
      </c>
      <c r="G3171" s="14" t="s">
        <v>415</v>
      </c>
      <c r="H3171" s="14">
        <v>27</v>
      </c>
      <c r="I3171" s="14">
        <v>27</v>
      </c>
      <c r="J3171" s="14">
        <v>27</v>
      </c>
      <c r="K3171" s="14">
        <v>27</v>
      </c>
      <c r="L3171" s="14">
        <v>27</v>
      </c>
      <c r="M3171" s="14">
        <v>27</v>
      </c>
      <c r="N3171" s="14">
        <v>27</v>
      </c>
      <c r="O3171" s="14">
        <v>24</v>
      </c>
      <c r="P3171" s="14">
        <v>24</v>
      </c>
      <c r="Q3171" s="14">
        <v>24</v>
      </c>
      <c r="R3171" s="14">
        <v>24</v>
      </c>
      <c r="S3171" s="14">
        <v>24</v>
      </c>
      <c r="T3171" s="14">
        <v>24</v>
      </c>
      <c r="U3171" s="14">
        <v>24</v>
      </c>
      <c r="V3171" s="14">
        <v>24</v>
      </c>
      <c r="W3171" s="14">
        <v>24</v>
      </c>
      <c r="X3171" s="14">
        <v>24</v>
      </c>
      <c r="Y3171" s="14">
        <v>24</v>
      </c>
      <c r="Z3171" s="14">
        <v>27</v>
      </c>
      <c r="AA3171" s="14">
        <v>27</v>
      </c>
      <c r="AB3171" s="14">
        <v>27</v>
      </c>
      <c r="AC3171" s="14">
        <v>27</v>
      </c>
      <c r="AD3171" s="14">
        <v>27</v>
      </c>
      <c r="AE3171" s="14">
        <v>27</v>
      </c>
      <c r="AF3171" s="14" t="s">
        <v>411</v>
      </c>
    </row>
    <row r="3172" spans="1:32" ht="14.25" customHeight="1" x14ac:dyDescent="0.35">
      <c r="A3172" s="16" t="s">
        <v>1912</v>
      </c>
      <c r="B3172" s="16" t="s">
        <v>420</v>
      </c>
      <c r="C3172" s="16" t="s">
        <v>414</v>
      </c>
      <c r="D3172" s="16" t="s">
        <v>418</v>
      </c>
      <c r="E3172" s="17">
        <v>41640</v>
      </c>
      <c r="F3172" s="17">
        <v>42004</v>
      </c>
      <c r="G3172" s="16" t="s">
        <v>410</v>
      </c>
      <c r="H3172" s="16">
        <v>27</v>
      </c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  <c r="AB3172" s="16"/>
      <c r="AC3172" s="16"/>
      <c r="AD3172" s="16"/>
      <c r="AE3172" s="16"/>
      <c r="AF3172" s="16" t="s">
        <v>411</v>
      </c>
    </row>
    <row r="3173" spans="1:32" ht="14.25" customHeight="1" x14ac:dyDescent="0.35">
      <c r="A3173" s="16" t="s">
        <v>1913</v>
      </c>
      <c r="B3173" s="16" t="s">
        <v>420</v>
      </c>
      <c r="C3173" s="16" t="s">
        <v>414</v>
      </c>
      <c r="D3173" s="16" t="s">
        <v>476</v>
      </c>
      <c r="E3173" s="17">
        <v>41640</v>
      </c>
      <c r="F3173" s="17">
        <v>42004</v>
      </c>
      <c r="G3173" s="16" t="s">
        <v>410</v>
      </c>
      <c r="H3173" s="16">
        <v>27</v>
      </c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16"/>
      <c r="AA3173" s="16"/>
      <c r="AB3173" s="16"/>
      <c r="AC3173" s="16"/>
      <c r="AD3173" s="16"/>
      <c r="AE3173" s="16"/>
      <c r="AF3173" s="16" t="s">
        <v>411</v>
      </c>
    </row>
    <row r="3174" spans="1:32" ht="14.25" customHeight="1" x14ac:dyDescent="0.35">
      <c r="A3174" s="14" t="s">
        <v>1913</v>
      </c>
      <c r="B3174" s="14" t="s">
        <v>420</v>
      </c>
      <c r="C3174" s="14" t="s">
        <v>414</v>
      </c>
      <c r="D3174" s="14" t="s">
        <v>419</v>
      </c>
      <c r="E3174" s="15">
        <v>41640</v>
      </c>
      <c r="F3174" s="15">
        <v>42004</v>
      </c>
      <c r="G3174" s="14" t="s">
        <v>415</v>
      </c>
      <c r="H3174" s="14">
        <v>27</v>
      </c>
      <c r="I3174" s="14">
        <v>27</v>
      </c>
      <c r="J3174" s="14">
        <v>27</v>
      </c>
      <c r="K3174" s="14">
        <v>27</v>
      </c>
      <c r="L3174" s="14">
        <v>27</v>
      </c>
      <c r="M3174" s="14">
        <v>27</v>
      </c>
      <c r="N3174" s="14">
        <v>24</v>
      </c>
      <c r="O3174" s="14">
        <v>24</v>
      </c>
      <c r="P3174" s="14">
        <v>24</v>
      </c>
      <c r="Q3174" s="14">
        <v>24</v>
      </c>
      <c r="R3174" s="14">
        <v>24</v>
      </c>
      <c r="S3174" s="14">
        <v>24</v>
      </c>
      <c r="T3174" s="14">
        <v>24</v>
      </c>
      <c r="U3174" s="14">
        <v>24</v>
      </c>
      <c r="V3174" s="14">
        <v>24</v>
      </c>
      <c r="W3174" s="14">
        <v>24</v>
      </c>
      <c r="X3174" s="14">
        <v>24</v>
      </c>
      <c r="Y3174" s="14">
        <v>24</v>
      </c>
      <c r="Z3174" s="14">
        <v>24</v>
      </c>
      <c r="AA3174" s="14">
        <v>24</v>
      </c>
      <c r="AB3174" s="14">
        <v>24</v>
      </c>
      <c r="AC3174" s="14">
        <v>27</v>
      </c>
      <c r="AD3174" s="14">
        <v>27</v>
      </c>
      <c r="AE3174" s="14">
        <v>27</v>
      </c>
      <c r="AF3174" s="14" t="s">
        <v>411</v>
      </c>
    </row>
    <row r="3175" spans="1:32" ht="14.25" customHeight="1" x14ac:dyDescent="0.35">
      <c r="A3175" s="16" t="s">
        <v>1914</v>
      </c>
      <c r="B3175" s="16" t="s">
        <v>518</v>
      </c>
      <c r="C3175" s="16"/>
      <c r="D3175" s="16" t="s">
        <v>476</v>
      </c>
      <c r="E3175" s="17">
        <v>41640</v>
      </c>
      <c r="F3175" s="17">
        <v>42004</v>
      </c>
      <c r="G3175" s="16" t="s">
        <v>410</v>
      </c>
      <c r="H3175" s="16">
        <v>1.1000000000000001</v>
      </c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16"/>
      <c r="AA3175" s="16"/>
      <c r="AB3175" s="16"/>
      <c r="AC3175" s="16"/>
      <c r="AD3175" s="16"/>
      <c r="AE3175" s="16"/>
      <c r="AF3175" s="16" t="s">
        <v>411</v>
      </c>
    </row>
    <row r="3176" spans="1:32" ht="14.25" customHeight="1" x14ac:dyDescent="0.35">
      <c r="A3176" s="14" t="s">
        <v>1914</v>
      </c>
      <c r="B3176" s="14" t="s">
        <v>518</v>
      </c>
      <c r="C3176" s="14"/>
      <c r="D3176" s="14" t="s">
        <v>419</v>
      </c>
      <c r="E3176" s="15">
        <v>41640</v>
      </c>
      <c r="F3176" s="15">
        <v>42004</v>
      </c>
      <c r="G3176" s="14" t="s">
        <v>410</v>
      </c>
      <c r="H3176" s="14">
        <v>0.6</v>
      </c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  <c r="AA3176" s="14"/>
      <c r="AB3176" s="14"/>
      <c r="AC3176" s="14"/>
      <c r="AD3176" s="14"/>
      <c r="AE3176" s="14"/>
      <c r="AF3176" s="14" t="s">
        <v>411</v>
      </c>
    </row>
    <row r="3177" spans="1:32" ht="14.25" customHeight="1" x14ac:dyDescent="0.35">
      <c r="A3177" s="16" t="s">
        <v>1914</v>
      </c>
      <c r="B3177" s="16" t="s">
        <v>518</v>
      </c>
      <c r="C3177" s="16"/>
      <c r="D3177" s="16" t="s">
        <v>454</v>
      </c>
      <c r="E3177" s="17">
        <v>41913</v>
      </c>
      <c r="F3177" s="17">
        <v>42004</v>
      </c>
      <c r="G3177" s="16" t="s">
        <v>410</v>
      </c>
      <c r="H3177" s="16">
        <v>1.1000000000000001</v>
      </c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/>
      <c r="AB3177" s="16"/>
      <c r="AC3177" s="16"/>
      <c r="AD3177" s="16"/>
      <c r="AE3177" s="16"/>
      <c r="AF3177" s="16" t="s">
        <v>411</v>
      </c>
    </row>
    <row r="3178" spans="1:32" ht="14.25" customHeight="1" x14ac:dyDescent="0.35">
      <c r="A3178" s="14" t="s">
        <v>1914</v>
      </c>
      <c r="B3178" s="14" t="s">
        <v>518</v>
      </c>
      <c r="C3178" s="14"/>
      <c r="D3178" s="14" t="s">
        <v>454</v>
      </c>
      <c r="E3178" s="15">
        <v>41760</v>
      </c>
      <c r="F3178" s="15">
        <v>41912</v>
      </c>
      <c r="G3178" s="14" t="s">
        <v>410</v>
      </c>
      <c r="H3178" s="14">
        <v>0.6</v>
      </c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S3178" s="14"/>
      <c r="T3178" s="14"/>
      <c r="U3178" s="14"/>
      <c r="V3178" s="14"/>
      <c r="W3178" s="14"/>
      <c r="X3178" s="14"/>
      <c r="Y3178" s="14"/>
      <c r="Z3178" s="14"/>
      <c r="AA3178" s="14"/>
      <c r="AB3178" s="14"/>
      <c r="AC3178" s="14"/>
      <c r="AD3178" s="14"/>
      <c r="AE3178" s="14"/>
      <c r="AF3178" s="14" t="s">
        <v>411</v>
      </c>
    </row>
    <row r="3179" spans="1:32" ht="14.25" customHeight="1" x14ac:dyDescent="0.35">
      <c r="A3179" s="16" t="s">
        <v>1915</v>
      </c>
      <c r="B3179" s="16" t="s">
        <v>448</v>
      </c>
      <c r="C3179" s="16"/>
      <c r="D3179" s="16" t="s">
        <v>453</v>
      </c>
      <c r="E3179" s="17">
        <v>41640</v>
      </c>
      <c r="F3179" s="17">
        <v>42004</v>
      </c>
      <c r="G3179" s="16" t="s">
        <v>415</v>
      </c>
      <c r="H3179" s="16">
        <v>0</v>
      </c>
      <c r="I3179" s="16">
        <v>0</v>
      </c>
      <c r="J3179" s="16">
        <v>0</v>
      </c>
      <c r="K3179" s="16">
        <v>0</v>
      </c>
      <c r="L3179" s="16">
        <v>0</v>
      </c>
      <c r="M3179" s="16">
        <v>0</v>
      </c>
      <c r="N3179" s="16">
        <v>0</v>
      </c>
      <c r="O3179" s="16">
        <v>0</v>
      </c>
      <c r="P3179" s="16">
        <v>0.7</v>
      </c>
      <c r="Q3179" s="16">
        <v>0.7</v>
      </c>
      <c r="R3179" s="16">
        <v>0.7</v>
      </c>
      <c r="S3179" s="16">
        <v>0.7</v>
      </c>
      <c r="T3179" s="16">
        <v>0.7</v>
      </c>
      <c r="U3179" s="16">
        <v>0.7</v>
      </c>
      <c r="V3179" s="16">
        <v>0.7</v>
      </c>
      <c r="W3179" s="16">
        <v>0.7</v>
      </c>
      <c r="X3179" s="16">
        <v>0.7</v>
      </c>
      <c r="Y3179" s="16">
        <v>0.7</v>
      </c>
      <c r="Z3179" s="16">
        <v>0.7</v>
      </c>
      <c r="AA3179" s="16">
        <v>0.7</v>
      </c>
      <c r="AB3179" s="16">
        <v>0.7</v>
      </c>
      <c r="AC3179" s="16">
        <v>0</v>
      </c>
      <c r="AD3179" s="16">
        <v>0</v>
      </c>
      <c r="AE3179" s="16">
        <v>0</v>
      </c>
      <c r="AF3179" s="16" t="s">
        <v>411</v>
      </c>
    </row>
    <row r="3180" spans="1:32" ht="14.25" customHeight="1" x14ac:dyDescent="0.35">
      <c r="A3180" s="14" t="s">
        <v>1915</v>
      </c>
      <c r="B3180" s="14" t="s">
        <v>448</v>
      </c>
      <c r="C3180" s="14"/>
      <c r="D3180" s="14" t="s">
        <v>429</v>
      </c>
      <c r="E3180" s="15">
        <v>41883</v>
      </c>
      <c r="F3180" s="15">
        <v>42004</v>
      </c>
      <c r="G3180" s="14" t="s">
        <v>415</v>
      </c>
      <c r="H3180" s="14">
        <v>0</v>
      </c>
      <c r="I3180" s="14">
        <v>0</v>
      </c>
      <c r="J3180" s="14">
        <v>0</v>
      </c>
      <c r="K3180" s="14">
        <v>0</v>
      </c>
      <c r="L3180" s="14">
        <v>0</v>
      </c>
      <c r="M3180" s="14">
        <v>0</v>
      </c>
      <c r="N3180" s="14">
        <v>0</v>
      </c>
      <c r="O3180" s="14">
        <v>0</v>
      </c>
      <c r="P3180" s="14">
        <v>0.7</v>
      </c>
      <c r="Q3180" s="14">
        <v>0.7</v>
      </c>
      <c r="R3180" s="14">
        <v>0.7</v>
      </c>
      <c r="S3180" s="14">
        <v>0.7</v>
      </c>
      <c r="T3180" s="14">
        <v>0.7</v>
      </c>
      <c r="U3180" s="14">
        <v>0.7</v>
      </c>
      <c r="V3180" s="14">
        <v>0.7</v>
      </c>
      <c r="W3180" s="14">
        <v>0.7</v>
      </c>
      <c r="X3180" s="14">
        <v>0.7</v>
      </c>
      <c r="Y3180" s="14">
        <v>0.7</v>
      </c>
      <c r="Z3180" s="14">
        <v>0.7</v>
      </c>
      <c r="AA3180" s="14">
        <v>0.7</v>
      </c>
      <c r="AB3180" s="14">
        <v>0.7</v>
      </c>
      <c r="AC3180" s="14">
        <v>0</v>
      </c>
      <c r="AD3180" s="14">
        <v>0</v>
      </c>
      <c r="AE3180" s="14">
        <v>0</v>
      </c>
      <c r="AF3180" s="14" t="s">
        <v>411</v>
      </c>
    </row>
    <row r="3181" spans="1:32" ht="14.25" customHeight="1" x14ac:dyDescent="0.35">
      <c r="A3181" s="14" t="s">
        <v>1915</v>
      </c>
      <c r="B3181" s="14" t="s">
        <v>448</v>
      </c>
      <c r="C3181" s="14"/>
      <c r="D3181" s="14" t="s">
        <v>429</v>
      </c>
      <c r="E3181" s="15">
        <v>41821</v>
      </c>
      <c r="F3181" s="15">
        <v>41883</v>
      </c>
      <c r="G3181" s="14" t="s">
        <v>415</v>
      </c>
      <c r="H3181" s="14">
        <v>0</v>
      </c>
      <c r="I3181" s="14">
        <v>0</v>
      </c>
      <c r="J3181" s="14">
        <v>0</v>
      </c>
      <c r="K3181" s="14">
        <v>0</v>
      </c>
      <c r="L3181" s="14">
        <v>0</v>
      </c>
      <c r="M3181" s="14">
        <v>0</v>
      </c>
      <c r="N3181" s="14">
        <v>0</v>
      </c>
      <c r="O3181" s="14">
        <v>0</v>
      </c>
      <c r="P3181" s="14">
        <v>0.5</v>
      </c>
      <c r="Q3181" s="14">
        <v>0.5</v>
      </c>
      <c r="R3181" s="14">
        <v>0.5</v>
      </c>
      <c r="S3181" s="14">
        <v>0.5</v>
      </c>
      <c r="T3181" s="14">
        <v>0.5</v>
      </c>
      <c r="U3181" s="14">
        <v>0.5</v>
      </c>
      <c r="V3181" s="14">
        <v>0.5</v>
      </c>
      <c r="W3181" s="14">
        <v>0.5</v>
      </c>
      <c r="X3181" s="14">
        <v>0.5</v>
      </c>
      <c r="Y3181" s="14">
        <v>0.5</v>
      </c>
      <c r="Z3181" s="14">
        <v>0.5</v>
      </c>
      <c r="AA3181" s="14">
        <v>0.5</v>
      </c>
      <c r="AB3181" s="14">
        <v>0.5</v>
      </c>
      <c r="AC3181" s="14">
        <v>0</v>
      </c>
      <c r="AD3181" s="14">
        <v>0</v>
      </c>
      <c r="AE3181" s="14">
        <v>0</v>
      </c>
      <c r="AF3181" s="14" t="s">
        <v>411</v>
      </c>
    </row>
    <row r="3182" spans="1:32" ht="14.25" customHeight="1" x14ac:dyDescent="0.35">
      <c r="A3182" s="16" t="s">
        <v>1915</v>
      </c>
      <c r="B3182" s="16" t="s">
        <v>448</v>
      </c>
      <c r="C3182" s="16"/>
      <c r="D3182" s="16" t="s">
        <v>530</v>
      </c>
      <c r="E3182" s="17">
        <v>41883</v>
      </c>
      <c r="F3182" s="17">
        <v>42004</v>
      </c>
      <c r="G3182" s="16" t="s">
        <v>410</v>
      </c>
      <c r="H3182" s="16">
        <v>0</v>
      </c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6"/>
      <c r="AA3182" s="16"/>
      <c r="AB3182" s="16"/>
      <c r="AC3182" s="16"/>
      <c r="AD3182" s="16"/>
      <c r="AE3182" s="16"/>
      <c r="AF3182" s="16" t="s">
        <v>411</v>
      </c>
    </row>
    <row r="3183" spans="1:32" ht="14.25" customHeight="1" x14ac:dyDescent="0.35">
      <c r="A3183" s="16" t="s">
        <v>1915</v>
      </c>
      <c r="B3183" s="16" t="s">
        <v>448</v>
      </c>
      <c r="C3183" s="16"/>
      <c r="D3183" s="16" t="s">
        <v>530</v>
      </c>
      <c r="E3183" s="17">
        <v>41821</v>
      </c>
      <c r="F3183" s="17">
        <v>41883</v>
      </c>
      <c r="G3183" s="16" t="s">
        <v>410</v>
      </c>
      <c r="H3183" s="16">
        <v>0</v>
      </c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16"/>
      <c r="AA3183" s="16"/>
      <c r="AB3183" s="16"/>
      <c r="AC3183" s="16"/>
      <c r="AD3183" s="16"/>
      <c r="AE3183" s="16"/>
      <c r="AF3183" s="16" t="s">
        <v>411</v>
      </c>
    </row>
    <row r="3184" spans="1:32" ht="14.25" customHeight="1" x14ac:dyDescent="0.35">
      <c r="A3184" s="16" t="s">
        <v>1915</v>
      </c>
      <c r="B3184" s="16" t="s">
        <v>448</v>
      </c>
      <c r="C3184" s="16"/>
      <c r="D3184" s="16" t="s">
        <v>530</v>
      </c>
      <c r="E3184" s="17">
        <v>41640</v>
      </c>
      <c r="F3184" s="17">
        <v>41820</v>
      </c>
      <c r="G3184" s="16" t="s">
        <v>410</v>
      </c>
      <c r="H3184" s="16">
        <v>0</v>
      </c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  <c r="AA3184" s="16"/>
      <c r="AB3184" s="16"/>
      <c r="AC3184" s="16"/>
      <c r="AD3184" s="16"/>
      <c r="AE3184" s="16"/>
      <c r="AF3184" s="16" t="s">
        <v>411</v>
      </c>
    </row>
    <row r="3185" spans="1:32" ht="14.25" customHeight="1" x14ac:dyDescent="0.35">
      <c r="A3185" s="14" t="s">
        <v>1915</v>
      </c>
      <c r="B3185" s="14" t="s">
        <v>448</v>
      </c>
      <c r="C3185" s="14"/>
      <c r="D3185" s="14" t="s">
        <v>418</v>
      </c>
      <c r="E3185" s="15">
        <v>41640</v>
      </c>
      <c r="F3185" s="15">
        <v>42004</v>
      </c>
      <c r="G3185" s="14" t="s">
        <v>410</v>
      </c>
      <c r="H3185" s="14">
        <v>0</v>
      </c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4" t="s">
        <v>411</v>
      </c>
    </row>
    <row r="3186" spans="1:32" ht="14.25" customHeight="1" x14ac:dyDescent="0.35">
      <c r="A3186" s="16" t="s">
        <v>1916</v>
      </c>
      <c r="B3186" s="16" t="s">
        <v>424</v>
      </c>
      <c r="C3186" s="16" t="s">
        <v>1290</v>
      </c>
      <c r="D3186" s="16" t="s">
        <v>409</v>
      </c>
      <c r="E3186" s="17">
        <v>41640</v>
      </c>
      <c r="F3186" s="17">
        <v>42004</v>
      </c>
      <c r="G3186" s="17" t="s">
        <v>415</v>
      </c>
      <c r="H3186" s="27">
        <v>0</v>
      </c>
      <c r="I3186" s="27">
        <v>0</v>
      </c>
      <c r="J3186" s="27">
        <v>0</v>
      </c>
      <c r="K3186" s="27">
        <v>0</v>
      </c>
      <c r="L3186" s="27">
        <v>0</v>
      </c>
      <c r="M3186" s="27">
        <v>0</v>
      </c>
      <c r="N3186" s="27">
        <v>0</v>
      </c>
      <c r="O3186" s="27">
        <v>1</v>
      </c>
      <c r="P3186" s="27">
        <v>1</v>
      </c>
      <c r="Q3186" s="27">
        <v>1</v>
      </c>
      <c r="R3186" s="27">
        <v>1</v>
      </c>
      <c r="S3186" s="27">
        <v>1</v>
      </c>
      <c r="T3186" s="27">
        <v>1</v>
      </c>
      <c r="U3186" s="27">
        <v>1</v>
      </c>
      <c r="V3186" s="27">
        <v>1</v>
      </c>
      <c r="W3186" s="27">
        <v>1</v>
      </c>
      <c r="X3186" s="27">
        <v>1</v>
      </c>
      <c r="Y3186" s="27">
        <v>1</v>
      </c>
      <c r="Z3186" s="27">
        <v>1</v>
      </c>
      <c r="AA3186" s="27">
        <v>1</v>
      </c>
      <c r="AB3186" s="27">
        <v>1</v>
      </c>
      <c r="AC3186" s="27">
        <v>1</v>
      </c>
      <c r="AD3186" s="27">
        <v>1</v>
      </c>
      <c r="AE3186" s="27">
        <v>1</v>
      </c>
      <c r="AF3186" s="16"/>
    </row>
    <row r="3187" spans="1:32" ht="14.25" customHeight="1" x14ac:dyDescent="0.35">
      <c r="A3187" s="14" t="s">
        <v>1917</v>
      </c>
      <c r="B3187" s="14" t="s">
        <v>424</v>
      </c>
      <c r="C3187" s="14" t="s">
        <v>1290</v>
      </c>
      <c r="D3187" s="14" t="s">
        <v>409</v>
      </c>
      <c r="E3187" s="15">
        <v>41640</v>
      </c>
      <c r="F3187" s="15">
        <v>42004</v>
      </c>
      <c r="G3187" s="15" t="s">
        <v>410</v>
      </c>
      <c r="H3187" s="20">
        <v>1</v>
      </c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  <c r="AA3187" s="21"/>
      <c r="AB3187" s="21"/>
      <c r="AC3187" s="21"/>
      <c r="AD3187" s="21"/>
      <c r="AE3187" s="21"/>
      <c r="AF3187" s="14"/>
    </row>
    <row r="3188" spans="1:32" ht="14.25" customHeight="1" x14ac:dyDescent="0.35">
      <c r="A3188" s="14" t="s">
        <v>1918</v>
      </c>
      <c r="B3188" s="14" t="s">
        <v>448</v>
      </c>
      <c r="C3188" s="14"/>
      <c r="D3188" s="14" t="s">
        <v>453</v>
      </c>
      <c r="E3188" s="15">
        <v>41640</v>
      </c>
      <c r="F3188" s="15">
        <v>42004</v>
      </c>
      <c r="G3188" s="14" t="s">
        <v>415</v>
      </c>
      <c r="H3188" s="14">
        <v>0</v>
      </c>
      <c r="I3188" s="14">
        <v>0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0.35</v>
      </c>
      <c r="Q3188" s="14">
        <v>0.35</v>
      </c>
      <c r="R3188" s="14">
        <v>0.35</v>
      </c>
      <c r="S3188" s="14">
        <v>0.35</v>
      </c>
      <c r="T3188" s="14">
        <v>0.35</v>
      </c>
      <c r="U3188" s="14">
        <v>0.35</v>
      </c>
      <c r="V3188" s="14">
        <v>0.35</v>
      </c>
      <c r="W3188" s="14">
        <v>0.35</v>
      </c>
      <c r="X3188" s="14">
        <v>0.95</v>
      </c>
      <c r="Y3188" s="14">
        <v>0.95</v>
      </c>
      <c r="Z3188" s="14">
        <v>0.95</v>
      </c>
      <c r="AA3188" s="14">
        <v>0.95</v>
      </c>
      <c r="AB3188" s="14">
        <v>0.95</v>
      </c>
      <c r="AC3188" s="14">
        <v>0</v>
      </c>
      <c r="AD3188" s="14">
        <v>0</v>
      </c>
      <c r="AE3188" s="14">
        <v>0</v>
      </c>
      <c r="AF3188" s="14" t="s">
        <v>411</v>
      </c>
    </row>
    <row r="3189" spans="1:32" ht="14.25" customHeight="1" x14ac:dyDescent="0.35">
      <c r="A3189" s="16" t="s">
        <v>1918</v>
      </c>
      <c r="B3189" s="16" t="s">
        <v>448</v>
      </c>
      <c r="C3189" s="16"/>
      <c r="D3189" s="16" t="s">
        <v>429</v>
      </c>
      <c r="E3189" s="17">
        <v>41883</v>
      </c>
      <c r="F3189" s="17">
        <v>42004</v>
      </c>
      <c r="G3189" s="16" t="s">
        <v>415</v>
      </c>
      <c r="H3189" s="16">
        <v>0</v>
      </c>
      <c r="I3189" s="16">
        <v>0</v>
      </c>
      <c r="J3189" s="16">
        <v>0</v>
      </c>
      <c r="K3189" s="16">
        <v>0</v>
      </c>
      <c r="L3189" s="16">
        <v>0</v>
      </c>
      <c r="M3189" s="16">
        <v>0</v>
      </c>
      <c r="N3189" s="16">
        <v>0</v>
      </c>
      <c r="O3189" s="16">
        <v>0</v>
      </c>
      <c r="P3189" s="16">
        <v>0.35</v>
      </c>
      <c r="Q3189" s="16">
        <v>0.35</v>
      </c>
      <c r="R3189" s="16">
        <v>0.35</v>
      </c>
      <c r="S3189" s="16">
        <v>0.35</v>
      </c>
      <c r="T3189" s="16">
        <v>0.35</v>
      </c>
      <c r="U3189" s="16">
        <v>0.35</v>
      </c>
      <c r="V3189" s="16">
        <v>0.35</v>
      </c>
      <c r="W3189" s="16">
        <v>0.35</v>
      </c>
      <c r="X3189" s="16">
        <v>0.95</v>
      </c>
      <c r="Y3189" s="16">
        <v>0.95</v>
      </c>
      <c r="Z3189" s="16">
        <v>0.95</v>
      </c>
      <c r="AA3189" s="16">
        <v>0.95</v>
      </c>
      <c r="AB3189" s="16">
        <v>0.95</v>
      </c>
      <c r="AC3189" s="16">
        <v>0</v>
      </c>
      <c r="AD3189" s="16">
        <v>0</v>
      </c>
      <c r="AE3189" s="16">
        <v>0</v>
      </c>
      <c r="AF3189" s="16" t="s">
        <v>411</v>
      </c>
    </row>
    <row r="3190" spans="1:32" ht="14.25" customHeight="1" x14ac:dyDescent="0.35">
      <c r="A3190" s="16" t="s">
        <v>1918</v>
      </c>
      <c r="B3190" s="16" t="s">
        <v>448</v>
      </c>
      <c r="C3190" s="16"/>
      <c r="D3190" s="16" t="s">
        <v>429</v>
      </c>
      <c r="E3190" s="17">
        <v>41821</v>
      </c>
      <c r="F3190" s="17">
        <v>41883</v>
      </c>
      <c r="G3190" s="16" t="s">
        <v>415</v>
      </c>
      <c r="H3190" s="16">
        <v>0</v>
      </c>
      <c r="I3190" s="16">
        <v>0</v>
      </c>
      <c r="J3190" s="16">
        <v>0</v>
      </c>
      <c r="K3190" s="16">
        <v>0</v>
      </c>
      <c r="L3190" s="16">
        <v>0</v>
      </c>
      <c r="M3190" s="16">
        <v>0</v>
      </c>
      <c r="N3190" s="16">
        <v>0</v>
      </c>
      <c r="O3190" s="16">
        <v>0</v>
      </c>
      <c r="P3190" s="16">
        <v>0.35</v>
      </c>
      <c r="Q3190" s="16">
        <v>0.35</v>
      </c>
      <c r="R3190" s="16">
        <v>0.35</v>
      </c>
      <c r="S3190" s="16">
        <v>0.35</v>
      </c>
      <c r="T3190" s="16">
        <v>0.35</v>
      </c>
      <c r="U3190" s="16">
        <v>0.35</v>
      </c>
      <c r="V3190" s="16">
        <v>0.35</v>
      </c>
      <c r="W3190" s="16">
        <v>0.35</v>
      </c>
      <c r="X3190" s="16">
        <v>0.35</v>
      </c>
      <c r="Y3190" s="16">
        <v>0.35</v>
      </c>
      <c r="Z3190" s="16">
        <v>0.35</v>
      </c>
      <c r="AA3190" s="16">
        <v>0.35</v>
      </c>
      <c r="AB3190" s="16">
        <v>0.35</v>
      </c>
      <c r="AC3190" s="16">
        <v>0</v>
      </c>
      <c r="AD3190" s="16">
        <v>0</v>
      </c>
      <c r="AE3190" s="16">
        <v>0</v>
      </c>
      <c r="AF3190" s="16" t="s">
        <v>411</v>
      </c>
    </row>
    <row r="3191" spans="1:32" ht="14.25" customHeight="1" x14ac:dyDescent="0.35">
      <c r="A3191" s="14" t="s">
        <v>1918</v>
      </c>
      <c r="B3191" s="14" t="s">
        <v>448</v>
      </c>
      <c r="C3191" s="14"/>
      <c r="D3191" s="14" t="s">
        <v>530</v>
      </c>
      <c r="E3191" s="15">
        <v>41883</v>
      </c>
      <c r="F3191" s="15">
        <v>42004</v>
      </c>
      <c r="G3191" s="14" t="s">
        <v>410</v>
      </c>
      <c r="H3191" s="14">
        <v>0</v>
      </c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 t="s">
        <v>411</v>
      </c>
    </row>
    <row r="3192" spans="1:32" ht="14.25" customHeight="1" x14ac:dyDescent="0.35">
      <c r="A3192" s="14" t="s">
        <v>1918</v>
      </c>
      <c r="B3192" s="14" t="s">
        <v>448</v>
      </c>
      <c r="C3192" s="14"/>
      <c r="D3192" s="14" t="s">
        <v>530</v>
      </c>
      <c r="E3192" s="15">
        <v>41821</v>
      </c>
      <c r="F3192" s="15">
        <v>41883</v>
      </c>
      <c r="G3192" s="14" t="s">
        <v>410</v>
      </c>
      <c r="H3192" s="14">
        <v>0</v>
      </c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  <c r="AA3192" s="14"/>
      <c r="AB3192" s="14"/>
      <c r="AC3192" s="14"/>
      <c r="AD3192" s="14"/>
      <c r="AE3192" s="14"/>
      <c r="AF3192" s="14" t="s">
        <v>411</v>
      </c>
    </row>
    <row r="3193" spans="1:32" ht="14.25" customHeight="1" x14ac:dyDescent="0.35">
      <c r="A3193" s="14" t="s">
        <v>1918</v>
      </c>
      <c r="B3193" s="14" t="s">
        <v>448</v>
      </c>
      <c r="C3193" s="14"/>
      <c r="D3193" s="14" t="s">
        <v>530</v>
      </c>
      <c r="E3193" s="15">
        <v>41640</v>
      </c>
      <c r="F3193" s="15">
        <v>41820</v>
      </c>
      <c r="G3193" s="14" t="s">
        <v>410</v>
      </c>
      <c r="H3193" s="14">
        <v>0</v>
      </c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S3193" s="14"/>
      <c r="T3193" s="14"/>
      <c r="U3193" s="14"/>
      <c r="V3193" s="14"/>
      <c r="W3193" s="14"/>
      <c r="X3193" s="14"/>
      <c r="Y3193" s="14"/>
      <c r="Z3193" s="14"/>
      <c r="AA3193" s="14"/>
      <c r="AB3193" s="14"/>
      <c r="AC3193" s="14"/>
      <c r="AD3193" s="14"/>
      <c r="AE3193" s="14"/>
      <c r="AF3193" s="14" t="s">
        <v>411</v>
      </c>
    </row>
    <row r="3194" spans="1:32" ht="14.25" customHeight="1" x14ac:dyDescent="0.35">
      <c r="A3194" s="16" t="s">
        <v>1918</v>
      </c>
      <c r="B3194" s="16" t="s">
        <v>448</v>
      </c>
      <c r="C3194" s="16"/>
      <c r="D3194" s="16" t="s">
        <v>418</v>
      </c>
      <c r="E3194" s="17">
        <v>41640</v>
      </c>
      <c r="F3194" s="17">
        <v>42004</v>
      </c>
      <c r="G3194" s="16" t="s">
        <v>410</v>
      </c>
      <c r="H3194" s="16">
        <v>0</v>
      </c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  <c r="AC3194" s="16"/>
      <c r="AD3194" s="16"/>
      <c r="AE3194" s="16"/>
      <c r="AF3194" s="16" t="s">
        <v>411</v>
      </c>
    </row>
    <row r="3195" spans="1:32" ht="14.25" customHeight="1" x14ac:dyDescent="0.35">
      <c r="A3195" s="16" t="s">
        <v>1919</v>
      </c>
      <c r="B3195" s="16" t="s">
        <v>420</v>
      </c>
      <c r="C3195" s="16" t="s">
        <v>414</v>
      </c>
      <c r="D3195" s="16" t="s">
        <v>417</v>
      </c>
      <c r="E3195" s="17">
        <v>41640</v>
      </c>
      <c r="F3195" s="17">
        <v>42004</v>
      </c>
      <c r="G3195" s="16" t="s">
        <v>415</v>
      </c>
      <c r="H3195" s="16">
        <v>16</v>
      </c>
      <c r="I3195" s="16">
        <v>16</v>
      </c>
      <c r="J3195" s="16">
        <v>16</v>
      </c>
      <c r="K3195" s="16">
        <v>16</v>
      </c>
      <c r="L3195" s="16">
        <v>16</v>
      </c>
      <c r="M3195" s="16">
        <v>16</v>
      </c>
      <c r="N3195" s="16">
        <v>21</v>
      </c>
      <c r="O3195" s="16">
        <v>21</v>
      </c>
      <c r="P3195" s="16">
        <v>21</v>
      </c>
      <c r="Q3195" s="16">
        <v>21</v>
      </c>
      <c r="R3195" s="16">
        <v>21</v>
      </c>
      <c r="S3195" s="16">
        <v>21</v>
      </c>
      <c r="T3195" s="16">
        <v>21</v>
      </c>
      <c r="U3195" s="16">
        <v>21</v>
      </c>
      <c r="V3195" s="16">
        <v>21</v>
      </c>
      <c r="W3195" s="16">
        <v>21</v>
      </c>
      <c r="X3195" s="16">
        <v>21</v>
      </c>
      <c r="Y3195" s="16">
        <v>21</v>
      </c>
      <c r="Z3195" s="16">
        <v>21</v>
      </c>
      <c r="AA3195" s="16">
        <v>21</v>
      </c>
      <c r="AB3195" s="16">
        <v>21</v>
      </c>
      <c r="AC3195" s="16">
        <v>16</v>
      </c>
      <c r="AD3195" s="16">
        <v>16</v>
      </c>
      <c r="AE3195" s="16">
        <v>16</v>
      </c>
      <c r="AF3195" s="16" t="s">
        <v>411</v>
      </c>
    </row>
    <row r="3196" spans="1:32" ht="14.25" customHeight="1" x14ac:dyDescent="0.35">
      <c r="A3196" s="16" t="s">
        <v>1919</v>
      </c>
      <c r="B3196" s="16" t="s">
        <v>420</v>
      </c>
      <c r="C3196" s="16" t="s">
        <v>414</v>
      </c>
      <c r="D3196" s="16" t="s">
        <v>419</v>
      </c>
      <c r="E3196" s="17">
        <v>41640</v>
      </c>
      <c r="F3196" s="17">
        <v>42004</v>
      </c>
      <c r="G3196" s="16" t="s">
        <v>410</v>
      </c>
      <c r="H3196" s="16">
        <v>16</v>
      </c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6"/>
      <c r="AA3196" s="16"/>
      <c r="AB3196" s="16"/>
      <c r="AC3196" s="16"/>
      <c r="AD3196" s="16"/>
      <c r="AE3196" s="16"/>
      <c r="AF3196" s="16" t="s">
        <v>411</v>
      </c>
    </row>
    <row r="3197" spans="1:32" ht="14.25" customHeight="1" x14ac:dyDescent="0.35">
      <c r="A3197" s="14" t="s">
        <v>1919</v>
      </c>
      <c r="B3197" s="14" t="s">
        <v>420</v>
      </c>
      <c r="C3197" s="14" t="s">
        <v>414</v>
      </c>
      <c r="D3197" s="14" t="s">
        <v>454</v>
      </c>
      <c r="E3197" s="15">
        <v>41883</v>
      </c>
      <c r="F3197" s="15">
        <v>42004</v>
      </c>
      <c r="G3197" s="14" t="s">
        <v>415</v>
      </c>
      <c r="H3197" s="14">
        <v>16</v>
      </c>
      <c r="I3197" s="14">
        <v>16</v>
      </c>
      <c r="J3197" s="14">
        <v>16</v>
      </c>
      <c r="K3197" s="14">
        <v>16</v>
      </c>
      <c r="L3197" s="14">
        <v>16</v>
      </c>
      <c r="M3197" s="14">
        <v>16</v>
      </c>
      <c r="N3197" s="14">
        <v>21</v>
      </c>
      <c r="O3197" s="14">
        <v>21</v>
      </c>
      <c r="P3197" s="14">
        <v>21</v>
      </c>
      <c r="Q3197" s="14">
        <v>21</v>
      </c>
      <c r="R3197" s="14">
        <v>21</v>
      </c>
      <c r="S3197" s="14">
        <v>21</v>
      </c>
      <c r="T3197" s="14">
        <v>21</v>
      </c>
      <c r="U3197" s="14">
        <v>21</v>
      </c>
      <c r="V3197" s="14">
        <v>21</v>
      </c>
      <c r="W3197" s="14">
        <v>21</v>
      </c>
      <c r="X3197" s="14">
        <v>21</v>
      </c>
      <c r="Y3197" s="14">
        <v>21</v>
      </c>
      <c r="Z3197" s="14">
        <v>21</v>
      </c>
      <c r="AA3197" s="14">
        <v>21</v>
      </c>
      <c r="AB3197" s="14">
        <v>21</v>
      </c>
      <c r="AC3197" s="14">
        <v>16</v>
      </c>
      <c r="AD3197" s="14">
        <v>16</v>
      </c>
      <c r="AE3197" s="14">
        <v>16</v>
      </c>
      <c r="AF3197" s="14" t="s">
        <v>411</v>
      </c>
    </row>
    <row r="3198" spans="1:32" ht="14.25" customHeight="1" x14ac:dyDescent="0.35">
      <c r="A3198" s="16" t="s">
        <v>1919</v>
      </c>
      <c r="B3198" s="16" t="s">
        <v>420</v>
      </c>
      <c r="C3198" s="16" t="s">
        <v>414</v>
      </c>
      <c r="D3198" s="16" t="s">
        <v>454</v>
      </c>
      <c r="E3198" s="17">
        <v>41821</v>
      </c>
      <c r="F3198" s="17">
        <v>41883</v>
      </c>
      <c r="G3198" s="16" t="s">
        <v>415</v>
      </c>
      <c r="H3198" s="16">
        <v>16</v>
      </c>
      <c r="I3198" s="16">
        <v>16</v>
      </c>
      <c r="J3198" s="16">
        <v>16</v>
      </c>
      <c r="K3198" s="16">
        <v>16</v>
      </c>
      <c r="L3198" s="16">
        <v>16</v>
      </c>
      <c r="M3198" s="16">
        <v>16</v>
      </c>
      <c r="N3198" s="16">
        <v>16</v>
      </c>
      <c r="O3198" s="16">
        <v>21</v>
      </c>
      <c r="P3198" s="16">
        <v>21</v>
      </c>
      <c r="Q3198" s="16">
        <v>21</v>
      </c>
      <c r="R3198" s="16">
        <v>21</v>
      </c>
      <c r="S3198" s="16">
        <v>21</v>
      </c>
      <c r="T3198" s="16">
        <v>21</v>
      </c>
      <c r="U3198" s="16">
        <v>21</v>
      </c>
      <c r="V3198" s="16">
        <v>21</v>
      </c>
      <c r="W3198" s="16">
        <v>21</v>
      </c>
      <c r="X3198" s="16">
        <v>21</v>
      </c>
      <c r="Y3198" s="16">
        <v>21</v>
      </c>
      <c r="Z3198" s="16">
        <v>16</v>
      </c>
      <c r="AA3198" s="16">
        <v>16</v>
      </c>
      <c r="AB3198" s="16">
        <v>16</v>
      </c>
      <c r="AC3198" s="16">
        <v>16</v>
      </c>
      <c r="AD3198" s="16">
        <v>16</v>
      </c>
      <c r="AE3198" s="16">
        <v>16</v>
      </c>
      <c r="AF3198" s="16" t="s">
        <v>411</v>
      </c>
    </row>
    <row r="3199" spans="1:32" ht="14.25" customHeight="1" x14ac:dyDescent="0.35">
      <c r="A3199" s="14" t="s">
        <v>1919</v>
      </c>
      <c r="B3199" s="14" t="s">
        <v>420</v>
      </c>
      <c r="C3199" s="14" t="s">
        <v>414</v>
      </c>
      <c r="D3199" s="14" t="s">
        <v>418</v>
      </c>
      <c r="E3199" s="15">
        <v>41640</v>
      </c>
      <c r="F3199" s="15">
        <v>42004</v>
      </c>
      <c r="G3199" s="14" t="s">
        <v>410</v>
      </c>
      <c r="H3199" s="14">
        <v>21</v>
      </c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S3199" s="14"/>
      <c r="T3199" s="14"/>
      <c r="U3199" s="14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4"/>
      <c r="AF3199" s="14" t="s">
        <v>411</v>
      </c>
    </row>
    <row r="3200" spans="1:32" ht="14.25" customHeight="1" x14ac:dyDescent="0.35">
      <c r="A3200" s="14" t="s">
        <v>1920</v>
      </c>
      <c r="B3200" s="14" t="s">
        <v>420</v>
      </c>
      <c r="C3200" s="14" t="s">
        <v>414</v>
      </c>
      <c r="D3200" s="14" t="s">
        <v>453</v>
      </c>
      <c r="E3200" s="15">
        <v>41640</v>
      </c>
      <c r="F3200" s="15">
        <v>42004</v>
      </c>
      <c r="G3200" s="14" t="s">
        <v>410</v>
      </c>
      <c r="H3200" s="14">
        <v>16</v>
      </c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  <c r="AA3200" s="14"/>
      <c r="AB3200" s="14"/>
      <c r="AC3200" s="14"/>
      <c r="AD3200" s="14"/>
      <c r="AE3200" s="14"/>
      <c r="AF3200" s="14" t="s">
        <v>411</v>
      </c>
    </row>
    <row r="3201" spans="1:32" ht="14.25" customHeight="1" x14ac:dyDescent="0.35">
      <c r="A3201" s="16" t="s">
        <v>1920</v>
      </c>
      <c r="B3201" s="16" t="s">
        <v>420</v>
      </c>
      <c r="C3201" s="16" t="s">
        <v>414</v>
      </c>
      <c r="D3201" s="16" t="s">
        <v>418</v>
      </c>
      <c r="E3201" s="17">
        <v>41640</v>
      </c>
      <c r="F3201" s="17">
        <v>42004</v>
      </c>
      <c r="G3201" s="16" t="s">
        <v>415</v>
      </c>
      <c r="H3201" s="16">
        <v>16</v>
      </c>
      <c r="I3201" s="16">
        <v>16</v>
      </c>
      <c r="J3201" s="16">
        <v>16</v>
      </c>
      <c r="K3201" s="16">
        <v>16</v>
      </c>
      <c r="L3201" s="16">
        <v>16</v>
      </c>
      <c r="M3201" s="16">
        <v>16</v>
      </c>
      <c r="N3201" s="16">
        <v>21</v>
      </c>
      <c r="O3201" s="16">
        <v>21</v>
      </c>
      <c r="P3201" s="16">
        <v>21</v>
      </c>
      <c r="Q3201" s="16">
        <v>21</v>
      </c>
      <c r="R3201" s="16">
        <v>21</v>
      </c>
      <c r="S3201" s="16">
        <v>21</v>
      </c>
      <c r="T3201" s="16">
        <v>21</v>
      </c>
      <c r="U3201" s="16">
        <v>21</v>
      </c>
      <c r="V3201" s="16">
        <v>21</v>
      </c>
      <c r="W3201" s="16">
        <v>21</v>
      </c>
      <c r="X3201" s="16">
        <v>21</v>
      </c>
      <c r="Y3201" s="16">
        <v>21</v>
      </c>
      <c r="Z3201" s="16">
        <v>21</v>
      </c>
      <c r="AA3201" s="16">
        <v>21</v>
      </c>
      <c r="AB3201" s="16">
        <v>21</v>
      </c>
      <c r="AC3201" s="16">
        <v>16</v>
      </c>
      <c r="AD3201" s="16">
        <v>16</v>
      </c>
      <c r="AE3201" s="16">
        <v>16</v>
      </c>
      <c r="AF3201" s="16" t="s">
        <v>411</v>
      </c>
    </row>
    <row r="3202" spans="1:32" ht="14.25" customHeight="1" x14ac:dyDescent="0.35">
      <c r="A3202" s="14" t="s">
        <v>1921</v>
      </c>
      <c r="B3202" s="14" t="s">
        <v>441</v>
      </c>
      <c r="C3202" s="14"/>
      <c r="D3202" s="14" t="s">
        <v>409</v>
      </c>
      <c r="E3202" s="15">
        <v>41640</v>
      </c>
      <c r="F3202" s="15">
        <v>42004</v>
      </c>
      <c r="G3202" s="14" t="s">
        <v>415</v>
      </c>
      <c r="H3202" s="14">
        <v>1</v>
      </c>
      <c r="I3202" s="14">
        <v>1</v>
      </c>
      <c r="J3202" s="14">
        <v>1</v>
      </c>
      <c r="K3202" s="14">
        <v>1</v>
      </c>
      <c r="L3202" s="14">
        <v>1</v>
      </c>
      <c r="M3202" s="14">
        <v>1</v>
      </c>
      <c r="N3202" s="14">
        <v>1</v>
      </c>
      <c r="O3202" s="14">
        <v>0.5</v>
      </c>
      <c r="P3202" s="14">
        <v>0.5</v>
      </c>
      <c r="Q3202" s="14">
        <v>0.5</v>
      </c>
      <c r="R3202" s="14">
        <v>0.5</v>
      </c>
      <c r="S3202" s="14">
        <v>0.5</v>
      </c>
      <c r="T3202" s="14">
        <v>0.5</v>
      </c>
      <c r="U3202" s="14">
        <v>0.5</v>
      </c>
      <c r="V3202" s="14">
        <v>0.5</v>
      </c>
      <c r="W3202" s="14">
        <v>0.5</v>
      </c>
      <c r="X3202" s="14">
        <v>0.5</v>
      </c>
      <c r="Y3202" s="14">
        <v>0.5</v>
      </c>
      <c r="Z3202" s="14">
        <v>0.5</v>
      </c>
      <c r="AA3202" s="14">
        <v>0.5</v>
      </c>
      <c r="AB3202" s="14">
        <v>0.5</v>
      </c>
      <c r="AC3202" s="14">
        <v>1</v>
      </c>
      <c r="AD3202" s="14">
        <v>1</v>
      </c>
      <c r="AE3202" s="14">
        <v>1</v>
      </c>
      <c r="AF3202" s="14" t="s">
        <v>411</v>
      </c>
    </row>
    <row r="3203" spans="1:32" ht="14.25" customHeight="1" x14ac:dyDescent="0.35">
      <c r="A3203" s="16" t="s">
        <v>1922</v>
      </c>
      <c r="B3203" s="16" t="s">
        <v>427</v>
      </c>
      <c r="C3203" s="16"/>
      <c r="D3203" s="16" t="s">
        <v>453</v>
      </c>
      <c r="E3203" s="17">
        <v>41640</v>
      </c>
      <c r="F3203" s="17">
        <v>42004</v>
      </c>
      <c r="G3203" s="16" t="s">
        <v>415</v>
      </c>
      <c r="H3203" s="16">
        <v>0.1</v>
      </c>
      <c r="I3203" s="16">
        <v>0.1</v>
      </c>
      <c r="J3203" s="16">
        <v>0.1</v>
      </c>
      <c r="K3203" s="16">
        <v>0.1</v>
      </c>
      <c r="L3203" s="16">
        <v>0.1</v>
      </c>
      <c r="M3203" s="16">
        <v>0.1</v>
      </c>
      <c r="N3203" s="16">
        <v>0.1</v>
      </c>
      <c r="O3203" s="16">
        <v>0.1</v>
      </c>
      <c r="P3203" s="16">
        <v>0.15</v>
      </c>
      <c r="Q3203" s="16">
        <v>0.15</v>
      </c>
      <c r="R3203" s="16">
        <v>0.25</v>
      </c>
      <c r="S3203" s="16">
        <v>0.25</v>
      </c>
      <c r="T3203" s="16">
        <v>0.25</v>
      </c>
      <c r="U3203" s="16">
        <v>0.15</v>
      </c>
      <c r="V3203" s="16">
        <v>0.15</v>
      </c>
      <c r="W3203" s="16">
        <v>0.1</v>
      </c>
      <c r="X3203" s="16">
        <v>0.1</v>
      </c>
      <c r="Y3203" s="16">
        <v>0.1</v>
      </c>
      <c r="Z3203" s="16">
        <v>0.1</v>
      </c>
      <c r="AA3203" s="16">
        <v>0.1</v>
      </c>
      <c r="AB3203" s="16">
        <v>0.1</v>
      </c>
      <c r="AC3203" s="16">
        <v>0.1</v>
      </c>
      <c r="AD3203" s="16">
        <v>0.1</v>
      </c>
      <c r="AE3203" s="16">
        <v>0.1</v>
      </c>
      <c r="AF3203" s="16" t="s">
        <v>411</v>
      </c>
    </row>
    <row r="3204" spans="1:32" ht="14.25" customHeight="1" x14ac:dyDescent="0.35">
      <c r="A3204" s="14" t="s">
        <v>1922</v>
      </c>
      <c r="B3204" s="14" t="s">
        <v>427</v>
      </c>
      <c r="C3204" s="14"/>
      <c r="D3204" s="14" t="s">
        <v>429</v>
      </c>
      <c r="E3204" s="15">
        <v>41883</v>
      </c>
      <c r="F3204" s="15">
        <v>42004</v>
      </c>
      <c r="G3204" s="14" t="s">
        <v>415</v>
      </c>
      <c r="H3204" s="14">
        <v>0.1</v>
      </c>
      <c r="I3204" s="14">
        <v>0.1</v>
      </c>
      <c r="J3204" s="14">
        <v>0.1</v>
      </c>
      <c r="K3204" s="14">
        <v>0.1</v>
      </c>
      <c r="L3204" s="14">
        <v>0.1</v>
      </c>
      <c r="M3204" s="14">
        <v>0.1</v>
      </c>
      <c r="N3204" s="14">
        <v>0.1</v>
      </c>
      <c r="O3204" s="14">
        <v>0.1</v>
      </c>
      <c r="P3204" s="14">
        <v>0.15</v>
      </c>
      <c r="Q3204" s="14">
        <v>0.15</v>
      </c>
      <c r="R3204" s="14">
        <v>0.25</v>
      </c>
      <c r="S3204" s="14">
        <v>0.25</v>
      </c>
      <c r="T3204" s="14">
        <v>0.25</v>
      </c>
      <c r="U3204" s="14">
        <v>0.15</v>
      </c>
      <c r="V3204" s="14">
        <v>0.15</v>
      </c>
      <c r="W3204" s="14">
        <v>0.1</v>
      </c>
      <c r="X3204" s="14">
        <v>0.1</v>
      </c>
      <c r="Y3204" s="14">
        <v>0.1</v>
      </c>
      <c r="Z3204" s="14">
        <v>0.1</v>
      </c>
      <c r="AA3204" s="14">
        <v>0.1</v>
      </c>
      <c r="AB3204" s="14">
        <v>0.1</v>
      </c>
      <c r="AC3204" s="14">
        <v>0.1</v>
      </c>
      <c r="AD3204" s="14">
        <v>0.1</v>
      </c>
      <c r="AE3204" s="14">
        <v>0.1</v>
      </c>
      <c r="AF3204" s="14" t="s">
        <v>411</v>
      </c>
    </row>
    <row r="3205" spans="1:32" ht="14.25" customHeight="1" x14ac:dyDescent="0.35">
      <c r="A3205" s="14" t="s">
        <v>1922</v>
      </c>
      <c r="B3205" s="14" t="s">
        <v>427</v>
      </c>
      <c r="C3205" s="14"/>
      <c r="D3205" s="14" t="s">
        <v>429</v>
      </c>
      <c r="E3205" s="15">
        <v>41821</v>
      </c>
      <c r="F3205" s="15">
        <v>41883</v>
      </c>
      <c r="G3205" s="14" t="s">
        <v>415</v>
      </c>
      <c r="H3205" s="14">
        <v>0.1</v>
      </c>
      <c r="I3205" s="14">
        <v>0.1</v>
      </c>
      <c r="J3205" s="14">
        <v>0.1</v>
      </c>
      <c r="K3205" s="14">
        <v>0.1</v>
      </c>
      <c r="L3205" s="14">
        <v>0.1</v>
      </c>
      <c r="M3205" s="14">
        <v>0.1</v>
      </c>
      <c r="N3205" s="14">
        <v>0.1</v>
      </c>
      <c r="O3205" s="14">
        <v>0.1</v>
      </c>
      <c r="P3205" s="14">
        <v>0.13</v>
      </c>
      <c r="Q3205" s="14">
        <v>0.13</v>
      </c>
      <c r="R3205" s="14">
        <v>0.2</v>
      </c>
      <c r="S3205" s="14">
        <v>0.2</v>
      </c>
      <c r="T3205" s="14">
        <v>0.2</v>
      </c>
      <c r="U3205" s="14">
        <v>0.13</v>
      </c>
      <c r="V3205" s="14">
        <v>0.13</v>
      </c>
      <c r="W3205" s="14">
        <v>0.1</v>
      </c>
      <c r="X3205" s="14">
        <v>0.1</v>
      </c>
      <c r="Y3205" s="14">
        <v>0.1</v>
      </c>
      <c r="Z3205" s="14">
        <v>0.1</v>
      </c>
      <c r="AA3205" s="14">
        <v>0.1</v>
      </c>
      <c r="AB3205" s="14">
        <v>0.1</v>
      </c>
      <c r="AC3205" s="14">
        <v>0.1</v>
      </c>
      <c r="AD3205" s="14">
        <v>0.1</v>
      </c>
      <c r="AE3205" s="14">
        <v>0.1</v>
      </c>
      <c r="AF3205" s="14" t="s">
        <v>411</v>
      </c>
    </row>
    <row r="3206" spans="1:32" ht="14.25" customHeight="1" x14ac:dyDescent="0.35">
      <c r="A3206" s="16" t="s">
        <v>1922</v>
      </c>
      <c r="B3206" s="16" t="s">
        <v>427</v>
      </c>
      <c r="C3206" s="16"/>
      <c r="D3206" s="16" t="s">
        <v>530</v>
      </c>
      <c r="E3206" s="17">
        <v>41883</v>
      </c>
      <c r="F3206" s="17">
        <v>42004</v>
      </c>
      <c r="G3206" s="16" t="s">
        <v>410</v>
      </c>
      <c r="H3206" s="16">
        <v>0.1</v>
      </c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6"/>
      <c r="AA3206" s="16"/>
      <c r="AB3206" s="16"/>
      <c r="AC3206" s="16"/>
      <c r="AD3206" s="16"/>
      <c r="AE3206" s="16"/>
      <c r="AF3206" s="16" t="s">
        <v>411</v>
      </c>
    </row>
    <row r="3207" spans="1:32" ht="14.25" customHeight="1" x14ac:dyDescent="0.35">
      <c r="A3207" s="16" t="s">
        <v>1922</v>
      </c>
      <c r="B3207" s="16" t="s">
        <v>427</v>
      </c>
      <c r="C3207" s="16"/>
      <c r="D3207" s="16" t="s">
        <v>530</v>
      </c>
      <c r="E3207" s="17">
        <v>41821</v>
      </c>
      <c r="F3207" s="17">
        <v>41883</v>
      </c>
      <c r="G3207" s="16" t="s">
        <v>410</v>
      </c>
      <c r="H3207" s="16">
        <v>0.1</v>
      </c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16"/>
      <c r="AA3207" s="16"/>
      <c r="AB3207" s="16"/>
      <c r="AC3207" s="16"/>
      <c r="AD3207" s="16"/>
      <c r="AE3207" s="16"/>
      <c r="AF3207" s="16" t="s">
        <v>411</v>
      </c>
    </row>
    <row r="3208" spans="1:32" ht="14.25" customHeight="1" x14ac:dyDescent="0.35">
      <c r="A3208" s="16" t="s">
        <v>1922</v>
      </c>
      <c r="B3208" s="16" t="s">
        <v>427</v>
      </c>
      <c r="C3208" s="16"/>
      <c r="D3208" s="16" t="s">
        <v>530</v>
      </c>
      <c r="E3208" s="17">
        <v>41640</v>
      </c>
      <c r="F3208" s="17">
        <v>41820</v>
      </c>
      <c r="G3208" s="16" t="s">
        <v>410</v>
      </c>
      <c r="H3208" s="16">
        <v>0.1</v>
      </c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  <c r="AA3208" s="16"/>
      <c r="AB3208" s="16"/>
      <c r="AC3208" s="16"/>
      <c r="AD3208" s="16"/>
      <c r="AE3208" s="16"/>
      <c r="AF3208" s="16" t="s">
        <v>411</v>
      </c>
    </row>
    <row r="3209" spans="1:32" ht="14.25" customHeight="1" x14ac:dyDescent="0.35">
      <c r="A3209" s="14" t="s">
        <v>1922</v>
      </c>
      <c r="B3209" s="14" t="s">
        <v>427</v>
      </c>
      <c r="C3209" s="14"/>
      <c r="D3209" s="14" t="s">
        <v>418</v>
      </c>
      <c r="E3209" s="15">
        <v>41640</v>
      </c>
      <c r="F3209" s="15">
        <v>42004</v>
      </c>
      <c r="G3209" s="14" t="s">
        <v>410</v>
      </c>
      <c r="H3209" s="14">
        <v>0.1</v>
      </c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4"/>
      <c r="Z3209" s="14"/>
      <c r="AA3209" s="14"/>
      <c r="AB3209" s="14"/>
      <c r="AC3209" s="14"/>
      <c r="AD3209" s="14"/>
      <c r="AE3209" s="14"/>
      <c r="AF3209" s="14" t="s">
        <v>411</v>
      </c>
    </row>
    <row r="3210" spans="1:32" ht="14.25" customHeight="1" x14ac:dyDescent="0.35">
      <c r="A3210" s="14" t="s">
        <v>1923</v>
      </c>
      <c r="B3210" s="14" t="s">
        <v>427</v>
      </c>
      <c r="C3210" s="14"/>
      <c r="D3210" s="14" t="s">
        <v>453</v>
      </c>
      <c r="E3210" s="15">
        <v>41640</v>
      </c>
      <c r="F3210" s="15">
        <v>42004</v>
      </c>
      <c r="G3210" s="14" t="s">
        <v>415</v>
      </c>
      <c r="H3210" s="14">
        <v>0</v>
      </c>
      <c r="I3210" s="14">
        <v>0</v>
      </c>
      <c r="J3210" s="14">
        <v>0</v>
      </c>
      <c r="K3210" s="14">
        <v>0</v>
      </c>
      <c r="L3210" s="14">
        <v>0</v>
      </c>
      <c r="M3210" s="14">
        <v>0</v>
      </c>
      <c r="N3210" s="14">
        <v>1</v>
      </c>
      <c r="O3210" s="14">
        <v>1</v>
      </c>
      <c r="P3210" s="14">
        <v>1</v>
      </c>
      <c r="Q3210" s="14">
        <v>1</v>
      </c>
      <c r="R3210" s="14">
        <v>1</v>
      </c>
      <c r="S3210" s="14">
        <v>1</v>
      </c>
      <c r="T3210" s="14">
        <v>1</v>
      </c>
      <c r="U3210" s="14">
        <v>1</v>
      </c>
      <c r="V3210" s="14">
        <v>1</v>
      </c>
      <c r="W3210" s="14">
        <v>1</v>
      </c>
      <c r="X3210" s="14">
        <v>1</v>
      </c>
      <c r="Y3210" s="14">
        <v>1</v>
      </c>
      <c r="Z3210" s="14">
        <v>1</v>
      </c>
      <c r="AA3210" s="14">
        <v>1</v>
      </c>
      <c r="AB3210" s="14">
        <v>1</v>
      </c>
      <c r="AC3210" s="14">
        <v>0</v>
      </c>
      <c r="AD3210" s="14">
        <v>0</v>
      </c>
      <c r="AE3210" s="14">
        <v>0</v>
      </c>
      <c r="AF3210" s="14" t="s">
        <v>411</v>
      </c>
    </row>
    <row r="3211" spans="1:32" ht="14.25" customHeight="1" x14ac:dyDescent="0.35">
      <c r="A3211" s="16" t="s">
        <v>1923</v>
      </c>
      <c r="B3211" s="16" t="s">
        <v>427</v>
      </c>
      <c r="C3211" s="16"/>
      <c r="D3211" s="16" t="s">
        <v>1039</v>
      </c>
      <c r="E3211" s="17">
        <v>41640</v>
      </c>
      <c r="F3211" s="17">
        <v>42004</v>
      </c>
      <c r="G3211" s="16" t="s">
        <v>410</v>
      </c>
      <c r="H3211" s="16">
        <v>0</v>
      </c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6"/>
      <c r="AA3211" s="16"/>
      <c r="AB3211" s="16"/>
      <c r="AC3211" s="16"/>
      <c r="AD3211" s="16"/>
      <c r="AE3211" s="16"/>
      <c r="AF3211" s="16" t="s">
        <v>411</v>
      </c>
    </row>
    <row r="3212" spans="1:32" ht="14.25" customHeight="1" x14ac:dyDescent="0.35">
      <c r="A3212" s="14" t="s">
        <v>1924</v>
      </c>
      <c r="B3212" s="14" t="s">
        <v>427</v>
      </c>
      <c r="C3212" s="14"/>
      <c r="D3212" s="14" t="s">
        <v>453</v>
      </c>
      <c r="E3212" s="15">
        <v>41640</v>
      </c>
      <c r="F3212" s="15">
        <v>42004</v>
      </c>
      <c r="G3212" s="14" t="s">
        <v>415</v>
      </c>
      <c r="H3212" s="14">
        <v>0.02</v>
      </c>
      <c r="I3212" s="14">
        <v>0.02</v>
      </c>
      <c r="J3212" s="14">
        <v>0.02</v>
      </c>
      <c r="K3212" s="14">
        <v>0.02</v>
      </c>
      <c r="L3212" s="14">
        <v>0.02</v>
      </c>
      <c r="M3212" s="14">
        <v>0.02</v>
      </c>
      <c r="N3212" s="14">
        <v>0.02</v>
      </c>
      <c r="O3212" s="14">
        <v>0.02</v>
      </c>
      <c r="P3212" s="14">
        <v>0.15</v>
      </c>
      <c r="Q3212" s="14">
        <v>0.15</v>
      </c>
      <c r="R3212" s="14">
        <v>0.2</v>
      </c>
      <c r="S3212" s="14">
        <v>0.2</v>
      </c>
      <c r="T3212" s="14">
        <v>0.2</v>
      </c>
      <c r="U3212" s="14">
        <v>0.1</v>
      </c>
      <c r="V3212" s="14">
        <v>0.1</v>
      </c>
      <c r="W3212" s="14">
        <v>0.02</v>
      </c>
      <c r="X3212" s="14">
        <v>0.02</v>
      </c>
      <c r="Y3212" s="14">
        <v>0.02</v>
      </c>
      <c r="Z3212" s="14">
        <v>0.02</v>
      </c>
      <c r="AA3212" s="14">
        <v>0.02</v>
      </c>
      <c r="AB3212" s="14">
        <v>0.02</v>
      </c>
      <c r="AC3212" s="14">
        <v>0.02</v>
      </c>
      <c r="AD3212" s="14">
        <v>0.02</v>
      </c>
      <c r="AE3212" s="14">
        <v>0.02</v>
      </c>
      <c r="AF3212" s="14" t="s">
        <v>411</v>
      </c>
    </row>
    <row r="3213" spans="1:32" ht="14.25" customHeight="1" x14ac:dyDescent="0.35">
      <c r="A3213" s="16" t="s">
        <v>1924</v>
      </c>
      <c r="B3213" s="16" t="s">
        <v>427</v>
      </c>
      <c r="C3213" s="16"/>
      <c r="D3213" s="16" t="s">
        <v>429</v>
      </c>
      <c r="E3213" s="17">
        <v>41883</v>
      </c>
      <c r="F3213" s="17">
        <v>42004</v>
      </c>
      <c r="G3213" s="16" t="s">
        <v>415</v>
      </c>
      <c r="H3213" s="16">
        <v>0.02</v>
      </c>
      <c r="I3213" s="16">
        <v>0.02</v>
      </c>
      <c r="J3213" s="16">
        <v>0.02</v>
      </c>
      <c r="K3213" s="16">
        <v>0.02</v>
      </c>
      <c r="L3213" s="16">
        <v>0.02</v>
      </c>
      <c r="M3213" s="16">
        <v>0.02</v>
      </c>
      <c r="N3213" s="16">
        <v>0.02</v>
      </c>
      <c r="O3213" s="16">
        <v>0.02</v>
      </c>
      <c r="P3213" s="16">
        <v>0.15</v>
      </c>
      <c r="Q3213" s="16">
        <v>0.15</v>
      </c>
      <c r="R3213" s="16">
        <v>0.2</v>
      </c>
      <c r="S3213" s="16">
        <v>0.2</v>
      </c>
      <c r="T3213" s="16">
        <v>0.2</v>
      </c>
      <c r="U3213" s="16">
        <v>0.1</v>
      </c>
      <c r="V3213" s="16">
        <v>0.1</v>
      </c>
      <c r="W3213" s="16">
        <v>0.02</v>
      </c>
      <c r="X3213" s="16">
        <v>0.02</v>
      </c>
      <c r="Y3213" s="16">
        <v>0.02</v>
      </c>
      <c r="Z3213" s="16">
        <v>0.02</v>
      </c>
      <c r="AA3213" s="16">
        <v>0.02</v>
      </c>
      <c r="AB3213" s="16">
        <v>0.02</v>
      </c>
      <c r="AC3213" s="16">
        <v>0.02</v>
      </c>
      <c r="AD3213" s="16">
        <v>0.02</v>
      </c>
      <c r="AE3213" s="16">
        <v>0.02</v>
      </c>
      <c r="AF3213" s="16" t="s">
        <v>411</v>
      </c>
    </row>
    <row r="3214" spans="1:32" ht="14.25" customHeight="1" x14ac:dyDescent="0.35">
      <c r="A3214" s="16" t="s">
        <v>1924</v>
      </c>
      <c r="B3214" s="16" t="s">
        <v>427</v>
      </c>
      <c r="C3214" s="16"/>
      <c r="D3214" s="16" t="s">
        <v>429</v>
      </c>
      <c r="E3214" s="17">
        <v>41821</v>
      </c>
      <c r="F3214" s="17">
        <v>41883</v>
      </c>
      <c r="G3214" s="16" t="s">
        <v>415</v>
      </c>
      <c r="H3214" s="16">
        <v>0.02</v>
      </c>
      <c r="I3214" s="16">
        <v>0.02</v>
      </c>
      <c r="J3214" s="16">
        <v>0.02</v>
      </c>
      <c r="K3214" s="16">
        <v>0.02</v>
      </c>
      <c r="L3214" s="16">
        <v>0.02</v>
      </c>
      <c r="M3214" s="16">
        <v>0.02</v>
      </c>
      <c r="N3214" s="16">
        <v>0.02</v>
      </c>
      <c r="O3214" s="16">
        <v>0.02</v>
      </c>
      <c r="P3214" s="16">
        <v>0.1</v>
      </c>
      <c r="Q3214" s="16">
        <v>0.1</v>
      </c>
      <c r="R3214" s="16">
        <v>0.15</v>
      </c>
      <c r="S3214" s="16">
        <v>0.15</v>
      </c>
      <c r="T3214" s="16">
        <v>0.15</v>
      </c>
      <c r="U3214" s="16">
        <v>0.1</v>
      </c>
      <c r="V3214" s="16">
        <v>0.1</v>
      </c>
      <c r="W3214" s="16">
        <v>0.02</v>
      </c>
      <c r="X3214" s="16">
        <v>0.02</v>
      </c>
      <c r="Y3214" s="16">
        <v>0.02</v>
      </c>
      <c r="Z3214" s="16">
        <v>0.02</v>
      </c>
      <c r="AA3214" s="16">
        <v>0.02</v>
      </c>
      <c r="AB3214" s="16">
        <v>0.02</v>
      </c>
      <c r="AC3214" s="16">
        <v>0.02</v>
      </c>
      <c r="AD3214" s="16">
        <v>0.02</v>
      </c>
      <c r="AE3214" s="16">
        <v>0.02</v>
      </c>
      <c r="AF3214" s="16" t="s">
        <v>411</v>
      </c>
    </row>
    <row r="3215" spans="1:32" ht="14.25" customHeight="1" x14ac:dyDescent="0.35">
      <c r="A3215" s="14" t="s">
        <v>1924</v>
      </c>
      <c r="B3215" s="14" t="s">
        <v>427</v>
      </c>
      <c r="C3215" s="14"/>
      <c r="D3215" s="14" t="s">
        <v>530</v>
      </c>
      <c r="E3215" s="15">
        <v>41883</v>
      </c>
      <c r="F3215" s="15">
        <v>42004</v>
      </c>
      <c r="G3215" s="14" t="s">
        <v>410</v>
      </c>
      <c r="H3215" s="14">
        <v>0.02</v>
      </c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S3215" s="14"/>
      <c r="T3215" s="14"/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 t="s">
        <v>411</v>
      </c>
    </row>
    <row r="3216" spans="1:32" ht="14.25" customHeight="1" x14ac:dyDescent="0.35">
      <c r="A3216" s="14" t="s">
        <v>1924</v>
      </c>
      <c r="B3216" s="14" t="s">
        <v>427</v>
      </c>
      <c r="C3216" s="14"/>
      <c r="D3216" s="14" t="s">
        <v>530</v>
      </c>
      <c r="E3216" s="15">
        <v>41821</v>
      </c>
      <c r="F3216" s="15">
        <v>41883</v>
      </c>
      <c r="G3216" s="14" t="s">
        <v>410</v>
      </c>
      <c r="H3216" s="14">
        <v>0.02</v>
      </c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  <c r="AA3216" s="14"/>
      <c r="AB3216" s="14"/>
      <c r="AC3216" s="14"/>
      <c r="AD3216" s="14"/>
      <c r="AE3216" s="14"/>
      <c r="AF3216" s="14" t="s">
        <v>411</v>
      </c>
    </row>
    <row r="3217" spans="1:32" ht="14.25" customHeight="1" x14ac:dyDescent="0.35">
      <c r="A3217" s="14" t="s">
        <v>1924</v>
      </c>
      <c r="B3217" s="14" t="s">
        <v>427</v>
      </c>
      <c r="C3217" s="14"/>
      <c r="D3217" s="14" t="s">
        <v>530</v>
      </c>
      <c r="E3217" s="15">
        <v>41640</v>
      </c>
      <c r="F3217" s="15">
        <v>41820</v>
      </c>
      <c r="G3217" s="14" t="s">
        <v>410</v>
      </c>
      <c r="H3217" s="14">
        <v>0.02</v>
      </c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S3217" s="14"/>
      <c r="T3217" s="14"/>
      <c r="U3217" s="14"/>
      <c r="V3217" s="14"/>
      <c r="W3217" s="14"/>
      <c r="X3217" s="14"/>
      <c r="Y3217" s="14"/>
      <c r="Z3217" s="14"/>
      <c r="AA3217" s="14"/>
      <c r="AB3217" s="14"/>
      <c r="AC3217" s="14"/>
      <c r="AD3217" s="14"/>
      <c r="AE3217" s="14"/>
      <c r="AF3217" s="14" t="s">
        <v>411</v>
      </c>
    </row>
    <row r="3218" spans="1:32" ht="14.25" customHeight="1" x14ac:dyDescent="0.35">
      <c r="A3218" s="16" t="s">
        <v>1924</v>
      </c>
      <c r="B3218" s="16" t="s">
        <v>427</v>
      </c>
      <c r="C3218" s="16"/>
      <c r="D3218" s="16" t="s">
        <v>418</v>
      </c>
      <c r="E3218" s="17">
        <v>41640</v>
      </c>
      <c r="F3218" s="17">
        <v>42004</v>
      </c>
      <c r="G3218" s="16" t="s">
        <v>410</v>
      </c>
      <c r="H3218" s="16">
        <v>0.02</v>
      </c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  <c r="AC3218" s="16"/>
      <c r="AD3218" s="16"/>
      <c r="AE3218" s="16"/>
      <c r="AF3218" s="16" t="s">
        <v>411</v>
      </c>
    </row>
    <row r="3219" spans="1:32" ht="14.25" customHeight="1" x14ac:dyDescent="0.35">
      <c r="A3219" s="16" t="s">
        <v>1925</v>
      </c>
      <c r="B3219" s="16" t="s">
        <v>448</v>
      </c>
      <c r="C3219" s="16"/>
      <c r="D3219" s="16" t="s">
        <v>453</v>
      </c>
      <c r="E3219" s="17">
        <v>41640</v>
      </c>
      <c r="F3219" s="17">
        <v>42004</v>
      </c>
      <c r="G3219" s="16" t="s">
        <v>415</v>
      </c>
      <c r="H3219" s="16">
        <v>0</v>
      </c>
      <c r="I3219" s="16">
        <v>0</v>
      </c>
      <c r="J3219" s="16">
        <v>0</v>
      </c>
      <c r="K3219" s="16">
        <v>0</v>
      </c>
      <c r="L3219" s="16">
        <v>0</v>
      </c>
      <c r="M3219" s="16">
        <v>0</v>
      </c>
      <c r="N3219" s="16">
        <v>0</v>
      </c>
      <c r="O3219" s="16">
        <v>0</v>
      </c>
      <c r="P3219" s="16">
        <v>0.95</v>
      </c>
      <c r="Q3219" s="16">
        <v>0.95</v>
      </c>
      <c r="R3219" s="16">
        <v>0.95</v>
      </c>
      <c r="S3219" s="16">
        <v>0.95</v>
      </c>
      <c r="T3219" s="16">
        <v>0.95</v>
      </c>
      <c r="U3219" s="16">
        <v>0.95</v>
      </c>
      <c r="V3219" s="16">
        <v>0.95</v>
      </c>
      <c r="W3219" s="16">
        <v>0.95</v>
      </c>
      <c r="X3219" s="16">
        <v>0.95</v>
      </c>
      <c r="Y3219" s="16">
        <v>0.15</v>
      </c>
      <c r="Z3219" s="16">
        <v>0.15</v>
      </c>
      <c r="AA3219" s="16">
        <v>0.15</v>
      </c>
      <c r="AB3219" s="16">
        <v>0.15</v>
      </c>
      <c r="AC3219" s="16">
        <v>0</v>
      </c>
      <c r="AD3219" s="16">
        <v>0</v>
      </c>
      <c r="AE3219" s="16">
        <v>0</v>
      </c>
      <c r="AF3219" s="16" t="s">
        <v>411</v>
      </c>
    </row>
    <row r="3220" spans="1:32" ht="14.25" customHeight="1" x14ac:dyDescent="0.35">
      <c r="A3220" s="14" t="s">
        <v>1925</v>
      </c>
      <c r="B3220" s="14" t="s">
        <v>448</v>
      </c>
      <c r="C3220" s="14"/>
      <c r="D3220" s="14" t="s">
        <v>429</v>
      </c>
      <c r="E3220" s="15">
        <v>41883</v>
      </c>
      <c r="F3220" s="15">
        <v>42004</v>
      </c>
      <c r="G3220" s="14" t="s">
        <v>415</v>
      </c>
      <c r="H3220" s="14">
        <v>0</v>
      </c>
      <c r="I3220" s="14">
        <v>0</v>
      </c>
      <c r="J3220" s="14">
        <v>0</v>
      </c>
      <c r="K3220" s="14">
        <v>0</v>
      </c>
      <c r="L3220" s="14">
        <v>0</v>
      </c>
      <c r="M3220" s="14">
        <v>0</v>
      </c>
      <c r="N3220" s="14">
        <v>0</v>
      </c>
      <c r="O3220" s="14">
        <v>0</v>
      </c>
      <c r="P3220" s="14">
        <v>0.95</v>
      </c>
      <c r="Q3220" s="14">
        <v>0.95</v>
      </c>
      <c r="R3220" s="14">
        <v>0.95</v>
      </c>
      <c r="S3220" s="14">
        <v>0.95</v>
      </c>
      <c r="T3220" s="14">
        <v>0.95</v>
      </c>
      <c r="U3220" s="14">
        <v>0.95</v>
      </c>
      <c r="V3220" s="14">
        <v>0.95</v>
      </c>
      <c r="W3220" s="14">
        <v>0.95</v>
      </c>
      <c r="X3220" s="14">
        <v>0.95</v>
      </c>
      <c r="Y3220" s="14">
        <v>0.15</v>
      </c>
      <c r="Z3220" s="14">
        <v>0.15</v>
      </c>
      <c r="AA3220" s="14">
        <v>0.15</v>
      </c>
      <c r="AB3220" s="14">
        <v>0.15</v>
      </c>
      <c r="AC3220" s="14">
        <v>0</v>
      </c>
      <c r="AD3220" s="14">
        <v>0</v>
      </c>
      <c r="AE3220" s="14">
        <v>0</v>
      </c>
      <c r="AF3220" s="14" t="s">
        <v>411</v>
      </c>
    </row>
    <row r="3221" spans="1:32" ht="14.25" customHeight="1" x14ac:dyDescent="0.35">
      <c r="A3221" s="14" t="s">
        <v>1925</v>
      </c>
      <c r="B3221" s="14" t="s">
        <v>448</v>
      </c>
      <c r="C3221" s="14"/>
      <c r="D3221" s="14" t="s">
        <v>429</v>
      </c>
      <c r="E3221" s="15">
        <v>41821</v>
      </c>
      <c r="F3221" s="15">
        <v>41883</v>
      </c>
      <c r="G3221" s="14" t="s">
        <v>415</v>
      </c>
      <c r="H3221" s="14">
        <v>0</v>
      </c>
      <c r="I3221" s="14">
        <v>0</v>
      </c>
      <c r="J3221" s="14">
        <v>0</v>
      </c>
      <c r="K3221" s="14">
        <v>0</v>
      </c>
      <c r="L3221" s="14">
        <v>0</v>
      </c>
      <c r="M3221" s="14">
        <v>0</v>
      </c>
      <c r="N3221" s="14">
        <v>0</v>
      </c>
      <c r="O3221" s="14">
        <v>0</v>
      </c>
      <c r="P3221" s="14">
        <v>0.5</v>
      </c>
      <c r="Q3221" s="14">
        <v>0.5</v>
      </c>
      <c r="R3221" s="14">
        <v>0.5</v>
      </c>
      <c r="S3221" s="14">
        <v>0.5</v>
      </c>
      <c r="T3221" s="14">
        <v>0.5</v>
      </c>
      <c r="U3221" s="14">
        <v>0.5</v>
      </c>
      <c r="V3221" s="14">
        <v>0.5</v>
      </c>
      <c r="W3221" s="14">
        <v>0.5</v>
      </c>
      <c r="X3221" s="14">
        <v>0.5</v>
      </c>
      <c r="Y3221" s="14">
        <v>0</v>
      </c>
      <c r="Z3221" s="14">
        <v>0</v>
      </c>
      <c r="AA3221" s="14">
        <v>0</v>
      </c>
      <c r="AB3221" s="14">
        <v>0</v>
      </c>
      <c r="AC3221" s="14">
        <v>0</v>
      </c>
      <c r="AD3221" s="14">
        <v>0</v>
      </c>
      <c r="AE3221" s="14">
        <v>0</v>
      </c>
      <c r="AF3221" s="14" t="s">
        <v>411</v>
      </c>
    </row>
    <row r="3222" spans="1:32" ht="14.25" customHeight="1" x14ac:dyDescent="0.35">
      <c r="A3222" s="16" t="s">
        <v>1925</v>
      </c>
      <c r="B3222" s="16" t="s">
        <v>448</v>
      </c>
      <c r="C3222" s="16"/>
      <c r="D3222" s="16" t="s">
        <v>530</v>
      </c>
      <c r="E3222" s="17">
        <v>41883</v>
      </c>
      <c r="F3222" s="17">
        <v>42004</v>
      </c>
      <c r="G3222" s="16" t="s">
        <v>410</v>
      </c>
      <c r="H3222" s="16">
        <v>0</v>
      </c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6"/>
      <c r="AA3222" s="16"/>
      <c r="AB3222" s="16"/>
      <c r="AC3222" s="16"/>
      <c r="AD3222" s="16"/>
      <c r="AE3222" s="16"/>
      <c r="AF3222" s="16" t="s">
        <v>411</v>
      </c>
    </row>
    <row r="3223" spans="1:32" ht="14.25" customHeight="1" x14ac:dyDescent="0.35">
      <c r="A3223" s="16" t="s">
        <v>1925</v>
      </c>
      <c r="B3223" s="16" t="s">
        <v>448</v>
      </c>
      <c r="C3223" s="16"/>
      <c r="D3223" s="16" t="s">
        <v>530</v>
      </c>
      <c r="E3223" s="17">
        <v>41821</v>
      </c>
      <c r="F3223" s="17">
        <v>41883</v>
      </c>
      <c r="G3223" s="16" t="s">
        <v>410</v>
      </c>
      <c r="H3223" s="16">
        <v>0</v>
      </c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16"/>
      <c r="AA3223" s="16"/>
      <c r="AB3223" s="16"/>
      <c r="AC3223" s="16"/>
      <c r="AD3223" s="16"/>
      <c r="AE3223" s="16"/>
      <c r="AF3223" s="16" t="s">
        <v>411</v>
      </c>
    </row>
    <row r="3224" spans="1:32" ht="14.25" customHeight="1" x14ac:dyDescent="0.35">
      <c r="A3224" s="16" t="s">
        <v>1925</v>
      </c>
      <c r="B3224" s="16" t="s">
        <v>448</v>
      </c>
      <c r="C3224" s="16"/>
      <c r="D3224" s="16" t="s">
        <v>530</v>
      </c>
      <c r="E3224" s="17">
        <v>41640</v>
      </c>
      <c r="F3224" s="17">
        <v>41820</v>
      </c>
      <c r="G3224" s="16" t="s">
        <v>410</v>
      </c>
      <c r="H3224" s="16">
        <v>0</v>
      </c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  <c r="AA3224" s="16"/>
      <c r="AB3224" s="16"/>
      <c r="AC3224" s="16"/>
      <c r="AD3224" s="16"/>
      <c r="AE3224" s="16"/>
      <c r="AF3224" s="16" t="s">
        <v>411</v>
      </c>
    </row>
    <row r="3225" spans="1:32" ht="14.25" customHeight="1" x14ac:dyDescent="0.35">
      <c r="A3225" s="14" t="s">
        <v>1925</v>
      </c>
      <c r="B3225" s="14" t="s">
        <v>448</v>
      </c>
      <c r="C3225" s="14"/>
      <c r="D3225" s="14" t="s">
        <v>418</v>
      </c>
      <c r="E3225" s="15">
        <v>41640</v>
      </c>
      <c r="F3225" s="15">
        <v>42004</v>
      </c>
      <c r="G3225" s="14" t="s">
        <v>410</v>
      </c>
      <c r="H3225" s="14">
        <v>0</v>
      </c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  <c r="AA3225" s="14"/>
      <c r="AB3225" s="14"/>
      <c r="AC3225" s="14"/>
      <c r="AD3225" s="14"/>
      <c r="AE3225" s="14"/>
      <c r="AF3225" s="14" t="s">
        <v>411</v>
      </c>
    </row>
    <row r="3226" spans="1:32" ht="14.25" customHeight="1" x14ac:dyDescent="0.35">
      <c r="A3226" s="14" t="s">
        <v>1926</v>
      </c>
      <c r="B3226" s="14" t="s">
        <v>600</v>
      </c>
      <c r="C3226" s="14" t="s">
        <v>1290</v>
      </c>
      <c r="D3226" s="14" t="s">
        <v>453</v>
      </c>
      <c r="E3226" s="15">
        <v>41640</v>
      </c>
      <c r="F3226" s="15">
        <v>42004</v>
      </c>
      <c r="G3226" s="15" t="s">
        <v>415</v>
      </c>
      <c r="H3226" s="33">
        <v>0</v>
      </c>
      <c r="I3226" s="33">
        <v>0</v>
      </c>
      <c r="J3226" s="33">
        <v>0</v>
      </c>
      <c r="K3226" s="33">
        <v>0</v>
      </c>
      <c r="L3226" s="33">
        <v>0</v>
      </c>
      <c r="M3226" s="33">
        <v>0</v>
      </c>
      <c r="N3226" s="33">
        <v>1</v>
      </c>
      <c r="O3226" s="33">
        <v>1</v>
      </c>
      <c r="P3226" s="33">
        <v>1</v>
      </c>
      <c r="Q3226" s="33">
        <v>1</v>
      </c>
      <c r="R3226" s="33">
        <v>1</v>
      </c>
      <c r="S3226" s="33">
        <v>1</v>
      </c>
      <c r="T3226" s="33">
        <v>1</v>
      </c>
      <c r="U3226" s="33">
        <v>1</v>
      </c>
      <c r="V3226" s="33">
        <v>1</v>
      </c>
      <c r="W3226" s="33">
        <v>1</v>
      </c>
      <c r="X3226" s="33">
        <v>1</v>
      </c>
      <c r="Y3226" s="33">
        <v>1</v>
      </c>
      <c r="Z3226" s="33">
        <v>1</v>
      </c>
      <c r="AA3226" s="20">
        <v>0</v>
      </c>
      <c r="AB3226" s="20">
        <v>0</v>
      </c>
      <c r="AC3226" s="20">
        <v>0</v>
      </c>
      <c r="AD3226" s="20">
        <v>0</v>
      </c>
      <c r="AE3226" s="20">
        <v>0</v>
      </c>
      <c r="AF3226" s="14"/>
    </row>
    <row r="3227" spans="1:32" ht="14.25" customHeight="1" x14ac:dyDescent="0.35">
      <c r="A3227" s="16" t="s">
        <v>1926</v>
      </c>
      <c r="B3227" s="16" t="s">
        <v>600</v>
      </c>
      <c r="C3227" s="16" t="s">
        <v>1290</v>
      </c>
      <c r="D3227" s="16" t="s">
        <v>1927</v>
      </c>
      <c r="E3227" s="17">
        <v>41640</v>
      </c>
      <c r="F3227" s="17">
        <v>42004</v>
      </c>
      <c r="G3227" s="17" t="s">
        <v>415</v>
      </c>
      <c r="H3227" s="32">
        <v>0</v>
      </c>
      <c r="I3227" s="32">
        <v>0</v>
      </c>
      <c r="J3227" s="32">
        <v>0</v>
      </c>
      <c r="K3227" s="32">
        <v>0</v>
      </c>
      <c r="L3227" s="32">
        <v>0</v>
      </c>
      <c r="M3227" s="32">
        <v>0</v>
      </c>
      <c r="N3227" s="32">
        <v>1</v>
      </c>
      <c r="O3227" s="32">
        <v>1</v>
      </c>
      <c r="P3227" s="32">
        <v>1</v>
      </c>
      <c r="Q3227" s="32">
        <v>1</v>
      </c>
      <c r="R3227" s="32">
        <v>1</v>
      </c>
      <c r="S3227" s="32">
        <v>1</v>
      </c>
      <c r="T3227" s="32">
        <v>1</v>
      </c>
      <c r="U3227" s="32">
        <v>1</v>
      </c>
      <c r="V3227" s="32">
        <v>1</v>
      </c>
      <c r="W3227" s="32">
        <v>1</v>
      </c>
      <c r="X3227" s="32">
        <v>1</v>
      </c>
      <c r="Y3227" s="32">
        <v>1</v>
      </c>
      <c r="Z3227" s="32">
        <v>1</v>
      </c>
      <c r="AA3227" s="27">
        <v>0</v>
      </c>
      <c r="AB3227" s="27">
        <v>0</v>
      </c>
      <c r="AC3227" s="27">
        <v>0</v>
      </c>
      <c r="AD3227" s="27">
        <v>0</v>
      </c>
      <c r="AE3227" s="27">
        <v>0</v>
      </c>
      <c r="AF3227" s="16"/>
    </row>
    <row r="3228" spans="1:32" ht="14.25" customHeight="1" x14ac:dyDescent="0.35">
      <c r="A3228" s="14" t="s">
        <v>1926</v>
      </c>
      <c r="B3228" s="14" t="s">
        <v>600</v>
      </c>
      <c r="C3228" s="14" t="s">
        <v>1290</v>
      </c>
      <c r="D3228" s="14" t="s">
        <v>511</v>
      </c>
      <c r="E3228" s="15">
        <v>41640</v>
      </c>
      <c r="F3228" s="15">
        <v>42004</v>
      </c>
      <c r="G3228" s="15" t="s">
        <v>410</v>
      </c>
      <c r="H3228" s="20">
        <v>0</v>
      </c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  <c r="AA3228" s="21"/>
      <c r="AB3228" s="21"/>
      <c r="AC3228" s="21"/>
      <c r="AD3228" s="21"/>
      <c r="AE3228" s="21"/>
      <c r="AF3228" s="14"/>
    </row>
    <row r="3229" spans="1:32" ht="14.25" customHeight="1" x14ac:dyDescent="0.35">
      <c r="A3229" s="16" t="s">
        <v>1928</v>
      </c>
      <c r="B3229" s="16" t="s">
        <v>600</v>
      </c>
      <c r="C3229" s="16" t="s">
        <v>1290</v>
      </c>
      <c r="D3229" s="16" t="s">
        <v>453</v>
      </c>
      <c r="E3229" s="17">
        <v>41640</v>
      </c>
      <c r="F3229" s="17">
        <v>42004</v>
      </c>
      <c r="G3229" s="17" t="s">
        <v>415</v>
      </c>
      <c r="H3229" s="32">
        <v>0</v>
      </c>
      <c r="I3229" s="32">
        <v>0</v>
      </c>
      <c r="J3229" s="32">
        <v>0</v>
      </c>
      <c r="K3229" s="32">
        <v>0</v>
      </c>
      <c r="L3229" s="32">
        <v>0</v>
      </c>
      <c r="M3229" s="32">
        <v>0</v>
      </c>
      <c r="N3229" s="32">
        <v>1</v>
      </c>
      <c r="O3229" s="32">
        <v>1</v>
      </c>
      <c r="P3229" s="32">
        <v>1</v>
      </c>
      <c r="Q3229" s="32">
        <v>1</v>
      </c>
      <c r="R3229" s="32">
        <v>1</v>
      </c>
      <c r="S3229" s="32">
        <v>1</v>
      </c>
      <c r="T3229" s="32">
        <v>1</v>
      </c>
      <c r="U3229" s="32">
        <v>1</v>
      </c>
      <c r="V3229" s="32">
        <v>1</v>
      </c>
      <c r="W3229" s="32">
        <v>1</v>
      </c>
      <c r="X3229" s="32">
        <v>1</v>
      </c>
      <c r="Y3229" s="32">
        <v>1</v>
      </c>
      <c r="Z3229" s="32">
        <v>1</v>
      </c>
      <c r="AA3229" s="27">
        <v>0</v>
      </c>
      <c r="AB3229" s="27">
        <v>0</v>
      </c>
      <c r="AC3229" s="27">
        <v>0</v>
      </c>
      <c r="AD3229" s="27">
        <v>0</v>
      </c>
      <c r="AE3229" s="27">
        <v>0</v>
      </c>
      <c r="AF3229" s="16"/>
    </row>
    <row r="3230" spans="1:32" ht="14.25" customHeight="1" x14ac:dyDescent="0.35">
      <c r="A3230" s="14" t="s">
        <v>1928</v>
      </c>
      <c r="B3230" s="14" t="s">
        <v>600</v>
      </c>
      <c r="C3230" s="14" t="s">
        <v>1290</v>
      </c>
      <c r="D3230" s="14" t="s">
        <v>1927</v>
      </c>
      <c r="E3230" s="15">
        <v>41640</v>
      </c>
      <c r="F3230" s="15">
        <v>42004</v>
      </c>
      <c r="G3230" s="15" t="s">
        <v>415</v>
      </c>
      <c r="H3230" s="33">
        <v>0</v>
      </c>
      <c r="I3230" s="33">
        <v>0</v>
      </c>
      <c r="J3230" s="33">
        <v>0</v>
      </c>
      <c r="K3230" s="33">
        <v>0</v>
      </c>
      <c r="L3230" s="33">
        <v>0</v>
      </c>
      <c r="M3230" s="33">
        <v>0</v>
      </c>
      <c r="N3230" s="33">
        <v>1</v>
      </c>
      <c r="O3230" s="33">
        <v>1</v>
      </c>
      <c r="P3230" s="33">
        <v>1</v>
      </c>
      <c r="Q3230" s="33">
        <v>1</v>
      </c>
      <c r="R3230" s="33">
        <v>1</v>
      </c>
      <c r="S3230" s="33">
        <v>1</v>
      </c>
      <c r="T3230" s="33">
        <v>1</v>
      </c>
      <c r="U3230" s="33">
        <v>1</v>
      </c>
      <c r="V3230" s="33">
        <v>1</v>
      </c>
      <c r="W3230" s="33">
        <v>1</v>
      </c>
      <c r="X3230" s="33">
        <v>1</v>
      </c>
      <c r="Y3230" s="33">
        <v>1</v>
      </c>
      <c r="Z3230" s="33">
        <v>1</v>
      </c>
      <c r="AA3230" s="20">
        <v>0</v>
      </c>
      <c r="AB3230" s="20">
        <v>0</v>
      </c>
      <c r="AC3230" s="20">
        <v>0</v>
      </c>
      <c r="AD3230" s="20">
        <v>0</v>
      </c>
      <c r="AE3230" s="20">
        <v>0</v>
      </c>
      <c r="AF3230" s="14"/>
    </row>
    <row r="3231" spans="1:32" ht="14.25" customHeight="1" x14ac:dyDescent="0.35">
      <c r="A3231" s="16" t="s">
        <v>1928</v>
      </c>
      <c r="B3231" s="16" t="s">
        <v>600</v>
      </c>
      <c r="C3231" s="16" t="s">
        <v>1290</v>
      </c>
      <c r="D3231" s="16" t="s">
        <v>511</v>
      </c>
      <c r="E3231" s="17">
        <v>41640</v>
      </c>
      <c r="F3231" s="17">
        <v>42004</v>
      </c>
      <c r="G3231" s="17" t="s">
        <v>410</v>
      </c>
      <c r="H3231" s="27">
        <v>0</v>
      </c>
      <c r="I3231" s="28"/>
      <c r="J3231" s="28"/>
      <c r="K3231" s="28"/>
      <c r="L3231" s="28"/>
      <c r="M3231" s="28"/>
      <c r="N3231" s="28"/>
      <c r="O3231" s="28"/>
      <c r="P3231" s="28"/>
      <c r="Q3231" s="28"/>
      <c r="R3231" s="28"/>
      <c r="S3231" s="28"/>
      <c r="T3231" s="28"/>
      <c r="U3231" s="28"/>
      <c r="V3231" s="28"/>
      <c r="W3231" s="28"/>
      <c r="X3231" s="28"/>
      <c r="Y3231" s="28"/>
      <c r="Z3231" s="28"/>
      <c r="AA3231" s="28"/>
      <c r="AB3231" s="28"/>
      <c r="AC3231" s="28"/>
      <c r="AD3231" s="28"/>
      <c r="AE3231" s="28"/>
      <c r="AF3231" s="16"/>
    </row>
    <row r="3232" spans="1:32" ht="14.25" customHeight="1" x14ac:dyDescent="0.35">
      <c r="A3232" s="14" t="s">
        <v>1929</v>
      </c>
      <c r="B3232" s="14" t="s">
        <v>600</v>
      </c>
      <c r="C3232" s="14" t="s">
        <v>1290</v>
      </c>
      <c r="D3232" s="14" t="s">
        <v>453</v>
      </c>
      <c r="E3232" s="15">
        <v>41640</v>
      </c>
      <c r="F3232" s="15">
        <v>42004</v>
      </c>
      <c r="G3232" s="15" t="s">
        <v>415</v>
      </c>
      <c r="H3232" s="20">
        <v>0</v>
      </c>
      <c r="I3232" s="20">
        <v>0</v>
      </c>
      <c r="J3232" s="20">
        <v>0</v>
      </c>
      <c r="K3232" s="20">
        <v>0</v>
      </c>
      <c r="L3232" s="20">
        <v>0</v>
      </c>
      <c r="M3232" s="20">
        <v>0</v>
      </c>
      <c r="N3232" s="20">
        <v>1</v>
      </c>
      <c r="O3232" s="20">
        <v>1</v>
      </c>
      <c r="P3232" s="20">
        <v>1</v>
      </c>
      <c r="Q3232" s="20">
        <v>1</v>
      </c>
      <c r="R3232" s="20">
        <v>1</v>
      </c>
      <c r="S3232" s="20">
        <v>1</v>
      </c>
      <c r="T3232" s="20">
        <v>1</v>
      </c>
      <c r="U3232" s="20">
        <v>1</v>
      </c>
      <c r="V3232" s="20">
        <v>1</v>
      </c>
      <c r="W3232" s="20">
        <v>1</v>
      </c>
      <c r="X3232" s="20">
        <v>1</v>
      </c>
      <c r="Y3232" s="20">
        <v>1</v>
      </c>
      <c r="Z3232" s="20">
        <v>1</v>
      </c>
      <c r="AA3232" s="20">
        <v>1</v>
      </c>
      <c r="AB3232" s="20">
        <v>1</v>
      </c>
      <c r="AC3232" s="20">
        <v>1</v>
      </c>
      <c r="AD3232" s="20">
        <v>0</v>
      </c>
      <c r="AE3232" s="20">
        <v>0</v>
      </c>
      <c r="AF3232" s="14"/>
    </row>
    <row r="3233" spans="1:32" ht="14.25" customHeight="1" x14ac:dyDescent="0.35">
      <c r="A3233" s="14" t="s">
        <v>1929</v>
      </c>
      <c r="B3233" s="14" t="s">
        <v>600</v>
      </c>
      <c r="C3233" s="14" t="s">
        <v>1290</v>
      </c>
      <c r="D3233" s="14" t="s">
        <v>1291</v>
      </c>
      <c r="E3233" s="15">
        <v>41640</v>
      </c>
      <c r="F3233" s="15">
        <v>42004</v>
      </c>
      <c r="G3233" s="15" t="s">
        <v>410</v>
      </c>
      <c r="H3233" s="20">
        <v>0</v>
      </c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  <c r="AA3233" s="21"/>
      <c r="AB3233" s="21"/>
      <c r="AC3233" s="21"/>
      <c r="AD3233" s="21"/>
      <c r="AE3233" s="21"/>
      <c r="AF3233" s="14"/>
    </row>
    <row r="3234" spans="1:32" ht="14.25" customHeight="1" x14ac:dyDescent="0.35">
      <c r="A3234" s="16" t="s">
        <v>1930</v>
      </c>
      <c r="B3234" s="16" t="s">
        <v>600</v>
      </c>
      <c r="C3234" s="16" t="s">
        <v>1290</v>
      </c>
      <c r="D3234" s="16" t="s">
        <v>453</v>
      </c>
      <c r="E3234" s="17">
        <v>41640</v>
      </c>
      <c r="F3234" s="17">
        <v>42004</v>
      </c>
      <c r="G3234" s="17" t="s">
        <v>415</v>
      </c>
      <c r="H3234" s="27">
        <v>0</v>
      </c>
      <c r="I3234" s="27">
        <v>0</v>
      </c>
      <c r="J3234" s="27">
        <v>0</v>
      </c>
      <c r="K3234" s="27">
        <v>0</v>
      </c>
      <c r="L3234" s="27">
        <v>0</v>
      </c>
      <c r="M3234" s="27">
        <v>0</v>
      </c>
      <c r="N3234" s="27">
        <v>1</v>
      </c>
      <c r="O3234" s="27">
        <v>1</v>
      </c>
      <c r="P3234" s="27">
        <v>1</v>
      </c>
      <c r="Q3234" s="27">
        <v>1</v>
      </c>
      <c r="R3234" s="27">
        <v>1</v>
      </c>
      <c r="S3234" s="27">
        <v>1</v>
      </c>
      <c r="T3234" s="27">
        <v>1</v>
      </c>
      <c r="U3234" s="27">
        <v>1</v>
      </c>
      <c r="V3234" s="27">
        <v>1</v>
      </c>
      <c r="W3234" s="27">
        <v>1</v>
      </c>
      <c r="X3234" s="27">
        <v>1</v>
      </c>
      <c r="Y3234" s="27">
        <v>1</v>
      </c>
      <c r="Z3234" s="27">
        <v>1</v>
      </c>
      <c r="AA3234" s="27">
        <v>1</v>
      </c>
      <c r="AB3234" s="27">
        <v>1</v>
      </c>
      <c r="AC3234" s="27">
        <v>1</v>
      </c>
      <c r="AD3234" s="27">
        <v>0</v>
      </c>
      <c r="AE3234" s="27">
        <v>0</v>
      </c>
      <c r="AF3234" s="16"/>
    </row>
    <row r="3235" spans="1:32" ht="14.25" customHeight="1" x14ac:dyDescent="0.35">
      <c r="A3235" s="14" t="s">
        <v>1930</v>
      </c>
      <c r="B3235" s="14" t="s">
        <v>600</v>
      </c>
      <c r="C3235" s="14" t="s">
        <v>1290</v>
      </c>
      <c r="D3235" s="14" t="s">
        <v>1927</v>
      </c>
      <c r="E3235" s="15">
        <v>41640</v>
      </c>
      <c r="F3235" s="15">
        <v>42004</v>
      </c>
      <c r="G3235" s="15" t="s">
        <v>415</v>
      </c>
      <c r="H3235" s="20">
        <v>0</v>
      </c>
      <c r="I3235" s="20">
        <v>0</v>
      </c>
      <c r="J3235" s="20">
        <v>0</v>
      </c>
      <c r="K3235" s="20">
        <v>0</v>
      </c>
      <c r="L3235" s="20">
        <v>0</v>
      </c>
      <c r="M3235" s="20">
        <v>0</v>
      </c>
      <c r="N3235" s="20">
        <v>1</v>
      </c>
      <c r="O3235" s="20">
        <v>1</v>
      </c>
      <c r="P3235" s="20">
        <v>1</v>
      </c>
      <c r="Q3235" s="20">
        <v>1</v>
      </c>
      <c r="R3235" s="20">
        <v>1</v>
      </c>
      <c r="S3235" s="20">
        <v>1</v>
      </c>
      <c r="T3235" s="20">
        <v>1</v>
      </c>
      <c r="U3235" s="20">
        <v>1</v>
      </c>
      <c r="V3235" s="20">
        <v>1</v>
      </c>
      <c r="W3235" s="20">
        <v>1</v>
      </c>
      <c r="X3235" s="20">
        <v>1</v>
      </c>
      <c r="Y3235" s="20">
        <v>1</v>
      </c>
      <c r="Z3235" s="20">
        <v>0</v>
      </c>
      <c r="AA3235" s="20">
        <v>0</v>
      </c>
      <c r="AB3235" s="20">
        <v>0</v>
      </c>
      <c r="AC3235" s="20">
        <v>0</v>
      </c>
      <c r="AD3235" s="20">
        <v>0</v>
      </c>
      <c r="AE3235" s="20">
        <v>0</v>
      </c>
      <c r="AF3235" s="14"/>
    </row>
    <row r="3236" spans="1:32" ht="14.25" customHeight="1" x14ac:dyDescent="0.35">
      <c r="A3236" s="16" t="s">
        <v>1930</v>
      </c>
      <c r="B3236" s="16" t="s">
        <v>600</v>
      </c>
      <c r="C3236" s="16" t="s">
        <v>1290</v>
      </c>
      <c r="D3236" s="16" t="s">
        <v>511</v>
      </c>
      <c r="E3236" s="17">
        <v>41640</v>
      </c>
      <c r="F3236" s="17">
        <v>42004</v>
      </c>
      <c r="G3236" s="17" t="s">
        <v>410</v>
      </c>
      <c r="H3236" s="27">
        <v>0</v>
      </c>
      <c r="I3236" s="28"/>
      <c r="J3236" s="28"/>
      <c r="K3236" s="28"/>
      <c r="L3236" s="28"/>
      <c r="M3236" s="28"/>
      <c r="N3236" s="28"/>
      <c r="O3236" s="28"/>
      <c r="P3236" s="28"/>
      <c r="Q3236" s="28"/>
      <c r="R3236" s="28"/>
      <c r="S3236" s="28"/>
      <c r="T3236" s="28"/>
      <c r="U3236" s="28"/>
      <c r="V3236" s="28"/>
      <c r="W3236" s="28"/>
      <c r="X3236" s="28"/>
      <c r="Y3236" s="28"/>
      <c r="Z3236" s="28"/>
      <c r="AA3236" s="28"/>
      <c r="AB3236" s="28"/>
      <c r="AC3236" s="28"/>
      <c r="AD3236" s="28"/>
      <c r="AE3236" s="28"/>
      <c r="AF3236" s="16"/>
    </row>
    <row r="3237" spans="1:32" ht="14.25" customHeight="1" x14ac:dyDescent="0.35">
      <c r="A3237" s="14" t="s">
        <v>1931</v>
      </c>
      <c r="B3237" s="14" t="s">
        <v>408</v>
      </c>
      <c r="C3237" s="14"/>
      <c r="D3237" s="14" t="s">
        <v>409</v>
      </c>
      <c r="E3237" s="15">
        <v>41640</v>
      </c>
      <c r="F3237" s="15">
        <v>42004</v>
      </c>
      <c r="G3237" s="14" t="s">
        <v>410</v>
      </c>
      <c r="H3237" s="14">
        <v>0</v>
      </c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  <c r="U3237" s="14"/>
      <c r="V3237" s="14"/>
      <c r="W3237" s="14"/>
      <c r="X3237" s="14"/>
      <c r="Y3237" s="14"/>
      <c r="Z3237" s="14"/>
      <c r="AA3237" s="14"/>
      <c r="AB3237" s="14"/>
      <c r="AC3237" s="14"/>
      <c r="AD3237" s="14"/>
      <c r="AE3237" s="14"/>
      <c r="AF3237" s="14" t="s">
        <v>411</v>
      </c>
    </row>
    <row r="3238" spans="1:32" ht="14.25" customHeight="1" x14ac:dyDescent="0.35">
      <c r="A3238" s="14" t="s">
        <v>1932</v>
      </c>
      <c r="B3238" s="14" t="s">
        <v>427</v>
      </c>
      <c r="C3238" s="14"/>
      <c r="D3238" s="14" t="s">
        <v>417</v>
      </c>
      <c r="E3238" s="15">
        <v>41640</v>
      </c>
      <c r="F3238" s="15">
        <v>42004</v>
      </c>
      <c r="G3238" s="14" t="s">
        <v>415</v>
      </c>
      <c r="H3238" s="14">
        <v>0.4</v>
      </c>
      <c r="I3238" s="14">
        <v>0.4</v>
      </c>
      <c r="J3238" s="14">
        <v>0.4</v>
      </c>
      <c r="K3238" s="14">
        <v>0.4</v>
      </c>
      <c r="L3238" s="14">
        <v>0.4</v>
      </c>
      <c r="M3238" s="14">
        <v>0.4</v>
      </c>
      <c r="N3238" s="14">
        <v>0.4</v>
      </c>
      <c r="O3238" s="14">
        <v>0.4</v>
      </c>
      <c r="P3238" s="14">
        <v>0.9</v>
      </c>
      <c r="Q3238" s="14">
        <v>0.9</v>
      </c>
      <c r="R3238" s="14">
        <v>0.9</v>
      </c>
      <c r="S3238" s="14">
        <v>0.9</v>
      </c>
      <c r="T3238" s="14">
        <v>0.8</v>
      </c>
      <c r="U3238" s="14">
        <v>0.9</v>
      </c>
      <c r="V3238" s="14">
        <v>0.9</v>
      </c>
      <c r="W3238" s="14">
        <v>0.9</v>
      </c>
      <c r="X3238" s="14">
        <v>0.9</v>
      </c>
      <c r="Y3238" s="14">
        <v>0.5</v>
      </c>
      <c r="Z3238" s="14">
        <v>0.4</v>
      </c>
      <c r="AA3238" s="14">
        <v>0.4</v>
      </c>
      <c r="AB3238" s="14">
        <v>0.4</v>
      </c>
      <c r="AC3238" s="14">
        <v>0.4</v>
      </c>
      <c r="AD3238" s="14">
        <v>0.4</v>
      </c>
      <c r="AE3238" s="14">
        <v>0.4</v>
      </c>
      <c r="AF3238" s="14" t="s">
        <v>411</v>
      </c>
    </row>
    <row r="3239" spans="1:32" ht="14.25" customHeight="1" x14ac:dyDescent="0.35">
      <c r="A3239" s="14" t="s">
        <v>1932</v>
      </c>
      <c r="B3239" s="14" t="s">
        <v>427</v>
      </c>
      <c r="C3239" s="14"/>
      <c r="D3239" s="14" t="s">
        <v>512</v>
      </c>
      <c r="E3239" s="15">
        <v>41640</v>
      </c>
      <c r="F3239" s="15">
        <v>42004</v>
      </c>
      <c r="G3239" s="14" t="s">
        <v>415</v>
      </c>
      <c r="H3239" s="14">
        <v>0.3</v>
      </c>
      <c r="I3239" s="14">
        <v>0.3</v>
      </c>
      <c r="J3239" s="14">
        <v>0.3</v>
      </c>
      <c r="K3239" s="14">
        <v>0.3</v>
      </c>
      <c r="L3239" s="14">
        <v>0.3</v>
      </c>
      <c r="M3239" s="14">
        <v>0.3</v>
      </c>
      <c r="N3239" s="14">
        <v>0.4</v>
      </c>
      <c r="O3239" s="14">
        <v>0.4</v>
      </c>
      <c r="P3239" s="14">
        <v>0.5</v>
      </c>
      <c r="Q3239" s="14">
        <v>0.5</v>
      </c>
      <c r="R3239" s="14">
        <v>0.5</v>
      </c>
      <c r="S3239" s="14">
        <v>0.5</v>
      </c>
      <c r="T3239" s="14">
        <v>0.35</v>
      </c>
      <c r="U3239" s="14">
        <v>0.35</v>
      </c>
      <c r="V3239" s="14">
        <v>0.35</v>
      </c>
      <c r="W3239" s="14">
        <v>0.35</v>
      </c>
      <c r="X3239" s="14">
        <v>0.35</v>
      </c>
      <c r="Y3239" s="14">
        <v>0.3</v>
      </c>
      <c r="Z3239" s="14">
        <v>0.3</v>
      </c>
      <c r="AA3239" s="14">
        <v>0.3</v>
      </c>
      <c r="AB3239" s="14">
        <v>0.3</v>
      </c>
      <c r="AC3239" s="14">
        <v>0.3</v>
      </c>
      <c r="AD3239" s="14">
        <v>0.3</v>
      </c>
      <c r="AE3239" s="14">
        <v>0.3</v>
      </c>
      <c r="AF3239" s="14" t="s">
        <v>411</v>
      </c>
    </row>
    <row r="3240" spans="1:32" ht="14.25" customHeight="1" x14ac:dyDescent="0.35">
      <c r="A3240" s="14" t="s">
        <v>1932</v>
      </c>
      <c r="B3240" s="14" t="s">
        <v>427</v>
      </c>
      <c r="C3240" s="14"/>
      <c r="D3240" s="14" t="s">
        <v>419</v>
      </c>
      <c r="E3240" s="15">
        <v>41640</v>
      </c>
      <c r="F3240" s="15">
        <v>42004</v>
      </c>
      <c r="G3240" s="14" t="s">
        <v>410</v>
      </c>
      <c r="H3240" s="14">
        <v>1</v>
      </c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  <c r="U3240" s="14"/>
      <c r="V3240" s="14"/>
      <c r="W3240" s="14"/>
      <c r="X3240" s="14"/>
      <c r="Y3240" s="14"/>
      <c r="Z3240" s="14"/>
      <c r="AA3240" s="14"/>
      <c r="AB3240" s="14"/>
      <c r="AC3240" s="14"/>
      <c r="AD3240" s="14"/>
      <c r="AE3240" s="14"/>
      <c r="AF3240" s="14" t="s">
        <v>411</v>
      </c>
    </row>
    <row r="3241" spans="1:32" ht="14.25" customHeight="1" x14ac:dyDescent="0.35">
      <c r="A3241" s="16" t="s">
        <v>1932</v>
      </c>
      <c r="B3241" s="16" t="s">
        <v>427</v>
      </c>
      <c r="C3241" s="16"/>
      <c r="D3241" s="16" t="s">
        <v>511</v>
      </c>
      <c r="E3241" s="17">
        <v>41640</v>
      </c>
      <c r="F3241" s="17">
        <v>42004</v>
      </c>
      <c r="G3241" s="16" t="s">
        <v>410</v>
      </c>
      <c r="H3241" s="16">
        <v>0.3</v>
      </c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  <c r="AA3241" s="16"/>
      <c r="AB3241" s="16"/>
      <c r="AC3241" s="16"/>
      <c r="AD3241" s="16"/>
      <c r="AE3241" s="16"/>
      <c r="AF3241" s="16" t="s">
        <v>411</v>
      </c>
    </row>
    <row r="3242" spans="1:32" ht="14.25" customHeight="1" x14ac:dyDescent="0.35">
      <c r="A3242" s="16" t="s">
        <v>1932</v>
      </c>
      <c r="B3242" s="16" t="s">
        <v>427</v>
      </c>
      <c r="C3242" s="16"/>
      <c r="D3242" s="16" t="s">
        <v>418</v>
      </c>
      <c r="E3242" s="17">
        <v>41640</v>
      </c>
      <c r="F3242" s="17">
        <v>42004</v>
      </c>
      <c r="G3242" s="16" t="s">
        <v>410</v>
      </c>
      <c r="H3242" s="16">
        <v>0</v>
      </c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  <c r="AC3242" s="16"/>
      <c r="AD3242" s="16"/>
      <c r="AE3242" s="16"/>
      <c r="AF3242" s="16" t="s">
        <v>411</v>
      </c>
    </row>
    <row r="3243" spans="1:32" ht="14.25" customHeight="1" x14ac:dyDescent="0.35">
      <c r="A3243" s="16" t="s">
        <v>1933</v>
      </c>
      <c r="B3243" s="16" t="s">
        <v>424</v>
      </c>
      <c r="C3243" s="16"/>
      <c r="D3243" s="16" t="s">
        <v>417</v>
      </c>
      <c r="E3243" s="17">
        <v>41640</v>
      </c>
      <c r="F3243" s="17">
        <v>42004</v>
      </c>
      <c r="G3243" s="16" t="s">
        <v>415</v>
      </c>
      <c r="H3243" s="16">
        <v>0.05</v>
      </c>
      <c r="I3243" s="16">
        <v>0.05</v>
      </c>
      <c r="J3243" s="16">
        <v>0.05</v>
      </c>
      <c r="K3243" s="16">
        <v>0.05</v>
      </c>
      <c r="L3243" s="16">
        <v>0.05</v>
      </c>
      <c r="M3243" s="16">
        <v>0.1</v>
      </c>
      <c r="N3243" s="16">
        <v>0.1</v>
      </c>
      <c r="O3243" s="16">
        <v>0.3</v>
      </c>
      <c r="P3243" s="16">
        <v>0.9</v>
      </c>
      <c r="Q3243" s="16">
        <v>0.9</v>
      </c>
      <c r="R3243" s="16">
        <v>0.9</v>
      </c>
      <c r="S3243" s="16">
        <v>0.9</v>
      </c>
      <c r="T3243" s="16">
        <v>0.9</v>
      </c>
      <c r="U3243" s="16">
        <v>0.9</v>
      </c>
      <c r="V3243" s="16">
        <v>0.9</v>
      </c>
      <c r="W3243" s="16">
        <v>0.9</v>
      </c>
      <c r="X3243" s="16">
        <v>0.9</v>
      </c>
      <c r="Y3243" s="16">
        <v>0.5</v>
      </c>
      <c r="Z3243" s="16">
        <v>0.3</v>
      </c>
      <c r="AA3243" s="16">
        <v>0.3</v>
      </c>
      <c r="AB3243" s="16">
        <v>0.2</v>
      </c>
      <c r="AC3243" s="16">
        <v>0.2</v>
      </c>
      <c r="AD3243" s="16">
        <v>0.1</v>
      </c>
      <c r="AE3243" s="16">
        <v>0.05</v>
      </c>
      <c r="AF3243" s="16" t="s">
        <v>411</v>
      </c>
    </row>
    <row r="3244" spans="1:32" ht="14.25" customHeight="1" x14ac:dyDescent="0.35">
      <c r="A3244" s="16" t="s">
        <v>1933</v>
      </c>
      <c r="B3244" s="16" t="s">
        <v>424</v>
      </c>
      <c r="C3244" s="16"/>
      <c r="D3244" s="16" t="s">
        <v>512</v>
      </c>
      <c r="E3244" s="17">
        <v>41640</v>
      </c>
      <c r="F3244" s="17">
        <v>42004</v>
      </c>
      <c r="G3244" s="16" t="s">
        <v>415</v>
      </c>
      <c r="H3244" s="16">
        <v>0.05</v>
      </c>
      <c r="I3244" s="16">
        <v>0.05</v>
      </c>
      <c r="J3244" s="16">
        <v>0.05</v>
      </c>
      <c r="K3244" s="16">
        <v>0.05</v>
      </c>
      <c r="L3244" s="16">
        <v>0.05</v>
      </c>
      <c r="M3244" s="16">
        <v>0.05</v>
      </c>
      <c r="N3244" s="16">
        <v>0.1</v>
      </c>
      <c r="O3244" s="16">
        <v>0.1</v>
      </c>
      <c r="P3244" s="16">
        <v>0.3</v>
      </c>
      <c r="Q3244" s="16">
        <v>0.3</v>
      </c>
      <c r="R3244" s="16">
        <v>0.3</v>
      </c>
      <c r="S3244" s="16">
        <v>0.3</v>
      </c>
      <c r="T3244" s="16">
        <v>0.15</v>
      </c>
      <c r="U3244" s="16">
        <v>0.15</v>
      </c>
      <c r="V3244" s="16">
        <v>0.15</v>
      </c>
      <c r="W3244" s="16">
        <v>0.15</v>
      </c>
      <c r="X3244" s="16">
        <v>0.15</v>
      </c>
      <c r="Y3244" s="16">
        <v>0.05</v>
      </c>
      <c r="Z3244" s="16">
        <v>0.05</v>
      </c>
      <c r="AA3244" s="16">
        <v>0.05</v>
      </c>
      <c r="AB3244" s="16">
        <v>0.05</v>
      </c>
      <c r="AC3244" s="16">
        <v>0.05</v>
      </c>
      <c r="AD3244" s="16">
        <v>0.05</v>
      </c>
      <c r="AE3244" s="16">
        <v>0.05</v>
      </c>
      <c r="AF3244" s="16" t="s">
        <v>411</v>
      </c>
    </row>
    <row r="3245" spans="1:32" ht="14.25" customHeight="1" x14ac:dyDescent="0.35">
      <c r="A3245" s="16" t="s">
        <v>1933</v>
      </c>
      <c r="B3245" s="16" t="s">
        <v>424</v>
      </c>
      <c r="C3245" s="16"/>
      <c r="D3245" s="16" t="s">
        <v>419</v>
      </c>
      <c r="E3245" s="17">
        <v>41640</v>
      </c>
      <c r="F3245" s="17">
        <v>42004</v>
      </c>
      <c r="G3245" s="16" t="s">
        <v>410</v>
      </c>
      <c r="H3245" s="16">
        <v>1</v>
      </c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16"/>
      <c r="AA3245" s="16"/>
      <c r="AB3245" s="16"/>
      <c r="AC3245" s="16"/>
      <c r="AD3245" s="16"/>
      <c r="AE3245" s="16"/>
      <c r="AF3245" s="16" t="s">
        <v>411</v>
      </c>
    </row>
    <row r="3246" spans="1:32" ht="14.25" customHeight="1" x14ac:dyDescent="0.35">
      <c r="A3246" s="14" t="s">
        <v>1933</v>
      </c>
      <c r="B3246" s="14" t="s">
        <v>424</v>
      </c>
      <c r="C3246" s="14"/>
      <c r="D3246" s="14" t="s">
        <v>511</v>
      </c>
      <c r="E3246" s="15">
        <v>41640</v>
      </c>
      <c r="F3246" s="15">
        <v>42004</v>
      </c>
      <c r="G3246" s="14" t="s">
        <v>410</v>
      </c>
      <c r="H3246" s="14">
        <v>0.05</v>
      </c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S3246" s="14"/>
      <c r="T3246" s="14"/>
      <c r="U3246" s="14"/>
      <c r="V3246" s="14"/>
      <c r="W3246" s="14"/>
      <c r="X3246" s="14"/>
      <c r="Y3246" s="14"/>
      <c r="Z3246" s="14"/>
      <c r="AA3246" s="14"/>
      <c r="AB3246" s="14"/>
      <c r="AC3246" s="14"/>
      <c r="AD3246" s="14"/>
      <c r="AE3246" s="14"/>
      <c r="AF3246" s="14" t="s">
        <v>411</v>
      </c>
    </row>
    <row r="3247" spans="1:32" ht="14.25" customHeight="1" x14ac:dyDescent="0.35">
      <c r="A3247" s="14" t="s">
        <v>1933</v>
      </c>
      <c r="B3247" s="14" t="s">
        <v>424</v>
      </c>
      <c r="C3247" s="14"/>
      <c r="D3247" s="14" t="s">
        <v>418</v>
      </c>
      <c r="E3247" s="15">
        <v>41640</v>
      </c>
      <c r="F3247" s="15">
        <v>42004</v>
      </c>
      <c r="G3247" s="14" t="s">
        <v>410</v>
      </c>
      <c r="H3247" s="14">
        <v>0</v>
      </c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S3247" s="14"/>
      <c r="T3247" s="14"/>
      <c r="U3247" s="14"/>
      <c r="V3247" s="14"/>
      <c r="W3247" s="14"/>
      <c r="X3247" s="14"/>
      <c r="Y3247" s="14"/>
      <c r="Z3247" s="14"/>
      <c r="AA3247" s="14"/>
      <c r="AB3247" s="14"/>
      <c r="AC3247" s="14"/>
      <c r="AD3247" s="14"/>
      <c r="AE3247" s="14"/>
      <c r="AF3247" s="14" t="s">
        <v>411</v>
      </c>
    </row>
    <row r="3248" spans="1:32" ht="14.25" customHeight="1" x14ac:dyDescent="0.35">
      <c r="A3248" s="14" t="s">
        <v>1934</v>
      </c>
      <c r="B3248" s="14" t="s">
        <v>448</v>
      </c>
      <c r="C3248" s="14"/>
      <c r="D3248" s="14" t="s">
        <v>417</v>
      </c>
      <c r="E3248" s="15">
        <v>41640</v>
      </c>
      <c r="F3248" s="15">
        <v>42004</v>
      </c>
      <c r="G3248" s="14" t="s">
        <v>415</v>
      </c>
      <c r="H3248" s="14">
        <v>0</v>
      </c>
      <c r="I3248" s="14">
        <v>0</v>
      </c>
      <c r="J3248" s="14">
        <v>0</v>
      </c>
      <c r="K3248" s="14">
        <v>0</v>
      </c>
      <c r="L3248" s="14">
        <v>0</v>
      </c>
      <c r="M3248" s="14">
        <v>0</v>
      </c>
      <c r="N3248" s="14">
        <v>0.1</v>
      </c>
      <c r="O3248" s="14">
        <v>0.2</v>
      </c>
      <c r="P3248" s="14">
        <v>0.95</v>
      </c>
      <c r="Q3248" s="14">
        <v>0.95</v>
      </c>
      <c r="R3248" s="14">
        <v>0.95</v>
      </c>
      <c r="S3248" s="14">
        <v>0.95</v>
      </c>
      <c r="T3248" s="14">
        <v>0.5</v>
      </c>
      <c r="U3248" s="14">
        <v>0.95</v>
      </c>
      <c r="V3248" s="14">
        <v>0.95</v>
      </c>
      <c r="W3248" s="14">
        <v>0.95</v>
      </c>
      <c r="X3248" s="14">
        <v>0.95</v>
      </c>
      <c r="Y3248" s="14">
        <v>0.3</v>
      </c>
      <c r="Z3248" s="14">
        <v>0.1</v>
      </c>
      <c r="AA3248" s="14">
        <v>0.1</v>
      </c>
      <c r="AB3248" s="14">
        <v>0.05</v>
      </c>
      <c r="AC3248" s="14">
        <v>0.05</v>
      </c>
      <c r="AD3248" s="14">
        <v>0.05</v>
      </c>
      <c r="AE3248" s="14">
        <v>0.05</v>
      </c>
      <c r="AF3248" s="14" t="s">
        <v>411</v>
      </c>
    </row>
    <row r="3249" spans="1:32" ht="14.25" customHeight="1" x14ac:dyDescent="0.35">
      <c r="A3249" s="16" t="s">
        <v>1934</v>
      </c>
      <c r="B3249" s="16" t="s">
        <v>448</v>
      </c>
      <c r="C3249" s="16"/>
      <c r="D3249" s="16" t="s">
        <v>512</v>
      </c>
      <c r="E3249" s="17">
        <v>41640</v>
      </c>
      <c r="F3249" s="17">
        <v>42004</v>
      </c>
      <c r="G3249" s="16" t="s">
        <v>415</v>
      </c>
      <c r="H3249" s="16">
        <v>0</v>
      </c>
      <c r="I3249" s="16">
        <v>0</v>
      </c>
      <c r="J3249" s="16">
        <v>0</v>
      </c>
      <c r="K3249" s="16">
        <v>0</v>
      </c>
      <c r="L3249" s="16">
        <v>0</v>
      </c>
      <c r="M3249" s="16">
        <v>0</v>
      </c>
      <c r="N3249" s="16">
        <v>0.1</v>
      </c>
      <c r="O3249" s="16">
        <v>0.1</v>
      </c>
      <c r="P3249" s="16">
        <v>0.3</v>
      </c>
      <c r="Q3249" s="16">
        <v>0.3</v>
      </c>
      <c r="R3249" s="16">
        <v>0.3</v>
      </c>
      <c r="S3249" s="16">
        <v>0.3</v>
      </c>
      <c r="T3249" s="16">
        <v>0.1</v>
      </c>
      <c r="U3249" s="16">
        <v>0.1</v>
      </c>
      <c r="V3249" s="16">
        <v>0.1</v>
      </c>
      <c r="W3249" s="16">
        <v>0.1</v>
      </c>
      <c r="X3249" s="16">
        <v>0.1</v>
      </c>
      <c r="Y3249" s="16">
        <v>0</v>
      </c>
      <c r="Z3249" s="16">
        <v>0</v>
      </c>
      <c r="AA3249" s="16">
        <v>0</v>
      </c>
      <c r="AB3249" s="16">
        <v>0</v>
      </c>
      <c r="AC3249" s="16">
        <v>0</v>
      </c>
      <c r="AD3249" s="16">
        <v>0</v>
      </c>
      <c r="AE3249" s="16">
        <v>0</v>
      </c>
      <c r="AF3249" s="16" t="s">
        <v>411</v>
      </c>
    </row>
    <row r="3250" spans="1:32" ht="14.25" customHeight="1" x14ac:dyDescent="0.35">
      <c r="A3250" s="14" t="s">
        <v>1934</v>
      </c>
      <c r="B3250" s="14" t="s">
        <v>448</v>
      </c>
      <c r="C3250" s="14"/>
      <c r="D3250" s="14" t="s">
        <v>419</v>
      </c>
      <c r="E3250" s="15">
        <v>41640</v>
      </c>
      <c r="F3250" s="15">
        <v>42004</v>
      </c>
      <c r="G3250" s="14" t="s">
        <v>415</v>
      </c>
      <c r="H3250" s="14">
        <v>0</v>
      </c>
      <c r="I3250" s="14">
        <v>0</v>
      </c>
      <c r="J3250" s="14">
        <v>0</v>
      </c>
      <c r="K3250" s="14">
        <v>0</v>
      </c>
      <c r="L3250" s="14">
        <v>0</v>
      </c>
      <c r="M3250" s="14">
        <v>0</v>
      </c>
      <c r="N3250" s="14">
        <v>1</v>
      </c>
      <c r="O3250" s="14">
        <v>1</v>
      </c>
      <c r="P3250" s="14">
        <v>1</v>
      </c>
      <c r="Q3250" s="14">
        <v>1</v>
      </c>
      <c r="R3250" s="14">
        <v>1</v>
      </c>
      <c r="S3250" s="14">
        <v>1</v>
      </c>
      <c r="T3250" s="14">
        <v>1</v>
      </c>
      <c r="U3250" s="14">
        <v>1</v>
      </c>
      <c r="V3250" s="14">
        <v>1</v>
      </c>
      <c r="W3250" s="14">
        <v>1</v>
      </c>
      <c r="X3250" s="14">
        <v>1</v>
      </c>
      <c r="Y3250" s="14">
        <v>1</v>
      </c>
      <c r="Z3250" s="14">
        <v>1</v>
      </c>
      <c r="AA3250" s="14">
        <v>1</v>
      </c>
      <c r="AB3250" s="14">
        <v>1</v>
      </c>
      <c r="AC3250" s="14">
        <v>1</v>
      </c>
      <c r="AD3250" s="14">
        <v>0.05</v>
      </c>
      <c r="AE3250" s="14">
        <v>0.05</v>
      </c>
      <c r="AF3250" s="14" t="s">
        <v>411</v>
      </c>
    </row>
    <row r="3251" spans="1:32" ht="14.25" customHeight="1" x14ac:dyDescent="0.35">
      <c r="A3251" s="16" t="s">
        <v>1934</v>
      </c>
      <c r="B3251" s="16" t="s">
        <v>448</v>
      </c>
      <c r="C3251" s="16"/>
      <c r="D3251" s="16" t="s">
        <v>979</v>
      </c>
      <c r="E3251" s="17">
        <v>41640</v>
      </c>
      <c r="F3251" s="17">
        <v>42004</v>
      </c>
      <c r="G3251" s="16" t="s">
        <v>410</v>
      </c>
      <c r="H3251" s="16">
        <v>0</v>
      </c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6"/>
      <c r="AA3251" s="16"/>
      <c r="AB3251" s="16"/>
      <c r="AC3251" s="16"/>
      <c r="AD3251" s="16"/>
      <c r="AE3251" s="16"/>
      <c r="AF3251" s="16" t="s">
        <v>411</v>
      </c>
    </row>
    <row r="3252" spans="1:32" ht="14.25" customHeight="1" x14ac:dyDescent="0.35">
      <c r="A3252" s="14" t="s">
        <v>1935</v>
      </c>
      <c r="B3252" s="14" t="s">
        <v>420</v>
      </c>
      <c r="C3252" s="14" t="s">
        <v>414</v>
      </c>
      <c r="D3252" s="14" t="s">
        <v>453</v>
      </c>
      <c r="E3252" s="15">
        <v>41640</v>
      </c>
      <c r="F3252" s="15">
        <v>42004</v>
      </c>
      <c r="G3252" s="14" t="s">
        <v>415</v>
      </c>
      <c r="H3252" s="14">
        <v>26.7</v>
      </c>
      <c r="I3252" s="14">
        <v>26.7</v>
      </c>
      <c r="J3252" s="14">
        <v>26.7</v>
      </c>
      <c r="K3252" s="14">
        <v>26.7</v>
      </c>
      <c r="L3252" s="14">
        <v>26.7</v>
      </c>
      <c r="M3252" s="14">
        <v>26.7</v>
      </c>
      <c r="N3252" s="14">
        <v>24</v>
      </c>
      <c r="O3252" s="14">
        <v>24</v>
      </c>
      <c r="P3252" s="14">
        <v>24</v>
      </c>
      <c r="Q3252" s="14">
        <v>24</v>
      </c>
      <c r="R3252" s="14">
        <v>24</v>
      </c>
      <c r="S3252" s="14">
        <v>24</v>
      </c>
      <c r="T3252" s="14">
        <v>24</v>
      </c>
      <c r="U3252" s="14">
        <v>24</v>
      </c>
      <c r="V3252" s="14">
        <v>24</v>
      </c>
      <c r="W3252" s="14">
        <v>24</v>
      </c>
      <c r="X3252" s="14">
        <v>24</v>
      </c>
      <c r="Y3252" s="14">
        <v>24</v>
      </c>
      <c r="Z3252" s="14">
        <v>24</v>
      </c>
      <c r="AA3252" s="14">
        <v>24</v>
      </c>
      <c r="AB3252" s="14">
        <v>24</v>
      </c>
      <c r="AC3252" s="14">
        <v>24</v>
      </c>
      <c r="AD3252" s="14">
        <v>26.7</v>
      </c>
      <c r="AE3252" s="14">
        <v>26.7</v>
      </c>
      <c r="AF3252" s="14" t="s">
        <v>411</v>
      </c>
    </row>
    <row r="3253" spans="1:32" ht="14.25" customHeight="1" x14ac:dyDescent="0.35">
      <c r="A3253" s="14" t="s">
        <v>1935</v>
      </c>
      <c r="B3253" s="14" t="s">
        <v>420</v>
      </c>
      <c r="C3253" s="14" t="s">
        <v>414</v>
      </c>
      <c r="D3253" s="14" t="s">
        <v>512</v>
      </c>
      <c r="E3253" s="15">
        <v>41640</v>
      </c>
      <c r="F3253" s="15">
        <v>42004</v>
      </c>
      <c r="G3253" s="14" t="s">
        <v>415</v>
      </c>
      <c r="H3253" s="14">
        <v>26.7</v>
      </c>
      <c r="I3253" s="14">
        <v>26.7</v>
      </c>
      <c r="J3253" s="14">
        <v>26.7</v>
      </c>
      <c r="K3253" s="14">
        <v>26.7</v>
      </c>
      <c r="L3253" s="14">
        <v>26.7</v>
      </c>
      <c r="M3253" s="14">
        <v>26.7</v>
      </c>
      <c r="N3253" s="14">
        <v>24</v>
      </c>
      <c r="O3253" s="14">
        <v>24</v>
      </c>
      <c r="P3253" s="14">
        <v>24</v>
      </c>
      <c r="Q3253" s="14">
        <v>24</v>
      </c>
      <c r="R3253" s="14">
        <v>24</v>
      </c>
      <c r="S3253" s="14">
        <v>24</v>
      </c>
      <c r="T3253" s="14">
        <v>24</v>
      </c>
      <c r="U3253" s="14">
        <v>24</v>
      </c>
      <c r="V3253" s="14">
        <v>24</v>
      </c>
      <c r="W3253" s="14">
        <v>24</v>
      </c>
      <c r="X3253" s="14">
        <v>24</v>
      </c>
      <c r="Y3253" s="14">
        <v>24</v>
      </c>
      <c r="Z3253" s="14">
        <v>26.7</v>
      </c>
      <c r="AA3253" s="14">
        <v>26.7</v>
      </c>
      <c r="AB3253" s="14">
        <v>26.7</v>
      </c>
      <c r="AC3253" s="14">
        <v>26.7</v>
      </c>
      <c r="AD3253" s="14">
        <v>26.7</v>
      </c>
      <c r="AE3253" s="14">
        <v>26.7</v>
      </c>
      <c r="AF3253" s="14" t="s">
        <v>411</v>
      </c>
    </row>
    <row r="3254" spans="1:32" ht="14.25" customHeight="1" x14ac:dyDescent="0.35">
      <c r="A3254" s="16" t="s">
        <v>1935</v>
      </c>
      <c r="B3254" s="16" t="s">
        <v>420</v>
      </c>
      <c r="C3254" s="16" t="s">
        <v>414</v>
      </c>
      <c r="D3254" s="16" t="s">
        <v>979</v>
      </c>
      <c r="E3254" s="17">
        <v>41640</v>
      </c>
      <c r="F3254" s="17">
        <v>42004</v>
      </c>
      <c r="G3254" s="16" t="s">
        <v>410</v>
      </c>
      <c r="H3254" s="16">
        <v>26.7</v>
      </c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6"/>
      <c r="AA3254" s="16"/>
      <c r="AB3254" s="16"/>
      <c r="AC3254" s="16"/>
      <c r="AD3254" s="16"/>
      <c r="AE3254" s="16"/>
      <c r="AF3254" s="16" t="s">
        <v>411</v>
      </c>
    </row>
    <row r="3255" spans="1:32" ht="14.25" customHeight="1" x14ac:dyDescent="0.35">
      <c r="A3255" s="16" t="s">
        <v>1936</v>
      </c>
      <c r="B3255" s="16" t="s">
        <v>518</v>
      </c>
      <c r="C3255" s="16"/>
      <c r="D3255" s="16" t="s">
        <v>476</v>
      </c>
      <c r="E3255" s="17">
        <v>41640</v>
      </c>
      <c r="F3255" s="17">
        <v>42004</v>
      </c>
      <c r="G3255" s="16" t="s">
        <v>410</v>
      </c>
      <c r="H3255" s="16">
        <v>1</v>
      </c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16"/>
      <c r="AA3255" s="16"/>
      <c r="AB3255" s="16"/>
      <c r="AC3255" s="16"/>
      <c r="AD3255" s="16"/>
      <c r="AE3255" s="16"/>
      <c r="AF3255" s="16" t="s">
        <v>411</v>
      </c>
    </row>
    <row r="3256" spans="1:32" ht="14.25" customHeight="1" x14ac:dyDescent="0.35">
      <c r="A3256" s="14" t="s">
        <v>1936</v>
      </c>
      <c r="B3256" s="14" t="s">
        <v>518</v>
      </c>
      <c r="C3256" s="14"/>
      <c r="D3256" s="14" t="s">
        <v>419</v>
      </c>
      <c r="E3256" s="15">
        <v>41640</v>
      </c>
      <c r="F3256" s="15">
        <v>42004</v>
      </c>
      <c r="G3256" s="14" t="s">
        <v>410</v>
      </c>
      <c r="H3256" s="14">
        <v>0.5</v>
      </c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  <c r="Y3256" s="14"/>
      <c r="Z3256" s="14"/>
      <c r="AA3256" s="14"/>
      <c r="AB3256" s="14"/>
      <c r="AC3256" s="14"/>
      <c r="AD3256" s="14"/>
      <c r="AE3256" s="14"/>
      <c r="AF3256" s="14" t="s">
        <v>411</v>
      </c>
    </row>
    <row r="3257" spans="1:32" ht="14.25" customHeight="1" x14ac:dyDescent="0.35">
      <c r="A3257" s="16" t="s">
        <v>1936</v>
      </c>
      <c r="B3257" s="16" t="s">
        <v>518</v>
      </c>
      <c r="C3257" s="16"/>
      <c r="D3257" s="16" t="s">
        <v>454</v>
      </c>
      <c r="E3257" s="17">
        <v>41913</v>
      </c>
      <c r="F3257" s="17">
        <v>42004</v>
      </c>
      <c r="G3257" s="16" t="s">
        <v>410</v>
      </c>
      <c r="H3257" s="16">
        <v>1</v>
      </c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 t="s">
        <v>411</v>
      </c>
    </row>
    <row r="3258" spans="1:32" ht="14.25" customHeight="1" x14ac:dyDescent="0.35">
      <c r="A3258" s="14" t="s">
        <v>1936</v>
      </c>
      <c r="B3258" s="14" t="s">
        <v>518</v>
      </c>
      <c r="C3258" s="14"/>
      <c r="D3258" s="14" t="s">
        <v>454</v>
      </c>
      <c r="E3258" s="15">
        <v>41760</v>
      </c>
      <c r="F3258" s="15">
        <v>41912</v>
      </c>
      <c r="G3258" s="14" t="s">
        <v>410</v>
      </c>
      <c r="H3258" s="14">
        <v>0.5</v>
      </c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 t="s">
        <v>411</v>
      </c>
    </row>
    <row r="3259" spans="1:32" ht="14.25" customHeight="1" x14ac:dyDescent="0.35">
      <c r="A3259" s="16" t="s">
        <v>1937</v>
      </c>
      <c r="B3259" s="16" t="s">
        <v>420</v>
      </c>
      <c r="C3259" s="16" t="s">
        <v>414</v>
      </c>
      <c r="D3259" s="16" t="s">
        <v>417</v>
      </c>
      <c r="E3259" s="17">
        <v>41640</v>
      </c>
      <c r="F3259" s="17">
        <v>42004</v>
      </c>
      <c r="G3259" s="16" t="s">
        <v>415</v>
      </c>
      <c r="H3259" s="16">
        <v>15.6</v>
      </c>
      <c r="I3259" s="16">
        <v>15.6</v>
      </c>
      <c r="J3259" s="16">
        <v>15.6</v>
      </c>
      <c r="K3259" s="16">
        <v>15.6</v>
      </c>
      <c r="L3259" s="16">
        <v>15.6</v>
      </c>
      <c r="M3259" s="16">
        <v>15.6</v>
      </c>
      <c r="N3259" s="16">
        <v>21</v>
      </c>
      <c r="O3259" s="16">
        <v>21</v>
      </c>
      <c r="P3259" s="16">
        <v>21</v>
      </c>
      <c r="Q3259" s="16">
        <v>21</v>
      </c>
      <c r="R3259" s="16">
        <v>21</v>
      </c>
      <c r="S3259" s="16">
        <v>21</v>
      </c>
      <c r="T3259" s="16">
        <v>21</v>
      </c>
      <c r="U3259" s="16">
        <v>21</v>
      </c>
      <c r="V3259" s="16">
        <v>21</v>
      </c>
      <c r="W3259" s="16">
        <v>21</v>
      </c>
      <c r="X3259" s="16">
        <v>21</v>
      </c>
      <c r="Y3259" s="16">
        <v>21</v>
      </c>
      <c r="Z3259" s="16">
        <v>21</v>
      </c>
      <c r="AA3259" s="16">
        <v>21</v>
      </c>
      <c r="AB3259" s="16">
        <v>21</v>
      </c>
      <c r="AC3259" s="16">
        <v>21</v>
      </c>
      <c r="AD3259" s="16">
        <v>15.6</v>
      </c>
      <c r="AE3259" s="16">
        <v>15.6</v>
      </c>
      <c r="AF3259" s="16" t="s">
        <v>411</v>
      </c>
    </row>
    <row r="3260" spans="1:32" ht="14.25" customHeight="1" x14ac:dyDescent="0.35">
      <c r="A3260" s="14" t="s">
        <v>1937</v>
      </c>
      <c r="B3260" s="14" t="s">
        <v>420</v>
      </c>
      <c r="C3260" s="14" t="s">
        <v>414</v>
      </c>
      <c r="D3260" s="14" t="s">
        <v>512</v>
      </c>
      <c r="E3260" s="15">
        <v>41640</v>
      </c>
      <c r="F3260" s="15">
        <v>42004</v>
      </c>
      <c r="G3260" s="14" t="s">
        <v>415</v>
      </c>
      <c r="H3260" s="14">
        <v>15.6</v>
      </c>
      <c r="I3260" s="14">
        <v>15.6</v>
      </c>
      <c r="J3260" s="14">
        <v>15.6</v>
      </c>
      <c r="K3260" s="14">
        <v>15.6</v>
      </c>
      <c r="L3260" s="14">
        <v>15.6</v>
      </c>
      <c r="M3260" s="14">
        <v>15.6</v>
      </c>
      <c r="N3260" s="14">
        <v>21</v>
      </c>
      <c r="O3260" s="14">
        <v>21</v>
      </c>
      <c r="P3260" s="14">
        <v>21</v>
      </c>
      <c r="Q3260" s="14">
        <v>21</v>
      </c>
      <c r="R3260" s="14">
        <v>21</v>
      </c>
      <c r="S3260" s="14">
        <v>21</v>
      </c>
      <c r="T3260" s="14">
        <v>21</v>
      </c>
      <c r="U3260" s="14">
        <v>21</v>
      </c>
      <c r="V3260" s="14">
        <v>21</v>
      </c>
      <c r="W3260" s="14">
        <v>21</v>
      </c>
      <c r="X3260" s="14">
        <v>21</v>
      </c>
      <c r="Y3260" s="14">
        <v>21</v>
      </c>
      <c r="Z3260" s="14">
        <v>15.6</v>
      </c>
      <c r="AA3260" s="14">
        <v>15.6</v>
      </c>
      <c r="AB3260" s="14">
        <v>15.6</v>
      </c>
      <c r="AC3260" s="14">
        <v>15.6</v>
      </c>
      <c r="AD3260" s="14">
        <v>15.6</v>
      </c>
      <c r="AE3260" s="14">
        <v>15.6</v>
      </c>
      <c r="AF3260" s="14" t="s">
        <v>411</v>
      </c>
    </row>
    <row r="3261" spans="1:32" ht="14.25" customHeight="1" x14ac:dyDescent="0.35">
      <c r="A3261" s="16" t="s">
        <v>1937</v>
      </c>
      <c r="B3261" s="16" t="s">
        <v>420</v>
      </c>
      <c r="C3261" s="16" t="s">
        <v>414</v>
      </c>
      <c r="D3261" s="16" t="s">
        <v>983</v>
      </c>
      <c r="E3261" s="17">
        <v>41640</v>
      </c>
      <c r="F3261" s="17">
        <v>42004</v>
      </c>
      <c r="G3261" s="16" t="s">
        <v>410</v>
      </c>
      <c r="H3261" s="16">
        <v>15.6</v>
      </c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16"/>
      <c r="AA3261" s="16"/>
      <c r="AB3261" s="16"/>
      <c r="AC3261" s="16"/>
      <c r="AD3261" s="16"/>
      <c r="AE3261" s="16"/>
      <c r="AF3261" s="16" t="s">
        <v>411</v>
      </c>
    </row>
    <row r="3262" spans="1:32" ht="14.25" customHeight="1" x14ac:dyDescent="0.35">
      <c r="A3262" s="14" t="s">
        <v>1937</v>
      </c>
      <c r="B3262" s="14" t="s">
        <v>420</v>
      </c>
      <c r="C3262" s="14" t="s">
        <v>414</v>
      </c>
      <c r="D3262" s="14" t="s">
        <v>418</v>
      </c>
      <c r="E3262" s="15">
        <v>41640</v>
      </c>
      <c r="F3262" s="15">
        <v>42004</v>
      </c>
      <c r="G3262" s="14" t="s">
        <v>410</v>
      </c>
      <c r="H3262" s="14">
        <v>21</v>
      </c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  <c r="U3262" s="14"/>
      <c r="V3262" s="14"/>
      <c r="W3262" s="14"/>
      <c r="X3262" s="14"/>
      <c r="Y3262" s="14"/>
      <c r="Z3262" s="14"/>
      <c r="AA3262" s="14"/>
      <c r="AB3262" s="14"/>
      <c r="AC3262" s="14"/>
      <c r="AD3262" s="14"/>
      <c r="AE3262" s="14"/>
      <c r="AF3262" s="14" t="s">
        <v>411</v>
      </c>
    </row>
    <row r="3263" spans="1:32" ht="14.25" customHeight="1" x14ac:dyDescent="0.35">
      <c r="A3263" s="16" t="s">
        <v>1938</v>
      </c>
      <c r="B3263" s="16" t="s">
        <v>441</v>
      </c>
      <c r="C3263" s="16"/>
      <c r="D3263" s="16" t="s">
        <v>453</v>
      </c>
      <c r="E3263" s="17">
        <v>41640</v>
      </c>
      <c r="F3263" s="17">
        <v>42004</v>
      </c>
      <c r="G3263" s="16" t="s">
        <v>415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0.25</v>
      </c>
      <c r="O3263" s="16">
        <v>0.25</v>
      </c>
      <c r="P3263" s="16">
        <v>0.25</v>
      </c>
      <c r="Q3263" s="16">
        <v>0.25</v>
      </c>
      <c r="R3263" s="16">
        <v>0.25</v>
      </c>
      <c r="S3263" s="16">
        <v>0.25</v>
      </c>
      <c r="T3263" s="16">
        <v>0.25</v>
      </c>
      <c r="U3263" s="16">
        <v>0.25</v>
      </c>
      <c r="V3263" s="16">
        <v>0.25</v>
      </c>
      <c r="W3263" s="16">
        <v>0.25</v>
      </c>
      <c r="X3263" s="16">
        <v>0.25</v>
      </c>
      <c r="Y3263" s="16">
        <v>0.25</v>
      </c>
      <c r="Z3263" s="16">
        <v>0.25</v>
      </c>
      <c r="AA3263" s="16">
        <v>0.25</v>
      </c>
      <c r="AB3263" s="16">
        <v>0.25</v>
      </c>
      <c r="AC3263" s="16">
        <v>0.25</v>
      </c>
      <c r="AD3263" s="16">
        <v>1</v>
      </c>
      <c r="AE3263" s="16">
        <v>1</v>
      </c>
      <c r="AF3263" s="16" t="s">
        <v>411</v>
      </c>
    </row>
    <row r="3264" spans="1:32" ht="14.25" customHeight="1" x14ac:dyDescent="0.35">
      <c r="A3264" s="16" t="s">
        <v>1938</v>
      </c>
      <c r="B3264" s="16" t="s">
        <v>441</v>
      </c>
      <c r="C3264" s="16"/>
      <c r="D3264" s="16" t="s">
        <v>511</v>
      </c>
      <c r="E3264" s="17">
        <v>41640</v>
      </c>
      <c r="F3264" s="17">
        <v>42004</v>
      </c>
      <c r="G3264" s="16" t="s">
        <v>410</v>
      </c>
      <c r="H3264" s="16">
        <v>1</v>
      </c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/>
      <c r="AB3264" s="16"/>
      <c r="AC3264" s="16"/>
      <c r="AD3264" s="16"/>
      <c r="AE3264" s="16"/>
      <c r="AF3264" s="16" t="s">
        <v>411</v>
      </c>
    </row>
    <row r="3265" spans="1:32" ht="14.25" customHeight="1" x14ac:dyDescent="0.35">
      <c r="A3265" s="14" t="s">
        <v>1938</v>
      </c>
      <c r="B3265" s="14" t="s">
        <v>441</v>
      </c>
      <c r="C3265" s="14"/>
      <c r="D3265" s="14" t="s">
        <v>514</v>
      </c>
      <c r="E3265" s="15">
        <v>41640</v>
      </c>
      <c r="F3265" s="15">
        <v>42004</v>
      </c>
      <c r="G3265" s="14" t="s">
        <v>415</v>
      </c>
      <c r="H3265" s="14">
        <v>1</v>
      </c>
      <c r="I3265" s="14">
        <v>1</v>
      </c>
      <c r="J3265" s="14">
        <v>1</v>
      </c>
      <c r="K3265" s="14">
        <v>1</v>
      </c>
      <c r="L3265" s="14">
        <v>1</v>
      </c>
      <c r="M3265" s="14">
        <v>1</v>
      </c>
      <c r="N3265" s="14">
        <v>0.25</v>
      </c>
      <c r="O3265" s="14">
        <v>0.25</v>
      </c>
      <c r="P3265" s="14">
        <v>0.25</v>
      </c>
      <c r="Q3265" s="14">
        <v>0.25</v>
      </c>
      <c r="R3265" s="14">
        <v>0.25</v>
      </c>
      <c r="S3265" s="14">
        <v>0.25</v>
      </c>
      <c r="T3265" s="14">
        <v>0.25</v>
      </c>
      <c r="U3265" s="14">
        <v>0.25</v>
      </c>
      <c r="V3265" s="14">
        <v>0.25</v>
      </c>
      <c r="W3265" s="14">
        <v>0.25</v>
      </c>
      <c r="X3265" s="14">
        <v>0.25</v>
      </c>
      <c r="Y3265" s="14">
        <v>0.25</v>
      </c>
      <c r="Z3265" s="14">
        <v>1</v>
      </c>
      <c r="AA3265" s="14">
        <v>1</v>
      </c>
      <c r="AB3265" s="14">
        <v>1</v>
      </c>
      <c r="AC3265" s="14">
        <v>1</v>
      </c>
      <c r="AD3265" s="14">
        <v>1</v>
      </c>
      <c r="AE3265" s="14">
        <v>1</v>
      </c>
      <c r="AF3265" s="14" t="s">
        <v>411</v>
      </c>
    </row>
    <row r="3266" spans="1:32" ht="14.25" customHeight="1" x14ac:dyDescent="0.35">
      <c r="A3266" s="14" t="s">
        <v>1939</v>
      </c>
      <c r="B3266" s="14" t="s">
        <v>408</v>
      </c>
      <c r="C3266" s="14"/>
      <c r="D3266" s="14" t="s">
        <v>409</v>
      </c>
      <c r="E3266" s="15">
        <v>41640</v>
      </c>
      <c r="F3266" s="15">
        <v>42004</v>
      </c>
      <c r="G3266" s="14" t="s">
        <v>410</v>
      </c>
      <c r="H3266" s="14">
        <v>0</v>
      </c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4"/>
      <c r="Z3266" s="14"/>
      <c r="AA3266" s="14"/>
      <c r="AB3266" s="14"/>
      <c r="AC3266" s="14"/>
      <c r="AD3266" s="14"/>
      <c r="AE3266" s="14"/>
      <c r="AF3266" s="14" t="s">
        <v>411</v>
      </c>
    </row>
    <row r="3267" spans="1:32" ht="14.25" customHeight="1" x14ac:dyDescent="0.35">
      <c r="A3267" s="14" t="s">
        <v>1940</v>
      </c>
      <c r="B3267" s="14" t="s">
        <v>416</v>
      </c>
      <c r="C3267" s="14"/>
      <c r="D3267" s="14" t="s">
        <v>409</v>
      </c>
      <c r="E3267" s="15">
        <v>41640</v>
      </c>
      <c r="F3267" s="15">
        <v>42004</v>
      </c>
      <c r="G3267" s="14" t="s">
        <v>415</v>
      </c>
      <c r="H3267" s="14">
        <v>0.05</v>
      </c>
      <c r="I3267" s="14">
        <v>0.05</v>
      </c>
      <c r="J3267" s="14">
        <v>0.05</v>
      </c>
      <c r="K3267" s="14">
        <v>0.05</v>
      </c>
      <c r="L3267" s="14">
        <v>0.1</v>
      </c>
      <c r="M3267" s="14">
        <v>0.2</v>
      </c>
      <c r="N3267" s="14">
        <v>0.4</v>
      </c>
      <c r="O3267" s="14">
        <v>0.5</v>
      </c>
      <c r="P3267" s="14">
        <v>0.5</v>
      </c>
      <c r="Q3267" s="14">
        <v>0.35</v>
      </c>
      <c r="R3267" s="14">
        <v>0.15</v>
      </c>
      <c r="S3267" s="14">
        <v>0.15</v>
      </c>
      <c r="T3267" s="14">
        <v>0.15</v>
      </c>
      <c r="U3267" s="14">
        <v>0.15</v>
      </c>
      <c r="V3267" s="14">
        <v>0.15</v>
      </c>
      <c r="W3267" s="14">
        <v>0.15</v>
      </c>
      <c r="X3267" s="14">
        <v>0.35</v>
      </c>
      <c r="Y3267" s="14">
        <v>0.5</v>
      </c>
      <c r="Z3267" s="14">
        <v>0.5</v>
      </c>
      <c r="AA3267" s="14">
        <v>0.4</v>
      </c>
      <c r="AB3267" s="14">
        <v>0.4</v>
      </c>
      <c r="AC3267" s="14">
        <v>0.3</v>
      </c>
      <c r="AD3267" s="14">
        <v>0.2</v>
      </c>
      <c r="AE3267" s="14">
        <v>0.1</v>
      </c>
      <c r="AF3267" s="14" t="s">
        <v>411</v>
      </c>
    </row>
    <row r="3268" spans="1:32" ht="14.25" customHeight="1" x14ac:dyDescent="0.35">
      <c r="A3268" s="16" t="s">
        <v>1941</v>
      </c>
      <c r="B3268" s="16" t="s">
        <v>427</v>
      </c>
      <c r="C3268" s="16"/>
      <c r="D3268" s="16" t="s">
        <v>417</v>
      </c>
      <c r="E3268" s="17">
        <v>41640</v>
      </c>
      <c r="F3268" s="17">
        <v>42004</v>
      </c>
      <c r="G3268" s="16" t="s">
        <v>415</v>
      </c>
      <c r="H3268" s="16">
        <v>0.3</v>
      </c>
      <c r="I3268" s="16">
        <v>0.25</v>
      </c>
      <c r="J3268" s="16">
        <v>0.2</v>
      </c>
      <c r="K3268" s="16">
        <v>0.2</v>
      </c>
      <c r="L3268" s="16">
        <v>0.2</v>
      </c>
      <c r="M3268" s="16">
        <v>0.3</v>
      </c>
      <c r="N3268" s="16">
        <v>0.5</v>
      </c>
      <c r="O3268" s="16">
        <v>0.6</v>
      </c>
      <c r="P3268" s="16">
        <v>0.5</v>
      </c>
      <c r="Q3268" s="16">
        <v>0.5</v>
      </c>
      <c r="R3268" s="16">
        <v>0.35</v>
      </c>
      <c r="S3268" s="16">
        <v>0.35</v>
      </c>
      <c r="T3268" s="16">
        <v>0.35</v>
      </c>
      <c r="U3268" s="16">
        <v>0.35</v>
      </c>
      <c r="V3268" s="16">
        <v>0.35</v>
      </c>
      <c r="W3268" s="16">
        <v>0.35</v>
      </c>
      <c r="X3268" s="16">
        <v>0.35</v>
      </c>
      <c r="Y3268" s="16">
        <v>0.35</v>
      </c>
      <c r="Z3268" s="16">
        <v>0.7</v>
      </c>
      <c r="AA3268" s="16">
        <v>0.9</v>
      </c>
      <c r="AB3268" s="16">
        <v>0.95</v>
      </c>
      <c r="AC3268" s="16">
        <v>0.9</v>
      </c>
      <c r="AD3268" s="16">
        <v>0.7</v>
      </c>
      <c r="AE3268" s="16">
        <v>0.4</v>
      </c>
      <c r="AF3268" s="16" t="s">
        <v>411</v>
      </c>
    </row>
    <row r="3269" spans="1:32" ht="14.25" customHeight="1" x14ac:dyDescent="0.35">
      <c r="A3269" s="16" t="s">
        <v>1941</v>
      </c>
      <c r="B3269" s="16" t="s">
        <v>427</v>
      </c>
      <c r="C3269" s="16"/>
      <c r="D3269" s="16" t="s">
        <v>512</v>
      </c>
      <c r="E3269" s="17">
        <v>41640</v>
      </c>
      <c r="F3269" s="17">
        <v>42004</v>
      </c>
      <c r="G3269" s="16" t="s">
        <v>415</v>
      </c>
      <c r="H3269" s="16">
        <v>0.3</v>
      </c>
      <c r="I3269" s="16">
        <v>0.3</v>
      </c>
      <c r="J3269" s="16">
        <v>0.2</v>
      </c>
      <c r="K3269" s="16">
        <v>0.2</v>
      </c>
      <c r="L3269" s="16">
        <v>0.2</v>
      </c>
      <c r="M3269" s="16">
        <v>0.2</v>
      </c>
      <c r="N3269" s="16">
        <v>0.4</v>
      </c>
      <c r="O3269" s="16">
        <v>0.4</v>
      </c>
      <c r="P3269" s="16">
        <v>0.5</v>
      </c>
      <c r="Q3269" s="16">
        <v>0.5</v>
      </c>
      <c r="R3269" s="16">
        <v>0.4</v>
      </c>
      <c r="S3269" s="16">
        <v>0.35</v>
      </c>
      <c r="T3269" s="16">
        <v>0.35</v>
      </c>
      <c r="U3269" s="16">
        <v>0.35</v>
      </c>
      <c r="V3269" s="16">
        <v>0.35</v>
      </c>
      <c r="W3269" s="16">
        <v>0.35</v>
      </c>
      <c r="X3269" s="16">
        <v>0.35</v>
      </c>
      <c r="Y3269" s="16">
        <v>0.35</v>
      </c>
      <c r="Z3269" s="16">
        <v>0.7</v>
      </c>
      <c r="AA3269" s="16">
        <v>0.8</v>
      </c>
      <c r="AB3269" s="16">
        <v>0.8</v>
      </c>
      <c r="AC3269" s="16">
        <v>0.8</v>
      </c>
      <c r="AD3269" s="16">
        <v>0.7</v>
      </c>
      <c r="AE3269" s="16">
        <v>0.4</v>
      </c>
      <c r="AF3269" s="16" t="s">
        <v>411</v>
      </c>
    </row>
    <row r="3270" spans="1:32" ht="14.25" customHeight="1" x14ac:dyDescent="0.35">
      <c r="A3270" s="16" t="s">
        <v>1941</v>
      </c>
      <c r="B3270" s="16" t="s">
        <v>427</v>
      </c>
      <c r="C3270" s="16"/>
      <c r="D3270" s="16" t="s">
        <v>419</v>
      </c>
      <c r="E3270" s="17">
        <v>41640</v>
      </c>
      <c r="F3270" s="17">
        <v>42004</v>
      </c>
      <c r="G3270" s="16" t="s">
        <v>410</v>
      </c>
      <c r="H3270" s="16">
        <v>1</v>
      </c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  <c r="AB3270" s="16"/>
      <c r="AC3270" s="16"/>
      <c r="AD3270" s="16"/>
      <c r="AE3270" s="16"/>
      <c r="AF3270" s="16" t="s">
        <v>411</v>
      </c>
    </row>
    <row r="3271" spans="1:32" ht="14.25" customHeight="1" x14ac:dyDescent="0.35">
      <c r="A3271" s="14" t="s">
        <v>1941</v>
      </c>
      <c r="B3271" s="14" t="s">
        <v>427</v>
      </c>
      <c r="C3271" s="14"/>
      <c r="D3271" s="14" t="s">
        <v>511</v>
      </c>
      <c r="E3271" s="15">
        <v>41640</v>
      </c>
      <c r="F3271" s="15">
        <v>42004</v>
      </c>
      <c r="G3271" s="14" t="s">
        <v>415</v>
      </c>
      <c r="H3271" s="14">
        <v>0.4</v>
      </c>
      <c r="I3271" s="14">
        <v>0.4</v>
      </c>
      <c r="J3271" s="14">
        <v>0.3</v>
      </c>
      <c r="K3271" s="14">
        <v>0.3</v>
      </c>
      <c r="L3271" s="14">
        <v>0.3</v>
      </c>
      <c r="M3271" s="14">
        <v>0.3</v>
      </c>
      <c r="N3271" s="14">
        <v>0.4</v>
      </c>
      <c r="O3271" s="14">
        <v>0.5</v>
      </c>
      <c r="P3271" s="14">
        <v>0.5</v>
      </c>
      <c r="Q3271" s="14">
        <v>0.4</v>
      </c>
      <c r="R3271" s="14">
        <v>0.4</v>
      </c>
      <c r="S3271" s="14">
        <v>0.4</v>
      </c>
      <c r="T3271" s="14">
        <v>0.4</v>
      </c>
      <c r="U3271" s="14">
        <v>0.3</v>
      </c>
      <c r="V3271" s="14">
        <v>0.3</v>
      </c>
      <c r="W3271" s="14">
        <v>0.3</v>
      </c>
      <c r="X3271" s="14">
        <v>0.3</v>
      </c>
      <c r="Y3271" s="14">
        <v>0.3</v>
      </c>
      <c r="Z3271" s="14">
        <v>0.6</v>
      </c>
      <c r="AA3271" s="14">
        <v>0.8</v>
      </c>
      <c r="AB3271" s="14">
        <v>0.9</v>
      </c>
      <c r="AC3271" s="14">
        <v>0.7</v>
      </c>
      <c r="AD3271" s="14">
        <v>0.6</v>
      </c>
      <c r="AE3271" s="14">
        <v>0.4</v>
      </c>
      <c r="AF3271" s="14" t="s">
        <v>411</v>
      </c>
    </row>
    <row r="3272" spans="1:32" ht="14.25" customHeight="1" x14ac:dyDescent="0.35">
      <c r="A3272" s="14" t="s">
        <v>1941</v>
      </c>
      <c r="B3272" s="14" t="s">
        <v>427</v>
      </c>
      <c r="C3272" s="14"/>
      <c r="D3272" s="14" t="s">
        <v>418</v>
      </c>
      <c r="E3272" s="15">
        <v>41640</v>
      </c>
      <c r="F3272" s="15">
        <v>42004</v>
      </c>
      <c r="G3272" s="14" t="s">
        <v>410</v>
      </c>
      <c r="H3272" s="14">
        <v>0</v>
      </c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S3272" s="14"/>
      <c r="T3272" s="14"/>
      <c r="U3272" s="14"/>
      <c r="V3272" s="14"/>
      <c r="W3272" s="14"/>
      <c r="X3272" s="14"/>
      <c r="Y3272" s="14"/>
      <c r="Z3272" s="14"/>
      <c r="AA3272" s="14"/>
      <c r="AB3272" s="14"/>
      <c r="AC3272" s="14"/>
      <c r="AD3272" s="14"/>
      <c r="AE3272" s="14"/>
      <c r="AF3272" s="14" t="s">
        <v>411</v>
      </c>
    </row>
    <row r="3273" spans="1:32" ht="14.25" customHeight="1" x14ac:dyDescent="0.35">
      <c r="A3273" s="14" t="s">
        <v>1942</v>
      </c>
      <c r="B3273" s="14" t="s">
        <v>424</v>
      </c>
      <c r="C3273" s="14"/>
      <c r="D3273" s="14" t="s">
        <v>417</v>
      </c>
      <c r="E3273" s="15">
        <v>41640</v>
      </c>
      <c r="F3273" s="15">
        <v>42004</v>
      </c>
      <c r="G3273" s="14" t="s">
        <v>415</v>
      </c>
      <c r="H3273" s="14">
        <v>0.2</v>
      </c>
      <c r="I3273" s="14">
        <v>0.15</v>
      </c>
      <c r="J3273" s="14">
        <v>0.1</v>
      </c>
      <c r="K3273" s="14">
        <v>0.1</v>
      </c>
      <c r="L3273" s="14">
        <v>0.1</v>
      </c>
      <c r="M3273" s="14">
        <v>0.2</v>
      </c>
      <c r="N3273" s="14">
        <v>0.4</v>
      </c>
      <c r="O3273" s="14">
        <v>0.5</v>
      </c>
      <c r="P3273" s="14">
        <v>0.4</v>
      </c>
      <c r="Q3273" s="14">
        <v>0.4</v>
      </c>
      <c r="R3273" s="14">
        <v>0.25</v>
      </c>
      <c r="S3273" s="14">
        <v>0.25</v>
      </c>
      <c r="T3273" s="14">
        <v>0.25</v>
      </c>
      <c r="U3273" s="14">
        <v>0.25</v>
      </c>
      <c r="V3273" s="14">
        <v>0.25</v>
      </c>
      <c r="W3273" s="14">
        <v>0.25</v>
      </c>
      <c r="X3273" s="14">
        <v>0.25</v>
      </c>
      <c r="Y3273" s="14">
        <v>0.25</v>
      </c>
      <c r="Z3273" s="14">
        <v>0.6</v>
      </c>
      <c r="AA3273" s="14">
        <v>0.8</v>
      </c>
      <c r="AB3273" s="14">
        <v>0.9</v>
      </c>
      <c r="AC3273" s="14">
        <v>0.8</v>
      </c>
      <c r="AD3273" s="14">
        <v>0.6</v>
      </c>
      <c r="AE3273" s="14">
        <v>0.3</v>
      </c>
      <c r="AF3273" s="14" t="s">
        <v>411</v>
      </c>
    </row>
    <row r="3274" spans="1:32" ht="14.25" customHeight="1" x14ac:dyDescent="0.35">
      <c r="A3274" s="14" t="s">
        <v>1942</v>
      </c>
      <c r="B3274" s="14" t="s">
        <v>424</v>
      </c>
      <c r="C3274" s="14"/>
      <c r="D3274" s="14" t="s">
        <v>512</v>
      </c>
      <c r="E3274" s="15">
        <v>41640</v>
      </c>
      <c r="F3274" s="15">
        <v>42004</v>
      </c>
      <c r="G3274" s="14" t="s">
        <v>415</v>
      </c>
      <c r="H3274" s="14">
        <v>0.2</v>
      </c>
      <c r="I3274" s="14">
        <v>0.2</v>
      </c>
      <c r="J3274" s="14">
        <v>0.1</v>
      </c>
      <c r="K3274" s="14">
        <v>0.1</v>
      </c>
      <c r="L3274" s="14">
        <v>0.1</v>
      </c>
      <c r="M3274" s="14">
        <v>0.1</v>
      </c>
      <c r="N3274" s="14">
        <v>0.3</v>
      </c>
      <c r="O3274" s="14">
        <v>0.3</v>
      </c>
      <c r="P3274" s="14">
        <v>0.4</v>
      </c>
      <c r="Q3274" s="14">
        <v>0.4</v>
      </c>
      <c r="R3274" s="14">
        <v>0.3</v>
      </c>
      <c r="S3274" s="14">
        <v>0.25</v>
      </c>
      <c r="T3274" s="14">
        <v>0.25</v>
      </c>
      <c r="U3274" s="14">
        <v>0.25</v>
      </c>
      <c r="V3274" s="14">
        <v>0.25</v>
      </c>
      <c r="W3274" s="14">
        <v>0.25</v>
      </c>
      <c r="X3274" s="14">
        <v>0.25</v>
      </c>
      <c r="Y3274" s="14">
        <v>0.25</v>
      </c>
      <c r="Z3274" s="14">
        <v>0.6</v>
      </c>
      <c r="AA3274" s="14">
        <v>0.7</v>
      </c>
      <c r="AB3274" s="14">
        <v>0.7</v>
      </c>
      <c r="AC3274" s="14">
        <v>0.7</v>
      </c>
      <c r="AD3274" s="14">
        <v>0.6</v>
      </c>
      <c r="AE3274" s="14">
        <v>0.3</v>
      </c>
      <c r="AF3274" s="14" t="s">
        <v>411</v>
      </c>
    </row>
    <row r="3275" spans="1:32" ht="14.25" customHeight="1" x14ac:dyDescent="0.35">
      <c r="A3275" s="14" t="s">
        <v>1942</v>
      </c>
      <c r="B3275" s="14" t="s">
        <v>424</v>
      </c>
      <c r="C3275" s="14"/>
      <c r="D3275" s="14" t="s">
        <v>419</v>
      </c>
      <c r="E3275" s="15">
        <v>41640</v>
      </c>
      <c r="F3275" s="15">
        <v>42004</v>
      </c>
      <c r="G3275" s="14" t="s">
        <v>410</v>
      </c>
      <c r="H3275" s="14">
        <v>1</v>
      </c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S3275" s="14"/>
      <c r="T3275" s="14"/>
      <c r="U3275" s="14"/>
      <c r="V3275" s="14"/>
      <c r="W3275" s="14"/>
      <c r="X3275" s="14"/>
      <c r="Y3275" s="14"/>
      <c r="Z3275" s="14"/>
      <c r="AA3275" s="14"/>
      <c r="AB3275" s="14"/>
      <c r="AC3275" s="14"/>
      <c r="AD3275" s="14"/>
      <c r="AE3275" s="14"/>
      <c r="AF3275" s="14" t="s">
        <v>411</v>
      </c>
    </row>
    <row r="3276" spans="1:32" ht="14.25" customHeight="1" x14ac:dyDescent="0.35">
      <c r="A3276" s="16" t="s">
        <v>1942</v>
      </c>
      <c r="B3276" s="16" t="s">
        <v>424</v>
      </c>
      <c r="C3276" s="16"/>
      <c r="D3276" s="16" t="s">
        <v>511</v>
      </c>
      <c r="E3276" s="17">
        <v>41640</v>
      </c>
      <c r="F3276" s="17">
        <v>42004</v>
      </c>
      <c r="G3276" s="16" t="s">
        <v>415</v>
      </c>
      <c r="H3276" s="16">
        <v>0.3</v>
      </c>
      <c r="I3276" s="16">
        <v>0.3</v>
      </c>
      <c r="J3276" s="16">
        <v>0.2</v>
      </c>
      <c r="K3276" s="16">
        <v>0.2</v>
      </c>
      <c r="L3276" s="16">
        <v>0.2</v>
      </c>
      <c r="M3276" s="16">
        <v>0.2</v>
      </c>
      <c r="N3276" s="16">
        <v>0.3</v>
      </c>
      <c r="O3276" s="16">
        <v>0.4</v>
      </c>
      <c r="P3276" s="16">
        <v>0.4</v>
      </c>
      <c r="Q3276" s="16">
        <v>0.3</v>
      </c>
      <c r="R3276" s="16">
        <v>0.3</v>
      </c>
      <c r="S3276" s="16">
        <v>0.3</v>
      </c>
      <c r="T3276" s="16">
        <v>0.3</v>
      </c>
      <c r="U3276" s="16">
        <v>0.2</v>
      </c>
      <c r="V3276" s="16">
        <v>0.2</v>
      </c>
      <c r="W3276" s="16">
        <v>0.2</v>
      </c>
      <c r="X3276" s="16">
        <v>0.2</v>
      </c>
      <c r="Y3276" s="16">
        <v>0.2</v>
      </c>
      <c r="Z3276" s="16">
        <v>0.5</v>
      </c>
      <c r="AA3276" s="16">
        <v>0.7</v>
      </c>
      <c r="AB3276" s="16">
        <v>0.8</v>
      </c>
      <c r="AC3276" s="16">
        <v>0.6</v>
      </c>
      <c r="AD3276" s="16">
        <v>0.5</v>
      </c>
      <c r="AE3276" s="16">
        <v>0.3</v>
      </c>
      <c r="AF3276" s="16" t="s">
        <v>411</v>
      </c>
    </row>
    <row r="3277" spans="1:32" ht="14.25" customHeight="1" x14ac:dyDescent="0.35">
      <c r="A3277" s="16" t="s">
        <v>1942</v>
      </c>
      <c r="B3277" s="16" t="s">
        <v>424</v>
      </c>
      <c r="C3277" s="16"/>
      <c r="D3277" s="16" t="s">
        <v>418</v>
      </c>
      <c r="E3277" s="17">
        <v>41640</v>
      </c>
      <c r="F3277" s="17">
        <v>42004</v>
      </c>
      <c r="G3277" s="16" t="s">
        <v>410</v>
      </c>
      <c r="H3277" s="16">
        <v>0</v>
      </c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16"/>
      <c r="AA3277" s="16"/>
      <c r="AB3277" s="16"/>
      <c r="AC3277" s="16"/>
      <c r="AD3277" s="16"/>
      <c r="AE3277" s="16"/>
      <c r="AF3277" s="16" t="s">
        <v>411</v>
      </c>
    </row>
    <row r="3278" spans="1:32" ht="14.25" customHeight="1" x14ac:dyDescent="0.35">
      <c r="A3278" s="16" t="s">
        <v>1943</v>
      </c>
      <c r="B3278" s="16" t="s">
        <v>448</v>
      </c>
      <c r="C3278" s="16"/>
      <c r="D3278" s="16" t="s">
        <v>417</v>
      </c>
      <c r="E3278" s="17">
        <v>41640</v>
      </c>
      <c r="F3278" s="17">
        <v>42004</v>
      </c>
      <c r="G3278" s="16" t="s">
        <v>415</v>
      </c>
      <c r="H3278" s="16">
        <v>0.9</v>
      </c>
      <c r="I3278" s="16">
        <v>0.9</v>
      </c>
      <c r="J3278" s="16">
        <v>0.9</v>
      </c>
      <c r="K3278" s="16">
        <v>0.9</v>
      </c>
      <c r="L3278" s="16">
        <v>0.9</v>
      </c>
      <c r="M3278" s="16">
        <v>0.9</v>
      </c>
      <c r="N3278" s="16">
        <v>0.7</v>
      </c>
      <c r="O3278" s="16">
        <v>0.4</v>
      </c>
      <c r="P3278" s="16">
        <v>0.4</v>
      </c>
      <c r="Q3278" s="16">
        <v>0.2</v>
      </c>
      <c r="R3278" s="16">
        <v>0.2</v>
      </c>
      <c r="S3278" s="16">
        <v>0.2</v>
      </c>
      <c r="T3278" s="16">
        <v>0.2</v>
      </c>
      <c r="U3278" s="16">
        <v>0.2</v>
      </c>
      <c r="V3278" s="16">
        <v>0.2</v>
      </c>
      <c r="W3278" s="16">
        <v>0.3</v>
      </c>
      <c r="X3278" s="16">
        <v>0.5</v>
      </c>
      <c r="Y3278" s="16">
        <v>0.5</v>
      </c>
      <c r="Z3278" s="16">
        <v>0.5</v>
      </c>
      <c r="AA3278" s="16">
        <v>0.7</v>
      </c>
      <c r="AB3278" s="16">
        <v>0.7</v>
      </c>
      <c r="AC3278" s="16">
        <v>0.8</v>
      </c>
      <c r="AD3278" s="16">
        <v>0.9</v>
      </c>
      <c r="AE3278" s="16">
        <v>0.9</v>
      </c>
      <c r="AF3278" s="16" t="s">
        <v>411</v>
      </c>
    </row>
    <row r="3279" spans="1:32" ht="14.25" customHeight="1" x14ac:dyDescent="0.35">
      <c r="A3279" s="16" t="s">
        <v>1943</v>
      </c>
      <c r="B3279" s="16" t="s">
        <v>448</v>
      </c>
      <c r="C3279" s="16"/>
      <c r="D3279" s="16" t="s">
        <v>512</v>
      </c>
      <c r="E3279" s="17">
        <v>41640</v>
      </c>
      <c r="F3279" s="17">
        <v>42004</v>
      </c>
      <c r="G3279" s="16" t="s">
        <v>415</v>
      </c>
      <c r="H3279" s="16">
        <v>0.9</v>
      </c>
      <c r="I3279" s="16">
        <v>0.9</v>
      </c>
      <c r="J3279" s="16">
        <v>0.9</v>
      </c>
      <c r="K3279" s="16">
        <v>0.9</v>
      </c>
      <c r="L3279" s="16">
        <v>0.9</v>
      </c>
      <c r="M3279" s="16">
        <v>0.9</v>
      </c>
      <c r="N3279" s="16">
        <v>0.7</v>
      </c>
      <c r="O3279" s="16">
        <v>0.5</v>
      </c>
      <c r="P3279" s="16">
        <v>0.5</v>
      </c>
      <c r="Q3279" s="16">
        <v>0.3</v>
      </c>
      <c r="R3279" s="16">
        <v>0.3</v>
      </c>
      <c r="S3279" s="16">
        <v>0.3</v>
      </c>
      <c r="T3279" s="16">
        <v>0.3</v>
      </c>
      <c r="U3279" s="16">
        <v>0.3</v>
      </c>
      <c r="V3279" s="16">
        <v>0.3</v>
      </c>
      <c r="W3279" s="16">
        <v>0.3</v>
      </c>
      <c r="X3279" s="16">
        <v>0.3</v>
      </c>
      <c r="Y3279" s="16">
        <v>0.5</v>
      </c>
      <c r="Z3279" s="16">
        <v>0.6</v>
      </c>
      <c r="AA3279" s="16">
        <v>0.6</v>
      </c>
      <c r="AB3279" s="16">
        <v>0.6</v>
      </c>
      <c r="AC3279" s="16">
        <v>0.7</v>
      </c>
      <c r="AD3279" s="16">
        <v>0.7</v>
      </c>
      <c r="AE3279" s="16">
        <v>0.7</v>
      </c>
      <c r="AF3279" s="16" t="s">
        <v>411</v>
      </c>
    </row>
    <row r="3280" spans="1:32" ht="14.25" customHeight="1" x14ac:dyDescent="0.35">
      <c r="A3280" s="16" t="s">
        <v>1943</v>
      </c>
      <c r="B3280" s="16" t="s">
        <v>448</v>
      </c>
      <c r="C3280" s="16"/>
      <c r="D3280" s="16" t="s">
        <v>419</v>
      </c>
      <c r="E3280" s="17">
        <v>41640</v>
      </c>
      <c r="F3280" s="17">
        <v>42004</v>
      </c>
      <c r="G3280" s="16" t="s">
        <v>410</v>
      </c>
      <c r="H3280" s="16">
        <v>1</v>
      </c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  <c r="AA3280" s="16"/>
      <c r="AB3280" s="16"/>
      <c r="AC3280" s="16"/>
      <c r="AD3280" s="16"/>
      <c r="AE3280" s="16"/>
      <c r="AF3280" s="16" t="s">
        <v>411</v>
      </c>
    </row>
    <row r="3281" spans="1:32" ht="14.25" customHeight="1" x14ac:dyDescent="0.35">
      <c r="A3281" s="14" t="s">
        <v>1943</v>
      </c>
      <c r="B3281" s="14" t="s">
        <v>448</v>
      </c>
      <c r="C3281" s="14"/>
      <c r="D3281" s="14" t="s">
        <v>511</v>
      </c>
      <c r="E3281" s="15">
        <v>41640</v>
      </c>
      <c r="F3281" s="15">
        <v>42004</v>
      </c>
      <c r="G3281" s="14" t="s">
        <v>415</v>
      </c>
      <c r="H3281" s="14">
        <v>0.7</v>
      </c>
      <c r="I3281" s="14">
        <v>0.7</v>
      </c>
      <c r="J3281" s="14">
        <v>0.7</v>
      </c>
      <c r="K3281" s="14">
        <v>0.7</v>
      </c>
      <c r="L3281" s="14">
        <v>0.7</v>
      </c>
      <c r="M3281" s="14">
        <v>0.7</v>
      </c>
      <c r="N3281" s="14">
        <v>0.7</v>
      </c>
      <c r="O3281" s="14">
        <v>0.7</v>
      </c>
      <c r="P3281" s="14">
        <v>0.5</v>
      </c>
      <c r="Q3281" s="14">
        <v>0.5</v>
      </c>
      <c r="R3281" s="14">
        <v>0.5</v>
      </c>
      <c r="S3281" s="14">
        <v>0.3</v>
      </c>
      <c r="T3281" s="14">
        <v>0.3</v>
      </c>
      <c r="U3281" s="14">
        <v>0.2</v>
      </c>
      <c r="V3281" s="14">
        <v>0.2</v>
      </c>
      <c r="W3281" s="14">
        <v>0.2</v>
      </c>
      <c r="X3281" s="14">
        <v>0.3</v>
      </c>
      <c r="Y3281" s="14">
        <v>0.4</v>
      </c>
      <c r="Z3281" s="14">
        <v>0.4</v>
      </c>
      <c r="AA3281" s="14">
        <v>0.6</v>
      </c>
      <c r="AB3281" s="14">
        <v>0.6</v>
      </c>
      <c r="AC3281" s="14">
        <v>0.8</v>
      </c>
      <c r="AD3281" s="14">
        <v>0.8</v>
      </c>
      <c r="AE3281" s="14">
        <v>0.8</v>
      </c>
      <c r="AF3281" s="14" t="s">
        <v>411</v>
      </c>
    </row>
    <row r="3282" spans="1:32" ht="14.25" customHeight="1" x14ac:dyDescent="0.35">
      <c r="A3282" s="14" t="s">
        <v>1943</v>
      </c>
      <c r="B3282" s="14" t="s">
        <v>448</v>
      </c>
      <c r="C3282" s="14"/>
      <c r="D3282" s="14" t="s">
        <v>418</v>
      </c>
      <c r="E3282" s="15">
        <v>41640</v>
      </c>
      <c r="F3282" s="15">
        <v>42004</v>
      </c>
      <c r="G3282" s="14" t="s">
        <v>410</v>
      </c>
      <c r="H3282" s="14">
        <v>0</v>
      </c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  <c r="U3282" s="14"/>
      <c r="V3282" s="14"/>
      <c r="W3282" s="14"/>
      <c r="X3282" s="14"/>
      <c r="Y3282" s="14"/>
      <c r="Z3282" s="14"/>
      <c r="AA3282" s="14"/>
      <c r="AB3282" s="14"/>
      <c r="AC3282" s="14"/>
      <c r="AD3282" s="14"/>
      <c r="AE3282" s="14"/>
      <c r="AF3282" s="14" t="s">
        <v>411</v>
      </c>
    </row>
    <row r="3283" spans="1:32" ht="14.25" customHeight="1" x14ac:dyDescent="0.35">
      <c r="A3283" s="14" t="s">
        <v>1944</v>
      </c>
      <c r="B3283" s="14" t="s">
        <v>420</v>
      </c>
      <c r="C3283" s="14" t="s">
        <v>414</v>
      </c>
      <c r="D3283" s="14" t="s">
        <v>409</v>
      </c>
      <c r="E3283" s="15">
        <v>41640</v>
      </c>
      <c r="F3283" s="15">
        <v>42004</v>
      </c>
      <c r="G3283" s="14" t="s">
        <v>410</v>
      </c>
      <c r="H3283" s="14">
        <v>24</v>
      </c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4"/>
      <c r="Z3283" s="14"/>
      <c r="AA3283" s="14"/>
      <c r="AB3283" s="14"/>
      <c r="AC3283" s="14"/>
      <c r="AD3283" s="14"/>
      <c r="AE3283" s="14"/>
      <c r="AF3283" s="14" t="s">
        <v>411</v>
      </c>
    </row>
    <row r="3284" spans="1:32" ht="14.25" customHeight="1" x14ac:dyDescent="0.35">
      <c r="A3284" s="16" t="s">
        <v>1945</v>
      </c>
      <c r="B3284" s="16" t="s">
        <v>518</v>
      </c>
      <c r="C3284" s="16"/>
      <c r="D3284" s="16" t="s">
        <v>476</v>
      </c>
      <c r="E3284" s="17">
        <v>41640</v>
      </c>
      <c r="F3284" s="17">
        <v>42004</v>
      </c>
      <c r="G3284" s="16" t="s">
        <v>410</v>
      </c>
      <c r="H3284" s="16">
        <v>1</v>
      </c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6"/>
      <c r="AA3284" s="16"/>
      <c r="AB3284" s="16"/>
      <c r="AC3284" s="16"/>
      <c r="AD3284" s="16"/>
      <c r="AE3284" s="16"/>
      <c r="AF3284" s="16" t="s">
        <v>411</v>
      </c>
    </row>
    <row r="3285" spans="1:32" ht="14.25" customHeight="1" x14ac:dyDescent="0.35">
      <c r="A3285" s="14" t="s">
        <v>1945</v>
      </c>
      <c r="B3285" s="14" t="s">
        <v>518</v>
      </c>
      <c r="C3285" s="14"/>
      <c r="D3285" s="14" t="s">
        <v>419</v>
      </c>
      <c r="E3285" s="15">
        <v>41640</v>
      </c>
      <c r="F3285" s="15">
        <v>42004</v>
      </c>
      <c r="G3285" s="14" t="s">
        <v>410</v>
      </c>
      <c r="H3285" s="14">
        <v>0.5</v>
      </c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4"/>
      <c r="AA3285" s="14"/>
      <c r="AB3285" s="14"/>
      <c r="AC3285" s="14"/>
      <c r="AD3285" s="14"/>
      <c r="AE3285" s="14"/>
      <c r="AF3285" s="14" t="s">
        <v>411</v>
      </c>
    </row>
    <row r="3286" spans="1:32" ht="14.25" customHeight="1" x14ac:dyDescent="0.35">
      <c r="A3286" s="16" t="s">
        <v>1945</v>
      </c>
      <c r="B3286" s="16" t="s">
        <v>518</v>
      </c>
      <c r="C3286" s="16"/>
      <c r="D3286" s="16" t="s">
        <v>454</v>
      </c>
      <c r="E3286" s="17">
        <v>41913</v>
      </c>
      <c r="F3286" s="17">
        <v>42004</v>
      </c>
      <c r="G3286" s="16" t="s">
        <v>410</v>
      </c>
      <c r="H3286" s="16">
        <v>1</v>
      </c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  <c r="AA3286" s="16"/>
      <c r="AB3286" s="16"/>
      <c r="AC3286" s="16"/>
      <c r="AD3286" s="16"/>
      <c r="AE3286" s="16"/>
      <c r="AF3286" s="16" t="s">
        <v>411</v>
      </c>
    </row>
    <row r="3287" spans="1:32" ht="14.25" customHeight="1" x14ac:dyDescent="0.35">
      <c r="A3287" s="14" t="s">
        <v>1945</v>
      </c>
      <c r="B3287" s="14" t="s">
        <v>518</v>
      </c>
      <c r="C3287" s="14"/>
      <c r="D3287" s="14" t="s">
        <v>454</v>
      </c>
      <c r="E3287" s="15">
        <v>41760</v>
      </c>
      <c r="F3287" s="15">
        <v>41912</v>
      </c>
      <c r="G3287" s="14" t="s">
        <v>410</v>
      </c>
      <c r="H3287" s="14">
        <v>0.5</v>
      </c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S3287" s="14"/>
      <c r="T3287" s="14"/>
      <c r="U3287" s="14"/>
      <c r="V3287" s="14"/>
      <c r="W3287" s="14"/>
      <c r="X3287" s="14"/>
      <c r="Y3287" s="14"/>
      <c r="Z3287" s="14"/>
      <c r="AA3287" s="14"/>
      <c r="AB3287" s="14"/>
      <c r="AC3287" s="14"/>
      <c r="AD3287" s="14"/>
      <c r="AE3287" s="14"/>
      <c r="AF3287" s="14" t="s">
        <v>411</v>
      </c>
    </row>
    <row r="3288" spans="1:32" ht="14.25" customHeight="1" x14ac:dyDescent="0.35">
      <c r="A3288" s="16" t="s">
        <v>1946</v>
      </c>
      <c r="B3288" s="16" t="s">
        <v>424</v>
      </c>
      <c r="C3288" s="16"/>
      <c r="D3288" s="16" t="s">
        <v>409</v>
      </c>
      <c r="E3288" s="17">
        <v>41640</v>
      </c>
      <c r="F3288" s="17">
        <v>42004</v>
      </c>
      <c r="G3288" s="16" t="s">
        <v>410</v>
      </c>
      <c r="H3288" s="16">
        <v>1</v>
      </c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  <c r="AA3288" s="16"/>
      <c r="AB3288" s="16"/>
      <c r="AC3288" s="16"/>
      <c r="AD3288" s="16"/>
      <c r="AE3288" s="16"/>
      <c r="AF3288" s="16" t="s">
        <v>411</v>
      </c>
    </row>
    <row r="3289" spans="1:32" ht="14.25" customHeight="1" x14ac:dyDescent="0.35">
      <c r="A3289" s="14" t="s">
        <v>1947</v>
      </c>
      <c r="B3289" s="14" t="s">
        <v>427</v>
      </c>
      <c r="C3289" s="14"/>
      <c r="D3289" s="14" t="s">
        <v>409</v>
      </c>
      <c r="E3289" s="15">
        <v>41640</v>
      </c>
      <c r="F3289" s="15">
        <v>42004</v>
      </c>
      <c r="G3289" s="14" t="s">
        <v>415</v>
      </c>
      <c r="H3289" s="14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0.5</v>
      </c>
      <c r="O3289" s="14">
        <v>1</v>
      </c>
      <c r="P3289" s="14">
        <v>1</v>
      </c>
      <c r="Q3289" s="14">
        <v>0.5</v>
      </c>
      <c r="R3289" s="14">
        <v>0.5</v>
      </c>
      <c r="S3289" s="14">
        <v>0.5</v>
      </c>
      <c r="T3289" s="14">
        <v>0</v>
      </c>
      <c r="U3289" s="14">
        <v>0.5</v>
      </c>
      <c r="V3289" s="14">
        <v>0.5</v>
      </c>
      <c r="W3289" s="14">
        <v>0.5</v>
      </c>
      <c r="X3289" s="14">
        <v>1</v>
      </c>
      <c r="Y3289" s="14">
        <v>0.5</v>
      </c>
      <c r="Z3289" s="14">
        <v>0.5</v>
      </c>
      <c r="AA3289" s="14">
        <v>1</v>
      </c>
      <c r="AB3289" s="14">
        <v>1</v>
      </c>
      <c r="AC3289" s="14">
        <v>0.5</v>
      </c>
      <c r="AD3289" s="14">
        <v>0.5</v>
      </c>
      <c r="AE3289" s="14">
        <v>0</v>
      </c>
      <c r="AF3289" s="14" t="s">
        <v>411</v>
      </c>
    </row>
    <row r="3290" spans="1:32" ht="14.25" customHeight="1" x14ac:dyDescent="0.35">
      <c r="A3290" s="16" t="s">
        <v>1948</v>
      </c>
      <c r="B3290" s="16" t="s">
        <v>424</v>
      </c>
      <c r="C3290" s="16"/>
      <c r="D3290" s="16" t="s">
        <v>409</v>
      </c>
      <c r="E3290" s="17">
        <v>41640</v>
      </c>
      <c r="F3290" s="17">
        <v>42004</v>
      </c>
      <c r="G3290" s="16" t="s">
        <v>415</v>
      </c>
      <c r="H3290" s="16">
        <v>0</v>
      </c>
      <c r="I3290" s="16">
        <v>0</v>
      </c>
      <c r="J3290" s="16">
        <v>0</v>
      </c>
      <c r="K3290" s="16">
        <v>0</v>
      </c>
      <c r="L3290" s="16">
        <v>0</v>
      </c>
      <c r="M3290" s="16">
        <v>0</v>
      </c>
      <c r="N3290" s="16">
        <v>0.5</v>
      </c>
      <c r="O3290" s="16">
        <v>1</v>
      </c>
      <c r="P3290" s="16">
        <v>1</v>
      </c>
      <c r="Q3290" s="16">
        <v>1</v>
      </c>
      <c r="R3290" s="16">
        <v>1</v>
      </c>
      <c r="S3290" s="16">
        <v>1</v>
      </c>
      <c r="T3290" s="16">
        <v>1</v>
      </c>
      <c r="U3290" s="16">
        <v>1</v>
      </c>
      <c r="V3290" s="16">
        <v>1</v>
      </c>
      <c r="W3290" s="16">
        <v>1</v>
      </c>
      <c r="X3290" s="16">
        <v>1</v>
      </c>
      <c r="Y3290" s="16">
        <v>1</v>
      </c>
      <c r="Z3290" s="16">
        <v>1</v>
      </c>
      <c r="AA3290" s="16">
        <v>1</v>
      </c>
      <c r="AB3290" s="16">
        <v>1</v>
      </c>
      <c r="AC3290" s="16">
        <v>1</v>
      </c>
      <c r="AD3290" s="16">
        <v>0.5</v>
      </c>
      <c r="AE3290" s="16">
        <v>0</v>
      </c>
      <c r="AF3290" s="16" t="s">
        <v>411</v>
      </c>
    </row>
    <row r="3291" spans="1:32" ht="14.25" customHeight="1" x14ac:dyDescent="0.35">
      <c r="A3291" s="14" t="s">
        <v>1949</v>
      </c>
      <c r="B3291" s="14" t="s">
        <v>448</v>
      </c>
      <c r="C3291" s="14"/>
      <c r="D3291" s="14" t="s">
        <v>409</v>
      </c>
      <c r="E3291" s="15">
        <v>41640</v>
      </c>
      <c r="F3291" s="15">
        <v>42004</v>
      </c>
      <c r="G3291" s="14" t="s">
        <v>415</v>
      </c>
      <c r="H3291" s="14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0.5</v>
      </c>
      <c r="O3291" s="14">
        <v>1</v>
      </c>
      <c r="P3291" s="14">
        <v>1</v>
      </c>
      <c r="Q3291" s="14">
        <v>1</v>
      </c>
      <c r="R3291" s="14">
        <v>1</v>
      </c>
      <c r="S3291" s="14">
        <v>0.5</v>
      </c>
      <c r="T3291" s="14">
        <v>0</v>
      </c>
      <c r="U3291" s="14">
        <v>1</v>
      </c>
      <c r="V3291" s="14">
        <v>1</v>
      </c>
      <c r="W3291" s="14">
        <v>1</v>
      </c>
      <c r="X3291" s="14">
        <v>1</v>
      </c>
      <c r="Y3291" s="14">
        <v>1</v>
      </c>
      <c r="Z3291" s="14">
        <v>1</v>
      </c>
      <c r="AA3291" s="14">
        <v>1</v>
      </c>
      <c r="AB3291" s="14">
        <v>1</v>
      </c>
      <c r="AC3291" s="14">
        <v>1</v>
      </c>
      <c r="AD3291" s="14">
        <v>0.5</v>
      </c>
      <c r="AE3291" s="14">
        <v>0</v>
      </c>
      <c r="AF3291" s="14" t="s">
        <v>411</v>
      </c>
    </row>
    <row r="3292" spans="1:32" ht="14.25" customHeight="1" x14ac:dyDescent="0.35">
      <c r="A3292" s="16" t="s">
        <v>1950</v>
      </c>
      <c r="B3292" s="16" t="s">
        <v>424</v>
      </c>
      <c r="C3292" s="16" t="s">
        <v>1290</v>
      </c>
      <c r="D3292" s="16" t="s">
        <v>409</v>
      </c>
      <c r="E3292" s="17">
        <v>41640</v>
      </c>
      <c r="F3292" s="17">
        <v>42004</v>
      </c>
      <c r="G3292" s="17" t="s">
        <v>410</v>
      </c>
      <c r="H3292" s="27">
        <v>1</v>
      </c>
      <c r="I3292" s="28"/>
      <c r="J3292" s="28"/>
      <c r="K3292" s="28"/>
      <c r="L3292" s="28"/>
      <c r="M3292" s="28"/>
      <c r="N3292" s="28"/>
      <c r="O3292" s="28"/>
      <c r="P3292" s="28"/>
      <c r="Q3292" s="28"/>
      <c r="R3292" s="28"/>
      <c r="S3292" s="28"/>
      <c r="T3292" s="28"/>
      <c r="U3292" s="28"/>
      <c r="V3292" s="28"/>
      <c r="W3292" s="28"/>
      <c r="X3292" s="28"/>
      <c r="Y3292" s="28"/>
      <c r="Z3292" s="28"/>
      <c r="AA3292" s="28"/>
      <c r="AB3292" s="28"/>
      <c r="AC3292" s="28"/>
      <c r="AD3292" s="28"/>
      <c r="AE3292" s="28"/>
      <c r="AF3292" s="16"/>
    </row>
    <row r="3293" spans="1:32" ht="14.25" customHeight="1" x14ac:dyDescent="0.35">
      <c r="A3293" s="16" t="s">
        <v>1951</v>
      </c>
      <c r="B3293" s="16" t="s">
        <v>427</v>
      </c>
      <c r="C3293" s="16"/>
      <c r="D3293" s="16" t="s">
        <v>417</v>
      </c>
      <c r="E3293" s="17">
        <v>41640</v>
      </c>
      <c r="F3293" s="17">
        <v>42004</v>
      </c>
      <c r="G3293" s="16" t="s">
        <v>415</v>
      </c>
      <c r="H3293" s="16">
        <v>0.2</v>
      </c>
      <c r="I3293" s="16">
        <v>0.2</v>
      </c>
      <c r="J3293" s="16">
        <v>0.2</v>
      </c>
      <c r="K3293" s="16">
        <v>0.2</v>
      </c>
      <c r="L3293" s="16">
        <v>0.2</v>
      </c>
      <c r="M3293" s="16">
        <v>0.2</v>
      </c>
      <c r="N3293" s="16">
        <v>0.62</v>
      </c>
      <c r="O3293" s="16">
        <v>0.9</v>
      </c>
      <c r="P3293" s="16">
        <v>0.43</v>
      </c>
      <c r="Q3293" s="16">
        <v>0.43</v>
      </c>
      <c r="R3293" s="16">
        <v>0.26</v>
      </c>
      <c r="S3293" s="16">
        <v>0.26</v>
      </c>
      <c r="T3293" s="16">
        <v>0.26</v>
      </c>
      <c r="U3293" s="16">
        <v>0.26</v>
      </c>
      <c r="V3293" s="16">
        <v>0.26</v>
      </c>
      <c r="W3293" s="16">
        <v>0.26</v>
      </c>
      <c r="X3293" s="16">
        <v>0.26</v>
      </c>
      <c r="Y3293" s="16">
        <v>0.51</v>
      </c>
      <c r="Z3293" s="16">
        <v>0.51</v>
      </c>
      <c r="AA3293" s="16">
        <v>0.49</v>
      </c>
      <c r="AB3293" s="16">
        <v>0.66</v>
      </c>
      <c r="AC3293" s="16">
        <v>0.7</v>
      </c>
      <c r="AD3293" s="16">
        <v>0.35</v>
      </c>
      <c r="AE3293" s="16">
        <v>0.2</v>
      </c>
      <c r="AF3293" s="16" t="s">
        <v>411</v>
      </c>
    </row>
    <row r="3294" spans="1:32" ht="14.25" customHeight="1" x14ac:dyDescent="0.35">
      <c r="A3294" s="16" t="s">
        <v>1951</v>
      </c>
      <c r="B3294" s="16" t="s">
        <v>427</v>
      </c>
      <c r="C3294" s="16"/>
      <c r="D3294" s="16" t="s">
        <v>419</v>
      </c>
      <c r="E3294" s="17">
        <v>41640</v>
      </c>
      <c r="F3294" s="17">
        <v>42004</v>
      </c>
      <c r="G3294" s="16" t="s">
        <v>410</v>
      </c>
      <c r="H3294" s="16">
        <v>1</v>
      </c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6"/>
      <c r="AA3294" s="16"/>
      <c r="AB3294" s="16"/>
      <c r="AC3294" s="16"/>
      <c r="AD3294" s="16"/>
      <c r="AE3294" s="16"/>
      <c r="AF3294" s="16" t="s">
        <v>411</v>
      </c>
    </row>
    <row r="3295" spans="1:32" ht="14.25" customHeight="1" x14ac:dyDescent="0.35">
      <c r="A3295" s="14" t="s">
        <v>1951</v>
      </c>
      <c r="B3295" s="14" t="s">
        <v>427</v>
      </c>
      <c r="C3295" s="14"/>
      <c r="D3295" s="14" t="s">
        <v>530</v>
      </c>
      <c r="E3295" s="15">
        <v>41640</v>
      </c>
      <c r="F3295" s="15">
        <v>42004</v>
      </c>
      <c r="G3295" s="14" t="s">
        <v>415</v>
      </c>
      <c r="H3295" s="14">
        <v>0.2</v>
      </c>
      <c r="I3295" s="14">
        <v>0.2</v>
      </c>
      <c r="J3295" s="14">
        <v>0.2</v>
      </c>
      <c r="K3295" s="14">
        <v>0.2</v>
      </c>
      <c r="L3295" s="14">
        <v>0.2</v>
      </c>
      <c r="M3295" s="14">
        <v>0.2</v>
      </c>
      <c r="N3295" s="14">
        <v>0.3</v>
      </c>
      <c r="O3295" s="14">
        <v>0.62</v>
      </c>
      <c r="P3295" s="14">
        <v>0.9</v>
      </c>
      <c r="Q3295" s="14">
        <v>0.62</v>
      </c>
      <c r="R3295" s="14">
        <v>0.28999999999999998</v>
      </c>
      <c r="S3295" s="14">
        <v>0.28999999999999998</v>
      </c>
      <c r="T3295" s="14">
        <v>0.28999999999999998</v>
      </c>
      <c r="U3295" s="14">
        <v>0.28999999999999998</v>
      </c>
      <c r="V3295" s="14">
        <v>0.28999999999999998</v>
      </c>
      <c r="W3295" s="14">
        <v>0.28999999999999998</v>
      </c>
      <c r="X3295" s="14">
        <v>0.28999999999999998</v>
      </c>
      <c r="Y3295" s="14">
        <v>0.43</v>
      </c>
      <c r="Z3295" s="14">
        <v>0.51</v>
      </c>
      <c r="AA3295" s="14">
        <v>0.49</v>
      </c>
      <c r="AB3295" s="14">
        <v>0.66</v>
      </c>
      <c r="AC3295" s="14">
        <v>0.7</v>
      </c>
      <c r="AD3295" s="14">
        <v>0.35</v>
      </c>
      <c r="AE3295" s="14">
        <v>0.2</v>
      </c>
      <c r="AF3295" s="14" t="s">
        <v>411</v>
      </c>
    </row>
    <row r="3296" spans="1:32" ht="14.25" customHeight="1" x14ac:dyDescent="0.35">
      <c r="A3296" s="14" t="s">
        <v>1951</v>
      </c>
      <c r="B3296" s="14" t="s">
        <v>427</v>
      </c>
      <c r="C3296" s="14"/>
      <c r="D3296" s="14" t="s">
        <v>418</v>
      </c>
      <c r="E3296" s="15">
        <v>41640</v>
      </c>
      <c r="F3296" s="15">
        <v>42004</v>
      </c>
      <c r="G3296" s="14" t="s">
        <v>410</v>
      </c>
      <c r="H3296" s="14">
        <v>0</v>
      </c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4"/>
      <c r="AA3296" s="14"/>
      <c r="AB3296" s="14"/>
      <c r="AC3296" s="14"/>
      <c r="AD3296" s="14"/>
      <c r="AE3296" s="14"/>
      <c r="AF3296" s="14" t="s">
        <v>411</v>
      </c>
    </row>
    <row r="3297" spans="1:32" ht="14.25" customHeight="1" x14ac:dyDescent="0.35">
      <c r="A3297" s="16" t="s">
        <v>1952</v>
      </c>
      <c r="B3297" s="16" t="s">
        <v>424</v>
      </c>
      <c r="C3297" s="16"/>
      <c r="D3297" s="16" t="s">
        <v>417</v>
      </c>
      <c r="E3297" s="17">
        <v>41640</v>
      </c>
      <c r="F3297" s="17">
        <v>42004</v>
      </c>
      <c r="G3297" s="16" t="s">
        <v>415</v>
      </c>
      <c r="H3297" s="16">
        <v>0.22</v>
      </c>
      <c r="I3297" s="16">
        <v>0.17</v>
      </c>
      <c r="J3297" s="16">
        <v>0.11</v>
      </c>
      <c r="K3297" s="16">
        <v>0.11</v>
      </c>
      <c r="L3297" s="16">
        <v>0.11</v>
      </c>
      <c r="M3297" s="16">
        <v>0.22</v>
      </c>
      <c r="N3297" s="16">
        <v>0.44</v>
      </c>
      <c r="O3297" s="16">
        <v>0.56000000000000005</v>
      </c>
      <c r="P3297" s="16">
        <v>0.44</v>
      </c>
      <c r="Q3297" s="16">
        <v>0.44</v>
      </c>
      <c r="R3297" s="16">
        <v>0.28000000000000003</v>
      </c>
      <c r="S3297" s="16">
        <v>0.28000000000000003</v>
      </c>
      <c r="T3297" s="16">
        <v>0.28000000000000003</v>
      </c>
      <c r="U3297" s="16">
        <v>0.28000000000000003</v>
      </c>
      <c r="V3297" s="16">
        <v>0.28000000000000003</v>
      </c>
      <c r="W3297" s="16">
        <v>0.28000000000000003</v>
      </c>
      <c r="X3297" s="16">
        <v>0.28000000000000003</v>
      </c>
      <c r="Y3297" s="16">
        <v>0.28000000000000003</v>
      </c>
      <c r="Z3297" s="16">
        <v>0.67</v>
      </c>
      <c r="AA3297" s="16">
        <v>0.89</v>
      </c>
      <c r="AB3297" s="16">
        <v>1</v>
      </c>
      <c r="AC3297" s="16">
        <v>0.89</v>
      </c>
      <c r="AD3297" s="16">
        <v>0.67</v>
      </c>
      <c r="AE3297" s="16">
        <v>0.33</v>
      </c>
      <c r="AF3297" s="16" t="s">
        <v>411</v>
      </c>
    </row>
    <row r="3298" spans="1:32" ht="14.25" customHeight="1" x14ac:dyDescent="0.35">
      <c r="A3298" s="16" t="s">
        <v>1952</v>
      </c>
      <c r="B3298" s="16" t="s">
        <v>424</v>
      </c>
      <c r="C3298" s="16"/>
      <c r="D3298" s="16" t="s">
        <v>419</v>
      </c>
      <c r="E3298" s="17">
        <v>41640</v>
      </c>
      <c r="F3298" s="17">
        <v>42004</v>
      </c>
      <c r="G3298" s="16" t="s">
        <v>410</v>
      </c>
      <c r="H3298" s="16">
        <v>1</v>
      </c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/>
      <c r="AB3298" s="16"/>
      <c r="AC3298" s="16"/>
      <c r="AD3298" s="16"/>
      <c r="AE3298" s="16"/>
      <c r="AF3298" s="16" t="s">
        <v>411</v>
      </c>
    </row>
    <row r="3299" spans="1:32" ht="14.25" customHeight="1" x14ac:dyDescent="0.35">
      <c r="A3299" s="14" t="s">
        <v>1952</v>
      </c>
      <c r="B3299" s="14" t="s">
        <v>424</v>
      </c>
      <c r="C3299" s="14"/>
      <c r="D3299" s="14" t="s">
        <v>530</v>
      </c>
      <c r="E3299" s="15">
        <v>41640</v>
      </c>
      <c r="F3299" s="15">
        <v>42004</v>
      </c>
      <c r="G3299" s="14" t="s">
        <v>415</v>
      </c>
      <c r="H3299" s="14">
        <v>0.26</v>
      </c>
      <c r="I3299" s="14">
        <v>0.26</v>
      </c>
      <c r="J3299" s="14">
        <v>0.11</v>
      </c>
      <c r="K3299" s="14">
        <v>0.11</v>
      </c>
      <c r="L3299" s="14">
        <v>0.11</v>
      </c>
      <c r="M3299" s="14">
        <v>0.11</v>
      </c>
      <c r="N3299" s="14">
        <v>0.41</v>
      </c>
      <c r="O3299" s="14">
        <v>0.41</v>
      </c>
      <c r="P3299" s="14">
        <v>0.56000000000000005</v>
      </c>
      <c r="Q3299" s="14">
        <v>0.56000000000000005</v>
      </c>
      <c r="R3299" s="14">
        <v>0.41</v>
      </c>
      <c r="S3299" s="14">
        <v>0.33</v>
      </c>
      <c r="T3299" s="14">
        <v>0.33</v>
      </c>
      <c r="U3299" s="14">
        <v>0.33</v>
      </c>
      <c r="V3299" s="14">
        <v>0.33</v>
      </c>
      <c r="W3299" s="14">
        <v>0.33</v>
      </c>
      <c r="X3299" s="14">
        <v>0.33</v>
      </c>
      <c r="Y3299" s="14">
        <v>0.33</v>
      </c>
      <c r="Z3299" s="14">
        <v>0.85</v>
      </c>
      <c r="AA3299" s="14">
        <v>1</v>
      </c>
      <c r="AB3299" s="14">
        <v>1</v>
      </c>
      <c r="AC3299" s="14">
        <v>1</v>
      </c>
      <c r="AD3299" s="14">
        <v>0.85</v>
      </c>
      <c r="AE3299" s="14">
        <v>0.41</v>
      </c>
      <c r="AF3299" s="14" t="s">
        <v>411</v>
      </c>
    </row>
    <row r="3300" spans="1:32" ht="14.25" customHeight="1" x14ac:dyDescent="0.35">
      <c r="A3300" s="14" t="s">
        <v>1952</v>
      </c>
      <c r="B3300" s="14" t="s">
        <v>424</v>
      </c>
      <c r="C3300" s="14"/>
      <c r="D3300" s="14" t="s">
        <v>418</v>
      </c>
      <c r="E3300" s="15">
        <v>41640</v>
      </c>
      <c r="F3300" s="15">
        <v>42004</v>
      </c>
      <c r="G3300" s="14" t="s">
        <v>410</v>
      </c>
      <c r="H3300" s="14">
        <v>0</v>
      </c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S3300" s="14"/>
      <c r="T3300" s="14"/>
      <c r="U3300" s="14"/>
      <c r="V3300" s="14"/>
      <c r="W3300" s="14"/>
      <c r="X3300" s="14"/>
      <c r="Y3300" s="14"/>
      <c r="Z3300" s="14"/>
      <c r="AA3300" s="14"/>
      <c r="AB3300" s="14"/>
      <c r="AC3300" s="14"/>
      <c r="AD3300" s="14"/>
      <c r="AE3300" s="14"/>
      <c r="AF3300" s="14" t="s">
        <v>411</v>
      </c>
    </row>
    <row r="3301" spans="1:32" ht="14.25" customHeight="1" x14ac:dyDescent="0.35">
      <c r="A3301" s="16" t="s">
        <v>1953</v>
      </c>
      <c r="B3301" s="16" t="s">
        <v>448</v>
      </c>
      <c r="C3301" s="16"/>
      <c r="D3301" s="16" t="s">
        <v>417</v>
      </c>
      <c r="E3301" s="17">
        <v>41640</v>
      </c>
      <c r="F3301" s="17">
        <v>42004</v>
      </c>
      <c r="G3301" s="16" t="s">
        <v>415</v>
      </c>
      <c r="H3301" s="16">
        <v>0.65</v>
      </c>
      <c r="I3301" s="16">
        <v>0.65</v>
      </c>
      <c r="J3301" s="16">
        <v>0.65</v>
      </c>
      <c r="K3301" s="16">
        <v>0.65</v>
      </c>
      <c r="L3301" s="16">
        <v>0.65</v>
      </c>
      <c r="M3301" s="16">
        <v>0.65</v>
      </c>
      <c r="N3301" s="16">
        <v>0.5</v>
      </c>
      <c r="O3301" s="16">
        <v>0.28000000000000003</v>
      </c>
      <c r="P3301" s="16">
        <v>0.28000000000000003</v>
      </c>
      <c r="Q3301" s="16">
        <v>0.13</v>
      </c>
      <c r="R3301" s="16">
        <v>0.13</v>
      </c>
      <c r="S3301" s="16">
        <v>0.13</v>
      </c>
      <c r="T3301" s="16">
        <v>0.13</v>
      </c>
      <c r="U3301" s="16">
        <v>0.13</v>
      </c>
      <c r="V3301" s="16">
        <v>0.13</v>
      </c>
      <c r="W3301" s="16">
        <v>0.2</v>
      </c>
      <c r="X3301" s="16">
        <v>0.35</v>
      </c>
      <c r="Y3301" s="16">
        <v>0.35</v>
      </c>
      <c r="Z3301" s="16">
        <v>0.35</v>
      </c>
      <c r="AA3301" s="16">
        <v>0.5</v>
      </c>
      <c r="AB3301" s="16">
        <v>0.5</v>
      </c>
      <c r="AC3301" s="16">
        <v>0.57999999999999996</v>
      </c>
      <c r="AD3301" s="16">
        <v>0.65</v>
      </c>
      <c r="AE3301" s="16">
        <v>0.65</v>
      </c>
      <c r="AF3301" s="16" t="s">
        <v>411</v>
      </c>
    </row>
    <row r="3302" spans="1:32" ht="14.25" customHeight="1" x14ac:dyDescent="0.35">
      <c r="A3302" s="16" t="s">
        <v>1953</v>
      </c>
      <c r="B3302" s="16" t="s">
        <v>448</v>
      </c>
      <c r="C3302" s="16"/>
      <c r="D3302" s="16" t="s">
        <v>419</v>
      </c>
      <c r="E3302" s="17">
        <v>41640</v>
      </c>
      <c r="F3302" s="17">
        <v>42004</v>
      </c>
      <c r="G3302" s="16" t="s">
        <v>410</v>
      </c>
      <c r="H3302" s="16">
        <v>1</v>
      </c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6"/>
      <c r="AA3302" s="16"/>
      <c r="AB3302" s="16"/>
      <c r="AC3302" s="16"/>
      <c r="AD3302" s="16"/>
      <c r="AE3302" s="16"/>
      <c r="AF3302" s="16" t="s">
        <v>411</v>
      </c>
    </row>
    <row r="3303" spans="1:32" ht="14.25" customHeight="1" x14ac:dyDescent="0.35">
      <c r="A3303" s="14" t="s">
        <v>1953</v>
      </c>
      <c r="B3303" s="14" t="s">
        <v>448</v>
      </c>
      <c r="C3303" s="14"/>
      <c r="D3303" s="14" t="s">
        <v>530</v>
      </c>
      <c r="E3303" s="15">
        <v>41640</v>
      </c>
      <c r="F3303" s="15">
        <v>42004</v>
      </c>
      <c r="G3303" s="14" t="s">
        <v>415</v>
      </c>
      <c r="H3303" s="14">
        <v>0.65</v>
      </c>
      <c r="I3303" s="14">
        <v>0.65</v>
      </c>
      <c r="J3303" s="14">
        <v>0.65</v>
      </c>
      <c r="K3303" s="14">
        <v>0.65</v>
      </c>
      <c r="L3303" s="14">
        <v>0.65</v>
      </c>
      <c r="M3303" s="14">
        <v>0.65</v>
      </c>
      <c r="N3303" s="14">
        <v>0.5</v>
      </c>
      <c r="O3303" s="14">
        <v>0.34</v>
      </c>
      <c r="P3303" s="14">
        <v>0.34</v>
      </c>
      <c r="Q3303" s="14">
        <v>0.2</v>
      </c>
      <c r="R3303" s="14">
        <v>0.2</v>
      </c>
      <c r="S3303" s="14">
        <v>0.2</v>
      </c>
      <c r="T3303" s="14">
        <v>0.2</v>
      </c>
      <c r="U3303" s="14">
        <v>0.2</v>
      </c>
      <c r="V3303" s="14">
        <v>0.2</v>
      </c>
      <c r="W3303" s="14">
        <v>0.2</v>
      </c>
      <c r="X3303" s="14">
        <v>0.2</v>
      </c>
      <c r="Y3303" s="14">
        <v>0.34</v>
      </c>
      <c r="Z3303" s="14">
        <v>0.35</v>
      </c>
      <c r="AA3303" s="14">
        <v>0.65</v>
      </c>
      <c r="AB3303" s="14">
        <v>0.65</v>
      </c>
      <c r="AC3303" s="14">
        <v>0.5</v>
      </c>
      <c r="AD3303" s="14">
        <v>0.5</v>
      </c>
      <c r="AE3303" s="14">
        <v>0.5</v>
      </c>
      <c r="AF3303" s="14" t="s">
        <v>411</v>
      </c>
    </row>
    <row r="3304" spans="1:32" ht="14.25" customHeight="1" x14ac:dyDescent="0.35">
      <c r="A3304" s="14" t="s">
        <v>1953</v>
      </c>
      <c r="B3304" s="14" t="s">
        <v>448</v>
      </c>
      <c r="C3304" s="14"/>
      <c r="D3304" s="14" t="s">
        <v>418</v>
      </c>
      <c r="E3304" s="15">
        <v>41640</v>
      </c>
      <c r="F3304" s="15">
        <v>42004</v>
      </c>
      <c r="G3304" s="14" t="s">
        <v>410</v>
      </c>
      <c r="H3304" s="14">
        <v>0</v>
      </c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  <c r="U3304" s="14"/>
      <c r="V3304" s="14"/>
      <c r="W3304" s="14"/>
      <c r="X3304" s="14"/>
      <c r="Y3304" s="14"/>
      <c r="Z3304" s="14"/>
      <c r="AA3304" s="14"/>
      <c r="AB3304" s="14"/>
      <c r="AC3304" s="14"/>
      <c r="AD3304" s="14"/>
      <c r="AE3304" s="14"/>
      <c r="AF3304" s="14" t="s">
        <v>411</v>
      </c>
    </row>
    <row r="3305" spans="1:32" ht="14.25" customHeight="1" x14ac:dyDescent="0.35">
      <c r="A3305" s="16" t="s">
        <v>1954</v>
      </c>
      <c r="B3305" s="16" t="s">
        <v>420</v>
      </c>
      <c r="C3305" s="16" t="s">
        <v>414</v>
      </c>
      <c r="D3305" s="16" t="s">
        <v>409</v>
      </c>
      <c r="E3305" s="17">
        <v>41640</v>
      </c>
      <c r="F3305" s="17">
        <v>42004</v>
      </c>
      <c r="G3305" s="16" t="s">
        <v>410</v>
      </c>
      <c r="H3305" s="16">
        <v>21</v>
      </c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/>
      <c r="AB3305" s="16"/>
      <c r="AC3305" s="16"/>
      <c r="AD3305" s="16"/>
      <c r="AE3305" s="16"/>
      <c r="AF3305" s="16" t="s">
        <v>411</v>
      </c>
    </row>
    <row r="3306" spans="1:32" ht="14.25" customHeight="1" x14ac:dyDescent="0.35">
      <c r="A3306" s="14" t="s">
        <v>1955</v>
      </c>
      <c r="B3306" s="14" t="s">
        <v>441</v>
      </c>
      <c r="C3306" s="14"/>
      <c r="D3306" s="14" t="s">
        <v>409</v>
      </c>
      <c r="E3306" s="15">
        <v>41640</v>
      </c>
      <c r="F3306" s="15">
        <v>42004</v>
      </c>
      <c r="G3306" s="14" t="s">
        <v>410</v>
      </c>
      <c r="H3306" s="14">
        <v>1</v>
      </c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  <c r="U3306" s="14"/>
      <c r="V3306" s="14"/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 t="s">
        <v>411</v>
      </c>
    </row>
    <row r="3307" spans="1:32" ht="14.25" customHeight="1" x14ac:dyDescent="0.35">
      <c r="A3307" s="16" t="s">
        <v>1956</v>
      </c>
      <c r="B3307" s="16" t="s">
        <v>441</v>
      </c>
      <c r="C3307" s="16"/>
      <c r="D3307" s="16" t="s">
        <v>409</v>
      </c>
      <c r="E3307" s="17">
        <v>41640</v>
      </c>
      <c r="F3307" s="17">
        <v>42004</v>
      </c>
      <c r="G3307" s="16" t="s">
        <v>410</v>
      </c>
      <c r="H3307" s="16">
        <v>0.5</v>
      </c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6"/>
      <c r="AA3307" s="16"/>
      <c r="AB3307" s="16"/>
      <c r="AC3307" s="16"/>
      <c r="AD3307" s="16"/>
      <c r="AE3307" s="16"/>
      <c r="AF3307" s="16" t="s">
        <v>411</v>
      </c>
    </row>
    <row r="3308" spans="1:32" ht="14.25" customHeight="1" x14ac:dyDescent="0.35">
      <c r="A3308" s="14" t="s">
        <v>1957</v>
      </c>
      <c r="B3308" s="14" t="s">
        <v>427</v>
      </c>
      <c r="C3308" s="14"/>
      <c r="D3308" s="14" t="s">
        <v>417</v>
      </c>
      <c r="E3308" s="15">
        <v>41640</v>
      </c>
      <c r="F3308" s="15">
        <v>42004</v>
      </c>
      <c r="G3308" s="14" t="s">
        <v>415</v>
      </c>
      <c r="H3308" s="14">
        <v>0</v>
      </c>
      <c r="I3308" s="14">
        <v>0</v>
      </c>
      <c r="J3308" s="14">
        <v>0</v>
      </c>
      <c r="K3308" s="14">
        <v>0</v>
      </c>
      <c r="L3308" s="14">
        <v>0</v>
      </c>
      <c r="M3308" s="14">
        <v>0</v>
      </c>
      <c r="N3308" s="14">
        <v>0</v>
      </c>
      <c r="O3308" s="14">
        <v>0</v>
      </c>
      <c r="P3308" s="14">
        <v>1</v>
      </c>
      <c r="Q3308" s="14">
        <v>1</v>
      </c>
      <c r="R3308" s="14">
        <v>1</v>
      </c>
      <c r="S3308" s="14">
        <v>1</v>
      </c>
      <c r="T3308" s="14">
        <v>1</v>
      </c>
      <c r="U3308" s="14">
        <v>1</v>
      </c>
      <c r="V3308" s="14">
        <v>1</v>
      </c>
      <c r="W3308" s="14">
        <v>1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  <c r="AC3308" s="14">
        <v>0</v>
      </c>
      <c r="AD3308" s="14">
        <v>0</v>
      </c>
      <c r="AE3308" s="14">
        <v>0</v>
      </c>
      <c r="AF3308" s="14" t="s">
        <v>411</v>
      </c>
    </row>
    <row r="3309" spans="1:32" ht="14.25" customHeight="1" x14ac:dyDescent="0.35">
      <c r="A3309" s="14" t="s">
        <v>1957</v>
      </c>
      <c r="B3309" s="14" t="s">
        <v>427</v>
      </c>
      <c r="C3309" s="14"/>
      <c r="D3309" s="14" t="s">
        <v>419</v>
      </c>
      <c r="E3309" s="15">
        <v>41640</v>
      </c>
      <c r="F3309" s="15">
        <v>42004</v>
      </c>
      <c r="G3309" s="14" t="s">
        <v>410</v>
      </c>
      <c r="H3309" s="14">
        <v>1</v>
      </c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 t="s">
        <v>411</v>
      </c>
    </row>
    <row r="3310" spans="1:32" ht="14.25" customHeight="1" x14ac:dyDescent="0.35">
      <c r="A3310" s="16" t="s">
        <v>1957</v>
      </c>
      <c r="B3310" s="16" t="s">
        <v>427</v>
      </c>
      <c r="C3310" s="16"/>
      <c r="D3310" s="16" t="s">
        <v>418</v>
      </c>
      <c r="E3310" s="17">
        <v>41640</v>
      </c>
      <c r="F3310" s="17">
        <v>42004</v>
      </c>
      <c r="G3310" s="16" t="s">
        <v>410</v>
      </c>
      <c r="H3310" s="16">
        <v>0</v>
      </c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6"/>
      <c r="AA3310" s="16"/>
      <c r="AB3310" s="16"/>
      <c r="AC3310" s="16"/>
      <c r="AD3310" s="16"/>
      <c r="AE3310" s="16"/>
      <c r="AF3310" s="16" t="s">
        <v>411</v>
      </c>
    </row>
    <row r="3311" spans="1:32" ht="14.25" customHeight="1" x14ac:dyDescent="0.35">
      <c r="A3311" s="16" t="s">
        <v>1958</v>
      </c>
      <c r="B3311" s="16" t="s">
        <v>427</v>
      </c>
      <c r="C3311" s="16"/>
      <c r="D3311" s="16" t="s">
        <v>417</v>
      </c>
      <c r="E3311" s="17">
        <v>41640</v>
      </c>
      <c r="F3311" s="17">
        <v>42004</v>
      </c>
      <c r="G3311" s="16" t="s">
        <v>415</v>
      </c>
      <c r="H3311" s="16">
        <v>0</v>
      </c>
      <c r="I3311" s="16">
        <v>0</v>
      </c>
      <c r="J3311" s="16">
        <v>0</v>
      </c>
      <c r="K3311" s="16">
        <v>0</v>
      </c>
      <c r="L3311" s="16">
        <v>0</v>
      </c>
      <c r="M3311" s="16">
        <v>0</v>
      </c>
      <c r="N3311" s="16">
        <v>0</v>
      </c>
      <c r="O3311" s="16">
        <v>0</v>
      </c>
      <c r="P3311" s="16">
        <v>0</v>
      </c>
      <c r="Q3311" s="16">
        <v>1</v>
      </c>
      <c r="R3311" s="16">
        <v>1</v>
      </c>
      <c r="S3311" s="16">
        <v>1</v>
      </c>
      <c r="T3311" s="16">
        <v>1</v>
      </c>
      <c r="U3311" s="16">
        <v>1</v>
      </c>
      <c r="V3311" s="16">
        <v>1</v>
      </c>
      <c r="W3311" s="16">
        <v>1</v>
      </c>
      <c r="X3311" s="16">
        <v>1</v>
      </c>
      <c r="Y3311" s="16">
        <v>0</v>
      </c>
      <c r="Z3311" s="16">
        <v>0</v>
      </c>
      <c r="AA3311" s="16">
        <v>0</v>
      </c>
      <c r="AB3311" s="16">
        <v>0</v>
      </c>
      <c r="AC3311" s="16">
        <v>0</v>
      </c>
      <c r="AD3311" s="16">
        <v>0</v>
      </c>
      <c r="AE3311" s="16">
        <v>0</v>
      </c>
      <c r="AF3311" s="16" t="s">
        <v>411</v>
      </c>
    </row>
    <row r="3312" spans="1:32" ht="14.25" customHeight="1" x14ac:dyDescent="0.35">
      <c r="A3312" s="16" t="s">
        <v>1958</v>
      </c>
      <c r="B3312" s="16" t="s">
        <v>427</v>
      </c>
      <c r="C3312" s="16"/>
      <c r="D3312" s="16" t="s">
        <v>419</v>
      </c>
      <c r="E3312" s="17">
        <v>41640</v>
      </c>
      <c r="F3312" s="17">
        <v>42004</v>
      </c>
      <c r="G3312" s="16" t="s">
        <v>410</v>
      </c>
      <c r="H3312" s="16">
        <v>1</v>
      </c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/>
      <c r="AB3312" s="16"/>
      <c r="AC3312" s="16"/>
      <c r="AD3312" s="16"/>
      <c r="AE3312" s="16"/>
      <c r="AF3312" s="16" t="s">
        <v>411</v>
      </c>
    </row>
    <row r="3313" spans="1:32" ht="14.25" customHeight="1" x14ac:dyDescent="0.35">
      <c r="A3313" s="14" t="s">
        <v>1958</v>
      </c>
      <c r="B3313" s="14" t="s">
        <v>427</v>
      </c>
      <c r="C3313" s="14"/>
      <c r="D3313" s="14" t="s">
        <v>418</v>
      </c>
      <c r="E3313" s="15">
        <v>41640</v>
      </c>
      <c r="F3313" s="15">
        <v>42004</v>
      </c>
      <c r="G3313" s="14" t="s">
        <v>410</v>
      </c>
      <c r="H3313" s="14">
        <v>0</v>
      </c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S3313" s="14"/>
      <c r="T3313" s="14"/>
      <c r="U3313" s="14"/>
      <c r="V3313" s="14"/>
      <c r="W3313" s="14"/>
      <c r="X3313" s="14"/>
      <c r="Y3313" s="14"/>
      <c r="Z3313" s="14"/>
      <c r="AA3313" s="14"/>
      <c r="AB3313" s="14"/>
      <c r="AC3313" s="14"/>
      <c r="AD3313" s="14"/>
      <c r="AE3313" s="14"/>
      <c r="AF3313" s="14" t="s">
        <v>411</v>
      </c>
    </row>
    <row r="3314" spans="1:32" ht="14.25" customHeight="1" x14ac:dyDescent="0.35">
      <c r="A3314" s="14" t="s">
        <v>1959</v>
      </c>
      <c r="B3314" s="14" t="s">
        <v>424</v>
      </c>
      <c r="C3314" s="14"/>
      <c r="D3314" s="14" t="s">
        <v>409</v>
      </c>
      <c r="E3314" s="15">
        <v>41640</v>
      </c>
      <c r="F3314" s="15">
        <v>42004</v>
      </c>
      <c r="G3314" s="14" t="s">
        <v>415</v>
      </c>
      <c r="H3314" s="14">
        <v>0</v>
      </c>
      <c r="I3314" s="14">
        <v>0</v>
      </c>
      <c r="J3314" s="14">
        <v>0</v>
      </c>
      <c r="K3314" s="14">
        <v>0</v>
      </c>
      <c r="L3314" s="14">
        <v>0</v>
      </c>
      <c r="M3314" s="14">
        <v>0</v>
      </c>
      <c r="N3314" s="14">
        <v>0</v>
      </c>
      <c r="O3314" s="14">
        <v>0</v>
      </c>
      <c r="P3314" s="14">
        <v>1</v>
      </c>
      <c r="Q3314" s="14">
        <v>1</v>
      </c>
      <c r="R3314" s="14">
        <v>1</v>
      </c>
      <c r="S3314" s="14">
        <v>1</v>
      </c>
      <c r="T3314" s="14">
        <v>1</v>
      </c>
      <c r="U3314" s="14">
        <v>1</v>
      </c>
      <c r="V3314" s="14">
        <v>1</v>
      </c>
      <c r="W3314" s="14">
        <v>1</v>
      </c>
      <c r="X3314" s="14">
        <v>1</v>
      </c>
      <c r="Y3314" s="14">
        <v>0</v>
      </c>
      <c r="Z3314" s="14">
        <v>0</v>
      </c>
      <c r="AA3314" s="14">
        <v>0</v>
      </c>
      <c r="AB3314" s="14">
        <v>0</v>
      </c>
      <c r="AC3314" s="14">
        <v>0</v>
      </c>
      <c r="AD3314" s="14">
        <v>0</v>
      </c>
      <c r="AE3314" s="14">
        <v>0</v>
      </c>
      <c r="AF3314" s="14" t="s">
        <v>411</v>
      </c>
    </row>
    <row r="3315" spans="1:32" ht="14.25" customHeight="1" x14ac:dyDescent="0.35">
      <c r="A3315" s="16" t="s">
        <v>1960</v>
      </c>
      <c r="B3315" s="16" t="s">
        <v>448</v>
      </c>
      <c r="C3315" s="16"/>
      <c r="D3315" s="16" t="s">
        <v>1961</v>
      </c>
      <c r="E3315" s="17">
        <v>41640</v>
      </c>
      <c r="F3315" s="17">
        <v>42004</v>
      </c>
      <c r="G3315" s="16" t="s">
        <v>415</v>
      </c>
      <c r="H3315" s="16">
        <v>0</v>
      </c>
      <c r="I3315" s="16">
        <v>0</v>
      </c>
      <c r="J3315" s="16">
        <v>0</v>
      </c>
      <c r="K3315" s="16">
        <v>0</v>
      </c>
      <c r="L3315" s="16">
        <v>0</v>
      </c>
      <c r="M3315" s="16">
        <v>0</v>
      </c>
      <c r="N3315" s="16">
        <v>0</v>
      </c>
      <c r="O3315" s="16">
        <v>0</v>
      </c>
      <c r="P3315" s="16">
        <v>0.09</v>
      </c>
      <c r="Q3315" s="16">
        <v>0.09</v>
      </c>
      <c r="R3315" s="16">
        <v>0.18</v>
      </c>
      <c r="S3315" s="16">
        <v>0.18</v>
      </c>
      <c r="T3315" s="16">
        <v>0</v>
      </c>
      <c r="U3315" s="16">
        <v>0.18</v>
      </c>
      <c r="V3315" s="16">
        <v>0.18</v>
      </c>
      <c r="W3315" s="16">
        <v>0.18</v>
      </c>
      <c r="X3315" s="16">
        <v>0.09</v>
      </c>
      <c r="Y3315" s="16">
        <v>0</v>
      </c>
      <c r="Z3315" s="16">
        <v>0</v>
      </c>
      <c r="AA3315" s="16">
        <v>0</v>
      </c>
      <c r="AB3315" s="16">
        <v>0</v>
      </c>
      <c r="AC3315" s="16">
        <v>0</v>
      </c>
      <c r="AD3315" s="16">
        <v>0</v>
      </c>
      <c r="AE3315" s="16">
        <v>0</v>
      </c>
      <c r="AF3315" s="16" t="s">
        <v>411</v>
      </c>
    </row>
    <row r="3316" spans="1:32" ht="14.25" customHeight="1" x14ac:dyDescent="0.35">
      <c r="A3316" s="16" t="s">
        <v>1960</v>
      </c>
      <c r="B3316" s="16" t="s">
        <v>448</v>
      </c>
      <c r="C3316" s="16"/>
      <c r="D3316" s="16" t="s">
        <v>419</v>
      </c>
      <c r="E3316" s="17">
        <v>41640</v>
      </c>
      <c r="F3316" s="17">
        <v>42004</v>
      </c>
      <c r="G3316" s="16" t="s">
        <v>410</v>
      </c>
      <c r="H3316" s="16">
        <v>1</v>
      </c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  <c r="AB3316" s="16"/>
      <c r="AC3316" s="16"/>
      <c r="AD3316" s="16"/>
      <c r="AE3316" s="16"/>
      <c r="AF3316" s="16" t="s">
        <v>411</v>
      </c>
    </row>
    <row r="3317" spans="1:32" ht="14.25" customHeight="1" x14ac:dyDescent="0.35">
      <c r="A3317" s="14" t="s">
        <v>1960</v>
      </c>
      <c r="B3317" s="14" t="s">
        <v>448</v>
      </c>
      <c r="C3317" s="14"/>
      <c r="D3317" s="14" t="s">
        <v>418</v>
      </c>
      <c r="E3317" s="15">
        <v>41640</v>
      </c>
      <c r="F3317" s="15">
        <v>42004</v>
      </c>
      <c r="G3317" s="14" t="s">
        <v>410</v>
      </c>
      <c r="H3317" s="14">
        <v>0</v>
      </c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4"/>
      <c r="Z3317" s="14"/>
      <c r="AA3317" s="14"/>
      <c r="AB3317" s="14"/>
      <c r="AC3317" s="14"/>
      <c r="AD3317" s="14"/>
      <c r="AE3317" s="14"/>
      <c r="AF3317" s="14" t="s">
        <v>411</v>
      </c>
    </row>
    <row r="3318" spans="1:32" ht="14.25" customHeight="1" x14ac:dyDescent="0.35">
      <c r="A3318" s="14" t="s">
        <v>1962</v>
      </c>
      <c r="B3318" s="14" t="s">
        <v>427</v>
      </c>
      <c r="C3318" s="14"/>
      <c r="D3318" s="14" t="s">
        <v>409</v>
      </c>
      <c r="E3318" s="15">
        <v>41640</v>
      </c>
      <c r="F3318" s="15">
        <v>42004</v>
      </c>
      <c r="G3318" s="14" t="s">
        <v>415</v>
      </c>
      <c r="H3318" s="14">
        <v>0</v>
      </c>
      <c r="I3318" s="14">
        <v>0</v>
      </c>
      <c r="J3318" s="14">
        <v>0</v>
      </c>
      <c r="K3318" s="14">
        <v>0</v>
      </c>
      <c r="L3318" s="14">
        <v>0</v>
      </c>
      <c r="M3318" s="14">
        <v>0</v>
      </c>
      <c r="N3318" s="14">
        <v>0</v>
      </c>
      <c r="O3318" s="14">
        <v>0.05</v>
      </c>
      <c r="P3318" s="14">
        <v>0.54</v>
      </c>
      <c r="Q3318" s="14">
        <v>0.54</v>
      </c>
      <c r="R3318" s="14">
        <v>0.26</v>
      </c>
      <c r="S3318" s="14">
        <v>0.26</v>
      </c>
      <c r="T3318" s="14">
        <v>0.05</v>
      </c>
      <c r="U3318" s="14">
        <v>0.54</v>
      </c>
      <c r="V3318" s="14">
        <v>0.54</v>
      </c>
      <c r="W3318" s="14">
        <v>0.26</v>
      </c>
      <c r="X3318" s="14">
        <v>0.26</v>
      </c>
      <c r="Y3318" s="14">
        <v>0.26</v>
      </c>
      <c r="Z3318" s="14">
        <v>0.05</v>
      </c>
      <c r="AA3318" s="14">
        <v>0.05</v>
      </c>
      <c r="AB3318" s="14">
        <v>0</v>
      </c>
      <c r="AC3318" s="14">
        <v>0</v>
      </c>
      <c r="AD3318" s="14">
        <v>0</v>
      </c>
      <c r="AE3318" s="14">
        <v>0</v>
      </c>
      <c r="AF3318" s="14" t="s">
        <v>411</v>
      </c>
    </row>
    <row r="3319" spans="1:32" ht="14.25" customHeight="1" x14ac:dyDescent="0.35">
      <c r="A3319" s="16" t="s">
        <v>1963</v>
      </c>
      <c r="B3319" s="16" t="s">
        <v>424</v>
      </c>
      <c r="C3319" s="16"/>
      <c r="D3319" s="16" t="s">
        <v>417</v>
      </c>
      <c r="E3319" s="17">
        <v>41640</v>
      </c>
      <c r="F3319" s="17">
        <v>42004</v>
      </c>
      <c r="G3319" s="16" t="s">
        <v>415</v>
      </c>
      <c r="H3319" s="16">
        <v>0</v>
      </c>
      <c r="I3319" s="16">
        <v>0</v>
      </c>
      <c r="J3319" s="16">
        <v>0</v>
      </c>
      <c r="K3319" s="16">
        <v>0</v>
      </c>
      <c r="L3319" s="16">
        <v>0</v>
      </c>
      <c r="M3319" s="16">
        <v>0.2</v>
      </c>
      <c r="N3319" s="16">
        <v>0.3</v>
      </c>
      <c r="O3319" s="16">
        <v>0.5</v>
      </c>
      <c r="P3319" s="16">
        <v>1</v>
      </c>
      <c r="Q3319" s="16">
        <v>1</v>
      </c>
      <c r="R3319" s="16">
        <v>1</v>
      </c>
      <c r="S3319" s="16">
        <v>1</v>
      </c>
      <c r="T3319" s="16">
        <v>1</v>
      </c>
      <c r="U3319" s="16">
        <v>1</v>
      </c>
      <c r="V3319" s="16">
        <v>1</v>
      </c>
      <c r="W3319" s="16">
        <v>1</v>
      </c>
      <c r="X3319" s="16">
        <v>1</v>
      </c>
      <c r="Y3319" s="16">
        <v>1</v>
      </c>
      <c r="Z3319" s="16">
        <v>0.5</v>
      </c>
      <c r="AA3319" s="16">
        <v>0.3</v>
      </c>
      <c r="AB3319" s="16">
        <v>0.2</v>
      </c>
      <c r="AC3319" s="16">
        <v>0.05</v>
      </c>
      <c r="AD3319" s="16">
        <v>0</v>
      </c>
      <c r="AE3319" s="16">
        <v>0</v>
      </c>
      <c r="AF3319" s="16" t="s">
        <v>411</v>
      </c>
    </row>
    <row r="3320" spans="1:32" ht="14.25" customHeight="1" x14ac:dyDescent="0.35">
      <c r="A3320" s="16" t="s">
        <v>1963</v>
      </c>
      <c r="B3320" s="16" t="s">
        <v>424</v>
      </c>
      <c r="C3320" s="16"/>
      <c r="D3320" s="16" t="s">
        <v>419</v>
      </c>
      <c r="E3320" s="17">
        <v>41640</v>
      </c>
      <c r="F3320" s="17">
        <v>42004</v>
      </c>
      <c r="G3320" s="16" t="s">
        <v>410</v>
      </c>
      <c r="H3320" s="16">
        <v>1</v>
      </c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 t="s">
        <v>411</v>
      </c>
    </row>
    <row r="3321" spans="1:32" ht="14.25" customHeight="1" x14ac:dyDescent="0.35">
      <c r="A3321" s="14" t="s">
        <v>1963</v>
      </c>
      <c r="B3321" s="14" t="s">
        <v>424</v>
      </c>
      <c r="C3321" s="14"/>
      <c r="D3321" s="14" t="s">
        <v>418</v>
      </c>
      <c r="E3321" s="15">
        <v>41640</v>
      </c>
      <c r="F3321" s="15">
        <v>42004</v>
      </c>
      <c r="G3321" s="14" t="s">
        <v>410</v>
      </c>
      <c r="H3321" s="14">
        <v>0</v>
      </c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4"/>
      <c r="AA3321" s="14"/>
      <c r="AB3321" s="14"/>
      <c r="AC3321" s="14"/>
      <c r="AD3321" s="14"/>
      <c r="AE3321" s="14"/>
      <c r="AF3321" s="14" t="s">
        <v>411</v>
      </c>
    </row>
    <row r="3322" spans="1:32" ht="14.25" customHeight="1" x14ac:dyDescent="0.35">
      <c r="A3322" s="14" t="s">
        <v>1964</v>
      </c>
      <c r="B3322" s="14" t="s">
        <v>448</v>
      </c>
      <c r="C3322" s="14"/>
      <c r="D3322" s="14" t="s">
        <v>1961</v>
      </c>
      <c r="E3322" s="15">
        <v>41640</v>
      </c>
      <c r="F3322" s="15">
        <v>42004</v>
      </c>
      <c r="G3322" s="14" t="s">
        <v>415</v>
      </c>
      <c r="H3322" s="14">
        <v>0</v>
      </c>
      <c r="I3322" s="14">
        <v>0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  <c r="O3322" s="14">
        <v>0.05</v>
      </c>
      <c r="P3322" s="14">
        <v>0.5</v>
      </c>
      <c r="Q3322" s="14">
        <v>0.5</v>
      </c>
      <c r="R3322" s="14">
        <v>0.2</v>
      </c>
      <c r="S3322" s="14">
        <v>0.2</v>
      </c>
      <c r="T3322" s="14">
        <v>0.05</v>
      </c>
      <c r="U3322" s="14">
        <v>0.5</v>
      </c>
      <c r="V3322" s="14">
        <v>0.5</v>
      </c>
      <c r="W3322" s="14">
        <v>0.2</v>
      </c>
      <c r="X3322" s="14">
        <v>0.2</v>
      </c>
      <c r="Y3322" s="14">
        <v>0.2</v>
      </c>
      <c r="Z3322" s="14">
        <v>0.05</v>
      </c>
      <c r="AA3322" s="14">
        <v>0.05</v>
      </c>
      <c r="AB3322" s="14">
        <v>0</v>
      </c>
      <c r="AC3322" s="14">
        <v>0</v>
      </c>
      <c r="AD3322" s="14">
        <v>0</v>
      </c>
      <c r="AE3322" s="14">
        <v>0</v>
      </c>
      <c r="AF3322" s="14" t="s">
        <v>411</v>
      </c>
    </row>
    <row r="3323" spans="1:32" ht="14.25" customHeight="1" x14ac:dyDescent="0.35">
      <c r="A3323" s="14" t="s">
        <v>1964</v>
      </c>
      <c r="B3323" s="14" t="s">
        <v>448</v>
      </c>
      <c r="C3323" s="14"/>
      <c r="D3323" s="14" t="s">
        <v>419</v>
      </c>
      <c r="E3323" s="15">
        <v>41640</v>
      </c>
      <c r="F3323" s="15">
        <v>42004</v>
      </c>
      <c r="G3323" s="14" t="s">
        <v>410</v>
      </c>
      <c r="H3323" s="14">
        <v>1</v>
      </c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  <c r="U3323" s="14"/>
      <c r="V3323" s="14"/>
      <c r="W3323" s="14"/>
      <c r="X3323" s="14"/>
      <c r="Y3323" s="14"/>
      <c r="Z3323" s="14"/>
      <c r="AA3323" s="14"/>
      <c r="AB3323" s="14"/>
      <c r="AC3323" s="14"/>
      <c r="AD3323" s="14"/>
      <c r="AE3323" s="14"/>
      <c r="AF3323" s="14" t="s">
        <v>411</v>
      </c>
    </row>
    <row r="3324" spans="1:32" ht="14.25" customHeight="1" x14ac:dyDescent="0.35">
      <c r="A3324" s="16" t="s">
        <v>1964</v>
      </c>
      <c r="B3324" s="16" t="s">
        <v>448</v>
      </c>
      <c r="C3324" s="16"/>
      <c r="D3324" s="16" t="s">
        <v>418</v>
      </c>
      <c r="E3324" s="17">
        <v>41640</v>
      </c>
      <c r="F3324" s="17">
        <v>42004</v>
      </c>
      <c r="G3324" s="16" t="s">
        <v>410</v>
      </c>
      <c r="H3324" s="16">
        <v>0</v>
      </c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6"/>
      <c r="AA3324" s="16"/>
      <c r="AB3324" s="16"/>
      <c r="AC3324" s="16"/>
      <c r="AD3324" s="16"/>
      <c r="AE3324" s="16"/>
      <c r="AF3324" s="16" t="s">
        <v>411</v>
      </c>
    </row>
    <row r="3325" spans="1:32" ht="14.25" customHeight="1" x14ac:dyDescent="0.35">
      <c r="A3325" s="16" t="s">
        <v>1965</v>
      </c>
      <c r="B3325" s="16" t="s">
        <v>427</v>
      </c>
      <c r="C3325" s="16"/>
      <c r="D3325" s="16" t="s">
        <v>417</v>
      </c>
      <c r="E3325" s="17">
        <v>41640</v>
      </c>
      <c r="F3325" s="17">
        <v>42004</v>
      </c>
      <c r="G3325" s="16" t="s">
        <v>415</v>
      </c>
      <c r="H3325" s="16">
        <v>0.33</v>
      </c>
      <c r="I3325" s="16">
        <v>0.33</v>
      </c>
      <c r="J3325" s="16">
        <v>0.33</v>
      </c>
      <c r="K3325" s="16">
        <v>0.33</v>
      </c>
      <c r="L3325" s="16">
        <v>0.33</v>
      </c>
      <c r="M3325" s="16">
        <v>0.38</v>
      </c>
      <c r="N3325" s="16">
        <v>0.38</v>
      </c>
      <c r="O3325" s="16">
        <v>0.43</v>
      </c>
      <c r="P3325" s="16">
        <v>0.43</v>
      </c>
      <c r="Q3325" s="16">
        <v>0.43</v>
      </c>
      <c r="R3325" s="16">
        <v>1</v>
      </c>
      <c r="S3325" s="16">
        <v>1</v>
      </c>
      <c r="T3325" s="16">
        <v>0.94</v>
      </c>
      <c r="U3325" s="16">
        <v>1</v>
      </c>
      <c r="V3325" s="16">
        <v>1</v>
      </c>
      <c r="W3325" s="16">
        <v>1</v>
      </c>
      <c r="X3325" s="16">
        <v>1</v>
      </c>
      <c r="Y3325" s="16">
        <v>0.75</v>
      </c>
      <c r="Z3325" s="16">
        <v>0.63</v>
      </c>
      <c r="AA3325" s="16">
        <v>0.63</v>
      </c>
      <c r="AB3325" s="16">
        <v>0.48</v>
      </c>
      <c r="AC3325" s="16">
        <v>0.48</v>
      </c>
      <c r="AD3325" s="16">
        <v>0.33</v>
      </c>
      <c r="AE3325" s="16">
        <v>0.33</v>
      </c>
      <c r="AF3325" s="16" t="s">
        <v>411</v>
      </c>
    </row>
    <row r="3326" spans="1:32" ht="14.25" customHeight="1" x14ac:dyDescent="0.35">
      <c r="A3326" s="16" t="s">
        <v>1965</v>
      </c>
      <c r="B3326" s="16" t="s">
        <v>427</v>
      </c>
      <c r="C3326" s="16"/>
      <c r="D3326" s="16" t="s">
        <v>419</v>
      </c>
      <c r="E3326" s="17">
        <v>41640</v>
      </c>
      <c r="F3326" s="17">
        <v>42004</v>
      </c>
      <c r="G3326" s="16" t="s">
        <v>410</v>
      </c>
      <c r="H3326" s="16">
        <v>1</v>
      </c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16"/>
      <c r="AA3326" s="16"/>
      <c r="AB3326" s="16"/>
      <c r="AC3326" s="16"/>
      <c r="AD3326" s="16"/>
      <c r="AE3326" s="16"/>
      <c r="AF3326" s="16" t="s">
        <v>411</v>
      </c>
    </row>
    <row r="3327" spans="1:32" ht="14.25" customHeight="1" x14ac:dyDescent="0.35">
      <c r="A3327" s="14" t="s">
        <v>1965</v>
      </c>
      <c r="B3327" s="14" t="s">
        <v>427</v>
      </c>
      <c r="C3327" s="14"/>
      <c r="D3327" s="14" t="s">
        <v>530</v>
      </c>
      <c r="E3327" s="15">
        <v>41640</v>
      </c>
      <c r="F3327" s="15">
        <v>42004</v>
      </c>
      <c r="G3327" s="14" t="s">
        <v>415</v>
      </c>
      <c r="H3327" s="14">
        <v>0.33</v>
      </c>
      <c r="I3327" s="14">
        <v>0.33</v>
      </c>
      <c r="J3327" s="14">
        <v>0.33</v>
      </c>
      <c r="K3327" s="14">
        <v>0.33</v>
      </c>
      <c r="L3327" s="14">
        <v>0.33</v>
      </c>
      <c r="M3327" s="14">
        <v>0.38</v>
      </c>
      <c r="N3327" s="14">
        <v>0.38</v>
      </c>
      <c r="O3327" s="14">
        <v>0.43</v>
      </c>
      <c r="P3327" s="14">
        <v>0.63</v>
      </c>
      <c r="Q3327" s="14">
        <v>0.63</v>
      </c>
      <c r="R3327" s="14">
        <v>0.63</v>
      </c>
      <c r="S3327" s="14">
        <v>0.63</v>
      </c>
      <c r="T3327" s="14">
        <v>0.63</v>
      </c>
      <c r="U3327" s="14">
        <v>0.63</v>
      </c>
      <c r="V3327" s="14">
        <v>0.63</v>
      </c>
      <c r="W3327" s="14">
        <v>0.63</v>
      </c>
      <c r="X3327" s="14">
        <v>0.63</v>
      </c>
      <c r="Y3327" s="14">
        <v>0.63</v>
      </c>
      <c r="Z3327" s="14">
        <v>0.48</v>
      </c>
      <c r="AA3327" s="14">
        <v>0.48</v>
      </c>
      <c r="AB3327" s="14">
        <v>0.48</v>
      </c>
      <c r="AC3327" s="14">
        <v>0.48</v>
      </c>
      <c r="AD3327" s="14">
        <v>0.33</v>
      </c>
      <c r="AE3327" s="14">
        <v>0.33</v>
      </c>
      <c r="AF3327" s="14" t="s">
        <v>411</v>
      </c>
    </row>
    <row r="3328" spans="1:32" ht="14.25" customHeight="1" x14ac:dyDescent="0.35">
      <c r="A3328" s="14" t="s">
        <v>1965</v>
      </c>
      <c r="B3328" s="14" t="s">
        <v>427</v>
      </c>
      <c r="C3328" s="14"/>
      <c r="D3328" s="14" t="s">
        <v>418</v>
      </c>
      <c r="E3328" s="15">
        <v>41640</v>
      </c>
      <c r="F3328" s="15">
        <v>42004</v>
      </c>
      <c r="G3328" s="14" t="s">
        <v>410</v>
      </c>
      <c r="H3328" s="14">
        <v>0</v>
      </c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4"/>
      <c r="Z3328" s="14"/>
      <c r="AA3328" s="14"/>
      <c r="AB3328" s="14"/>
      <c r="AC3328" s="14"/>
      <c r="AD3328" s="14"/>
      <c r="AE3328" s="14"/>
      <c r="AF3328" s="14" t="s">
        <v>411</v>
      </c>
    </row>
    <row r="3329" spans="1:32" ht="14.25" customHeight="1" x14ac:dyDescent="0.35">
      <c r="A3329" s="16" t="s">
        <v>1966</v>
      </c>
      <c r="B3329" s="16" t="s">
        <v>424</v>
      </c>
      <c r="C3329" s="16"/>
      <c r="D3329" s="16" t="s">
        <v>417</v>
      </c>
      <c r="E3329" s="17">
        <v>41640</v>
      </c>
      <c r="F3329" s="17">
        <v>42004</v>
      </c>
      <c r="G3329" s="16" t="s">
        <v>415</v>
      </c>
      <c r="H3329" s="16">
        <v>0.5</v>
      </c>
      <c r="I3329" s="16">
        <v>0.5</v>
      </c>
      <c r="J3329" s="16">
        <v>0.5</v>
      </c>
      <c r="K3329" s="16">
        <v>0.5</v>
      </c>
      <c r="L3329" s="16">
        <v>0.5</v>
      </c>
      <c r="M3329" s="16">
        <v>0.5</v>
      </c>
      <c r="N3329" s="16">
        <v>0.5</v>
      </c>
      <c r="O3329" s="16">
        <v>0.61</v>
      </c>
      <c r="P3329" s="16">
        <v>0.9</v>
      </c>
      <c r="Q3329" s="16">
        <v>0.9</v>
      </c>
      <c r="R3329" s="16">
        <v>0.9</v>
      </c>
      <c r="S3329" s="16">
        <v>0.9</v>
      </c>
      <c r="T3329" s="16">
        <v>0.8</v>
      </c>
      <c r="U3329" s="16">
        <v>0.9</v>
      </c>
      <c r="V3329" s="16">
        <v>0.9</v>
      </c>
      <c r="W3329" s="16">
        <v>0.9</v>
      </c>
      <c r="X3329" s="16">
        <v>0.9</v>
      </c>
      <c r="Y3329" s="16">
        <v>0.61</v>
      </c>
      <c r="Z3329" s="16">
        <v>0.5</v>
      </c>
      <c r="AA3329" s="16">
        <v>0.5</v>
      </c>
      <c r="AB3329" s="16">
        <v>0.5</v>
      </c>
      <c r="AC3329" s="16">
        <v>0.5</v>
      </c>
      <c r="AD3329" s="16">
        <v>0.5</v>
      </c>
      <c r="AE3329" s="16">
        <v>0.5</v>
      </c>
      <c r="AF3329" s="16" t="s">
        <v>411</v>
      </c>
    </row>
    <row r="3330" spans="1:32" ht="14.25" customHeight="1" x14ac:dyDescent="0.35">
      <c r="A3330" s="16" t="s">
        <v>1966</v>
      </c>
      <c r="B3330" s="16" t="s">
        <v>424</v>
      </c>
      <c r="C3330" s="16"/>
      <c r="D3330" s="16" t="s">
        <v>419</v>
      </c>
      <c r="E3330" s="17">
        <v>41640</v>
      </c>
      <c r="F3330" s="17">
        <v>42004</v>
      </c>
      <c r="G3330" s="16" t="s">
        <v>410</v>
      </c>
      <c r="H3330" s="16">
        <v>1</v>
      </c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 t="s">
        <v>411</v>
      </c>
    </row>
    <row r="3331" spans="1:32" ht="14.25" customHeight="1" x14ac:dyDescent="0.35">
      <c r="A3331" s="14" t="s">
        <v>1966</v>
      </c>
      <c r="B3331" s="14" t="s">
        <v>424</v>
      </c>
      <c r="C3331" s="14"/>
      <c r="D3331" s="14" t="s">
        <v>418</v>
      </c>
      <c r="E3331" s="15">
        <v>41640</v>
      </c>
      <c r="F3331" s="15">
        <v>42004</v>
      </c>
      <c r="G3331" s="14" t="s">
        <v>410</v>
      </c>
      <c r="H3331" s="14">
        <v>0</v>
      </c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4"/>
      <c r="Z3331" s="14"/>
      <c r="AA3331" s="14"/>
      <c r="AB3331" s="14"/>
      <c r="AC3331" s="14"/>
      <c r="AD3331" s="14"/>
      <c r="AE3331" s="14"/>
      <c r="AF3331" s="14" t="s">
        <v>411</v>
      </c>
    </row>
    <row r="3332" spans="1:32" ht="14.25" customHeight="1" x14ac:dyDescent="0.35">
      <c r="A3332" s="14" t="s">
        <v>1967</v>
      </c>
      <c r="B3332" s="14" t="s">
        <v>448</v>
      </c>
      <c r="C3332" s="14"/>
      <c r="D3332" s="14" t="s">
        <v>417</v>
      </c>
      <c r="E3332" s="15">
        <v>41640</v>
      </c>
      <c r="F3332" s="15">
        <v>42004</v>
      </c>
      <c r="G3332" s="14" t="s">
        <v>415</v>
      </c>
      <c r="H3332" s="14">
        <v>0.2</v>
      </c>
      <c r="I3332" s="14">
        <v>0.2</v>
      </c>
      <c r="J3332" s="14">
        <v>0.2</v>
      </c>
      <c r="K3332" s="14">
        <v>0.2</v>
      </c>
      <c r="L3332" s="14">
        <v>0.2</v>
      </c>
      <c r="M3332" s="14">
        <v>0.2</v>
      </c>
      <c r="N3332" s="14">
        <v>0.3</v>
      </c>
      <c r="O3332" s="14">
        <v>0.4</v>
      </c>
      <c r="P3332" s="14">
        <v>1</v>
      </c>
      <c r="Q3332" s="14">
        <v>1</v>
      </c>
      <c r="R3332" s="14">
        <v>1</v>
      </c>
      <c r="S3332" s="14">
        <v>1</v>
      </c>
      <c r="T3332" s="14">
        <v>0.5</v>
      </c>
      <c r="U3332" s="14">
        <v>1</v>
      </c>
      <c r="V3332" s="14">
        <v>1</v>
      </c>
      <c r="W3332" s="14">
        <v>1</v>
      </c>
      <c r="X3332" s="14">
        <v>1</v>
      </c>
      <c r="Y3332" s="14">
        <v>0.4</v>
      </c>
      <c r="Z3332" s="14">
        <v>0.3</v>
      </c>
      <c r="AA3332" s="14">
        <v>0.2</v>
      </c>
      <c r="AB3332" s="14">
        <v>0.2</v>
      </c>
      <c r="AC3332" s="14">
        <v>0.2</v>
      </c>
      <c r="AD3332" s="14">
        <v>0.2</v>
      </c>
      <c r="AE3332" s="14">
        <v>0.2</v>
      </c>
      <c r="AF3332" s="14" t="s">
        <v>411</v>
      </c>
    </row>
    <row r="3333" spans="1:32" ht="14.25" customHeight="1" x14ac:dyDescent="0.35">
      <c r="A3333" s="14" t="s">
        <v>1967</v>
      </c>
      <c r="B3333" s="14" t="s">
        <v>448</v>
      </c>
      <c r="C3333" s="14"/>
      <c r="D3333" s="14" t="s">
        <v>419</v>
      </c>
      <c r="E3333" s="15">
        <v>41640</v>
      </c>
      <c r="F3333" s="15">
        <v>42004</v>
      </c>
      <c r="G3333" s="14" t="s">
        <v>410</v>
      </c>
      <c r="H3333" s="14">
        <v>1</v>
      </c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S3333" s="14"/>
      <c r="T3333" s="14"/>
      <c r="U3333" s="14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 t="s">
        <v>411</v>
      </c>
    </row>
    <row r="3334" spans="1:32" ht="14.25" customHeight="1" x14ac:dyDescent="0.35">
      <c r="A3334" s="16" t="s">
        <v>1967</v>
      </c>
      <c r="B3334" s="16" t="s">
        <v>448</v>
      </c>
      <c r="C3334" s="16"/>
      <c r="D3334" s="16" t="s">
        <v>530</v>
      </c>
      <c r="E3334" s="17">
        <v>41640</v>
      </c>
      <c r="F3334" s="17">
        <v>42004</v>
      </c>
      <c r="G3334" s="16" t="s">
        <v>415</v>
      </c>
      <c r="H3334" s="16">
        <v>0.2</v>
      </c>
      <c r="I3334" s="16">
        <v>0.2</v>
      </c>
      <c r="J3334" s="16">
        <v>0.2</v>
      </c>
      <c r="K3334" s="16">
        <v>0.2</v>
      </c>
      <c r="L3334" s="16">
        <v>0.2</v>
      </c>
      <c r="M3334" s="16">
        <v>0.2</v>
      </c>
      <c r="N3334" s="16">
        <v>0.2</v>
      </c>
      <c r="O3334" s="16">
        <v>0.3</v>
      </c>
      <c r="P3334" s="16">
        <v>0.5</v>
      </c>
      <c r="Q3334" s="16">
        <v>0.5</v>
      </c>
      <c r="R3334" s="16">
        <v>0.5</v>
      </c>
      <c r="S3334" s="16">
        <v>0.5</v>
      </c>
      <c r="T3334" s="16">
        <v>0.5</v>
      </c>
      <c r="U3334" s="16">
        <v>0.5</v>
      </c>
      <c r="V3334" s="16">
        <v>0.5</v>
      </c>
      <c r="W3334" s="16">
        <v>0.5</v>
      </c>
      <c r="X3334" s="16">
        <v>0.5</v>
      </c>
      <c r="Y3334" s="16">
        <v>0.3</v>
      </c>
      <c r="Z3334" s="16">
        <v>0.2</v>
      </c>
      <c r="AA3334" s="16">
        <v>0.2</v>
      </c>
      <c r="AB3334" s="16">
        <v>0.2</v>
      </c>
      <c r="AC3334" s="16">
        <v>0.2</v>
      </c>
      <c r="AD3334" s="16">
        <v>0.2</v>
      </c>
      <c r="AE3334" s="16">
        <v>0.2</v>
      </c>
      <c r="AF3334" s="16" t="s">
        <v>411</v>
      </c>
    </row>
    <row r="3335" spans="1:32" ht="14.25" customHeight="1" x14ac:dyDescent="0.35">
      <c r="A3335" s="16" t="s">
        <v>1967</v>
      </c>
      <c r="B3335" s="16" t="s">
        <v>448</v>
      </c>
      <c r="C3335" s="16"/>
      <c r="D3335" s="16" t="s">
        <v>418</v>
      </c>
      <c r="E3335" s="17">
        <v>41640</v>
      </c>
      <c r="F3335" s="17">
        <v>42004</v>
      </c>
      <c r="G3335" s="16" t="s">
        <v>410</v>
      </c>
      <c r="H3335" s="16">
        <v>0</v>
      </c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16"/>
      <c r="AA3335" s="16"/>
      <c r="AB3335" s="16"/>
      <c r="AC3335" s="16"/>
      <c r="AD3335" s="16"/>
      <c r="AE3335" s="16"/>
      <c r="AF3335" s="16" t="s">
        <v>411</v>
      </c>
    </row>
    <row r="3336" spans="1:32" ht="14.25" customHeight="1" x14ac:dyDescent="0.35">
      <c r="A3336" s="16" t="s">
        <v>1968</v>
      </c>
      <c r="B3336" s="16" t="s">
        <v>600</v>
      </c>
      <c r="C3336" s="16" t="s">
        <v>1290</v>
      </c>
      <c r="D3336" s="16" t="s">
        <v>417</v>
      </c>
      <c r="E3336" s="17">
        <v>41640</v>
      </c>
      <c r="F3336" s="17">
        <v>42004</v>
      </c>
      <c r="G3336" s="17" t="s">
        <v>410</v>
      </c>
      <c r="H3336" s="27">
        <v>1</v>
      </c>
      <c r="I3336" s="28"/>
      <c r="J3336" s="28"/>
      <c r="K3336" s="28"/>
      <c r="L3336" s="28"/>
      <c r="M3336" s="28"/>
      <c r="N3336" s="28"/>
      <c r="O3336" s="28"/>
      <c r="P3336" s="28"/>
      <c r="Q3336" s="28"/>
      <c r="R3336" s="28"/>
      <c r="S3336" s="28"/>
      <c r="T3336" s="28"/>
      <c r="U3336" s="28"/>
      <c r="V3336" s="28"/>
      <c r="W3336" s="28"/>
      <c r="X3336" s="28"/>
      <c r="Y3336" s="28"/>
      <c r="Z3336" s="28"/>
      <c r="AA3336" s="28"/>
      <c r="AB3336" s="28"/>
      <c r="AC3336" s="28"/>
      <c r="AD3336" s="28"/>
      <c r="AE3336" s="28"/>
      <c r="AF3336" s="16"/>
    </row>
    <row r="3337" spans="1:32" ht="14.25" customHeight="1" x14ac:dyDescent="0.35">
      <c r="A3337" s="14" t="s">
        <v>1969</v>
      </c>
      <c r="B3337" s="14" t="s">
        <v>600</v>
      </c>
      <c r="C3337" s="14" t="s">
        <v>1290</v>
      </c>
      <c r="D3337" s="14" t="s">
        <v>417</v>
      </c>
      <c r="E3337" s="15">
        <v>41640</v>
      </c>
      <c r="F3337" s="15">
        <v>42004</v>
      </c>
      <c r="G3337" s="15" t="s">
        <v>410</v>
      </c>
      <c r="H3337" s="20">
        <v>1</v>
      </c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1"/>
      <c r="AB3337" s="21"/>
      <c r="AC3337" s="21"/>
      <c r="AD3337" s="21"/>
      <c r="AE3337" s="21"/>
      <c r="AF3337" s="14"/>
    </row>
    <row r="3338" spans="1:32" ht="14.25" customHeight="1" x14ac:dyDescent="0.35">
      <c r="A3338" s="16" t="s">
        <v>1970</v>
      </c>
      <c r="B3338" s="16" t="s">
        <v>600</v>
      </c>
      <c r="C3338" s="16" t="s">
        <v>1290</v>
      </c>
      <c r="D3338" s="16" t="s">
        <v>417</v>
      </c>
      <c r="E3338" s="17">
        <v>41640</v>
      </c>
      <c r="F3338" s="17">
        <v>42004</v>
      </c>
      <c r="G3338" s="17" t="s">
        <v>410</v>
      </c>
      <c r="H3338" s="27">
        <v>0</v>
      </c>
      <c r="I3338" s="28"/>
      <c r="J3338" s="28"/>
      <c r="K3338" s="28"/>
      <c r="L3338" s="28"/>
      <c r="M3338" s="28"/>
      <c r="N3338" s="28"/>
      <c r="O3338" s="28"/>
      <c r="P3338" s="28"/>
      <c r="Q3338" s="28"/>
      <c r="R3338" s="28"/>
      <c r="S3338" s="28"/>
      <c r="T3338" s="28"/>
      <c r="U3338" s="28"/>
      <c r="V3338" s="28"/>
      <c r="W3338" s="28"/>
      <c r="X3338" s="28"/>
      <c r="Y3338" s="28"/>
      <c r="Z3338" s="28"/>
      <c r="AA3338" s="28"/>
      <c r="AB3338" s="28"/>
      <c r="AC3338" s="28"/>
      <c r="AD3338" s="28"/>
      <c r="AE3338" s="28"/>
      <c r="AF3338" s="16"/>
    </row>
    <row r="3339" spans="1:32" ht="14.25" customHeight="1" x14ac:dyDescent="0.35">
      <c r="A3339" s="14" t="s">
        <v>1971</v>
      </c>
      <c r="B3339" s="14" t="s">
        <v>600</v>
      </c>
      <c r="C3339" s="14" t="s">
        <v>1290</v>
      </c>
      <c r="D3339" s="14" t="s">
        <v>417</v>
      </c>
      <c r="E3339" s="15">
        <v>41640</v>
      </c>
      <c r="F3339" s="15">
        <v>42004</v>
      </c>
      <c r="G3339" s="15" t="s">
        <v>410</v>
      </c>
      <c r="H3339" s="20">
        <v>1</v>
      </c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  <c r="AA3339" s="21"/>
      <c r="AB3339" s="21"/>
      <c r="AC3339" s="21"/>
      <c r="AD3339" s="21"/>
      <c r="AE3339" s="21"/>
      <c r="AF3339" s="14"/>
    </row>
    <row r="3340" spans="1:32" ht="14.25" customHeight="1" x14ac:dyDescent="0.35">
      <c r="A3340" s="16" t="s">
        <v>1972</v>
      </c>
      <c r="B3340" s="16" t="s">
        <v>600</v>
      </c>
      <c r="C3340" s="16" t="s">
        <v>1290</v>
      </c>
      <c r="D3340" s="16" t="s">
        <v>417</v>
      </c>
      <c r="E3340" s="17">
        <v>41640</v>
      </c>
      <c r="F3340" s="17">
        <v>42004</v>
      </c>
      <c r="G3340" s="17" t="s">
        <v>410</v>
      </c>
      <c r="H3340" s="27">
        <v>1</v>
      </c>
      <c r="I3340" s="28"/>
      <c r="J3340" s="28"/>
      <c r="K3340" s="28"/>
      <c r="L3340" s="28"/>
      <c r="M3340" s="28"/>
      <c r="N3340" s="28"/>
      <c r="O3340" s="28"/>
      <c r="P3340" s="28"/>
      <c r="Q3340" s="28"/>
      <c r="R3340" s="28"/>
      <c r="S3340" s="28"/>
      <c r="T3340" s="28"/>
      <c r="U3340" s="28"/>
      <c r="V3340" s="28"/>
      <c r="W3340" s="28"/>
      <c r="X3340" s="28"/>
      <c r="Y3340" s="28"/>
      <c r="Z3340" s="28"/>
      <c r="AA3340" s="28"/>
      <c r="AB3340" s="28"/>
      <c r="AC3340" s="28"/>
      <c r="AD3340" s="28"/>
      <c r="AE3340" s="28"/>
      <c r="AF3340" s="16"/>
    </row>
    <row r="3341" spans="1:32" ht="14.25" customHeight="1" x14ac:dyDescent="0.35">
      <c r="A3341" s="14" t="s">
        <v>1973</v>
      </c>
      <c r="B3341" s="14" t="s">
        <v>600</v>
      </c>
      <c r="C3341" s="14" t="s">
        <v>1290</v>
      </c>
      <c r="D3341" s="14" t="s">
        <v>417</v>
      </c>
      <c r="E3341" s="15">
        <v>41640</v>
      </c>
      <c r="F3341" s="15">
        <v>42004</v>
      </c>
      <c r="G3341" s="15" t="s">
        <v>410</v>
      </c>
      <c r="H3341" s="20">
        <v>1</v>
      </c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  <c r="AA3341" s="21"/>
      <c r="AB3341" s="21"/>
      <c r="AC3341" s="21"/>
      <c r="AD3341" s="21"/>
      <c r="AE3341" s="21"/>
      <c r="AF3341" s="14"/>
    </row>
    <row r="3342" spans="1:32" ht="14.25" customHeight="1" x14ac:dyDescent="0.35">
      <c r="A3342" s="14" t="s">
        <v>1974</v>
      </c>
      <c r="B3342" s="14" t="s">
        <v>427</v>
      </c>
      <c r="C3342" s="14"/>
      <c r="D3342" s="14" t="s">
        <v>1961</v>
      </c>
      <c r="E3342" s="15">
        <v>41640</v>
      </c>
      <c r="F3342" s="15">
        <v>42004</v>
      </c>
      <c r="G3342" s="14" t="s">
        <v>415</v>
      </c>
      <c r="H3342" s="14">
        <v>0.11</v>
      </c>
      <c r="I3342" s="14">
        <v>0.11</v>
      </c>
      <c r="J3342" s="14">
        <v>0.11</v>
      </c>
      <c r="K3342" s="14">
        <v>0.11</v>
      </c>
      <c r="L3342" s="14">
        <v>0.11</v>
      </c>
      <c r="M3342" s="14">
        <v>0.19</v>
      </c>
      <c r="N3342" s="14">
        <v>0.19</v>
      </c>
      <c r="O3342" s="14">
        <v>0.25</v>
      </c>
      <c r="P3342" s="14">
        <v>1</v>
      </c>
      <c r="Q3342" s="14">
        <v>1</v>
      </c>
      <c r="R3342" s="14">
        <v>0.86</v>
      </c>
      <c r="S3342" s="14">
        <v>0.86</v>
      </c>
      <c r="T3342" s="14">
        <v>1</v>
      </c>
      <c r="U3342" s="14">
        <v>0.86</v>
      </c>
      <c r="V3342" s="14">
        <v>0.86</v>
      </c>
      <c r="W3342" s="14">
        <v>0.86</v>
      </c>
      <c r="X3342" s="14">
        <v>0.86</v>
      </c>
      <c r="Y3342" s="14">
        <v>0.86</v>
      </c>
      <c r="Z3342" s="14">
        <v>0.25</v>
      </c>
      <c r="AA3342" s="14">
        <v>0.19</v>
      </c>
      <c r="AB3342" s="14">
        <v>0.11</v>
      </c>
      <c r="AC3342" s="14">
        <v>0.11</v>
      </c>
      <c r="AD3342" s="14">
        <v>0.11</v>
      </c>
      <c r="AE3342" s="14">
        <v>0.11</v>
      </c>
      <c r="AF3342" s="14" t="s">
        <v>411</v>
      </c>
    </row>
    <row r="3343" spans="1:32" ht="14.25" customHeight="1" x14ac:dyDescent="0.35">
      <c r="A3343" s="14" t="s">
        <v>1974</v>
      </c>
      <c r="B3343" s="14" t="s">
        <v>427</v>
      </c>
      <c r="C3343" s="14"/>
      <c r="D3343" s="14" t="s">
        <v>419</v>
      </c>
      <c r="E3343" s="15">
        <v>41640</v>
      </c>
      <c r="F3343" s="15">
        <v>42004</v>
      </c>
      <c r="G3343" s="14" t="s">
        <v>410</v>
      </c>
      <c r="H3343" s="14">
        <v>1</v>
      </c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  <c r="U3343" s="14"/>
      <c r="V3343" s="14"/>
      <c r="W3343" s="14"/>
      <c r="X3343" s="14"/>
      <c r="Y3343" s="14"/>
      <c r="Z3343" s="14"/>
      <c r="AA3343" s="14"/>
      <c r="AB3343" s="14"/>
      <c r="AC3343" s="14"/>
      <c r="AD3343" s="14"/>
      <c r="AE3343" s="14"/>
      <c r="AF3343" s="14" t="s">
        <v>411</v>
      </c>
    </row>
    <row r="3344" spans="1:32" ht="14.25" customHeight="1" x14ac:dyDescent="0.35">
      <c r="A3344" s="16" t="s">
        <v>1974</v>
      </c>
      <c r="B3344" s="16" t="s">
        <v>427</v>
      </c>
      <c r="C3344" s="16"/>
      <c r="D3344" s="16" t="s">
        <v>418</v>
      </c>
      <c r="E3344" s="17">
        <v>41640</v>
      </c>
      <c r="F3344" s="17">
        <v>42004</v>
      </c>
      <c r="G3344" s="16" t="s">
        <v>410</v>
      </c>
      <c r="H3344" s="16">
        <v>0</v>
      </c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 t="s">
        <v>411</v>
      </c>
    </row>
    <row r="3345" spans="1:32" ht="14.25" customHeight="1" x14ac:dyDescent="0.35">
      <c r="A3345" s="16" t="s">
        <v>1975</v>
      </c>
      <c r="B3345" s="16" t="s">
        <v>424</v>
      </c>
      <c r="C3345" s="16"/>
      <c r="D3345" s="16" t="s">
        <v>417</v>
      </c>
      <c r="E3345" s="17">
        <v>41640</v>
      </c>
      <c r="F3345" s="17">
        <v>42004</v>
      </c>
      <c r="G3345" s="16" t="s">
        <v>415</v>
      </c>
      <c r="H3345" s="16">
        <v>0.05</v>
      </c>
      <c r="I3345" s="16">
        <v>0.05</v>
      </c>
      <c r="J3345" s="16">
        <v>0.05</v>
      </c>
      <c r="K3345" s="16">
        <v>0.05</v>
      </c>
      <c r="L3345" s="16">
        <v>0.05</v>
      </c>
      <c r="M3345" s="16">
        <v>0.15</v>
      </c>
      <c r="N3345" s="16">
        <v>0.4</v>
      </c>
      <c r="O3345" s="16">
        <v>0.5</v>
      </c>
      <c r="P3345" s="16">
        <v>1</v>
      </c>
      <c r="Q3345" s="16">
        <v>1</v>
      </c>
      <c r="R3345" s="16">
        <v>1</v>
      </c>
      <c r="S3345" s="16">
        <v>1</v>
      </c>
      <c r="T3345" s="16">
        <v>1</v>
      </c>
      <c r="U3345" s="16">
        <v>1</v>
      </c>
      <c r="V3345" s="16">
        <v>1</v>
      </c>
      <c r="W3345" s="16">
        <v>1</v>
      </c>
      <c r="X3345" s="16">
        <v>1</v>
      </c>
      <c r="Y3345" s="16">
        <v>1</v>
      </c>
      <c r="Z3345" s="16">
        <v>0.5</v>
      </c>
      <c r="AA3345" s="16">
        <v>0.4</v>
      </c>
      <c r="AB3345" s="16">
        <v>0.15</v>
      </c>
      <c r="AC3345" s="16">
        <v>0.15</v>
      </c>
      <c r="AD3345" s="16">
        <v>0.05</v>
      </c>
      <c r="AE3345" s="16">
        <v>0.05</v>
      </c>
      <c r="AF3345" s="16" t="s">
        <v>411</v>
      </c>
    </row>
    <row r="3346" spans="1:32" ht="14.25" customHeight="1" x14ac:dyDescent="0.35">
      <c r="A3346" s="16" t="s">
        <v>1975</v>
      </c>
      <c r="B3346" s="16" t="s">
        <v>424</v>
      </c>
      <c r="C3346" s="16"/>
      <c r="D3346" s="16" t="s">
        <v>419</v>
      </c>
      <c r="E3346" s="17">
        <v>41640</v>
      </c>
      <c r="F3346" s="17">
        <v>42004</v>
      </c>
      <c r="G3346" s="16" t="s">
        <v>410</v>
      </c>
      <c r="H3346" s="16">
        <v>1</v>
      </c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 t="s">
        <v>411</v>
      </c>
    </row>
    <row r="3347" spans="1:32" ht="14.25" customHeight="1" x14ac:dyDescent="0.35">
      <c r="A3347" s="14" t="s">
        <v>1975</v>
      </c>
      <c r="B3347" s="14" t="s">
        <v>424</v>
      </c>
      <c r="C3347" s="14"/>
      <c r="D3347" s="14" t="s">
        <v>530</v>
      </c>
      <c r="E3347" s="15">
        <v>41640</v>
      </c>
      <c r="F3347" s="15">
        <v>42004</v>
      </c>
      <c r="G3347" s="14" t="s">
        <v>415</v>
      </c>
      <c r="H3347" s="14">
        <v>0.05</v>
      </c>
      <c r="I3347" s="14">
        <v>0.05</v>
      </c>
      <c r="J3347" s="14">
        <v>0.05</v>
      </c>
      <c r="K3347" s="14">
        <v>0.05</v>
      </c>
      <c r="L3347" s="14">
        <v>0.05</v>
      </c>
      <c r="M3347" s="14">
        <v>0.15</v>
      </c>
      <c r="N3347" s="14">
        <v>0.3</v>
      </c>
      <c r="O3347" s="14">
        <v>0.4</v>
      </c>
      <c r="P3347" s="14">
        <v>0.6</v>
      </c>
      <c r="Q3347" s="14">
        <v>0.6</v>
      </c>
      <c r="R3347" s="14">
        <v>0.6</v>
      </c>
      <c r="S3347" s="14">
        <v>0.6</v>
      </c>
      <c r="T3347" s="14">
        <v>0.6</v>
      </c>
      <c r="U3347" s="14">
        <v>0.6</v>
      </c>
      <c r="V3347" s="14">
        <v>0.6</v>
      </c>
      <c r="W3347" s="14">
        <v>0.6</v>
      </c>
      <c r="X3347" s="14">
        <v>0.6</v>
      </c>
      <c r="Y3347" s="14">
        <v>0.6</v>
      </c>
      <c r="Z3347" s="14">
        <v>0.4</v>
      </c>
      <c r="AA3347" s="14">
        <v>0.3</v>
      </c>
      <c r="AB3347" s="14">
        <v>0.15</v>
      </c>
      <c r="AC3347" s="14">
        <v>0.15</v>
      </c>
      <c r="AD3347" s="14">
        <v>0.05</v>
      </c>
      <c r="AE3347" s="14">
        <v>0.05</v>
      </c>
      <c r="AF3347" s="14" t="s">
        <v>411</v>
      </c>
    </row>
    <row r="3348" spans="1:32" ht="14.25" customHeight="1" x14ac:dyDescent="0.35">
      <c r="A3348" s="14" t="s">
        <v>1975</v>
      </c>
      <c r="B3348" s="14" t="s">
        <v>424</v>
      </c>
      <c r="C3348" s="14"/>
      <c r="D3348" s="14" t="s">
        <v>418</v>
      </c>
      <c r="E3348" s="15">
        <v>41640</v>
      </c>
      <c r="F3348" s="15">
        <v>42004</v>
      </c>
      <c r="G3348" s="14" t="s">
        <v>410</v>
      </c>
      <c r="H3348" s="14">
        <v>0</v>
      </c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  <c r="U3348" s="14"/>
      <c r="V3348" s="14"/>
      <c r="W3348" s="14"/>
      <c r="X3348" s="14"/>
      <c r="Y3348" s="14"/>
      <c r="Z3348" s="14"/>
      <c r="AA3348" s="14"/>
      <c r="AB3348" s="14"/>
      <c r="AC3348" s="14"/>
      <c r="AD3348" s="14"/>
      <c r="AE3348" s="14"/>
      <c r="AF3348" s="14" t="s">
        <v>411</v>
      </c>
    </row>
    <row r="3349" spans="1:32" ht="14.25" customHeight="1" x14ac:dyDescent="0.35">
      <c r="A3349" s="16" t="s">
        <v>1976</v>
      </c>
      <c r="B3349" s="16" t="s">
        <v>448</v>
      </c>
      <c r="C3349" s="16"/>
      <c r="D3349" s="16" t="s">
        <v>417</v>
      </c>
      <c r="E3349" s="17">
        <v>41640</v>
      </c>
      <c r="F3349" s="17">
        <v>42004</v>
      </c>
      <c r="G3349" s="16" t="s">
        <v>415</v>
      </c>
      <c r="H3349" s="16">
        <v>0</v>
      </c>
      <c r="I3349" s="16">
        <v>0</v>
      </c>
      <c r="J3349" s="16">
        <v>0</v>
      </c>
      <c r="K3349" s="16">
        <v>0</v>
      </c>
      <c r="L3349" s="16">
        <v>0</v>
      </c>
      <c r="M3349" s="16">
        <v>0.1</v>
      </c>
      <c r="N3349" s="16">
        <v>0.1</v>
      </c>
      <c r="O3349" s="16">
        <v>0.2</v>
      </c>
      <c r="P3349" s="16">
        <v>0.2</v>
      </c>
      <c r="Q3349" s="16">
        <v>0.2</v>
      </c>
      <c r="R3349" s="16">
        <v>0.2</v>
      </c>
      <c r="S3349" s="16">
        <v>0.2</v>
      </c>
      <c r="T3349" s="16">
        <v>0.7</v>
      </c>
      <c r="U3349" s="16">
        <v>0.2</v>
      </c>
      <c r="V3349" s="16">
        <v>0.2</v>
      </c>
      <c r="W3349" s="16">
        <v>0.2</v>
      </c>
      <c r="X3349" s="16">
        <v>0.2</v>
      </c>
      <c r="Y3349" s="16">
        <v>0.2</v>
      </c>
      <c r="Z3349" s="16">
        <v>0.1</v>
      </c>
      <c r="AA3349" s="16">
        <v>0.1</v>
      </c>
      <c r="AB3349" s="16">
        <v>0</v>
      </c>
      <c r="AC3349" s="16">
        <v>0</v>
      </c>
      <c r="AD3349" s="16">
        <v>0</v>
      </c>
      <c r="AE3349" s="16">
        <v>0</v>
      </c>
      <c r="AF3349" s="16" t="s">
        <v>411</v>
      </c>
    </row>
    <row r="3350" spans="1:32" ht="14.25" customHeight="1" x14ac:dyDescent="0.35">
      <c r="A3350" s="16" t="s">
        <v>1976</v>
      </c>
      <c r="B3350" s="16" t="s">
        <v>448</v>
      </c>
      <c r="C3350" s="16"/>
      <c r="D3350" s="16" t="s">
        <v>419</v>
      </c>
      <c r="E3350" s="17">
        <v>41640</v>
      </c>
      <c r="F3350" s="17">
        <v>42004</v>
      </c>
      <c r="G3350" s="16" t="s">
        <v>410</v>
      </c>
      <c r="H3350" s="16">
        <v>1</v>
      </c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6"/>
      <c r="AA3350" s="16"/>
      <c r="AB3350" s="16"/>
      <c r="AC3350" s="16"/>
      <c r="AD3350" s="16"/>
      <c r="AE3350" s="16"/>
      <c r="AF3350" s="16" t="s">
        <v>411</v>
      </c>
    </row>
    <row r="3351" spans="1:32" ht="14.25" customHeight="1" x14ac:dyDescent="0.35">
      <c r="A3351" s="14" t="s">
        <v>1976</v>
      </c>
      <c r="B3351" s="14" t="s">
        <v>448</v>
      </c>
      <c r="C3351" s="14"/>
      <c r="D3351" s="14" t="s">
        <v>530</v>
      </c>
      <c r="E3351" s="15">
        <v>41640</v>
      </c>
      <c r="F3351" s="15">
        <v>42004</v>
      </c>
      <c r="G3351" s="14" t="s">
        <v>415</v>
      </c>
      <c r="H3351" s="14">
        <v>0</v>
      </c>
      <c r="I3351" s="14">
        <v>0</v>
      </c>
      <c r="J3351" s="14">
        <v>0</v>
      </c>
      <c r="K3351" s="14">
        <v>0</v>
      </c>
      <c r="L3351" s="14">
        <v>0</v>
      </c>
      <c r="M3351" s="14">
        <v>0.05</v>
      </c>
      <c r="N3351" s="14">
        <v>0.05</v>
      </c>
      <c r="O3351" s="14">
        <v>0.05</v>
      </c>
      <c r="P3351" s="14">
        <v>0.1</v>
      </c>
      <c r="Q3351" s="14">
        <v>0.1</v>
      </c>
      <c r="R3351" s="14">
        <v>0.1</v>
      </c>
      <c r="S3351" s="14">
        <v>0.1</v>
      </c>
      <c r="T3351" s="14">
        <v>0.2</v>
      </c>
      <c r="U3351" s="14">
        <v>0.1</v>
      </c>
      <c r="V3351" s="14">
        <v>0.1</v>
      </c>
      <c r="W3351" s="14">
        <v>0.1</v>
      </c>
      <c r="X3351" s="14">
        <v>0.1</v>
      </c>
      <c r="Y3351" s="14">
        <v>0.1</v>
      </c>
      <c r="Z3351" s="14">
        <v>0.05</v>
      </c>
      <c r="AA3351" s="14">
        <v>0.05</v>
      </c>
      <c r="AB3351" s="14">
        <v>0</v>
      </c>
      <c r="AC3351" s="14">
        <v>0</v>
      </c>
      <c r="AD3351" s="14">
        <v>0</v>
      </c>
      <c r="AE3351" s="14">
        <v>0</v>
      </c>
      <c r="AF3351" s="14" t="s">
        <v>411</v>
      </c>
    </row>
    <row r="3352" spans="1:32" ht="14.25" customHeight="1" x14ac:dyDescent="0.35">
      <c r="A3352" s="14" t="s">
        <v>1976</v>
      </c>
      <c r="B3352" s="14" t="s">
        <v>448</v>
      </c>
      <c r="C3352" s="14"/>
      <c r="D3352" s="14" t="s">
        <v>418</v>
      </c>
      <c r="E3352" s="15">
        <v>41640</v>
      </c>
      <c r="F3352" s="15">
        <v>42004</v>
      </c>
      <c r="G3352" s="14" t="s">
        <v>410</v>
      </c>
      <c r="H3352" s="14">
        <v>0</v>
      </c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S3352" s="14"/>
      <c r="T3352" s="14"/>
      <c r="U3352" s="14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  <c r="AF3352" s="14" t="s">
        <v>411</v>
      </c>
    </row>
    <row r="3353" spans="1:32" ht="14.25" customHeight="1" x14ac:dyDescent="0.35">
      <c r="A3353" s="16" t="s">
        <v>1977</v>
      </c>
      <c r="B3353" s="16" t="s">
        <v>424</v>
      </c>
      <c r="C3353" s="16"/>
      <c r="D3353" s="16" t="s">
        <v>1961</v>
      </c>
      <c r="E3353" s="17">
        <v>41640</v>
      </c>
      <c r="F3353" s="17">
        <v>42004</v>
      </c>
      <c r="G3353" s="16" t="s">
        <v>415</v>
      </c>
      <c r="H3353" s="16">
        <v>0.1</v>
      </c>
      <c r="I3353" s="16">
        <v>0.1</v>
      </c>
      <c r="J3353" s="16">
        <v>0.1</v>
      </c>
      <c r="K3353" s="16">
        <v>0.1</v>
      </c>
      <c r="L3353" s="16">
        <v>0.1</v>
      </c>
      <c r="M3353" s="16">
        <v>0.1</v>
      </c>
      <c r="N3353" s="16">
        <v>0.1</v>
      </c>
      <c r="O3353" s="16">
        <v>0.2</v>
      </c>
      <c r="P3353" s="16">
        <v>0.4</v>
      </c>
      <c r="Q3353" s="16">
        <v>0.4</v>
      </c>
      <c r="R3353" s="16">
        <v>0.4</v>
      </c>
      <c r="S3353" s="16">
        <v>0.4</v>
      </c>
      <c r="T3353" s="16">
        <v>0.4</v>
      </c>
      <c r="U3353" s="16">
        <v>0.4</v>
      </c>
      <c r="V3353" s="16">
        <v>0.4</v>
      </c>
      <c r="W3353" s="16">
        <v>0.4</v>
      </c>
      <c r="X3353" s="16">
        <v>0.4</v>
      </c>
      <c r="Y3353" s="16">
        <v>0.4</v>
      </c>
      <c r="Z3353" s="16">
        <v>0.2</v>
      </c>
      <c r="AA3353" s="16">
        <v>0.2</v>
      </c>
      <c r="AB3353" s="16">
        <v>0.2</v>
      </c>
      <c r="AC3353" s="16">
        <v>0.2</v>
      </c>
      <c r="AD3353" s="16">
        <v>0.1</v>
      </c>
      <c r="AE3353" s="16">
        <v>0.1</v>
      </c>
      <c r="AF3353" s="16" t="s">
        <v>411</v>
      </c>
    </row>
    <row r="3354" spans="1:32" ht="14.25" customHeight="1" x14ac:dyDescent="0.35">
      <c r="A3354" s="16" t="s">
        <v>1977</v>
      </c>
      <c r="B3354" s="16" t="s">
        <v>424</v>
      </c>
      <c r="C3354" s="16"/>
      <c r="D3354" s="16" t="s">
        <v>419</v>
      </c>
      <c r="E3354" s="17">
        <v>41640</v>
      </c>
      <c r="F3354" s="17">
        <v>42004</v>
      </c>
      <c r="G3354" s="16" t="s">
        <v>410</v>
      </c>
      <c r="H3354" s="16">
        <v>1</v>
      </c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 t="s">
        <v>411</v>
      </c>
    </row>
    <row r="3355" spans="1:32" ht="14.25" customHeight="1" x14ac:dyDescent="0.35">
      <c r="A3355" s="14" t="s">
        <v>1977</v>
      </c>
      <c r="B3355" s="14" t="s">
        <v>424</v>
      </c>
      <c r="C3355" s="14"/>
      <c r="D3355" s="14" t="s">
        <v>418</v>
      </c>
      <c r="E3355" s="15">
        <v>41640</v>
      </c>
      <c r="F3355" s="15">
        <v>42004</v>
      </c>
      <c r="G3355" s="14" t="s">
        <v>410</v>
      </c>
      <c r="H3355" s="14">
        <v>0</v>
      </c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S3355" s="14"/>
      <c r="T3355" s="14"/>
      <c r="U3355" s="14"/>
      <c r="V3355" s="14"/>
      <c r="W3355" s="14"/>
      <c r="X3355" s="14"/>
      <c r="Y3355" s="14"/>
      <c r="Z3355" s="14"/>
      <c r="AA3355" s="14"/>
      <c r="AB3355" s="14"/>
      <c r="AC3355" s="14"/>
      <c r="AD3355" s="14"/>
      <c r="AE3355" s="14"/>
      <c r="AF3355" s="14" t="s">
        <v>411</v>
      </c>
    </row>
    <row r="3356" spans="1:32" ht="14.25" customHeight="1" x14ac:dyDescent="0.35">
      <c r="A3356" s="14" t="s">
        <v>1978</v>
      </c>
      <c r="B3356" s="14" t="s">
        <v>420</v>
      </c>
      <c r="C3356" s="14"/>
      <c r="D3356" s="14" t="s">
        <v>409</v>
      </c>
      <c r="E3356" s="15">
        <v>41640</v>
      </c>
      <c r="F3356" s="15">
        <v>42004</v>
      </c>
      <c r="G3356" s="14" t="s">
        <v>410</v>
      </c>
      <c r="H3356" s="14">
        <v>40</v>
      </c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S3356" s="14"/>
      <c r="T3356" s="14"/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4"/>
      <c r="AF3356" s="14" t="s">
        <v>411</v>
      </c>
    </row>
    <row r="3357" spans="1:32" ht="14.25" customHeight="1" x14ac:dyDescent="0.35">
      <c r="A3357" s="16" t="s">
        <v>1979</v>
      </c>
      <c r="B3357" s="16" t="s">
        <v>420</v>
      </c>
      <c r="C3357" s="16"/>
      <c r="D3357" s="16" t="s">
        <v>409</v>
      </c>
      <c r="E3357" s="17">
        <v>41640</v>
      </c>
      <c r="F3357" s="17">
        <v>42004</v>
      </c>
      <c r="G3357" s="16" t="s">
        <v>410</v>
      </c>
      <c r="H3357" s="16">
        <v>15.6</v>
      </c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16"/>
      <c r="AA3357" s="16"/>
      <c r="AB3357" s="16"/>
      <c r="AC3357" s="16"/>
      <c r="AD3357" s="16"/>
      <c r="AE3357" s="16"/>
      <c r="AF3357" s="16" t="s">
        <v>411</v>
      </c>
    </row>
    <row r="3358" spans="1:32" ht="14.25" customHeight="1" x14ac:dyDescent="0.35">
      <c r="A3358" s="14" t="s">
        <v>1980</v>
      </c>
      <c r="B3358" s="14" t="s">
        <v>408</v>
      </c>
      <c r="C3358" s="14"/>
      <c r="D3358" s="14" t="s">
        <v>409</v>
      </c>
      <c r="E3358" s="15">
        <v>41640</v>
      </c>
      <c r="F3358" s="15">
        <v>42004</v>
      </c>
      <c r="G3358" s="14" t="s">
        <v>410</v>
      </c>
      <c r="H3358" s="14">
        <v>0</v>
      </c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S3358" s="14"/>
      <c r="T3358" s="14"/>
      <c r="U3358" s="14"/>
      <c r="V3358" s="14"/>
      <c r="W3358" s="14"/>
      <c r="X3358" s="14"/>
      <c r="Y3358" s="14"/>
      <c r="Z3358" s="14"/>
      <c r="AA3358" s="14"/>
      <c r="AB3358" s="14"/>
      <c r="AC3358" s="14"/>
      <c r="AD3358" s="14"/>
      <c r="AE3358" s="14"/>
      <c r="AF3358" s="14" t="s">
        <v>411</v>
      </c>
    </row>
    <row r="3359" spans="1:32" ht="14.25" customHeight="1" x14ac:dyDescent="0.35">
      <c r="A3359" s="16" t="s">
        <v>1981</v>
      </c>
      <c r="B3359" s="16" t="s">
        <v>424</v>
      </c>
      <c r="C3359" s="16" t="s">
        <v>1290</v>
      </c>
      <c r="D3359" s="16" t="s">
        <v>409</v>
      </c>
      <c r="E3359" s="17">
        <v>41640</v>
      </c>
      <c r="F3359" s="17">
        <v>42004</v>
      </c>
      <c r="G3359" s="17" t="s">
        <v>415</v>
      </c>
      <c r="H3359" s="27">
        <v>0</v>
      </c>
      <c r="I3359" s="27">
        <v>0</v>
      </c>
      <c r="J3359" s="27">
        <v>0</v>
      </c>
      <c r="K3359" s="27">
        <v>0</v>
      </c>
      <c r="L3359" s="27">
        <v>0</v>
      </c>
      <c r="M3359" s="27">
        <v>0</v>
      </c>
      <c r="N3359" s="27">
        <v>0</v>
      </c>
      <c r="O3359" s="27">
        <v>1</v>
      </c>
      <c r="P3359" s="27">
        <v>1</v>
      </c>
      <c r="Q3359" s="27">
        <v>1</v>
      </c>
      <c r="R3359" s="27">
        <v>1</v>
      </c>
      <c r="S3359" s="27">
        <v>1</v>
      </c>
      <c r="T3359" s="27">
        <v>1</v>
      </c>
      <c r="U3359" s="27">
        <v>1</v>
      </c>
      <c r="V3359" s="27">
        <v>1</v>
      </c>
      <c r="W3359" s="27">
        <v>1</v>
      </c>
      <c r="X3359" s="27">
        <v>1</v>
      </c>
      <c r="Y3359" s="27">
        <v>1</v>
      </c>
      <c r="Z3359" s="27">
        <v>1</v>
      </c>
      <c r="AA3359" s="27">
        <v>1</v>
      </c>
      <c r="AB3359" s="27">
        <v>1</v>
      </c>
      <c r="AC3359" s="27">
        <v>1</v>
      </c>
      <c r="AD3359" s="27">
        <v>1</v>
      </c>
      <c r="AE3359" s="27">
        <v>1</v>
      </c>
      <c r="AF3359" s="16"/>
    </row>
    <row r="3360" spans="1:32" ht="14.25" customHeight="1" x14ac:dyDescent="0.35">
      <c r="A3360" s="14" t="s">
        <v>1982</v>
      </c>
      <c r="B3360" s="14" t="s">
        <v>424</v>
      </c>
      <c r="C3360" s="14" t="s">
        <v>1290</v>
      </c>
      <c r="D3360" s="14" t="s">
        <v>409</v>
      </c>
      <c r="E3360" s="15">
        <v>41640</v>
      </c>
      <c r="F3360" s="15">
        <v>42004</v>
      </c>
      <c r="G3360" s="15" t="s">
        <v>410</v>
      </c>
      <c r="H3360" s="20">
        <v>1</v>
      </c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  <c r="AA3360" s="21"/>
      <c r="AB3360" s="21"/>
      <c r="AC3360" s="21"/>
      <c r="AD3360" s="21"/>
      <c r="AE3360" s="21"/>
      <c r="AF3360" s="14"/>
    </row>
    <row r="3361" spans="1:32" ht="14.25" customHeight="1" x14ac:dyDescent="0.35">
      <c r="A3361" s="16" t="s">
        <v>1983</v>
      </c>
      <c r="B3361" s="16" t="s">
        <v>600</v>
      </c>
      <c r="C3361" s="16" t="s">
        <v>1290</v>
      </c>
      <c r="D3361" s="16" t="s">
        <v>1927</v>
      </c>
      <c r="E3361" s="17">
        <v>41640</v>
      </c>
      <c r="F3361" s="17">
        <v>42004</v>
      </c>
      <c r="G3361" s="17" t="s">
        <v>415</v>
      </c>
      <c r="H3361" s="27">
        <v>0</v>
      </c>
      <c r="I3361" s="27">
        <v>0</v>
      </c>
      <c r="J3361" s="27">
        <v>0</v>
      </c>
      <c r="K3361" s="27">
        <v>0</v>
      </c>
      <c r="L3361" s="27">
        <v>0</v>
      </c>
      <c r="M3361" s="27">
        <v>0</v>
      </c>
      <c r="N3361" s="27">
        <v>0</v>
      </c>
      <c r="O3361" s="27">
        <v>1</v>
      </c>
      <c r="P3361" s="27">
        <v>1</v>
      </c>
      <c r="Q3361" s="27">
        <v>1</v>
      </c>
      <c r="R3361" s="27">
        <v>1</v>
      </c>
      <c r="S3361" s="27">
        <v>1</v>
      </c>
      <c r="T3361" s="27">
        <v>1</v>
      </c>
      <c r="U3361" s="27">
        <v>1</v>
      </c>
      <c r="V3361" s="27">
        <v>1</v>
      </c>
      <c r="W3361" s="27">
        <v>1</v>
      </c>
      <c r="X3361" s="27">
        <v>1</v>
      </c>
      <c r="Y3361" s="27">
        <v>1</v>
      </c>
      <c r="Z3361" s="27">
        <v>0</v>
      </c>
      <c r="AA3361" s="27">
        <v>0</v>
      </c>
      <c r="AB3361" s="27">
        <v>0</v>
      </c>
      <c r="AC3361" s="27">
        <v>0</v>
      </c>
      <c r="AD3361" s="27">
        <v>0</v>
      </c>
      <c r="AE3361" s="27">
        <v>0</v>
      </c>
      <c r="AF3361" s="16"/>
    </row>
    <row r="3362" spans="1:32" ht="14.25" customHeight="1" x14ac:dyDescent="0.35">
      <c r="A3362" s="14" t="s">
        <v>1983</v>
      </c>
      <c r="B3362" s="14" t="s">
        <v>600</v>
      </c>
      <c r="C3362" s="14" t="s">
        <v>1290</v>
      </c>
      <c r="D3362" s="14" t="s">
        <v>511</v>
      </c>
      <c r="E3362" s="15">
        <v>41640</v>
      </c>
      <c r="F3362" s="15">
        <v>42004</v>
      </c>
      <c r="G3362" s="15" t="s">
        <v>410</v>
      </c>
      <c r="H3362" s="20">
        <v>0</v>
      </c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  <c r="AA3362" s="21"/>
      <c r="AB3362" s="21"/>
      <c r="AC3362" s="21"/>
      <c r="AD3362" s="21"/>
      <c r="AE3362" s="21"/>
      <c r="AF3362" s="14"/>
    </row>
    <row r="3363" spans="1:32" ht="14.25" customHeight="1" x14ac:dyDescent="0.35">
      <c r="A3363" s="14" t="s">
        <v>1984</v>
      </c>
      <c r="B3363" s="14" t="s">
        <v>600</v>
      </c>
      <c r="C3363" s="14" t="s">
        <v>1290</v>
      </c>
      <c r="D3363" s="14" t="s">
        <v>453</v>
      </c>
      <c r="E3363" s="15">
        <v>41640</v>
      </c>
      <c r="F3363" s="15">
        <v>42004</v>
      </c>
      <c r="G3363" s="15" t="s">
        <v>415</v>
      </c>
      <c r="H3363" s="33">
        <v>0</v>
      </c>
      <c r="I3363" s="33">
        <v>0</v>
      </c>
      <c r="J3363" s="33">
        <v>0</v>
      </c>
      <c r="K3363" s="33">
        <v>0</v>
      </c>
      <c r="L3363" s="33">
        <v>0</v>
      </c>
      <c r="M3363" s="33">
        <v>0</v>
      </c>
      <c r="N3363" s="33">
        <v>1</v>
      </c>
      <c r="O3363" s="33">
        <v>1</v>
      </c>
      <c r="P3363" s="33">
        <v>1</v>
      </c>
      <c r="Q3363" s="33">
        <v>1</v>
      </c>
      <c r="R3363" s="33">
        <v>1</v>
      </c>
      <c r="S3363" s="33">
        <v>1</v>
      </c>
      <c r="T3363" s="33">
        <v>1</v>
      </c>
      <c r="U3363" s="33">
        <v>1</v>
      </c>
      <c r="V3363" s="33">
        <v>1</v>
      </c>
      <c r="W3363" s="33">
        <v>1</v>
      </c>
      <c r="X3363" s="33">
        <v>1</v>
      </c>
      <c r="Y3363" s="33">
        <v>1</v>
      </c>
      <c r="Z3363" s="33">
        <v>1</v>
      </c>
      <c r="AA3363" s="20">
        <v>0</v>
      </c>
      <c r="AB3363" s="20">
        <v>0</v>
      </c>
      <c r="AC3363" s="20">
        <v>0</v>
      </c>
      <c r="AD3363" s="20">
        <v>0</v>
      </c>
      <c r="AE3363" s="20">
        <v>0</v>
      </c>
      <c r="AF3363" s="14"/>
    </row>
    <row r="3364" spans="1:32" ht="14.25" customHeight="1" x14ac:dyDescent="0.35">
      <c r="A3364" s="14" t="s">
        <v>1984</v>
      </c>
      <c r="B3364" s="14" t="s">
        <v>600</v>
      </c>
      <c r="C3364" s="14" t="s">
        <v>1290</v>
      </c>
      <c r="D3364" s="14" t="s">
        <v>453</v>
      </c>
      <c r="E3364" s="15">
        <v>41640</v>
      </c>
      <c r="F3364" s="15">
        <v>42004</v>
      </c>
      <c r="G3364" s="15" t="s">
        <v>415</v>
      </c>
      <c r="H3364" s="20">
        <v>0</v>
      </c>
      <c r="I3364" s="20">
        <v>0</v>
      </c>
      <c r="J3364" s="20">
        <v>0</v>
      </c>
      <c r="K3364" s="20">
        <v>0</v>
      </c>
      <c r="L3364" s="20">
        <v>0</v>
      </c>
      <c r="M3364" s="20">
        <v>0</v>
      </c>
      <c r="N3364" s="20">
        <v>0</v>
      </c>
      <c r="O3364" s="20">
        <v>1</v>
      </c>
      <c r="P3364" s="20">
        <v>1</v>
      </c>
      <c r="Q3364" s="20">
        <v>1</v>
      </c>
      <c r="R3364" s="20">
        <v>1</v>
      </c>
      <c r="S3364" s="20">
        <v>1</v>
      </c>
      <c r="T3364" s="20">
        <v>1</v>
      </c>
      <c r="U3364" s="20">
        <v>1</v>
      </c>
      <c r="V3364" s="20">
        <v>1</v>
      </c>
      <c r="W3364" s="20">
        <v>1</v>
      </c>
      <c r="X3364" s="20">
        <v>1</v>
      </c>
      <c r="Y3364" s="20">
        <v>1</v>
      </c>
      <c r="Z3364" s="20">
        <v>1</v>
      </c>
      <c r="AA3364" s="20">
        <v>1</v>
      </c>
      <c r="AB3364" s="20">
        <v>1</v>
      </c>
      <c r="AC3364" s="20">
        <v>1</v>
      </c>
      <c r="AD3364" s="20">
        <v>0</v>
      </c>
      <c r="AE3364" s="20">
        <v>0</v>
      </c>
      <c r="AF3364" s="14"/>
    </row>
    <row r="3365" spans="1:32" ht="14.25" customHeight="1" x14ac:dyDescent="0.35">
      <c r="A3365" s="16" t="s">
        <v>1984</v>
      </c>
      <c r="B3365" s="16" t="s">
        <v>600</v>
      </c>
      <c r="C3365" s="16" t="s">
        <v>1290</v>
      </c>
      <c r="D3365" s="16" t="s">
        <v>1927</v>
      </c>
      <c r="E3365" s="17">
        <v>41640</v>
      </c>
      <c r="F3365" s="17">
        <v>42004</v>
      </c>
      <c r="G3365" s="17" t="s">
        <v>410</v>
      </c>
      <c r="H3365" s="27">
        <v>0</v>
      </c>
      <c r="I3365" s="28"/>
      <c r="J3365" s="28"/>
      <c r="K3365" s="28"/>
      <c r="L3365" s="28"/>
      <c r="M3365" s="28"/>
      <c r="N3365" s="28"/>
      <c r="O3365" s="28"/>
      <c r="P3365" s="28"/>
      <c r="Q3365" s="28"/>
      <c r="R3365" s="28"/>
      <c r="S3365" s="28"/>
      <c r="T3365" s="28"/>
      <c r="U3365" s="28"/>
      <c r="V3365" s="28"/>
      <c r="W3365" s="28"/>
      <c r="X3365" s="28"/>
      <c r="Y3365" s="28"/>
      <c r="Z3365" s="28"/>
      <c r="AA3365" s="28"/>
      <c r="AB3365" s="28"/>
      <c r="AC3365" s="28"/>
      <c r="AD3365" s="28"/>
      <c r="AE3365" s="28"/>
      <c r="AF3365" s="16"/>
    </row>
    <row r="3366" spans="1:32" ht="14.25" customHeight="1" x14ac:dyDescent="0.35">
      <c r="A3366" s="14" t="s">
        <v>1985</v>
      </c>
      <c r="B3366" s="14" t="s">
        <v>427</v>
      </c>
      <c r="C3366" s="14"/>
      <c r="D3366" s="14" t="s">
        <v>417</v>
      </c>
      <c r="E3366" s="15">
        <v>41640</v>
      </c>
      <c r="F3366" s="15">
        <v>42004</v>
      </c>
      <c r="G3366" s="14" t="s">
        <v>415</v>
      </c>
      <c r="H3366" s="14">
        <v>0.2</v>
      </c>
      <c r="I3366" s="14">
        <v>0.2</v>
      </c>
      <c r="J3366" s="14">
        <v>0.2</v>
      </c>
      <c r="K3366" s="14">
        <v>0.2</v>
      </c>
      <c r="L3366" s="14">
        <v>0.2</v>
      </c>
      <c r="M3366" s="14">
        <v>0.2</v>
      </c>
      <c r="N3366" s="14">
        <v>0.2</v>
      </c>
      <c r="O3366" s="14">
        <v>0.4</v>
      </c>
      <c r="P3366" s="14">
        <v>0.7</v>
      </c>
      <c r="Q3366" s="14">
        <v>0.9</v>
      </c>
      <c r="R3366" s="14">
        <v>0.9</v>
      </c>
      <c r="S3366" s="14">
        <v>0.9</v>
      </c>
      <c r="T3366" s="14">
        <v>0.9</v>
      </c>
      <c r="U3366" s="14">
        <v>0.9</v>
      </c>
      <c r="V3366" s="14">
        <v>0.9</v>
      </c>
      <c r="W3366" s="14">
        <v>0.9</v>
      </c>
      <c r="X3366" s="14">
        <v>0.9</v>
      </c>
      <c r="Y3366" s="14">
        <v>0.9</v>
      </c>
      <c r="Z3366" s="14">
        <v>0.8</v>
      </c>
      <c r="AA3366" s="14">
        <v>0.8</v>
      </c>
      <c r="AB3366" s="14">
        <v>0.7</v>
      </c>
      <c r="AC3366" s="14">
        <v>0.4</v>
      </c>
      <c r="AD3366" s="14">
        <v>0.2</v>
      </c>
      <c r="AE3366" s="14">
        <v>0.2</v>
      </c>
      <c r="AF3366" s="14" t="s">
        <v>411</v>
      </c>
    </row>
    <row r="3367" spans="1:32" ht="14.25" customHeight="1" x14ac:dyDescent="0.35">
      <c r="A3367" s="14" t="s">
        <v>1985</v>
      </c>
      <c r="B3367" s="14" t="s">
        <v>427</v>
      </c>
      <c r="C3367" s="14"/>
      <c r="D3367" s="14" t="s">
        <v>512</v>
      </c>
      <c r="E3367" s="15">
        <v>41640</v>
      </c>
      <c r="F3367" s="15">
        <v>42004</v>
      </c>
      <c r="G3367" s="14" t="s">
        <v>415</v>
      </c>
      <c r="H3367" s="14">
        <v>0.15</v>
      </c>
      <c r="I3367" s="14">
        <v>0.15</v>
      </c>
      <c r="J3367" s="14">
        <v>0.15</v>
      </c>
      <c r="K3367" s="14">
        <v>0.15</v>
      </c>
      <c r="L3367" s="14">
        <v>0.15</v>
      </c>
      <c r="M3367" s="14">
        <v>0.15</v>
      </c>
      <c r="N3367" s="14">
        <v>0.15</v>
      </c>
      <c r="O3367" s="14">
        <v>0.3</v>
      </c>
      <c r="P3367" s="14">
        <v>0.5</v>
      </c>
      <c r="Q3367" s="14">
        <v>0.8</v>
      </c>
      <c r="R3367" s="14">
        <v>0.9</v>
      </c>
      <c r="S3367" s="14">
        <v>0.9</v>
      </c>
      <c r="T3367" s="14">
        <v>0.9</v>
      </c>
      <c r="U3367" s="14">
        <v>0.9</v>
      </c>
      <c r="V3367" s="14">
        <v>0.9</v>
      </c>
      <c r="W3367" s="14">
        <v>0.9</v>
      </c>
      <c r="X3367" s="14">
        <v>0.9</v>
      </c>
      <c r="Y3367" s="14">
        <v>0.9</v>
      </c>
      <c r="Z3367" s="14">
        <v>0.7</v>
      </c>
      <c r="AA3367" s="14">
        <v>0.5</v>
      </c>
      <c r="AB3367" s="14">
        <v>0.5</v>
      </c>
      <c r="AC3367" s="14">
        <v>0.3</v>
      </c>
      <c r="AD3367" s="14">
        <v>0.15</v>
      </c>
      <c r="AE3367" s="14">
        <v>0.15</v>
      </c>
      <c r="AF3367" s="14" t="s">
        <v>411</v>
      </c>
    </row>
    <row r="3368" spans="1:32" ht="14.25" customHeight="1" x14ac:dyDescent="0.35">
      <c r="A3368" s="14" t="s">
        <v>1985</v>
      </c>
      <c r="B3368" s="14" t="s">
        <v>427</v>
      </c>
      <c r="C3368" s="14"/>
      <c r="D3368" s="14" t="s">
        <v>419</v>
      </c>
      <c r="E3368" s="15">
        <v>41640</v>
      </c>
      <c r="F3368" s="15">
        <v>42004</v>
      </c>
      <c r="G3368" s="14" t="s">
        <v>410</v>
      </c>
      <c r="H3368" s="14">
        <v>1</v>
      </c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  <c r="U3368" s="14"/>
      <c r="V3368" s="14"/>
      <c r="W3368" s="14"/>
      <c r="X3368" s="14"/>
      <c r="Y3368" s="14"/>
      <c r="Z3368" s="14"/>
      <c r="AA3368" s="14"/>
      <c r="AB3368" s="14"/>
      <c r="AC3368" s="14"/>
      <c r="AD3368" s="14"/>
      <c r="AE3368" s="14"/>
      <c r="AF3368" s="14" t="s">
        <v>411</v>
      </c>
    </row>
    <row r="3369" spans="1:32" ht="14.25" customHeight="1" x14ac:dyDescent="0.35">
      <c r="A3369" s="16" t="s">
        <v>1985</v>
      </c>
      <c r="B3369" s="16" t="s">
        <v>427</v>
      </c>
      <c r="C3369" s="16"/>
      <c r="D3369" s="16" t="s">
        <v>511</v>
      </c>
      <c r="E3369" s="17">
        <v>41640</v>
      </c>
      <c r="F3369" s="17">
        <v>42004</v>
      </c>
      <c r="G3369" s="16" t="s">
        <v>415</v>
      </c>
      <c r="H3369" s="16">
        <v>0.15</v>
      </c>
      <c r="I3369" s="16">
        <v>0.15</v>
      </c>
      <c r="J3369" s="16">
        <v>0.15</v>
      </c>
      <c r="K3369" s="16">
        <v>0.15</v>
      </c>
      <c r="L3369" s="16">
        <v>0.15</v>
      </c>
      <c r="M3369" s="16">
        <v>0.15</v>
      </c>
      <c r="N3369" s="16">
        <v>0.15</v>
      </c>
      <c r="O3369" s="16">
        <v>0.15</v>
      </c>
      <c r="P3369" s="16">
        <v>0.3</v>
      </c>
      <c r="Q3369" s="16">
        <v>0.3</v>
      </c>
      <c r="R3369" s="16">
        <v>0.6</v>
      </c>
      <c r="S3369" s="16">
        <v>0.6</v>
      </c>
      <c r="T3369" s="16">
        <v>0.8</v>
      </c>
      <c r="U3369" s="16">
        <v>0.8</v>
      </c>
      <c r="V3369" s="16">
        <v>0.8</v>
      </c>
      <c r="W3369" s="16">
        <v>0.8</v>
      </c>
      <c r="X3369" s="16">
        <v>0.8</v>
      </c>
      <c r="Y3369" s="16">
        <v>0.6</v>
      </c>
      <c r="Z3369" s="16">
        <v>0.4</v>
      </c>
      <c r="AA3369" s="16">
        <v>0.15</v>
      </c>
      <c r="AB3369" s="16">
        <v>0.15</v>
      </c>
      <c r="AC3369" s="16">
        <v>0.15</v>
      </c>
      <c r="AD3369" s="16">
        <v>0.15</v>
      </c>
      <c r="AE3369" s="16">
        <v>0.15</v>
      </c>
      <c r="AF3369" s="16" t="s">
        <v>411</v>
      </c>
    </row>
    <row r="3370" spans="1:32" ht="14.25" customHeight="1" x14ac:dyDescent="0.35">
      <c r="A3370" s="16" t="s">
        <v>1985</v>
      </c>
      <c r="B3370" s="16" t="s">
        <v>427</v>
      </c>
      <c r="C3370" s="16"/>
      <c r="D3370" s="16" t="s">
        <v>418</v>
      </c>
      <c r="E3370" s="17">
        <v>41640</v>
      </c>
      <c r="F3370" s="17">
        <v>42004</v>
      </c>
      <c r="G3370" s="16" t="s">
        <v>410</v>
      </c>
      <c r="H3370" s="16">
        <v>0</v>
      </c>
      <c r="I3370" s="16"/>
      <c r="J3370" s="16"/>
      <c r="K3370" s="16"/>
      <c r="L3370" s="16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/>
      <c r="AB3370" s="16"/>
      <c r="AC3370" s="16"/>
      <c r="AD3370" s="16"/>
      <c r="AE3370" s="16"/>
      <c r="AF3370" s="16" t="s">
        <v>411</v>
      </c>
    </row>
    <row r="3371" spans="1:32" ht="14.25" customHeight="1" x14ac:dyDescent="0.35">
      <c r="A3371" s="16" t="s">
        <v>1986</v>
      </c>
      <c r="B3371" s="16" t="s">
        <v>424</v>
      </c>
      <c r="C3371" s="16"/>
      <c r="D3371" s="16" t="s">
        <v>417</v>
      </c>
      <c r="E3371" s="17">
        <v>41640</v>
      </c>
      <c r="F3371" s="17">
        <v>42004</v>
      </c>
      <c r="G3371" s="16" t="s">
        <v>415</v>
      </c>
      <c r="H3371" s="16">
        <v>0.05</v>
      </c>
      <c r="I3371" s="16">
        <v>0.05</v>
      </c>
      <c r="J3371" s="16">
        <v>0.05</v>
      </c>
      <c r="K3371" s="16">
        <v>0.05</v>
      </c>
      <c r="L3371" s="16">
        <v>0.05</v>
      </c>
      <c r="M3371" s="16">
        <v>0.05</v>
      </c>
      <c r="N3371" s="16">
        <v>0.05</v>
      </c>
      <c r="O3371" s="16">
        <v>0.2</v>
      </c>
      <c r="P3371" s="16">
        <v>0.5</v>
      </c>
      <c r="Q3371" s="16">
        <v>0.9</v>
      </c>
      <c r="R3371" s="16">
        <v>0.9</v>
      </c>
      <c r="S3371" s="16">
        <v>0.9</v>
      </c>
      <c r="T3371" s="16">
        <v>0.9</v>
      </c>
      <c r="U3371" s="16">
        <v>0.9</v>
      </c>
      <c r="V3371" s="16">
        <v>0.9</v>
      </c>
      <c r="W3371" s="16">
        <v>0.9</v>
      </c>
      <c r="X3371" s="16">
        <v>0.9</v>
      </c>
      <c r="Y3371" s="16">
        <v>0.9</v>
      </c>
      <c r="Z3371" s="16">
        <v>0.6</v>
      </c>
      <c r="AA3371" s="16">
        <v>0.6</v>
      </c>
      <c r="AB3371" s="16">
        <v>0.5</v>
      </c>
      <c r="AC3371" s="16">
        <v>0.2</v>
      </c>
      <c r="AD3371" s="16">
        <v>0.05</v>
      </c>
      <c r="AE3371" s="16">
        <v>0.05</v>
      </c>
      <c r="AF3371" s="16" t="s">
        <v>411</v>
      </c>
    </row>
    <row r="3372" spans="1:32" ht="14.25" customHeight="1" x14ac:dyDescent="0.35">
      <c r="A3372" s="16" t="s">
        <v>1986</v>
      </c>
      <c r="B3372" s="16" t="s">
        <v>424</v>
      </c>
      <c r="C3372" s="16"/>
      <c r="D3372" s="16" t="s">
        <v>512</v>
      </c>
      <c r="E3372" s="17">
        <v>41640</v>
      </c>
      <c r="F3372" s="17">
        <v>42004</v>
      </c>
      <c r="G3372" s="16" t="s">
        <v>415</v>
      </c>
      <c r="H3372" s="16">
        <v>0.05</v>
      </c>
      <c r="I3372" s="16">
        <v>0.05</v>
      </c>
      <c r="J3372" s="16">
        <v>0.05</v>
      </c>
      <c r="K3372" s="16">
        <v>0.05</v>
      </c>
      <c r="L3372" s="16">
        <v>0.05</v>
      </c>
      <c r="M3372" s="16">
        <v>0.05</v>
      </c>
      <c r="N3372" s="16">
        <v>0.05</v>
      </c>
      <c r="O3372" s="16">
        <v>0.1</v>
      </c>
      <c r="P3372" s="16">
        <v>0.3</v>
      </c>
      <c r="Q3372" s="16">
        <v>0.6</v>
      </c>
      <c r="R3372" s="16">
        <v>0.9</v>
      </c>
      <c r="S3372" s="16">
        <v>0.9</v>
      </c>
      <c r="T3372" s="16">
        <v>0.9</v>
      </c>
      <c r="U3372" s="16">
        <v>0.9</v>
      </c>
      <c r="V3372" s="16">
        <v>0.9</v>
      </c>
      <c r="W3372" s="16">
        <v>0.9</v>
      </c>
      <c r="X3372" s="16">
        <v>0.9</v>
      </c>
      <c r="Y3372" s="16">
        <v>0.9</v>
      </c>
      <c r="Z3372" s="16">
        <v>0.5</v>
      </c>
      <c r="AA3372" s="16">
        <v>0.3</v>
      </c>
      <c r="AB3372" s="16">
        <v>0.3</v>
      </c>
      <c r="AC3372" s="16">
        <v>0.1</v>
      </c>
      <c r="AD3372" s="16">
        <v>0.05</v>
      </c>
      <c r="AE3372" s="16">
        <v>0.05</v>
      </c>
      <c r="AF3372" s="16" t="s">
        <v>411</v>
      </c>
    </row>
    <row r="3373" spans="1:32" ht="14.25" customHeight="1" x14ac:dyDescent="0.35">
      <c r="A3373" s="16" t="s">
        <v>1986</v>
      </c>
      <c r="B3373" s="16" t="s">
        <v>424</v>
      </c>
      <c r="C3373" s="16"/>
      <c r="D3373" s="16" t="s">
        <v>419</v>
      </c>
      <c r="E3373" s="17">
        <v>41640</v>
      </c>
      <c r="F3373" s="17">
        <v>42004</v>
      </c>
      <c r="G3373" s="16" t="s">
        <v>410</v>
      </c>
      <c r="H3373" s="16">
        <v>1</v>
      </c>
      <c r="I3373" s="16"/>
      <c r="J3373" s="16"/>
      <c r="K3373" s="16"/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16"/>
      <c r="AA3373" s="16"/>
      <c r="AB3373" s="16"/>
      <c r="AC3373" s="16"/>
      <c r="AD3373" s="16"/>
      <c r="AE3373" s="16"/>
      <c r="AF3373" s="16" t="s">
        <v>411</v>
      </c>
    </row>
    <row r="3374" spans="1:32" ht="14.25" customHeight="1" x14ac:dyDescent="0.35">
      <c r="A3374" s="14" t="s">
        <v>1986</v>
      </c>
      <c r="B3374" s="14" t="s">
        <v>424</v>
      </c>
      <c r="C3374" s="14"/>
      <c r="D3374" s="14" t="s">
        <v>511</v>
      </c>
      <c r="E3374" s="15">
        <v>41640</v>
      </c>
      <c r="F3374" s="15">
        <v>42004</v>
      </c>
      <c r="G3374" s="14" t="s">
        <v>415</v>
      </c>
      <c r="H3374" s="14">
        <v>0.05</v>
      </c>
      <c r="I3374" s="14">
        <v>0.05</v>
      </c>
      <c r="J3374" s="14">
        <v>0.05</v>
      </c>
      <c r="K3374" s="14">
        <v>0.05</v>
      </c>
      <c r="L3374" s="14">
        <v>0.05</v>
      </c>
      <c r="M3374" s="14">
        <v>0.05</v>
      </c>
      <c r="N3374" s="14">
        <v>0.05</v>
      </c>
      <c r="O3374" s="14">
        <v>0.05</v>
      </c>
      <c r="P3374" s="14">
        <v>0.1</v>
      </c>
      <c r="Q3374" s="14">
        <v>0.1</v>
      </c>
      <c r="R3374" s="14">
        <v>0.4</v>
      </c>
      <c r="S3374" s="14">
        <v>0.4</v>
      </c>
      <c r="T3374" s="14">
        <v>0.6</v>
      </c>
      <c r="U3374" s="14">
        <v>0.6</v>
      </c>
      <c r="V3374" s="14">
        <v>0.6</v>
      </c>
      <c r="W3374" s="14">
        <v>0.6</v>
      </c>
      <c r="X3374" s="14">
        <v>0.6</v>
      </c>
      <c r="Y3374" s="14">
        <v>0.4</v>
      </c>
      <c r="Z3374" s="14">
        <v>0.2</v>
      </c>
      <c r="AA3374" s="14">
        <v>0.05</v>
      </c>
      <c r="AB3374" s="14">
        <v>0.05</v>
      </c>
      <c r="AC3374" s="14">
        <v>0.05</v>
      </c>
      <c r="AD3374" s="14">
        <v>0.05</v>
      </c>
      <c r="AE3374" s="14">
        <v>0.05</v>
      </c>
      <c r="AF3374" s="14" t="s">
        <v>411</v>
      </c>
    </row>
    <row r="3375" spans="1:32" ht="14.25" customHeight="1" x14ac:dyDescent="0.35">
      <c r="A3375" s="14" t="s">
        <v>1986</v>
      </c>
      <c r="B3375" s="14" t="s">
        <v>424</v>
      </c>
      <c r="C3375" s="14"/>
      <c r="D3375" s="14" t="s">
        <v>418</v>
      </c>
      <c r="E3375" s="15">
        <v>41640</v>
      </c>
      <c r="F3375" s="15">
        <v>42004</v>
      </c>
      <c r="G3375" s="14" t="s">
        <v>410</v>
      </c>
      <c r="H3375" s="14">
        <v>0</v>
      </c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S3375" s="14"/>
      <c r="T3375" s="14"/>
      <c r="U3375" s="14"/>
      <c r="V3375" s="14"/>
      <c r="W3375" s="14"/>
      <c r="X3375" s="14"/>
      <c r="Y3375" s="14"/>
      <c r="Z3375" s="14"/>
      <c r="AA3375" s="14"/>
      <c r="AB3375" s="14"/>
      <c r="AC3375" s="14"/>
      <c r="AD3375" s="14"/>
      <c r="AE3375" s="14"/>
      <c r="AF3375" s="14" t="s">
        <v>411</v>
      </c>
    </row>
    <row r="3376" spans="1:32" ht="14.25" customHeight="1" x14ac:dyDescent="0.35">
      <c r="A3376" s="14" t="s">
        <v>1987</v>
      </c>
      <c r="B3376" s="14" t="s">
        <v>448</v>
      </c>
      <c r="C3376" s="14"/>
      <c r="D3376" s="14" t="s">
        <v>417</v>
      </c>
      <c r="E3376" s="15">
        <v>41640</v>
      </c>
      <c r="F3376" s="15">
        <v>42004</v>
      </c>
      <c r="G3376" s="14" t="s">
        <v>415</v>
      </c>
      <c r="H3376" s="14">
        <v>0</v>
      </c>
      <c r="I3376" s="14">
        <v>0</v>
      </c>
      <c r="J3376" s="14">
        <v>0</v>
      </c>
      <c r="K3376" s="14">
        <v>0</v>
      </c>
      <c r="L3376" s="14">
        <v>0</v>
      </c>
      <c r="M3376" s="14">
        <v>0</v>
      </c>
      <c r="N3376" s="14">
        <v>0</v>
      </c>
      <c r="O3376" s="14">
        <v>0.1</v>
      </c>
      <c r="P3376" s="14">
        <v>0.2</v>
      </c>
      <c r="Q3376" s="14">
        <v>0.5</v>
      </c>
      <c r="R3376" s="14">
        <v>0.5</v>
      </c>
      <c r="S3376" s="14">
        <v>0.7</v>
      </c>
      <c r="T3376" s="14">
        <v>0.7</v>
      </c>
      <c r="U3376" s="14">
        <v>0.7</v>
      </c>
      <c r="V3376" s="14">
        <v>0.7</v>
      </c>
      <c r="W3376" s="14">
        <v>0.8</v>
      </c>
      <c r="X3376" s="14">
        <v>0.7</v>
      </c>
      <c r="Y3376" s="14">
        <v>0.5</v>
      </c>
      <c r="Z3376" s="14">
        <v>0.5</v>
      </c>
      <c r="AA3376" s="14">
        <v>0.3</v>
      </c>
      <c r="AB3376" s="14">
        <v>0.3</v>
      </c>
      <c r="AC3376" s="14">
        <v>0</v>
      </c>
      <c r="AD3376" s="14">
        <v>0</v>
      </c>
      <c r="AE3376" s="14">
        <v>0</v>
      </c>
      <c r="AF3376" s="14" t="s">
        <v>411</v>
      </c>
    </row>
    <row r="3377" spans="1:32" ht="14.25" customHeight="1" x14ac:dyDescent="0.35">
      <c r="A3377" s="16" t="s">
        <v>1987</v>
      </c>
      <c r="B3377" s="16" t="s">
        <v>448</v>
      </c>
      <c r="C3377" s="16"/>
      <c r="D3377" s="16" t="s">
        <v>512</v>
      </c>
      <c r="E3377" s="17">
        <v>41640</v>
      </c>
      <c r="F3377" s="17">
        <v>42004</v>
      </c>
      <c r="G3377" s="16" t="s">
        <v>415</v>
      </c>
      <c r="H3377" s="16">
        <v>0</v>
      </c>
      <c r="I3377" s="16">
        <v>0</v>
      </c>
      <c r="J3377" s="16">
        <v>0</v>
      </c>
      <c r="K3377" s="16">
        <v>0</v>
      </c>
      <c r="L3377" s="16">
        <v>0</v>
      </c>
      <c r="M3377" s="16">
        <v>0</v>
      </c>
      <c r="N3377" s="16">
        <v>0</v>
      </c>
      <c r="O3377" s="16">
        <v>0.1</v>
      </c>
      <c r="P3377" s="16">
        <v>0.2</v>
      </c>
      <c r="Q3377" s="16">
        <v>0.5</v>
      </c>
      <c r="R3377" s="16">
        <v>0.6</v>
      </c>
      <c r="S3377" s="16">
        <v>0.8</v>
      </c>
      <c r="T3377" s="16">
        <v>0.8</v>
      </c>
      <c r="U3377" s="16">
        <v>0.8</v>
      </c>
      <c r="V3377" s="16">
        <v>0.8</v>
      </c>
      <c r="W3377" s="16">
        <v>0.8</v>
      </c>
      <c r="X3377" s="16">
        <v>0.8</v>
      </c>
      <c r="Y3377" s="16">
        <v>0.6</v>
      </c>
      <c r="Z3377" s="16">
        <v>0.2</v>
      </c>
      <c r="AA3377" s="16">
        <v>0.2</v>
      </c>
      <c r="AB3377" s="16">
        <v>0.2</v>
      </c>
      <c r="AC3377" s="16">
        <v>0.1</v>
      </c>
      <c r="AD3377" s="16">
        <v>0</v>
      </c>
      <c r="AE3377" s="16">
        <v>0</v>
      </c>
      <c r="AF3377" s="16" t="s">
        <v>411</v>
      </c>
    </row>
    <row r="3378" spans="1:32" ht="14.25" customHeight="1" x14ac:dyDescent="0.35">
      <c r="A3378" s="14" t="s">
        <v>1987</v>
      </c>
      <c r="B3378" s="14" t="s">
        <v>448</v>
      </c>
      <c r="C3378" s="14"/>
      <c r="D3378" s="14" t="s">
        <v>511</v>
      </c>
      <c r="E3378" s="15">
        <v>41640</v>
      </c>
      <c r="F3378" s="15">
        <v>42004</v>
      </c>
      <c r="G3378" s="14" t="s">
        <v>415</v>
      </c>
      <c r="H3378" s="14">
        <v>0</v>
      </c>
      <c r="I3378" s="14">
        <v>0</v>
      </c>
      <c r="J3378" s="14">
        <v>0</v>
      </c>
      <c r="K3378" s="14">
        <v>0</v>
      </c>
      <c r="L3378" s="14">
        <v>0</v>
      </c>
      <c r="M3378" s="14">
        <v>0</v>
      </c>
      <c r="N3378" s="14">
        <v>0</v>
      </c>
      <c r="O3378" s="14">
        <v>0</v>
      </c>
      <c r="P3378" s="14">
        <v>0</v>
      </c>
      <c r="Q3378" s="14">
        <v>0.1</v>
      </c>
      <c r="R3378" s="14">
        <v>0.2</v>
      </c>
      <c r="S3378" s="14">
        <v>0.2</v>
      </c>
      <c r="T3378" s="14">
        <v>0.4</v>
      </c>
      <c r="U3378" s="14">
        <v>0.4</v>
      </c>
      <c r="V3378" s="14">
        <v>0.4</v>
      </c>
      <c r="W3378" s="14">
        <v>0.4</v>
      </c>
      <c r="X3378" s="14">
        <v>0.4</v>
      </c>
      <c r="Y3378" s="14">
        <v>0.2</v>
      </c>
      <c r="Z3378" s="14">
        <v>0.1</v>
      </c>
      <c r="AA3378" s="14">
        <v>0</v>
      </c>
      <c r="AB3378" s="14">
        <v>0</v>
      </c>
      <c r="AC3378" s="14">
        <v>0</v>
      </c>
      <c r="AD3378" s="14">
        <v>0</v>
      </c>
      <c r="AE3378" s="14">
        <v>0</v>
      </c>
      <c r="AF3378" s="14" t="s">
        <v>411</v>
      </c>
    </row>
    <row r="3379" spans="1:32" ht="14.25" customHeight="1" x14ac:dyDescent="0.35">
      <c r="A3379" s="16" t="s">
        <v>1987</v>
      </c>
      <c r="B3379" s="16" t="s">
        <v>448</v>
      </c>
      <c r="C3379" s="16"/>
      <c r="D3379" s="16" t="s">
        <v>421</v>
      </c>
      <c r="E3379" s="17">
        <v>41640</v>
      </c>
      <c r="F3379" s="17">
        <v>42004</v>
      </c>
      <c r="G3379" s="16" t="s">
        <v>410</v>
      </c>
      <c r="H3379" s="16">
        <v>1</v>
      </c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6"/>
      <c r="AA3379" s="16"/>
      <c r="AB3379" s="16"/>
      <c r="AC3379" s="16"/>
      <c r="AD3379" s="16"/>
      <c r="AE3379" s="16"/>
      <c r="AF3379" s="16" t="s">
        <v>411</v>
      </c>
    </row>
    <row r="3380" spans="1:32" ht="14.25" customHeight="1" x14ac:dyDescent="0.35">
      <c r="A3380" s="14" t="s">
        <v>1988</v>
      </c>
      <c r="B3380" s="14" t="s">
        <v>420</v>
      </c>
      <c r="C3380" s="14" t="s">
        <v>414</v>
      </c>
      <c r="D3380" s="14" t="s">
        <v>453</v>
      </c>
      <c r="E3380" s="15">
        <v>41640</v>
      </c>
      <c r="F3380" s="15">
        <v>42004</v>
      </c>
      <c r="G3380" s="14" t="s">
        <v>415</v>
      </c>
      <c r="H3380" s="14">
        <v>30</v>
      </c>
      <c r="I3380" s="14">
        <v>30</v>
      </c>
      <c r="J3380" s="14">
        <v>30</v>
      </c>
      <c r="K3380" s="14">
        <v>30</v>
      </c>
      <c r="L3380" s="14">
        <v>30</v>
      </c>
      <c r="M3380" s="14">
        <v>30</v>
      </c>
      <c r="N3380" s="14">
        <v>24</v>
      </c>
      <c r="O3380" s="14">
        <v>24</v>
      </c>
      <c r="P3380" s="14">
        <v>24</v>
      </c>
      <c r="Q3380" s="14">
        <v>24</v>
      </c>
      <c r="R3380" s="14">
        <v>24</v>
      </c>
      <c r="S3380" s="14">
        <v>24</v>
      </c>
      <c r="T3380" s="14">
        <v>24</v>
      </c>
      <c r="U3380" s="14">
        <v>24</v>
      </c>
      <c r="V3380" s="14">
        <v>24</v>
      </c>
      <c r="W3380" s="14">
        <v>24</v>
      </c>
      <c r="X3380" s="14">
        <v>24</v>
      </c>
      <c r="Y3380" s="14">
        <v>24</v>
      </c>
      <c r="Z3380" s="14">
        <v>24</v>
      </c>
      <c r="AA3380" s="14">
        <v>24</v>
      </c>
      <c r="AB3380" s="14">
        <v>24</v>
      </c>
      <c r="AC3380" s="14">
        <v>30</v>
      </c>
      <c r="AD3380" s="14">
        <v>30</v>
      </c>
      <c r="AE3380" s="14">
        <v>30</v>
      </c>
      <c r="AF3380" s="14" t="s">
        <v>411</v>
      </c>
    </row>
    <row r="3381" spans="1:32" ht="14.25" customHeight="1" x14ac:dyDescent="0.35">
      <c r="A3381" s="16" t="s">
        <v>1988</v>
      </c>
      <c r="B3381" s="16" t="s">
        <v>420</v>
      </c>
      <c r="C3381" s="16" t="s">
        <v>414</v>
      </c>
      <c r="D3381" s="16" t="s">
        <v>512</v>
      </c>
      <c r="E3381" s="17">
        <v>41640</v>
      </c>
      <c r="F3381" s="17">
        <v>42004</v>
      </c>
      <c r="G3381" s="16" t="s">
        <v>415</v>
      </c>
      <c r="H3381" s="16">
        <v>30</v>
      </c>
      <c r="I3381" s="16">
        <v>30</v>
      </c>
      <c r="J3381" s="16">
        <v>30</v>
      </c>
      <c r="K3381" s="16">
        <v>30</v>
      </c>
      <c r="L3381" s="16">
        <v>30</v>
      </c>
      <c r="M3381" s="16">
        <v>30</v>
      </c>
      <c r="N3381" s="16">
        <v>24</v>
      </c>
      <c r="O3381" s="16">
        <v>24</v>
      </c>
      <c r="P3381" s="16">
        <v>24</v>
      </c>
      <c r="Q3381" s="16">
        <v>24</v>
      </c>
      <c r="R3381" s="16">
        <v>24</v>
      </c>
      <c r="S3381" s="16">
        <v>24</v>
      </c>
      <c r="T3381" s="16">
        <v>24</v>
      </c>
      <c r="U3381" s="16">
        <v>24</v>
      </c>
      <c r="V3381" s="16">
        <v>24</v>
      </c>
      <c r="W3381" s="16">
        <v>24</v>
      </c>
      <c r="X3381" s="16">
        <v>24</v>
      </c>
      <c r="Y3381" s="16">
        <v>24</v>
      </c>
      <c r="Z3381" s="16">
        <v>24</v>
      </c>
      <c r="AA3381" s="16">
        <v>24</v>
      </c>
      <c r="AB3381" s="16">
        <v>24</v>
      </c>
      <c r="AC3381" s="16">
        <v>24</v>
      </c>
      <c r="AD3381" s="16">
        <v>30</v>
      </c>
      <c r="AE3381" s="16">
        <v>30</v>
      </c>
      <c r="AF3381" s="16" t="s">
        <v>411</v>
      </c>
    </row>
    <row r="3382" spans="1:32" ht="14.25" customHeight="1" x14ac:dyDescent="0.35">
      <c r="A3382" s="14" t="s">
        <v>1988</v>
      </c>
      <c r="B3382" s="14" t="s">
        <v>420</v>
      </c>
      <c r="C3382" s="14" t="s">
        <v>414</v>
      </c>
      <c r="D3382" s="14" t="s">
        <v>511</v>
      </c>
      <c r="E3382" s="15">
        <v>41640</v>
      </c>
      <c r="F3382" s="15">
        <v>42004</v>
      </c>
      <c r="G3382" s="14" t="s">
        <v>415</v>
      </c>
      <c r="H3382" s="14">
        <v>30</v>
      </c>
      <c r="I3382" s="14">
        <v>30</v>
      </c>
      <c r="J3382" s="14">
        <v>30</v>
      </c>
      <c r="K3382" s="14">
        <v>30</v>
      </c>
      <c r="L3382" s="14">
        <v>30</v>
      </c>
      <c r="M3382" s="14">
        <v>30</v>
      </c>
      <c r="N3382" s="14">
        <v>30</v>
      </c>
      <c r="O3382" s="14">
        <v>30</v>
      </c>
      <c r="P3382" s="14">
        <v>24</v>
      </c>
      <c r="Q3382" s="14">
        <v>24</v>
      </c>
      <c r="R3382" s="14">
        <v>24</v>
      </c>
      <c r="S3382" s="14">
        <v>24</v>
      </c>
      <c r="T3382" s="14">
        <v>24</v>
      </c>
      <c r="U3382" s="14">
        <v>24</v>
      </c>
      <c r="V3382" s="14">
        <v>24</v>
      </c>
      <c r="W3382" s="14">
        <v>24</v>
      </c>
      <c r="X3382" s="14">
        <v>24</v>
      </c>
      <c r="Y3382" s="14">
        <v>24</v>
      </c>
      <c r="Z3382" s="14">
        <v>24</v>
      </c>
      <c r="AA3382" s="14">
        <v>30</v>
      </c>
      <c r="AB3382" s="14">
        <v>30</v>
      </c>
      <c r="AC3382" s="14">
        <v>30</v>
      </c>
      <c r="AD3382" s="14">
        <v>30</v>
      </c>
      <c r="AE3382" s="14">
        <v>30</v>
      </c>
      <c r="AF3382" s="14" t="s">
        <v>411</v>
      </c>
    </row>
    <row r="3383" spans="1:32" ht="14.25" customHeight="1" x14ac:dyDescent="0.35">
      <c r="A3383" s="16" t="s">
        <v>1988</v>
      </c>
      <c r="B3383" s="16" t="s">
        <v>420</v>
      </c>
      <c r="C3383" s="16" t="s">
        <v>414</v>
      </c>
      <c r="D3383" s="16" t="s">
        <v>418</v>
      </c>
      <c r="E3383" s="17">
        <v>41640</v>
      </c>
      <c r="F3383" s="17">
        <v>42004</v>
      </c>
      <c r="G3383" s="16" t="s">
        <v>410</v>
      </c>
      <c r="H3383" s="16">
        <v>30</v>
      </c>
      <c r="I3383" s="16"/>
      <c r="J3383" s="16"/>
      <c r="K3383" s="16"/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16"/>
      <c r="AA3383" s="16"/>
      <c r="AB3383" s="16"/>
      <c r="AC3383" s="16"/>
      <c r="AD3383" s="16"/>
      <c r="AE3383" s="16"/>
      <c r="AF3383" s="16" t="s">
        <v>411</v>
      </c>
    </row>
    <row r="3384" spans="1:32" ht="14.25" customHeight="1" x14ac:dyDescent="0.35">
      <c r="A3384" s="14" t="s">
        <v>1989</v>
      </c>
      <c r="B3384" s="14" t="s">
        <v>518</v>
      </c>
      <c r="C3384" s="14"/>
      <c r="D3384" s="14" t="s">
        <v>476</v>
      </c>
      <c r="E3384" s="15">
        <v>41640</v>
      </c>
      <c r="F3384" s="15">
        <v>42004</v>
      </c>
      <c r="G3384" s="14" t="s">
        <v>410</v>
      </c>
      <c r="H3384" s="14">
        <v>1</v>
      </c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  <c r="U3384" s="14"/>
      <c r="V3384" s="14"/>
      <c r="W3384" s="14"/>
      <c r="X3384" s="14"/>
      <c r="Y3384" s="14"/>
      <c r="Z3384" s="14"/>
      <c r="AA3384" s="14"/>
      <c r="AB3384" s="14"/>
      <c r="AC3384" s="14"/>
      <c r="AD3384" s="14"/>
      <c r="AE3384" s="14"/>
      <c r="AF3384" s="14" t="s">
        <v>411</v>
      </c>
    </row>
    <row r="3385" spans="1:32" ht="14.25" customHeight="1" x14ac:dyDescent="0.35">
      <c r="A3385" s="16" t="s">
        <v>1989</v>
      </c>
      <c r="B3385" s="16" t="s">
        <v>518</v>
      </c>
      <c r="C3385" s="16"/>
      <c r="D3385" s="16" t="s">
        <v>419</v>
      </c>
      <c r="E3385" s="17">
        <v>41640</v>
      </c>
      <c r="F3385" s="17">
        <v>42004</v>
      </c>
      <c r="G3385" s="16" t="s">
        <v>410</v>
      </c>
      <c r="H3385" s="16">
        <v>0.5</v>
      </c>
      <c r="I3385" s="16"/>
      <c r="J3385" s="16"/>
      <c r="K3385" s="16"/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 t="s">
        <v>411</v>
      </c>
    </row>
    <row r="3386" spans="1:32" ht="14.25" customHeight="1" x14ac:dyDescent="0.35">
      <c r="A3386" s="14" t="s">
        <v>1989</v>
      </c>
      <c r="B3386" s="14" t="s">
        <v>518</v>
      </c>
      <c r="C3386" s="14"/>
      <c r="D3386" s="14" t="s">
        <v>454</v>
      </c>
      <c r="E3386" s="15">
        <v>41913</v>
      </c>
      <c r="F3386" s="15">
        <v>42004</v>
      </c>
      <c r="G3386" s="14" t="s">
        <v>410</v>
      </c>
      <c r="H3386" s="14">
        <v>1</v>
      </c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  <c r="U3386" s="14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 t="s">
        <v>411</v>
      </c>
    </row>
    <row r="3387" spans="1:32" ht="14.25" customHeight="1" x14ac:dyDescent="0.35">
      <c r="A3387" s="16" t="s">
        <v>1989</v>
      </c>
      <c r="B3387" s="16" t="s">
        <v>518</v>
      </c>
      <c r="C3387" s="16"/>
      <c r="D3387" s="16" t="s">
        <v>454</v>
      </c>
      <c r="E3387" s="17">
        <v>41760</v>
      </c>
      <c r="F3387" s="17">
        <v>41912</v>
      </c>
      <c r="G3387" s="16" t="s">
        <v>410</v>
      </c>
      <c r="H3387" s="16">
        <v>0.5</v>
      </c>
      <c r="I3387" s="16"/>
      <c r="J3387" s="16"/>
      <c r="K3387" s="16"/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16"/>
      <c r="AA3387" s="16"/>
      <c r="AB3387" s="16"/>
      <c r="AC3387" s="16"/>
      <c r="AD3387" s="16"/>
      <c r="AE3387" s="16"/>
      <c r="AF3387" s="16" t="s">
        <v>411</v>
      </c>
    </row>
    <row r="3388" spans="1:32" ht="14.25" customHeight="1" x14ac:dyDescent="0.35">
      <c r="A3388" s="14" t="s">
        <v>1990</v>
      </c>
      <c r="B3388" s="14" t="s">
        <v>420</v>
      </c>
      <c r="C3388" s="14" t="s">
        <v>414</v>
      </c>
      <c r="D3388" s="14" t="s">
        <v>417</v>
      </c>
      <c r="E3388" s="15">
        <v>41640</v>
      </c>
      <c r="F3388" s="15">
        <v>42004</v>
      </c>
      <c r="G3388" s="14" t="s">
        <v>415</v>
      </c>
      <c r="H3388" s="14">
        <v>15.6</v>
      </c>
      <c r="I3388" s="14">
        <v>15.6</v>
      </c>
      <c r="J3388" s="14">
        <v>15.6</v>
      </c>
      <c r="K3388" s="14">
        <v>15.6</v>
      </c>
      <c r="L3388" s="14">
        <v>15.6</v>
      </c>
      <c r="M3388" s="14">
        <v>15.6</v>
      </c>
      <c r="N3388" s="14">
        <v>21</v>
      </c>
      <c r="O3388" s="14">
        <v>21</v>
      </c>
      <c r="P3388" s="14">
        <v>21</v>
      </c>
      <c r="Q3388" s="14">
        <v>21</v>
      </c>
      <c r="R3388" s="14">
        <v>21</v>
      </c>
      <c r="S3388" s="14">
        <v>21</v>
      </c>
      <c r="T3388" s="14">
        <v>21</v>
      </c>
      <c r="U3388" s="14">
        <v>21</v>
      </c>
      <c r="V3388" s="14">
        <v>21</v>
      </c>
      <c r="W3388" s="14">
        <v>21</v>
      </c>
      <c r="X3388" s="14">
        <v>21</v>
      </c>
      <c r="Y3388" s="14">
        <v>21</v>
      </c>
      <c r="Z3388" s="14">
        <v>21</v>
      </c>
      <c r="AA3388" s="14">
        <v>21</v>
      </c>
      <c r="AB3388" s="14">
        <v>21</v>
      </c>
      <c r="AC3388" s="14">
        <v>15.6</v>
      </c>
      <c r="AD3388" s="14">
        <v>15.6</v>
      </c>
      <c r="AE3388" s="14">
        <v>15.6</v>
      </c>
      <c r="AF3388" s="14" t="s">
        <v>411</v>
      </c>
    </row>
    <row r="3389" spans="1:32" ht="14.25" customHeight="1" x14ac:dyDescent="0.35">
      <c r="A3389" s="14" t="s">
        <v>1990</v>
      </c>
      <c r="B3389" s="14" t="s">
        <v>420</v>
      </c>
      <c r="C3389" s="14" t="s">
        <v>414</v>
      </c>
      <c r="D3389" s="14" t="s">
        <v>512</v>
      </c>
      <c r="E3389" s="15">
        <v>41640</v>
      </c>
      <c r="F3389" s="15">
        <v>42004</v>
      </c>
      <c r="G3389" s="14" t="s">
        <v>415</v>
      </c>
      <c r="H3389" s="14">
        <v>15.6</v>
      </c>
      <c r="I3389" s="14">
        <v>15.6</v>
      </c>
      <c r="J3389" s="14">
        <v>15.6</v>
      </c>
      <c r="K3389" s="14">
        <v>15.6</v>
      </c>
      <c r="L3389" s="14">
        <v>15.6</v>
      </c>
      <c r="M3389" s="14">
        <v>15.6</v>
      </c>
      <c r="N3389" s="14">
        <v>21</v>
      </c>
      <c r="O3389" s="14">
        <v>21</v>
      </c>
      <c r="P3389" s="14">
        <v>21</v>
      </c>
      <c r="Q3389" s="14">
        <v>21</v>
      </c>
      <c r="R3389" s="14">
        <v>21</v>
      </c>
      <c r="S3389" s="14">
        <v>21</v>
      </c>
      <c r="T3389" s="14">
        <v>21</v>
      </c>
      <c r="U3389" s="14">
        <v>21</v>
      </c>
      <c r="V3389" s="14">
        <v>21</v>
      </c>
      <c r="W3389" s="14">
        <v>21</v>
      </c>
      <c r="X3389" s="14">
        <v>21</v>
      </c>
      <c r="Y3389" s="14">
        <v>21</v>
      </c>
      <c r="Z3389" s="14">
        <v>21</v>
      </c>
      <c r="AA3389" s="14">
        <v>21</v>
      </c>
      <c r="AB3389" s="14">
        <v>21</v>
      </c>
      <c r="AC3389" s="14">
        <v>21</v>
      </c>
      <c r="AD3389" s="14">
        <v>15.6</v>
      </c>
      <c r="AE3389" s="14">
        <v>15.6</v>
      </c>
      <c r="AF3389" s="14" t="s">
        <v>411</v>
      </c>
    </row>
    <row r="3390" spans="1:32" ht="14.25" customHeight="1" x14ac:dyDescent="0.35">
      <c r="A3390" s="14" t="s">
        <v>1990</v>
      </c>
      <c r="B3390" s="14" t="s">
        <v>420</v>
      </c>
      <c r="C3390" s="14" t="s">
        <v>414</v>
      </c>
      <c r="D3390" s="14" t="s">
        <v>419</v>
      </c>
      <c r="E3390" s="15">
        <v>41640</v>
      </c>
      <c r="F3390" s="15">
        <v>42004</v>
      </c>
      <c r="G3390" s="14" t="s">
        <v>410</v>
      </c>
      <c r="H3390" s="14">
        <v>15.6</v>
      </c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  <c r="U3390" s="14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 t="s">
        <v>411</v>
      </c>
    </row>
    <row r="3391" spans="1:32" ht="14.25" customHeight="1" x14ac:dyDescent="0.35">
      <c r="A3391" s="16" t="s">
        <v>1990</v>
      </c>
      <c r="B3391" s="16" t="s">
        <v>420</v>
      </c>
      <c r="C3391" s="16" t="s">
        <v>414</v>
      </c>
      <c r="D3391" s="16" t="s">
        <v>511</v>
      </c>
      <c r="E3391" s="17">
        <v>41640</v>
      </c>
      <c r="F3391" s="17">
        <v>42004</v>
      </c>
      <c r="G3391" s="16" t="s">
        <v>415</v>
      </c>
      <c r="H3391" s="16">
        <v>15.6</v>
      </c>
      <c r="I3391" s="16">
        <v>15.6</v>
      </c>
      <c r="J3391" s="16">
        <v>15.6</v>
      </c>
      <c r="K3391" s="16">
        <v>15.6</v>
      </c>
      <c r="L3391" s="16">
        <v>15.6</v>
      </c>
      <c r="M3391" s="16">
        <v>15.6</v>
      </c>
      <c r="N3391" s="16">
        <v>15.6</v>
      </c>
      <c r="O3391" s="16">
        <v>15.6</v>
      </c>
      <c r="P3391" s="16">
        <v>21</v>
      </c>
      <c r="Q3391" s="16">
        <v>21</v>
      </c>
      <c r="R3391" s="16">
        <v>21</v>
      </c>
      <c r="S3391" s="16">
        <v>21</v>
      </c>
      <c r="T3391" s="16">
        <v>21</v>
      </c>
      <c r="U3391" s="16">
        <v>21</v>
      </c>
      <c r="V3391" s="16">
        <v>21</v>
      </c>
      <c r="W3391" s="16">
        <v>21</v>
      </c>
      <c r="X3391" s="16">
        <v>21</v>
      </c>
      <c r="Y3391" s="16">
        <v>21</v>
      </c>
      <c r="Z3391" s="16">
        <v>21</v>
      </c>
      <c r="AA3391" s="16">
        <v>15.6</v>
      </c>
      <c r="AB3391" s="16">
        <v>15.6</v>
      </c>
      <c r="AC3391" s="16">
        <v>15.6</v>
      </c>
      <c r="AD3391" s="16">
        <v>15.6</v>
      </c>
      <c r="AE3391" s="16">
        <v>15.6</v>
      </c>
      <c r="AF3391" s="16" t="s">
        <v>411</v>
      </c>
    </row>
    <row r="3392" spans="1:32" ht="14.25" customHeight="1" x14ac:dyDescent="0.35">
      <c r="A3392" s="16" t="s">
        <v>1990</v>
      </c>
      <c r="B3392" s="16" t="s">
        <v>420</v>
      </c>
      <c r="C3392" s="16" t="s">
        <v>414</v>
      </c>
      <c r="D3392" s="16" t="s">
        <v>418</v>
      </c>
      <c r="E3392" s="17">
        <v>41640</v>
      </c>
      <c r="F3392" s="17">
        <v>42004</v>
      </c>
      <c r="G3392" s="16" t="s">
        <v>410</v>
      </c>
      <c r="H3392" s="16">
        <v>21</v>
      </c>
      <c r="I3392" s="16"/>
      <c r="J3392" s="16"/>
      <c r="K3392" s="16"/>
      <c r="L3392" s="16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/>
      <c r="AC3392" s="16"/>
      <c r="AD3392" s="16"/>
      <c r="AE3392" s="16"/>
      <c r="AF3392" s="16" t="s">
        <v>411</v>
      </c>
    </row>
    <row r="3393" spans="1:32" ht="14.25" customHeight="1" x14ac:dyDescent="0.35">
      <c r="A3393" s="14" t="s">
        <v>2038</v>
      </c>
      <c r="B3393" s="14" t="s">
        <v>427</v>
      </c>
      <c r="C3393" s="14"/>
      <c r="D3393" s="14" t="s">
        <v>417</v>
      </c>
      <c r="E3393" s="15">
        <v>41640</v>
      </c>
      <c r="F3393" s="15">
        <v>42004</v>
      </c>
      <c r="G3393" s="16" t="s">
        <v>415</v>
      </c>
      <c r="H3393" s="37">
        <v>0</v>
      </c>
      <c r="I3393" s="37">
        <v>0</v>
      </c>
      <c r="J3393" s="37">
        <v>0</v>
      </c>
      <c r="K3393" s="37">
        <v>0</v>
      </c>
      <c r="L3393" s="37">
        <v>0</v>
      </c>
      <c r="M3393" s="37">
        <v>0</v>
      </c>
      <c r="N3393" s="37">
        <v>0</v>
      </c>
      <c r="O3393" s="37">
        <v>0</v>
      </c>
      <c r="P3393" s="37">
        <v>1</v>
      </c>
      <c r="Q3393" s="37">
        <v>1</v>
      </c>
      <c r="R3393" s="37">
        <v>1</v>
      </c>
      <c r="S3393" s="37">
        <v>1</v>
      </c>
      <c r="T3393" s="37">
        <v>1</v>
      </c>
      <c r="U3393" s="37">
        <v>1</v>
      </c>
      <c r="V3393" s="37">
        <v>1</v>
      </c>
      <c r="W3393" s="37">
        <v>1</v>
      </c>
      <c r="X3393" s="37">
        <v>1</v>
      </c>
      <c r="Y3393" s="37">
        <v>1</v>
      </c>
      <c r="Z3393" s="37">
        <v>1</v>
      </c>
      <c r="AA3393" s="37">
        <v>0</v>
      </c>
      <c r="AB3393" s="37">
        <v>0</v>
      </c>
      <c r="AC3393" s="37">
        <v>0</v>
      </c>
      <c r="AD3393" s="37">
        <v>0</v>
      </c>
      <c r="AE3393" s="37">
        <v>0</v>
      </c>
      <c r="AF3393" s="14" t="s">
        <v>413</v>
      </c>
    </row>
    <row r="3394" spans="1:32" ht="14.25" customHeight="1" x14ac:dyDescent="0.35">
      <c r="A3394" s="14" t="s">
        <v>2038</v>
      </c>
      <c r="B3394" s="14" t="s">
        <v>427</v>
      </c>
      <c r="C3394" s="14"/>
      <c r="D3394" s="16" t="s">
        <v>1927</v>
      </c>
      <c r="E3394" s="15">
        <v>41640</v>
      </c>
      <c r="F3394" s="15">
        <v>42004</v>
      </c>
      <c r="G3394" s="16" t="s">
        <v>415</v>
      </c>
      <c r="H3394" s="37">
        <v>0</v>
      </c>
      <c r="I3394" s="37">
        <v>0</v>
      </c>
      <c r="J3394" s="37">
        <v>0</v>
      </c>
      <c r="K3394" s="37">
        <v>0</v>
      </c>
      <c r="L3394" s="37">
        <v>0</v>
      </c>
      <c r="M3394" s="37">
        <v>0</v>
      </c>
      <c r="N3394" s="37">
        <v>1</v>
      </c>
      <c r="O3394" s="37">
        <v>1</v>
      </c>
      <c r="P3394" s="37">
        <v>1</v>
      </c>
      <c r="Q3394" s="37">
        <v>1</v>
      </c>
      <c r="R3394" s="37">
        <v>1</v>
      </c>
      <c r="S3394" s="37">
        <v>1</v>
      </c>
      <c r="T3394" s="37">
        <v>1</v>
      </c>
      <c r="U3394" s="37">
        <v>1</v>
      </c>
      <c r="V3394" s="37">
        <v>1</v>
      </c>
      <c r="W3394" s="37">
        <v>1</v>
      </c>
      <c r="X3394" s="37">
        <v>1</v>
      </c>
      <c r="Y3394" s="37">
        <v>1</v>
      </c>
      <c r="Z3394" s="37">
        <v>1</v>
      </c>
      <c r="AA3394" s="37">
        <v>1</v>
      </c>
      <c r="AB3394" s="37">
        <v>1</v>
      </c>
      <c r="AC3394" s="37">
        <v>1</v>
      </c>
      <c r="AD3394" s="37">
        <v>0</v>
      </c>
      <c r="AE3394" s="37">
        <v>0</v>
      </c>
      <c r="AF3394" s="14" t="s">
        <v>413</v>
      </c>
    </row>
    <row r="3395" spans="1:32" ht="14.25" customHeight="1" x14ac:dyDescent="0.35">
      <c r="A3395" s="14" t="s">
        <v>2038</v>
      </c>
      <c r="B3395" s="14" t="s">
        <v>427</v>
      </c>
      <c r="C3395" s="14"/>
      <c r="D3395" s="24" t="s">
        <v>556</v>
      </c>
      <c r="E3395" s="15">
        <v>41640</v>
      </c>
      <c r="F3395" s="15">
        <v>42004</v>
      </c>
      <c r="G3395" s="16" t="s">
        <v>415</v>
      </c>
      <c r="H3395" s="37">
        <v>0</v>
      </c>
      <c r="I3395" s="37">
        <v>0</v>
      </c>
      <c r="J3395" s="37">
        <v>0</v>
      </c>
      <c r="K3395" s="37">
        <v>0</v>
      </c>
      <c r="L3395" s="37">
        <v>0</v>
      </c>
      <c r="M3395" s="37">
        <v>0</v>
      </c>
      <c r="N3395" s="37">
        <v>1</v>
      </c>
      <c r="O3395" s="37">
        <v>1</v>
      </c>
      <c r="P3395" s="37">
        <v>1</v>
      </c>
      <c r="Q3395" s="37">
        <v>1</v>
      </c>
      <c r="R3395" s="37">
        <v>1</v>
      </c>
      <c r="S3395" s="37">
        <v>1</v>
      </c>
      <c r="T3395" s="37">
        <v>1</v>
      </c>
      <c r="U3395" s="37">
        <v>1</v>
      </c>
      <c r="V3395" s="37">
        <v>1</v>
      </c>
      <c r="W3395" s="37">
        <v>1</v>
      </c>
      <c r="X3395" s="37">
        <v>1</v>
      </c>
      <c r="Y3395" s="37">
        <v>1</v>
      </c>
      <c r="Z3395" s="37">
        <v>1</v>
      </c>
      <c r="AA3395" s="37">
        <v>1</v>
      </c>
      <c r="AB3395" s="37">
        <v>1</v>
      </c>
      <c r="AC3395" s="37">
        <v>0</v>
      </c>
      <c r="AD3395" s="37">
        <v>0</v>
      </c>
      <c r="AE3395" s="37">
        <v>0</v>
      </c>
      <c r="AF3395" s="14" t="s">
        <v>413</v>
      </c>
    </row>
    <row r="3396" spans="1:32" ht="14.25" customHeight="1" x14ac:dyDescent="0.35">
      <c r="A3396" s="16" t="s">
        <v>1991</v>
      </c>
      <c r="B3396" s="16" t="s">
        <v>441</v>
      </c>
      <c r="C3396" s="16"/>
      <c r="D3396" s="16" t="s">
        <v>453</v>
      </c>
      <c r="E3396" s="17">
        <v>41640</v>
      </c>
      <c r="F3396" s="17">
        <v>42004</v>
      </c>
      <c r="G3396" s="16" t="s">
        <v>415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0.5</v>
      </c>
      <c r="O3396" s="16">
        <v>0.5</v>
      </c>
      <c r="P3396" s="16">
        <v>0.5</v>
      </c>
      <c r="Q3396" s="16">
        <v>0.5</v>
      </c>
      <c r="R3396" s="16">
        <v>0.5</v>
      </c>
      <c r="S3396" s="16">
        <v>0.5</v>
      </c>
      <c r="T3396" s="16">
        <v>0.5</v>
      </c>
      <c r="U3396" s="16">
        <v>0.5</v>
      </c>
      <c r="V3396" s="16">
        <v>0.5</v>
      </c>
      <c r="W3396" s="16">
        <v>0.5</v>
      </c>
      <c r="X3396" s="16">
        <v>0.5</v>
      </c>
      <c r="Y3396" s="16">
        <v>0.5</v>
      </c>
      <c r="Z3396" s="16">
        <v>0.5</v>
      </c>
      <c r="AA3396" s="16">
        <v>0.5</v>
      </c>
      <c r="AB3396" s="16">
        <v>0.5</v>
      </c>
      <c r="AC3396" s="16">
        <v>1</v>
      </c>
      <c r="AD3396" s="16">
        <v>1</v>
      </c>
      <c r="AE3396" s="16">
        <v>1</v>
      </c>
      <c r="AF3396" s="16" t="s">
        <v>411</v>
      </c>
    </row>
    <row r="3397" spans="1:32" ht="14.25" customHeight="1" x14ac:dyDescent="0.35">
      <c r="A3397" s="14" t="s">
        <v>1991</v>
      </c>
      <c r="B3397" s="14" t="s">
        <v>441</v>
      </c>
      <c r="C3397" s="14"/>
      <c r="D3397" s="14" t="s">
        <v>512</v>
      </c>
      <c r="E3397" s="15">
        <v>41640</v>
      </c>
      <c r="F3397" s="15">
        <v>42004</v>
      </c>
      <c r="G3397" s="14" t="s">
        <v>415</v>
      </c>
      <c r="H3397" s="14">
        <v>1</v>
      </c>
      <c r="I3397" s="14">
        <v>1</v>
      </c>
      <c r="J3397" s="14">
        <v>1</v>
      </c>
      <c r="K3397" s="14">
        <v>1</v>
      </c>
      <c r="L3397" s="14">
        <v>1</v>
      </c>
      <c r="M3397" s="14">
        <v>1</v>
      </c>
      <c r="N3397" s="14">
        <v>0.5</v>
      </c>
      <c r="O3397" s="14">
        <v>0.5</v>
      </c>
      <c r="P3397" s="14">
        <v>0.5</v>
      </c>
      <c r="Q3397" s="14">
        <v>0.5</v>
      </c>
      <c r="R3397" s="14">
        <v>0.5</v>
      </c>
      <c r="S3397" s="14">
        <v>0.5</v>
      </c>
      <c r="T3397" s="14">
        <v>0.5</v>
      </c>
      <c r="U3397" s="14">
        <v>0.5</v>
      </c>
      <c r="V3397" s="14">
        <v>0.5</v>
      </c>
      <c r="W3397" s="14">
        <v>0.5</v>
      </c>
      <c r="X3397" s="14">
        <v>0.5</v>
      </c>
      <c r="Y3397" s="14">
        <v>0.5</v>
      </c>
      <c r="Z3397" s="14">
        <v>0.5</v>
      </c>
      <c r="AA3397" s="14">
        <v>0.5</v>
      </c>
      <c r="AB3397" s="14">
        <v>0.5</v>
      </c>
      <c r="AC3397" s="14">
        <v>0.5</v>
      </c>
      <c r="AD3397" s="14">
        <v>1</v>
      </c>
      <c r="AE3397" s="14">
        <v>1</v>
      </c>
      <c r="AF3397" s="14" t="s">
        <v>411</v>
      </c>
    </row>
    <row r="3398" spans="1:32" ht="14.25" customHeight="1" x14ac:dyDescent="0.35">
      <c r="A3398" s="16" t="s">
        <v>1991</v>
      </c>
      <c r="B3398" s="16" t="s">
        <v>441</v>
      </c>
      <c r="C3398" s="16"/>
      <c r="D3398" s="16" t="s">
        <v>511</v>
      </c>
      <c r="E3398" s="17">
        <v>41640</v>
      </c>
      <c r="F3398" s="17">
        <v>42004</v>
      </c>
      <c r="G3398" s="16" t="s">
        <v>415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0.5</v>
      </c>
      <c r="Q3398" s="16">
        <v>0.5</v>
      </c>
      <c r="R3398" s="16">
        <v>0.5</v>
      </c>
      <c r="S3398" s="16">
        <v>0.5</v>
      </c>
      <c r="T3398" s="16">
        <v>0.5</v>
      </c>
      <c r="U3398" s="16">
        <v>0.5</v>
      </c>
      <c r="V3398" s="16">
        <v>0.5</v>
      </c>
      <c r="W3398" s="16">
        <v>0.5</v>
      </c>
      <c r="X3398" s="16">
        <v>0.5</v>
      </c>
      <c r="Y3398" s="16">
        <v>1</v>
      </c>
      <c r="Z3398" s="16">
        <v>1</v>
      </c>
      <c r="AA3398" s="16">
        <v>1</v>
      </c>
      <c r="AB3398" s="16">
        <v>1</v>
      </c>
      <c r="AC3398" s="16">
        <v>1</v>
      </c>
      <c r="AD3398" s="16">
        <v>1</v>
      </c>
      <c r="AE3398" s="16">
        <v>1</v>
      </c>
      <c r="AF3398" s="16" t="s">
        <v>411</v>
      </c>
    </row>
    <row r="3399" spans="1:32" ht="14.25" customHeight="1" x14ac:dyDescent="0.35">
      <c r="A3399" s="14" t="s">
        <v>1991</v>
      </c>
      <c r="B3399" s="14" t="s">
        <v>441</v>
      </c>
      <c r="C3399" s="14"/>
      <c r="D3399" s="14" t="s">
        <v>418</v>
      </c>
      <c r="E3399" s="15">
        <v>41640</v>
      </c>
      <c r="F3399" s="15">
        <v>42004</v>
      </c>
      <c r="G3399" s="14" t="s">
        <v>410</v>
      </c>
      <c r="H3399" s="14">
        <v>1</v>
      </c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S3399" s="14"/>
      <c r="T3399" s="14"/>
      <c r="U3399" s="14"/>
      <c r="V3399" s="14"/>
      <c r="W3399" s="14"/>
      <c r="X3399" s="14"/>
      <c r="Y3399" s="14"/>
      <c r="Z3399" s="14"/>
      <c r="AA3399" s="14"/>
      <c r="AB3399" s="14"/>
      <c r="AC3399" s="14"/>
      <c r="AD3399" s="14"/>
      <c r="AE3399" s="14"/>
      <c r="AF3399" s="14" t="s">
        <v>411</v>
      </c>
    </row>
    <row r="3400" spans="1:32" ht="14.25" customHeight="1" x14ac:dyDescent="0.35">
      <c r="A3400" s="14" t="s">
        <v>2039</v>
      </c>
      <c r="B3400" s="14" t="s">
        <v>427</v>
      </c>
      <c r="C3400" s="14"/>
      <c r="D3400" s="14" t="s">
        <v>417</v>
      </c>
      <c r="E3400" s="15">
        <v>41640</v>
      </c>
      <c r="F3400" s="15">
        <v>42004</v>
      </c>
      <c r="G3400" s="16" t="s">
        <v>415</v>
      </c>
      <c r="H3400" s="37">
        <v>0</v>
      </c>
      <c r="I3400" s="37">
        <v>0</v>
      </c>
      <c r="J3400" s="37">
        <v>0</v>
      </c>
      <c r="K3400" s="37">
        <v>0</v>
      </c>
      <c r="L3400" s="37">
        <v>0</v>
      </c>
      <c r="M3400" s="37">
        <v>0</v>
      </c>
      <c r="N3400" s="37">
        <v>0</v>
      </c>
      <c r="O3400" s="37">
        <v>0</v>
      </c>
      <c r="P3400" s="37">
        <v>1</v>
      </c>
      <c r="Q3400" s="37">
        <v>1</v>
      </c>
      <c r="R3400" s="37">
        <v>1</v>
      </c>
      <c r="S3400" s="37">
        <v>1</v>
      </c>
      <c r="T3400" s="37">
        <v>1</v>
      </c>
      <c r="U3400" s="37">
        <v>1</v>
      </c>
      <c r="V3400" s="37">
        <v>1</v>
      </c>
      <c r="W3400" s="37">
        <v>1</v>
      </c>
      <c r="X3400" s="37">
        <v>1</v>
      </c>
      <c r="Y3400" s="37">
        <v>1</v>
      </c>
      <c r="Z3400" s="37">
        <v>1</v>
      </c>
      <c r="AA3400" s="37">
        <v>0</v>
      </c>
      <c r="AB3400" s="37">
        <v>0</v>
      </c>
      <c r="AC3400" s="37">
        <v>0</v>
      </c>
      <c r="AD3400" s="37">
        <v>0</v>
      </c>
      <c r="AE3400" s="37">
        <v>0</v>
      </c>
      <c r="AF3400" s="14" t="s">
        <v>413</v>
      </c>
    </row>
    <row r="3401" spans="1:32" ht="14.25" customHeight="1" x14ac:dyDescent="0.35">
      <c r="A3401" s="14" t="s">
        <v>2039</v>
      </c>
      <c r="B3401" s="14" t="s">
        <v>427</v>
      </c>
      <c r="C3401" s="14"/>
      <c r="D3401" s="16" t="s">
        <v>1927</v>
      </c>
      <c r="E3401" s="15">
        <v>41640</v>
      </c>
      <c r="F3401" s="15">
        <v>42004</v>
      </c>
      <c r="G3401" s="16" t="s">
        <v>415</v>
      </c>
      <c r="H3401" s="37">
        <v>0</v>
      </c>
      <c r="I3401" s="37">
        <v>0</v>
      </c>
      <c r="J3401" s="37">
        <v>0</v>
      </c>
      <c r="K3401" s="37">
        <v>0</v>
      </c>
      <c r="L3401" s="37">
        <v>0</v>
      </c>
      <c r="M3401" s="37">
        <v>0</v>
      </c>
      <c r="N3401" s="37">
        <v>1</v>
      </c>
      <c r="O3401" s="37">
        <v>1</v>
      </c>
      <c r="P3401" s="37">
        <v>1</v>
      </c>
      <c r="Q3401" s="37">
        <v>1</v>
      </c>
      <c r="R3401" s="37">
        <v>1</v>
      </c>
      <c r="S3401" s="37">
        <v>1</v>
      </c>
      <c r="T3401" s="37">
        <v>1</v>
      </c>
      <c r="U3401" s="37">
        <v>1</v>
      </c>
      <c r="V3401" s="37">
        <v>1</v>
      </c>
      <c r="W3401" s="37">
        <v>1</v>
      </c>
      <c r="X3401" s="37">
        <v>1</v>
      </c>
      <c r="Y3401" s="37">
        <v>1</v>
      </c>
      <c r="Z3401" s="37">
        <v>1</v>
      </c>
      <c r="AA3401" s="37">
        <v>1</v>
      </c>
      <c r="AB3401" s="37">
        <v>1</v>
      </c>
      <c r="AC3401" s="37">
        <v>1</v>
      </c>
      <c r="AD3401" s="37">
        <v>0</v>
      </c>
      <c r="AE3401" s="37">
        <v>0</v>
      </c>
      <c r="AF3401" s="14" t="s">
        <v>413</v>
      </c>
    </row>
    <row r="3402" spans="1:32" ht="14.25" customHeight="1" x14ac:dyDescent="0.35">
      <c r="A3402" s="14" t="s">
        <v>2039</v>
      </c>
      <c r="B3402" s="14" t="s">
        <v>427</v>
      </c>
      <c r="C3402" s="14"/>
      <c r="D3402" s="24" t="s">
        <v>556</v>
      </c>
      <c r="E3402" s="15">
        <v>41640</v>
      </c>
      <c r="F3402" s="15">
        <v>42004</v>
      </c>
      <c r="G3402" s="16" t="s">
        <v>415</v>
      </c>
      <c r="H3402" s="37">
        <v>0</v>
      </c>
      <c r="I3402" s="37">
        <v>0</v>
      </c>
      <c r="J3402" s="37">
        <v>0</v>
      </c>
      <c r="K3402" s="37">
        <v>0</v>
      </c>
      <c r="L3402" s="37">
        <v>0</v>
      </c>
      <c r="M3402" s="37">
        <v>0</v>
      </c>
      <c r="N3402" s="37">
        <v>1</v>
      </c>
      <c r="O3402" s="37">
        <v>1</v>
      </c>
      <c r="P3402" s="37">
        <v>1</v>
      </c>
      <c r="Q3402" s="37">
        <v>1</v>
      </c>
      <c r="R3402" s="37">
        <v>1</v>
      </c>
      <c r="S3402" s="37">
        <v>1</v>
      </c>
      <c r="T3402" s="37">
        <v>1</v>
      </c>
      <c r="U3402" s="37">
        <v>1</v>
      </c>
      <c r="V3402" s="37">
        <v>1</v>
      </c>
      <c r="W3402" s="37">
        <v>1</v>
      </c>
      <c r="X3402" s="37">
        <v>1</v>
      </c>
      <c r="Y3402" s="37">
        <v>1</v>
      </c>
      <c r="Z3402" s="37">
        <v>1</v>
      </c>
      <c r="AA3402" s="37">
        <v>1</v>
      </c>
      <c r="AB3402" s="37">
        <v>1</v>
      </c>
      <c r="AC3402" s="37">
        <v>0</v>
      </c>
      <c r="AD3402" s="37">
        <v>0</v>
      </c>
      <c r="AE3402" s="37">
        <v>0</v>
      </c>
      <c r="AF3402" s="14" t="s">
        <v>413</v>
      </c>
    </row>
    <row r="3403" spans="1:32" ht="14.25" customHeight="1" x14ac:dyDescent="0.35">
      <c r="A3403" s="16" t="s">
        <v>1992</v>
      </c>
      <c r="B3403" s="16" t="s">
        <v>408</v>
      </c>
      <c r="C3403" s="16"/>
      <c r="D3403" s="16" t="s">
        <v>409</v>
      </c>
      <c r="E3403" s="17">
        <v>41640</v>
      </c>
      <c r="F3403" s="17">
        <v>42004</v>
      </c>
      <c r="G3403" s="16" t="s">
        <v>410</v>
      </c>
      <c r="H3403" s="16">
        <v>0</v>
      </c>
      <c r="I3403" s="16"/>
      <c r="J3403" s="16"/>
      <c r="K3403" s="16"/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16"/>
      <c r="AA3403" s="16"/>
      <c r="AB3403" s="16"/>
      <c r="AC3403" s="16"/>
      <c r="AD3403" s="16"/>
      <c r="AE3403" s="16"/>
      <c r="AF3403" s="16" t="s">
        <v>411</v>
      </c>
    </row>
    <row r="3404" spans="1:32" ht="14.25" customHeight="1" x14ac:dyDescent="0.35">
      <c r="A3404" s="16" t="s">
        <v>331</v>
      </c>
      <c r="B3404" s="16" t="s">
        <v>427</v>
      </c>
      <c r="C3404" s="16"/>
      <c r="D3404" s="16" t="s">
        <v>417</v>
      </c>
      <c r="E3404" s="17">
        <v>41640</v>
      </c>
      <c r="F3404" s="17">
        <v>42004</v>
      </c>
      <c r="G3404" s="16" t="s">
        <v>415</v>
      </c>
      <c r="H3404" s="16">
        <v>0.2</v>
      </c>
      <c r="I3404" s="16">
        <v>0.2</v>
      </c>
      <c r="J3404" s="16">
        <v>0.2</v>
      </c>
      <c r="K3404" s="16">
        <v>0.2</v>
      </c>
      <c r="L3404" s="16">
        <v>0.2</v>
      </c>
      <c r="M3404" s="16">
        <v>0.2</v>
      </c>
      <c r="N3404" s="16">
        <v>0.4</v>
      </c>
      <c r="O3404" s="16">
        <v>0.4</v>
      </c>
      <c r="P3404" s="16">
        <v>0.7</v>
      </c>
      <c r="Q3404" s="16">
        <v>0.9</v>
      </c>
      <c r="R3404" s="16">
        <v>0.9</v>
      </c>
      <c r="S3404" s="16">
        <v>0.9</v>
      </c>
      <c r="T3404" s="16">
        <v>0.9</v>
      </c>
      <c r="U3404" s="16">
        <v>0.9</v>
      </c>
      <c r="V3404" s="16">
        <v>0.9</v>
      </c>
      <c r="W3404" s="16">
        <v>0.9</v>
      </c>
      <c r="X3404" s="16">
        <v>0.9</v>
      </c>
      <c r="Y3404" s="16">
        <v>0.9</v>
      </c>
      <c r="Z3404" s="16">
        <v>0.8</v>
      </c>
      <c r="AA3404" s="16">
        <v>0.8</v>
      </c>
      <c r="AB3404" s="16">
        <v>0.7</v>
      </c>
      <c r="AC3404" s="16">
        <v>0.4</v>
      </c>
      <c r="AD3404" s="16">
        <v>0.2</v>
      </c>
      <c r="AE3404" s="16">
        <v>0.2</v>
      </c>
      <c r="AF3404" s="16" t="s">
        <v>411</v>
      </c>
    </row>
    <row r="3405" spans="1:32" ht="14.25" customHeight="1" x14ac:dyDescent="0.35">
      <c r="A3405" s="16" t="s">
        <v>331</v>
      </c>
      <c r="B3405" s="16" t="s">
        <v>427</v>
      </c>
      <c r="C3405" s="16"/>
      <c r="D3405" s="16" t="s">
        <v>512</v>
      </c>
      <c r="E3405" s="17">
        <v>41640</v>
      </c>
      <c r="F3405" s="17">
        <v>42004</v>
      </c>
      <c r="G3405" s="16" t="s">
        <v>415</v>
      </c>
      <c r="H3405" s="16">
        <v>0.15</v>
      </c>
      <c r="I3405" s="16">
        <v>0.15</v>
      </c>
      <c r="J3405" s="16">
        <v>0.15</v>
      </c>
      <c r="K3405" s="16">
        <v>0.15</v>
      </c>
      <c r="L3405" s="16">
        <v>0.15</v>
      </c>
      <c r="M3405" s="16">
        <v>0.15</v>
      </c>
      <c r="N3405" s="16">
        <v>0.3</v>
      </c>
      <c r="O3405" s="16">
        <v>0.3</v>
      </c>
      <c r="P3405" s="16">
        <v>0.5</v>
      </c>
      <c r="Q3405" s="16">
        <v>0.8</v>
      </c>
      <c r="R3405" s="16">
        <v>0.9</v>
      </c>
      <c r="S3405" s="16">
        <v>0.9</v>
      </c>
      <c r="T3405" s="16">
        <v>0.9</v>
      </c>
      <c r="U3405" s="16">
        <v>0.9</v>
      </c>
      <c r="V3405" s="16">
        <v>0.9</v>
      </c>
      <c r="W3405" s="16">
        <v>0.9</v>
      </c>
      <c r="X3405" s="16">
        <v>0.9</v>
      </c>
      <c r="Y3405" s="16">
        <v>0.9</v>
      </c>
      <c r="Z3405" s="16">
        <v>0.7</v>
      </c>
      <c r="AA3405" s="16">
        <v>0.5</v>
      </c>
      <c r="AB3405" s="16">
        <v>0.5</v>
      </c>
      <c r="AC3405" s="16">
        <v>0.3</v>
      </c>
      <c r="AD3405" s="16">
        <v>0.15</v>
      </c>
      <c r="AE3405" s="16">
        <v>0.15</v>
      </c>
      <c r="AF3405" s="16" t="s">
        <v>411</v>
      </c>
    </row>
    <row r="3406" spans="1:32" ht="14.25" customHeight="1" x14ac:dyDescent="0.35">
      <c r="A3406" s="16" t="s">
        <v>331</v>
      </c>
      <c r="B3406" s="16" t="s">
        <v>427</v>
      </c>
      <c r="C3406" s="16"/>
      <c r="D3406" s="16" t="s">
        <v>419</v>
      </c>
      <c r="E3406" s="17">
        <v>41640</v>
      </c>
      <c r="F3406" s="17">
        <v>42004</v>
      </c>
      <c r="G3406" s="16" t="s">
        <v>410</v>
      </c>
      <c r="H3406" s="16">
        <v>1</v>
      </c>
      <c r="I3406" s="16"/>
      <c r="J3406" s="16"/>
      <c r="K3406" s="16"/>
      <c r="L3406" s="16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16"/>
      <c r="AA3406" s="16"/>
      <c r="AB3406" s="16"/>
      <c r="AC3406" s="16"/>
      <c r="AD3406" s="16"/>
      <c r="AE3406" s="16"/>
      <c r="AF3406" s="16" t="s">
        <v>411</v>
      </c>
    </row>
    <row r="3407" spans="1:32" ht="14.25" customHeight="1" x14ac:dyDescent="0.35">
      <c r="A3407" s="14" t="s">
        <v>331</v>
      </c>
      <c r="B3407" s="14" t="s">
        <v>427</v>
      </c>
      <c r="C3407" s="14"/>
      <c r="D3407" s="14" t="s">
        <v>511</v>
      </c>
      <c r="E3407" s="15">
        <v>41640</v>
      </c>
      <c r="F3407" s="15">
        <v>42004</v>
      </c>
      <c r="G3407" s="14" t="s">
        <v>415</v>
      </c>
      <c r="H3407" s="14">
        <v>0.15</v>
      </c>
      <c r="I3407" s="14">
        <v>0.15</v>
      </c>
      <c r="J3407" s="14">
        <v>0.15</v>
      </c>
      <c r="K3407" s="14">
        <v>0.15</v>
      </c>
      <c r="L3407" s="14">
        <v>0.15</v>
      </c>
      <c r="M3407" s="14">
        <v>0.15</v>
      </c>
      <c r="N3407" s="14">
        <v>0.3</v>
      </c>
      <c r="O3407" s="14">
        <v>0.3</v>
      </c>
      <c r="P3407" s="14">
        <v>0.3</v>
      </c>
      <c r="Q3407" s="14">
        <v>0.3</v>
      </c>
      <c r="R3407" s="14">
        <v>0.6</v>
      </c>
      <c r="S3407" s="14">
        <v>0.6</v>
      </c>
      <c r="T3407" s="14">
        <v>0.8</v>
      </c>
      <c r="U3407" s="14">
        <v>0.8</v>
      </c>
      <c r="V3407" s="14">
        <v>0.8</v>
      </c>
      <c r="W3407" s="14">
        <v>0.8</v>
      </c>
      <c r="X3407" s="14">
        <v>0.8</v>
      </c>
      <c r="Y3407" s="14">
        <v>0.6</v>
      </c>
      <c r="Z3407" s="14">
        <v>0.4</v>
      </c>
      <c r="AA3407" s="14">
        <v>0.4</v>
      </c>
      <c r="AB3407" s="14">
        <v>0.4</v>
      </c>
      <c r="AC3407" s="14">
        <v>0.4</v>
      </c>
      <c r="AD3407" s="14">
        <v>0.15</v>
      </c>
      <c r="AE3407" s="14">
        <v>0.15</v>
      </c>
      <c r="AF3407" s="14" t="s">
        <v>411</v>
      </c>
    </row>
    <row r="3408" spans="1:32" ht="14.25" customHeight="1" x14ac:dyDescent="0.35">
      <c r="A3408" s="14" t="s">
        <v>331</v>
      </c>
      <c r="B3408" s="14" t="s">
        <v>427</v>
      </c>
      <c r="C3408" s="14"/>
      <c r="D3408" s="14" t="s">
        <v>418</v>
      </c>
      <c r="E3408" s="15">
        <v>41640</v>
      </c>
      <c r="F3408" s="15">
        <v>42004</v>
      </c>
      <c r="G3408" s="14" t="s">
        <v>410</v>
      </c>
      <c r="H3408" s="14">
        <v>0</v>
      </c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  <c r="U3408" s="14"/>
      <c r="V3408" s="14"/>
      <c r="W3408" s="14"/>
      <c r="X3408" s="14"/>
      <c r="Y3408" s="14"/>
      <c r="Z3408" s="14"/>
      <c r="AA3408" s="14"/>
      <c r="AB3408" s="14"/>
      <c r="AC3408" s="14"/>
      <c r="AD3408" s="14"/>
      <c r="AE3408" s="14"/>
      <c r="AF3408" s="14" t="s">
        <v>411</v>
      </c>
    </row>
    <row r="3409" spans="1:32" ht="14.25" customHeight="1" x14ac:dyDescent="0.35">
      <c r="A3409" s="14" t="s">
        <v>1993</v>
      </c>
      <c r="B3409" s="14" t="s">
        <v>424</v>
      </c>
      <c r="C3409" s="14"/>
      <c r="D3409" s="14" t="s">
        <v>417</v>
      </c>
      <c r="E3409" s="15">
        <v>41640</v>
      </c>
      <c r="F3409" s="15">
        <v>42004</v>
      </c>
      <c r="G3409" s="14" t="s">
        <v>415</v>
      </c>
      <c r="H3409" s="14">
        <v>0.05</v>
      </c>
      <c r="I3409" s="14">
        <v>0.05</v>
      </c>
      <c r="J3409" s="14">
        <v>0.05</v>
      </c>
      <c r="K3409" s="14">
        <v>0.05</v>
      </c>
      <c r="L3409" s="14">
        <v>0.05</v>
      </c>
      <c r="M3409" s="14">
        <v>0.05</v>
      </c>
      <c r="N3409" s="14">
        <v>0.2</v>
      </c>
      <c r="O3409" s="14">
        <v>0.2</v>
      </c>
      <c r="P3409" s="14">
        <v>0.5</v>
      </c>
      <c r="Q3409" s="14">
        <v>0.9</v>
      </c>
      <c r="R3409" s="14">
        <v>0.9</v>
      </c>
      <c r="S3409" s="14">
        <v>0.9</v>
      </c>
      <c r="T3409" s="14">
        <v>0.9</v>
      </c>
      <c r="U3409" s="14">
        <v>0.9</v>
      </c>
      <c r="V3409" s="14">
        <v>0.9</v>
      </c>
      <c r="W3409" s="14">
        <v>0.9</v>
      </c>
      <c r="X3409" s="14">
        <v>0.9</v>
      </c>
      <c r="Y3409" s="14">
        <v>0.9</v>
      </c>
      <c r="Z3409" s="14">
        <v>0.6</v>
      </c>
      <c r="AA3409" s="14">
        <v>0.6</v>
      </c>
      <c r="AB3409" s="14">
        <v>0.5</v>
      </c>
      <c r="AC3409" s="14">
        <v>0.2</v>
      </c>
      <c r="AD3409" s="14">
        <v>0.05</v>
      </c>
      <c r="AE3409" s="14">
        <v>0.05</v>
      </c>
      <c r="AF3409" s="14" t="s">
        <v>411</v>
      </c>
    </row>
    <row r="3410" spans="1:32" ht="14.25" customHeight="1" x14ac:dyDescent="0.35">
      <c r="A3410" s="14" t="s">
        <v>1993</v>
      </c>
      <c r="B3410" s="14" t="s">
        <v>424</v>
      </c>
      <c r="C3410" s="14"/>
      <c r="D3410" s="14" t="s">
        <v>512</v>
      </c>
      <c r="E3410" s="15">
        <v>41640</v>
      </c>
      <c r="F3410" s="15">
        <v>42004</v>
      </c>
      <c r="G3410" s="14" t="s">
        <v>415</v>
      </c>
      <c r="H3410" s="14">
        <v>0.05</v>
      </c>
      <c r="I3410" s="14">
        <v>0.05</v>
      </c>
      <c r="J3410" s="14">
        <v>0.05</v>
      </c>
      <c r="K3410" s="14">
        <v>0.05</v>
      </c>
      <c r="L3410" s="14">
        <v>0.05</v>
      </c>
      <c r="M3410" s="14">
        <v>0.05</v>
      </c>
      <c r="N3410" s="14">
        <v>0.1</v>
      </c>
      <c r="O3410" s="14">
        <v>0.1</v>
      </c>
      <c r="P3410" s="14">
        <v>0.3</v>
      </c>
      <c r="Q3410" s="14">
        <v>0.6</v>
      </c>
      <c r="R3410" s="14">
        <v>0.9</v>
      </c>
      <c r="S3410" s="14">
        <v>0.9</v>
      </c>
      <c r="T3410" s="14">
        <v>0.9</v>
      </c>
      <c r="U3410" s="14">
        <v>0.9</v>
      </c>
      <c r="V3410" s="14">
        <v>0.9</v>
      </c>
      <c r="W3410" s="14">
        <v>0.9</v>
      </c>
      <c r="X3410" s="14">
        <v>0.9</v>
      </c>
      <c r="Y3410" s="14">
        <v>0.9</v>
      </c>
      <c r="Z3410" s="14">
        <v>0.5</v>
      </c>
      <c r="AA3410" s="14">
        <v>0.3</v>
      </c>
      <c r="AB3410" s="14">
        <v>0.3</v>
      </c>
      <c r="AC3410" s="14">
        <v>0.1</v>
      </c>
      <c r="AD3410" s="14">
        <v>0.05</v>
      </c>
      <c r="AE3410" s="14">
        <v>0.05</v>
      </c>
      <c r="AF3410" s="14" t="s">
        <v>411</v>
      </c>
    </row>
    <row r="3411" spans="1:32" ht="14.25" customHeight="1" x14ac:dyDescent="0.35">
      <c r="A3411" s="14" t="s">
        <v>1993</v>
      </c>
      <c r="B3411" s="14" t="s">
        <v>424</v>
      </c>
      <c r="C3411" s="14"/>
      <c r="D3411" s="14" t="s">
        <v>419</v>
      </c>
      <c r="E3411" s="15">
        <v>41640</v>
      </c>
      <c r="F3411" s="15">
        <v>42004</v>
      </c>
      <c r="G3411" s="14" t="s">
        <v>410</v>
      </c>
      <c r="H3411" s="14">
        <v>1</v>
      </c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4"/>
      <c r="Z3411" s="14"/>
      <c r="AA3411" s="14"/>
      <c r="AB3411" s="14"/>
      <c r="AC3411" s="14"/>
      <c r="AD3411" s="14"/>
      <c r="AE3411" s="14"/>
      <c r="AF3411" s="14" t="s">
        <v>411</v>
      </c>
    </row>
    <row r="3412" spans="1:32" ht="14.25" customHeight="1" x14ac:dyDescent="0.35">
      <c r="A3412" s="16" t="s">
        <v>1993</v>
      </c>
      <c r="B3412" s="16" t="s">
        <v>424</v>
      </c>
      <c r="C3412" s="16"/>
      <c r="D3412" s="16" t="s">
        <v>511</v>
      </c>
      <c r="E3412" s="17">
        <v>41640</v>
      </c>
      <c r="F3412" s="17">
        <v>42004</v>
      </c>
      <c r="G3412" s="16" t="s">
        <v>415</v>
      </c>
      <c r="H3412" s="16">
        <v>0.05</v>
      </c>
      <c r="I3412" s="16">
        <v>0.05</v>
      </c>
      <c r="J3412" s="16">
        <v>0.05</v>
      </c>
      <c r="K3412" s="16">
        <v>0.05</v>
      </c>
      <c r="L3412" s="16">
        <v>0.05</v>
      </c>
      <c r="M3412" s="16">
        <v>0.05</v>
      </c>
      <c r="N3412" s="16">
        <v>0.1</v>
      </c>
      <c r="O3412" s="16">
        <v>0.1</v>
      </c>
      <c r="P3412" s="16">
        <v>0.1</v>
      </c>
      <c r="Q3412" s="16">
        <v>0.1</v>
      </c>
      <c r="R3412" s="16">
        <v>0.4</v>
      </c>
      <c r="S3412" s="16">
        <v>0.4</v>
      </c>
      <c r="T3412" s="16">
        <v>0.6</v>
      </c>
      <c r="U3412" s="16">
        <v>0.6</v>
      </c>
      <c r="V3412" s="16">
        <v>0.6</v>
      </c>
      <c r="W3412" s="16">
        <v>0.6</v>
      </c>
      <c r="X3412" s="16">
        <v>0.6</v>
      </c>
      <c r="Y3412" s="16">
        <v>0.4</v>
      </c>
      <c r="Z3412" s="16">
        <v>0.2</v>
      </c>
      <c r="AA3412" s="16">
        <v>0.2</v>
      </c>
      <c r="AB3412" s="16">
        <v>0.2</v>
      </c>
      <c r="AC3412" s="16">
        <v>0.2</v>
      </c>
      <c r="AD3412" s="16">
        <v>0.05</v>
      </c>
      <c r="AE3412" s="16">
        <v>0.05</v>
      </c>
      <c r="AF3412" s="16" t="s">
        <v>411</v>
      </c>
    </row>
    <row r="3413" spans="1:32" ht="14.25" customHeight="1" x14ac:dyDescent="0.35">
      <c r="A3413" s="16" t="s">
        <v>1993</v>
      </c>
      <c r="B3413" s="16" t="s">
        <v>424</v>
      </c>
      <c r="C3413" s="16"/>
      <c r="D3413" s="16" t="s">
        <v>418</v>
      </c>
      <c r="E3413" s="17">
        <v>41640</v>
      </c>
      <c r="F3413" s="17">
        <v>42004</v>
      </c>
      <c r="G3413" s="16" t="s">
        <v>410</v>
      </c>
      <c r="H3413" s="16">
        <v>0</v>
      </c>
      <c r="I3413" s="16"/>
      <c r="J3413" s="16"/>
      <c r="K3413" s="16"/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16"/>
      <c r="AA3413" s="16"/>
      <c r="AB3413" s="16"/>
      <c r="AC3413" s="16"/>
      <c r="AD3413" s="16"/>
      <c r="AE3413" s="16"/>
      <c r="AF3413" s="16" t="s">
        <v>411</v>
      </c>
    </row>
    <row r="3414" spans="1:32" ht="14.25" customHeight="1" x14ac:dyDescent="0.35">
      <c r="A3414" s="16" t="s">
        <v>1994</v>
      </c>
      <c r="B3414" s="16" t="s">
        <v>448</v>
      </c>
      <c r="C3414" s="16"/>
      <c r="D3414" s="16" t="s">
        <v>417</v>
      </c>
      <c r="E3414" s="17">
        <v>41640</v>
      </c>
      <c r="F3414" s="17">
        <v>42004</v>
      </c>
      <c r="G3414" s="16" t="s">
        <v>415</v>
      </c>
      <c r="H3414" s="16">
        <v>0</v>
      </c>
      <c r="I3414" s="16">
        <v>0</v>
      </c>
      <c r="J3414" s="16">
        <v>0</v>
      </c>
      <c r="K3414" s="16">
        <v>0</v>
      </c>
      <c r="L3414" s="16">
        <v>0</v>
      </c>
      <c r="M3414" s="16">
        <v>0</v>
      </c>
      <c r="N3414" s="16">
        <v>0.1</v>
      </c>
      <c r="O3414" s="16">
        <v>0.1</v>
      </c>
      <c r="P3414" s="16">
        <v>0.2</v>
      </c>
      <c r="Q3414" s="16">
        <v>0.5</v>
      </c>
      <c r="R3414" s="16">
        <v>0.5</v>
      </c>
      <c r="S3414" s="16">
        <v>0.7</v>
      </c>
      <c r="T3414" s="16">
        <v>0.7</v>
      </c>
      <c r="U3414" s="16">
        <v>0.7</v>
      </c>
      <c r="V3414" s="16">
        <v>0.7</v>
      </c>
      <c r="W3414" s="16">
        <v>0.8</v>
      </c>
      <c r="X3414" s="16">
        <v>0.7</v>
      </c>
      <c r="Y3414" s="16">
        <v>0.5</v>
      </c>
      <c r="Z3414" s="16">
        <v>0.5</v>
      </c>
      <c r="AA3414" s="16">
        <v>0.3</v>
      </c>
      <c r="AB3414" s="16">
        <v>0.3</v>
      </c>
      <c r="AC3414" s="16">
        <v>0.3</v>
      </c>
      <c r="AD3414" s="16">
        <v>0</v>
      </c>
      <c r="AE3414" s="16">
        <v>0</v>
      </c>
      <c r="AF3414" s="16" t="s">
        <v>411</v>
      </c>
    </row>
    <row r="3415" spans="1:32" ht="14.25" customHeight="1" x14ac:dyDescent="0.35">
      <c r="A3415" s="16" t="s">
        <v>1994</v>
      </c>
      <c r="B3415" s="16" t="s">
        <v>448</v>
      </c>
      <c r="C3415" s="16"/>
      <c r="D3415" s="16" t="s">
        <v>512</v>
      </c>
      <c r="E3415" s="17">
        <v>41640</v>
      </c>
      <c r="F3415" s="17">
        <v>42004</v>
      </c>
      <c r="G3415" s="16" t="s">
        <v>415</v>
      </c>
      <c r="H3415" s="16">
        <v>0</v>
      </c>
      <c r="I3415" s="16">
        <v>0</v>
      </c>
      <c r="J3415" s="16">
        <v>0</v>
      </c>
      <c r="K3415" s="16">
        <v>0</v>
      </c>
      <c r="L3415" s="16">
        <v>0</v>
      </c>
      <c r="M3415" s="16">
        <v>0</v>
      </c>
      <c r="N3415" s="16">
        <v>0.1</v>
      </c>
      <c r="O3415" s="16">
        <v>0.1</v>
      </c>
      <c r="P3415" s="16">
        <v>0.2</v>
      </c>
      <c r="Q3415" s="16">
        <v>0.5</v>
      </c>
      <c r="R3415" s="16">
        <v>0.6</v>
      </c>
      <c r="S3415" s="16">
        <v>0.8</v>
      </c>
      <c r="T3415" s="16">
        <v>0.8</v>
      </c>
      <c r="U3415" s="16">
        <v>0.8</v>
      </c>
      <c r="V3415" s="16">
        <v>0.8</v>
      </c>
      <c r="W3415" s="16">
        <v>0.8</v>
      </c>
      <c r="X3415" s="16">
        <v>0.8</v>
      </c>
      <c r="Y3415" s="16">
        <v>0.6</v>
      </c>
      <c r="Z3415" s="16">
        <v>0.2</v>
      </c>
      <c r="AA3415" s="16">
        <v>0.2</v>
      </c>
      <c r="AB3415" s="16">
        <v>0.2</v>
      </c>
      <c r="AC3415" s="16">
        <v>0.1</v>
      </c>
      <c r="AD3415" s="16">
        <v>0</v>
      </c>
      <c r="AE3415" s="16">
        <v>0</v>
      </c>
      <c r="AF3415" s="16" t="s">
        <v>411</v>
      </c>
    </row>
    <row r="3416" spans="1:32" ht="14.25" customHeight="1" x14ac:dyDescent="0.35">
      <c r="A3416" s="16" t="s">
        <v>1994</v>
      </c>
      <c r="B3416" s="16" t="s">
        <v>448</v>
      </c>
      <c r="C3416" s="16"/>
      <c r="D3416" s="16" t="s">
        <v>419</v>
      </c>
      <c r="E3416" s="17">
        <v>41640</v>
      </c>
      <c r="F3416" s="17">
        <v>42004</v>
      </c>
      <c r="G3416" s="16" t="s">
        <v>410</v>
      </c>
      <c r="H3416" s="16">
        <v>1</v>
      </c>
      <c r="I3416" s="16"/>
      <c r="J3416" s="16"/>
      <c r="K3416" s="16"/>
      <c r="L3416" s="16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6"/>
      <c r="AA3416" s="16"/>
      <c r="AB3416" s="16"/>
      <c r="AC3416" s="16"/>
      <c r="AD3416" s="16"/>
      <c r="AE3416" s="16"/>
      <c r="AF3416" s="16" t="s">
        <v>411</v>
      </c>
    </row>
    <row r="3417" spans="1:32" ht="14.25" customHeight="1" x14ac:dyDescent="0.35">
      <c r="A3417" s="14" t="s">
        <v>1994</v>
      </c>
      <c r="B3417" s="14" t="s">
        <v>448</v>
      </c>
      <c r="C3417" s="14"/>
      <c r="D3417" s="14" t="s">
        <v>511</v>
      </c>
      <c r="E3417" s="15">
        <v>41640</v>
      </c>
      <c r="F3417" s="15">
        <v>42004</v>
      </c>
      <c r="G3417" s="14" t="s">
        <v>415</v>
      </c>
      <c r="H3417" s="14">
        <v>0</v>
      </c>
      <c r="I3417" s="14">
        <v>0</v>
      </c>
      <c r="J3417" s="14">
        <v>0</v>
      </c>
      <c r="K3417" s="14">
        <v>0</v>
      </c>
      <c r="L3417" s="14">
        <v>0</v>
      </c>
      <c r="M3417" s="14">
        <v>0</v>
      </c>
      <c r="N3417" s="14">
        <v>0.1</v>
      </c>
      <c r="O3417" s="14">
        <v>0.1</v>
      </c>
      <c r="P3417" s="14">
        <v>0.1</v>
      </c>
      <c r="Q3417" s="14">
        <v>0.1</v>
      </c>
      <c r="R3417" s="14">
        <v>0.2</v>
      </c>
      <c r="S3417" s="14">
        <v>0.2</v>
      </c>
      <c r="T3417" s="14">
        <v>0.4</v>
      </c>
      <c r="U3417" s="14">
        <v>0.4</v>
      </c>
      <c r="V3417" s="14">
        <v>0.4</v>
      </c>
      <c r="W3417" s="14">
        <v>0.4</v>
      </c>
      <c r="X3417" s="14">
        <v>0.4</v>
      </c>
      <c r="Y3417" s="14">
        <v>0.2</v>
      </c>
      <c r="Z3417" s="14">
        <v>0.1</v>
      </c>
      <c r="AA3417" s="14">
        <v>0.1</v>
      </c>
      <c r="AB3417" s="14">
        <v>0.1</v>
      </c>
      <c r="AC3417" s="14">
        <v>0.1</v>
      </c>
      <c r="AD3417" s="14">
        <v>0</v>
      </c>
      <c r="AE3417" s="14">
        <v>0</v>
      </c>
      <c r="AF3417" s="14" t="s">
        <v>411</v>
      </c>
    </row>
    <row r="3418" spans="1:32" ht="14.25" customHeight="1" x14ac:dyDescent="0.35">
      <c r="A3418" s="14" t="s">
        <v>1994</v>
      </c>
      <c r="B3418" s="14" t="s">
        <v>448</v>
      </c>
      <c r="C3418" s="14"/>
      <c r="D3418" s="14" t="s">
        <v>418</v>
      </c>
      <c r="E3418" s="15">
        <v>41640</v>
      </c>
      <c r="F3418" s="15">
        <v>42004</v>
      </c>
      <c r="G3418" s="14" t="s">
        <v>410</v>
      </c>
      <c r="H3418" s="14">
        <v>0</v>
      </c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S3418" s="14"/>
      <c r="T3418" s="14"/>
      <c r="U3418" s="14"/>
      <c r="V3418" s="14"/>
      <c r="W3418" s="14"/>
      <c r="X3418" s="14"/>
      <c r="Y3418" s="14"/>
      <c r="Z3418" s="14"/>
      <c r="AA3418" s="14"/>
      <c r="AB3418" s="14"/>
      <c r="AC3418" s="14"/>
      <c r="AD3418" s="14"/>
      <c r="AE3418" s="14"/>
      <c r="AF3418" s="14" t="s">
        <v>411</v>
      </c>
    </row>
    <row r="3419" spans="1:32" ht="14.25" customHeight="1" x14ac:dyDescent="0.35">
      <c r="A3419" s="14" t="s">
        <v>1995</v>
      </c>
      <c r="B3419" s="14" t="s">
        <v>460</v>
      </c>
      <c r="C3419" s="14"/>
      <c r="D3419" s="14" t="s">
        <v>453</v>
      </c>
      <c r="E3419" s="15">
        <v>41640</v>
      </c>
      <c r="F3419" s="15">
        <v>42004</v>
      </c>
      <c r="G3419" s="14" t="s">
        <v>415</v>
      </c>
      <c r="H3419" s="14">
        <v>0.04</v>
      </c>
      <c r="I3419" s="14">
        <v>0.05</v>
      </c>
      <c r="J3419" s="14">
        <v>0.05</v>
      </c>
      <c r="K3419" s="14">
        <v>0.04</v>
      </c>
      <c r="L3419" s="14">
        <v>0.04</v>
      </c>
      <c r="M3419" s="14">
        <v>0.04</v>
      </c>
      <c r="N3419" s="14">
        <v>0.04</v>
      </c>
      <c r="O3419" s="14">
        <v>0.15</v>
      </c>
      <c r="P3419" s="14">
        <v>0.23</v>
      </c>
      <c r="Q3419" s="14">
        <v>0.32</v>
      </c>
      <c r="R3419" s="14">
        <v>0.41</v>
      </c>
      <c r="S3419" s="14">
        <v>0.56999999999999995</v>
      </c>
      <c r="T3419" s="14">
        <v>0.62</v>
      </c>
      <c r="U3419" s="14">
        <v>0.61</v>
      </c>
      <c r="V3419" s="14">
        <v>0.5</v>
      </c>
      <c r="W3419" s="14">
        <v>0.45</v>
      </c>
      <c r="X3419" s="14">
        <v>0.46</v>
      </c>
      <c r="Y3419" s="14">
        <v>0.47</v>
      </c>
      <c r="Z3419" s="14">
        <v>0.42</v>
      </c>
      <c r="AA3419" s="14">
        <v>0.34</v>
      </c>
      <c r="AB3419" s="14">
        <v>0.33</v>
      </c>
      <c r="AC3419" s="14">
        <v>0.23</v>
      </c>
      <c r="AD3419" s="14">
        <v>0.13</v>
      </c>
      <c r="AE3419" s="14">
        <v>0.08</v>
      </c>
      <c r="AF3419" s="14" t="s">
        <v>411</v>
      </c>
    </row>
    <row r="3420" spans="1:32" ht="14.25" customHeight="1" x14ac:dyDescent="0.35">
      <c r="A3420" s="14" t="s">
        <v>1995</v>
      </c>
      <c r="B3420" s="14" t="s">
        <v>460</v>
      </c>
      <c r="C3420" s="14"/>
      <c r="D3420" s="14" t="s">
        <v>511</v>
      </c>
      <c r="E3420" s="15">
        <v>41640</v>
      </c>
      <c r="F3420" s="15">
        <v>42004</v>
      </c>
      <c r="G3420" s="14" t="s">
        <v>415</v>
      </c>
      <c r="H3420" s="14">
        <v>7.0000000000000007E-2</v>
      </c>
      <c r="I3420" s="14">
        <v>7.0000000000000007E-2</v>
      </c>
      <c r="J3420" s="14">
        <v>7.0000000000000007E-2</v>
      </c>
      <c r="K3420" s="14">
        <v>0.06</v>
      </c>
      <c r="L3420" s="14">
        <v>0.06</v>
      </c>
      <c r="M3420" s="14">
        <v>0.06</v>
      </c>
      <c r="N3420" s="14">
        <v>7.0000000000000007E-2</v>
      </c>
      <c r="O3420" s="14">
        <v>0.1</v>
      </c>
      <c r="P3420" s="14">
        <v>0.12</v>
      </c>
      <c r="Q3420" s="14">
        <v>0.14000000000000001</v>
      </c>
      <c r="R3420" s="14">
        <v>0.28999999999999998</v>
      </c>
      <c r="S3420" s="14">
        <v>0.31</v>
      </c>
      <c r="T3420" s="14">
        <v>0.36</v>
      </c>
      <c r="U3420" s="14">
        <v>0.36</v>
      </c>
      <c r="V3420" s="14">
        <v>0.34</v>
      </c>
      <c r="W3420" s="14">
        <v>0.35</v>
      </c>
      <c r="X3420" s="14">
        <v>0.37</v>
      </c>
      <c r="Y3420" s="14">
        <v>0.34</v>
      </c>
      <c r="Z3420" s="14">
        <v>0.25</v>
      </c>
      <c r="AA3420" s="14">
        <v>0.27</v>
      </c>
      <c r="AB3420" s="14">
        <v>0.21</v>
      </c>
      <c r="AC3420" s="14">
        <v>0.16</v>
      </c>
      <c r="AD3420" s="14">
        <v>0.1</v>
      </c>
      <c r="AE3420" s="14">
        <v>0.06</v>
      </c>
      <c r="AF3420" s="14" t="s">
        <v>411</v>
      </c>
    </row>
    <row r="3421" spans="1:32" ht="14.25" customHeight="1" x14ac:dyDescent="0.35">
      <c r="A3421" s="16" t="s">
        <v>1995</v>
      </c>
      <c r="B3421" s="16" t="s">
        <v>460</v>
      </c>
      <c r="C3421" s="16"/>
      <c r="D3421" s="16" t="s">
        <v>514</v>
      </c>
      <c r="E3421" s="17">
        <v>41640</v>
      </c>
      <c r="F3421" s="17">
        <v>42004</v>
      </c>
      <c r="G3421" s="16" t="s">
        <v>415</v>
      </c>
      <c r="H3421" s="16">
        <v>0.11</v>
      </c>
      <c r="I3421" s="16">
        <v>0.1</v>
      </c>
      <c r="J3421" s="16">
        <v>0.08</v>
      </c>
      <c r="K3421" s="16">
        <v>0.06</v>
      </c>
      <c r="L3421" s="16">
        <v>0.06</v>
      </c>
      <c r="M3421" s="16">
        <v>0.06</v>
      </c>
      <c r="N3421" s="16">
        <v>7.0000000000000007E-2</v>
      </c>
      <c r="O3421" s="16">
        <v>0.2</v>
      </c>
      <c r="P3421" s="16">
        <v>0.24</v>
      </c>
      <c r="Q3421" s="16">
        <v>0.27</v>
      </c>
      <c r="R3421" s="16">
        <v>0.42</v>
      </c>
      <c r="S3421" s="16">
        <v>0.54</v>
      </c>
      <c r="T3421" s="16">
        <v>0.59</v>
      </c>
      <c r="U3421" s="16">
        <v>0.6</v>
      </c>
      <c r="V3421" s="16">
        <v>0.49</v>
      </c>
      <c r="W3421" s="16">
        <v>0.48</v>
      </c>
      <c r="X3421" s="16">
        <v>0.47</v>
      </c>
      <c r="Y3421" s="16">
        <v>0.46</v>
      </c>
      <c r="Z3421" s="16">
        <v>0.44</v>
      </c>
      <c r="AA3421" s="16">
        <v>0.36</v>
      </c>
      <c r="AB3421" s="16">
        <v>0.28999999999999998</v>
      </c>
      <c r="AC3421" s="16">
        <v>0.22</v>
      </c>
      <c r="AD3421" s="16">
        <v>0.16</v>
      </c>
      <c r="AE3421" s="16">
        <v>0.13</v>
      </c>
      <c r="AF3421" s="16" t="s">
        <v>411</v>
      </c>
    </row>
    <row r="3422" spans="1:32" ht="14.25" customHeight="1" x14ac:dyDescent="0.35">
      <c r="A3422" s="16" t="s">
        <v>1996</v>
      </c>
      <c r="B3422" s="16" t="s">
        <v>420</v>
      </c>
      <c r="C3422" s="16" t="s">
        <v>414</v>
      </c>
      <c r="D3422" s="16" t="s">
        <v>453</v>
      </c>
      <c r="E3422" s="17">
        <v>41640</v>
      </c>
      <c r="F3422" s="17">
        <v>42004</v>
      </c>
      <c r="G3422" s="16" t="s">
        <v>415</v>
      </c>
      <c r="H3422" s="16">
        <v>30</v>
      </c>
      <c r="I3422" s="16">
        <v>30</v>
      </c>
      <c r="J3422" s="16">
        <v>30</v>
      </c>
      <c r="K3422" s="16">
        <v>30</v>
      </c>
      <c r="L3422" s="16">
        <v>30</v>
      </c>
      <c r="M3422" s="16">
        <v>30</v>
      </c>
      <c r="N3422" s="16">
        <v>24</v>
      </c>
      <c r="O3422" s="16">
        <v>24</v>
      </c>
      <c r="P3422" s="16">
        <v>24</v>
      </c>
      <c r="Q3422" s="16">
        <v>24</v>
      </c>
      <c r="R3422" s="16">
        <v>24</v>
      </c>
      <c r="S3422" s="16">
        <v>24</v>
      </c>
      <c r="T3422" s="16">
        <v>24</v>
      </c>
      <c r="U3422" s="16">
        <v>24</v>
      </c>
      <c r="V3422" s="16">
        <v>24</v>
      </c>
      <c r="W3422" s="16">
        <v>24</v>
      </c>
      <c r="X3422" s="16">
        <v>24</v>
      </c>
      <c r="Y3422" s="16">
        <v>24</v>
      </c>
      <c r="Z3422" s="16">
        <v>24</v>
      </c>
      <c r="AA3422" s="16">
        <v>24</v>
      </c>
      <c r="AB3422" s="16">
        <v>24</v>
      </c>
      <c r="AC3422" s="16">
        <v>24</v>
      </c>
      <c r="AD3422" s="16">
        <v>30</v>
      </c>
      <c r="AE3422" s="16">
        <v>30</v>
      </c>
      <c r="AF3422" s="16" t="s">
        <v>411</v>
      </c>
    </row>
    <row r="3423" spans="1:32" ht="14.25" customHeight="1" x14ac:dyDescent="0.35">
      <c r="A3423" s="14" t="s">
        <v>1996</v>
      </c>
      <c r="B3423" s="14" t="s">
        <v>420</v>
      </c>
      <c r="C3423" s="14" t="s">
        <v>414</v>
      </c>
      <c r="D3423" s="14" t="s">
        <v>418</v>
      </c>
      <c r="E3423" s="15">
        <v>41640</v>
      </c>
      <c r="F3423" s="15">
        <v>42004</v>
      </c>
      <c r="G3423" s="14" t="s">
        <v>410</v>
      </c>
      <c r="H3423" s="14">
        <v>30</v>
      </c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4"/>
      <c r="Z3423" s="14"/>
      <c r="AA3423" s="14"/>
      <c r="AB3423" s="14"/>
      <c r="AC3423" s="14"/>
      <c r="AD3423" s="14"/>
      <c r="AE3423" s="14"/>
      <c r="AF3423" s="14" t="s">
        <v>411</v>
      </c>
    </row>
    <row r="3424" spans="1:32" ht="14.25" customHeight="1" x14ac:dyDescent="0.35">
      <c r="A3424" s="16" t="s">
        <v>1997</v>
      </c>
      <c r="B3424" s="16" t="s">
        <v>518</v>
      </c>
      <c r="C3424" s="16"/>
      <c r="D3424" s="16" t="s">
        <v>476</v>
      </c>
      <c r="E3424" s="17">
        <v>41640</v>
      </c>
      <c r="F3424" s="17">
        <v>42004</v>
      </c>
      <c r="G3424" s="16" t="s">
        <v>410</v>
      </c>
      <c r="H3424" s="16">
        <v>1</v>
      </c>
      <c r="I3424" s="16"/>
      <c r="J3424" s="16"/>
      <c r="K3424" s="16"/>
      <c r="L3424" s="16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6"/>
      <c r="AA3424" s="16"/>
      <c r="AB3424" s="16"/>
      <c r="AC3424" s="16"/>
      <c r="AD3424" s="16"/>
      <c r="AE3424" s="16"/>
      <c r="AF3424" s="16" t="s">
        <v>411</v>
      </c>
    </row>
    <row r="3425" spans="1:32" ht="14.25" customHeight="1" x14ac:dyDescent="0.35">
      <c r="A3425" s="14" t="s">
        <v>1997</v>
      </c>
      <c r="B3425" s="14" t="s">
        <v>518</v>
      </c>
      <c r="C3425" s="14"/>
      <c r="D3425" s="14" t="s">
        <v>419</v>
      </c>
      <c r="E3425" s="15">
        <v>41640</v>
      </c>
      <c r="F3425" s="15">
        <v>42004</v>
      </c>
      <c r="G3425" s="14" t="s">
        <v>410</v>
      </c>
      <c r="H3425" s="14">
        <v>0.5</v>
      </c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S3425" s="14"/>
      <c r="T3425" s="14"/>
      <c r="U3425" s="14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 t="s">
        <v>411</v>
      </c>
    </row>
    <row r="3426" spans="1:32" ht="14.25" customHeight="1" x14ac:dyDescent="0.35">
      <c r="A3426" s="16" t="s">
        <v>1997</v>
      </c>
      <c r="B3426" s="16" t="s">
        <v>518</v>
      </c>
      <c r="C3426" s="16"/>
      <c r="D3426" s="16" t="s">
        <v>454</v>
      </c>
      <c r="E3426" s="17">
        <v>41913</v>
      </c>
      <c r="F3426" s="17">
        <v>42004</v>
      </c>
      <c r="G3426" s="16" t="s">
        <v>410</v>
      </c>
      <c r="H3426" s="16">
        <v>1</v>
      </c>
      <c r="I3426" s="16"/>
      <c r="J3426" s="16"/>
      <c r="K3426" s="16"/>
      <c r="L3426" s="16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/>
      <c r="AB3426" s="16"/>
      <c r="AC3426" s="16"/>
      <c r="AD3426" s="16"/>
      <c r="AE3426" s="16"/>
      <c r="AF3426" s="16" t="s">
        <v>411</v>
      </c>
    </row>
    <row r="3427" spans="1:32" ht="14.25" customHeight="1" x14ac:dyDescent="0.35">
      <c r="A3427" s="14" t="s">
        <v>1997</v>
      </c>
      <c r="B3427" s="14" t="s">
        <v>518</v>
      </c>
      <c r="C3427" s="14"/>
      <c r="D3427" s="14" t="s">
        <v>454</v>
      </c>
      <c r="E3427" s="15">
        <v>41760</v>
      </c>
      <c r="F3427" s="15">
        <v>41912</v>
      </c>
      <c r="G3427" s="14" t="s">
        <v>410</v>
      </c>
      <c r="H3427" s="14">
        <v>0.5</v>
      </c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  <c r="U3427" s="14"/>
      <c r="V3427" s="14"/>
      <c r="W3427" s="14"/>
      <c r="X3427" s="14"/>
      <c r="Y3427" s="14"/>
      <c r="Z3427" s="14"/>
      <c r="AA3427" s="14"/>
      <c r="AB3427" s="14"/>
      <c r="AC3427" s="14"/>
      <c r="AD3427" s="14"/>
      <c r="AE3427" s="14"/>
      <c r="AF3427" s="14" t="s">
        <v>411</v>
      </c>
    </row>
    <row r="3428" spans="1:32" ht="14.25" customHeight="1" x14ac:dyDescent="0.35">
      <c r="A3428" s="16" t="s">
        <v>1998</v>
      </c>
      <c r="B3428" s="16" t="s">
        <v>420</v>
      </c>
      <c r="C3428" s="16" t="s">
        <v>414</v>
      </c>
      <c r="D3428" s="16" t="s">
        <v>476</v>
      </c>
      <c r="E3428" s="17">
        <v>41640</v>
      </c>
      <c r="F3428" s="17">
        <v>42004</v>
      </c>
      <c r="G3428" s="16" t="s">
        <v>415</v>
      </c>
      <c r="H3428" s="16">
        <v>15.6</v>
      </c>
      <c r="I3428" s="16">
        <v>15.6</v>
      </c>
      <c r="J3428" s="16">
        <v>15.6</v>
      </c>
      <c r="K3428" s="16">
        <v>15.6</v>
      </c>
      <c r="L3428" s="16">
        <v>15.6</v>
      </c>
      <c r="M3428" s="16">
        <v>15.6</v>
      </c>
      <c r="N3428" s="16">
        <v>21</v>
      </c>
      <c r="O3428" s="16">
        <v>21</v>
      </c>
      <c r="P3428" s="16">
        <v>21</v>
      </c>
      <c r="Q3428" s="16">
        <v>21</v>
      </c>
      <c r="R3428" s="16">
        <v>21</v>
      </c>
      <c r="S3428" s="16">
        <v>21</v>
      </c>
      <c r="T3428" s="16">
        <v>21</v>
      </c>
      <c r="U3428" s="16">
        <v>21</v>
      </c>
      <c r="V3428" s="16">
        <v>21</v>
      </c>
      <c r="W3428" s="16">
        <v>21</v>
      </c>
      <c r="X3428" s="16">
        <v>21</v>
      </c>
      <c r="Y3428" s="16">
        <v>21</v>
      </c>
      <c r="Z3428" s="16">
        <v>21</v>
      </c>
      <c r="AA3428" s="16">
        <v>21</v>
      </c>
      <c r="AB3428" s="16">
        <v>21</v>
      </c>
      <c r="AC3428" s="16">
        <v>21</v>
      </c>
      <c r="AD3428" s="16">
        <v>15.6</v>
      </c>
      <c r="AE3428" s="16">
        <v>15.6</v>
      </c>
      <c r="AF3428" s="16" t="s">
        <v>411</v>
      </c>
    </row>
    <row r="3429" spans="1:32" ht="14.25" customHeight="1" x14ac:dyDescent="0.35">
      <c r="A3429" s="14" t="s">
        <v>1998</v>
      </c>
      <c r="B3429" s="14" t="s">
        <v>420</v>
      </c>
      <c r="C3429" s="14" t="s">
        <v>414</v>
      </c>
      <c r="D3429" s="14" t="s">
        <v>419</v>
      </c>
      <c r="E3429" s="15">
        <v>41640</v>
      </c>
      <c r="F3429" s="15">
        <v>42004</v>
      </c>
      <c r="G3429" s="14" t="s">
        <v>410</v>
      </c>
      <c r="H3429" s="14">
        <v>15.6</v>
      </c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  <c r="U3429" s="14"/>
      <c r="V3429" s="14"/>
      <c r="W3429" s="14"/>
      <c r="X3429" s="14"/>
      <c r="Y3429" s="14"/>
      <c r="Z3429" s="14"/>
      <c r="AA3429" s="14"/>
      <c r="AB3429" s="14"/>
      <c r="AC3429" s="14"/>
      <c r="AD3429" s="14"/>
      <c r="AE3429" s="14"/>
      <c r="AF3429" s="14" t="s">
        <v>411</v>
      </c>
    </row>
    <row r="3430" spans="1:32" ht="14.25" customHeight="1" x14ac:dyDescent="0.35">
      <c r="A3430" s="16" t="s">
        <v>1999</v>
      </c>
      <c r="B3430" s="16" t="s">
        <v>441</v>
      </c>
      <c r="C3430" s="16"/>
      <c r="D3430" s="16" t="s">
        <v>2000</v>
      </c>
      <c r="E3430" s="17">
        <v>41640</v>
      </c>
      <c r="F3430" s="17">
        <v>42004</v>
      </c>
      <c r="G3430" s="16" t="s">
        <v>415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0.5</v>
      </c>
      <c r="O3430" s="16">
        <v>0.5</v>
      </c>
      <c r="P3430" s="16">
        <v>0.5</v>
      </c>
      <c r="Q3430" s="16">
        <v>0.5</v>
      </c>
      <c r="R3430" s="16">
        <v>0.5</v>
      </c>
      <c r="S3430" s="16">
        <v>0.5</v>
      </c>
      <c r="T3430" s="16">
        <v>0.5</v>
      </c>
      <c r="U3430" s="16">
        <v>0.5</v>
      </c>
      <c r="V3430" s="16">
        <v>0.5</v>
      </c>
      <c r="W3430" s="16">
        <v>0.5</v>
      </c>
      <c r="X3430" s="16">
        <v>0.5</v>
      </c>
      <c r="Y3430" s="16">
        <v>0.5</v>
      </c>
      <c r="Z3430" s="16">
        <v>0.5</v>
      </c>
      <c r="AA3430" s="16">
        <v>0.5</v>
      </c>
      <c r="AB3430" s="16">
        <v>0.5</v>
      </c>
      <c r="AC3430" s="16">
        <v>0.5</v>
      </c>
      <c r="AD3430" s="16">
        <v>1</v>
      </c>
      <c r="AE3430" s="16">
        <v>1</v>
      </c>
      <c r="AF3430" s="16" t="s">
        <v>411</v>
      </c>
    </row>
    <row r="3431" spans="1:32" ht="14.25" customHeight="1" x14ac:dyDescent="0.35">
      <c r="A3431" s="16" t="s">
        <v>1999</v>
      </c>
      <c r="B3431" s="16" t="s">
        <v>441</v>
      </c>
      <c r="C3431" s="16"/>
      <c r="D3431" s="16" t="s">
        <v>511</v>
      </c>
      <c r="E3431" s="17">
        <v>41640</v>
      </c>
      <c r="F3431" s="17">
        <v>42004</v>
      </c>
      <c r="G3431" s="16" t="s">
        <v>415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0.5</v>
      </c>
      <c r="Q3431" s="16">
        <v>0.5</v>
      </c>
      <c r="R3431" s="16">
        <v>0.5</v>
      </c>
      <c r="S3431" s="16">
        <v>0.5</v>
      </c>
      <c r="T3431" s="16">
        <v>0.5</v>
      </c>
      <c r="U3431" s="16">
        <v>0.5</v>
      </c>
      <c r="V3431" s="16">
        <v>0.5</v>
      </c>
      <c r="W3431" s="16">
        <v>0.5</v>
      </c>
      <c r="X3431" s="16">
        <v>0.5</v>
      </c>
      <c r="Y3431" s="16">
        <v>1</v>
      </c>
      <c r="Z3431" s="16">
        <v>1</v>
      </c>
      <c r="AA3431" s="16">
        <v>1</v>
      </c>
      <c r="AB3431" s="16">
        <v>1</v>
      </c>
      <c r="AC3431" s="16">
        <v>1</v>
      </c>
      <c r="AD3431" s="16">
        <v>1</v>
      </c>
      <c r="AE3431" s="16">
        <v>1</v>
      </c>
      <c r="AF3431" s="16" t="s">
        <v>411</v>
      </c>
    </row>
    <row r="3432" spans="1:32" ht="14.25" customHeight="1" x14ac:dyDescent="0.35">
      <c r="A3432" s="14" t="s">
        <v>1999</v>
      </c>
      <c r="B3432" s="14" t="s">
        <v>441</v>
      </c>
      <c r="C3432" s="14"/>
      <c r="D3432" s="14" t="s">
        <v>418</v>
      </c>
      <c r="E3432" s="15">
        <v>41640</v>
      </c>
      <c r="F3432" s="15">
        <v>42004</v>
      </c>
      <c r="G3432" s="14" t="s">
        <v>410</v>
      </c>
      <c r="H3432" s="14">
        <v>1</v>
      </c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  <c r="U3432" s="14"/>
      <c r="V3432" s="14"/>
      <c r="W3432" s="14"/>
      <c r="X3432" s="14"/>
      <c r="Y3432" s="14"/>
      <c r="Z3432" s="14"/>
      <c r="AA3432" s="14"/>
      <c r="AB3432" s="14"/>
      <c r="AC3432" s="14"/>
      <c r="AD3432" s="14"/>
      <c r="AE3432" s="14"/>
      <c r="AF3432" s="14" t="s">
        <v>411</v>
      </c>
    </row>
    <row r="3433" spans="1:32" ht="14.25" customHeight="1" x14ac:dyDescent="0.35">
      <c r="A3433" s="14" t="s">
        <v>2001</v>
      </c>
      <c r="B3433" s="14" t="s">
        <v>408</v>
      </c>
      <c r="C3433" s="14"/>
      <c r="D3433" s="14" t="s">
        <v>409</v>
      </c>
      <c r="E3433" s="15">
        <v>41640</v>
      </c>
      <c r="F3433" s="15">
        <v>42004</v>
      </c>
      <c r="G3433" s="14" t="s">
        <v>410</v>
      </c>
      <c r="H3433" s="14">
        <v>0</v>
      </c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  <c r="U3433" s="14"/>
      <c r="V3433" s="14"/>
      <c r="W3433" s="14"/>
      <c r="X3433" s="14"/>
      <c r="Y3433" s="14"/>
      <c r="Z3433" s="14"/>
      <c r="AA3433" s="14"/>
      <c r="AB3433" s="14"/>
      <c r="AC3433" s="14"/>
      <c r="AD3433" s="14"/>
      <c r="AE3433" s="14"/>
      <c r="AF3433" s="14" t="s">
        <v>411</v>
      </c>
    </row>
    <row r="3434" spans="1:32" ht="14.25" customHeight="1" x14ac:dyDescent="0.35">
      <c r="A3434" s="16" t="s">
        <v>2002</v>
      </c>
      <c r="B3434" s="16" t="s">
        <v>408</v>
      </c>
      <c r="C3434" s="16"/>
      <c r="D3434" s="16" t="s">
        <v>409</v>
      </c>
      <c r="E3434" s="17">
        <v>41640</v>
      </c>
      <c r="F3434" s="17">
        <v>42004</v>
      </c>
      <c r="G3434" s="16" t="s">
        <v>410</v>
      </c>
      <c r="H3434" s="16">
        <v>0</v>
      </c>
      <c r="I3434" s="16"/>
      <c r="J3434" s="16"/>
      <c r="K3434" s="16"/>
      <c r="L3434" s="16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/>
      <c r="AB3434" s="16"/>
      <c r="AC3434" s="16"/>
      <c r="AD3434" s="16"/>
      <c r="AE3434" s="16"/>
      <c r="AF3434" s="16" t="s">
        <v>413</v>
      </c>
    </row>
    <row r="3435" spans="1:32" ht="14.25" customHeight="1" x14ac:dyDescent="0.35">
      <c r="A3435" s="14" t="s">
        <v>2003</v>
      </c>
      <c r="B3435" s="14" t="s">
        <v>408</v>
      </c>
      <c r="C3435" s="14"/>
      <c r="D3435" s="14" t="s">
        <v>409</v>
      </c>
      <c r="E3435" s="15">
        <v>41640</v>
      </c>
      <c r="F3435" s="15">
        <v>42004</v>
      </c>
      <c r="G3435" s="14" t="s">
        <v>410</v>
      </c>
      <c r="H3435" s="14">
        <v>1</v>
      </c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S3435" s="14"/>
      <c r="T3435" s="14"/>
      <c r="U3435" s="14"/>
      <c r="V3435" s="14"/>
      <c r="W3435" s="14"/>
      <c r="X3435" s="14"/>
      <c r="Y3435" s="14"/>
      <c r="Z3435" s="14"/>
      <c r="AA3435" s="14"/>
      <c r="AB3435" s="14"/>
      <c r="AC3435" s="14"/>
      <c r="AD3435" s="14"/>
      <c r="AE3435" s="14"/>
      <c r="AF3435" s="14" t="s">
        <v>413</v>
      </c>
    </row>
    <row r="3436" spans="1:32" ht="14.25" customHeight="1" x14ac:dyDescent="0.35">
      <c r="A3436" s="16" t="s">
        <v>2004</v>
      </c>
      <c r="B3436" s="16" t="s">
        <v>408</v>
      </c>
      <c r="C3436" s="16"/>
      <c r="D3436" s="16" t="s">
        <v>409</v>
      </c>
      <c r="E3436" s="17">
        <v>41640</v>
      </c>
      <c r="F3436" s="17">
        <v>42004</v>
      </c>
      <c r="G3436" s="16" t="s">
        <v>410</v>
      </c>
      <c r="H3436" s="16">
        <v>0</v>
      </c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6"/>
      <c r="AA3436" s="16"/>
      <c r="AB3436" s="16"/>
      <c r="AC3436" s="16"/>
      <c r="AD3436" s="16"/>
      <c r="AE3436" s="16"/>
      <c r="AF3436" s="16" t="s">
        <v>413</v>
      </c>
    </row>
    <row r="3437" spans="1:32" ht="14.25" customHeight="1" x14ac:dyDescent="0.35">
      <c r="A3437" s="14" t="s">
        <v>2005</v>
      </c>
      <c r="B3437" s="14" t="s">
        <v>408</v>
      </c>
      <c r="C3437" s="14"/>
      <c r="D3437" s="14" t="s">
        <v>409</v>
      </c>
      <c r="E3437" s="15">
        <v>41640</v>
      </c>
      <c r="F3437" s="15">
        <v>42004</v>
      </c>
      <c r="G3437" s="14" t="s">
        <v>410</v>
      </c>
      <c r="H3437" s="14">
        <v>1</v>
      </c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S3437" s="14"/>
      <c r="T3437" s="14"/>
      <c r="U3437" s="14"/>
      <c r="V3437" s="14"/>
      <c r="W3437" s="14"/>
      <c r="X3437" s="14"/>
      <c r="Y3437" s="14"/>
      <c r="Z3437" s="14"/>
      <c r="AA3437" s="14"/>
      <c r="AB3437" s="14"/>
      <c r="AC3437" s="14"/>
      <c r="AD3437" s="14"/>
      <c r="AE3437" s="14"/>
      <c r="AF3437" s="14" t="s">
        <v>413</v>
      </c>
    </row>
    <row r="3438" spans="1:32" ht="14.25" customHeight="1" x14ac:dyDescent="0.35">
      <c r="A3438" s="14" t="s">
        <v>2006</v>
      </c>
      <c r="B3438" s="14" t="s">
        <v>427</v>
      </c>
      <c r="C3438" s="14"/>
      <c r="D3438" s="14" t="s">
        <v>417</v>
      </c>
      <c r="E3438" s="15">
        <v>41640</v>
      </c>
      <c r="F3438" s="15">
        <v>42004</v>
      </c>
      <c r="G3438" s="14" t="s">
        <v>415</v>
      </c>
      <c r="H3438" s="14">
        <v>0.1</v>
      </c>
      <c r="I3438" s="14">
        <v>0.1</v>
      </c>
      <c r="J3438" s="14">
        <v>0.1</v>
      </c>
      <c r="K3438" s="14">
        <v>0.1</v>
      </c>
      <c r="L3438" s="14">
        <v>0.1</v>
      </c>
      <c r="M3438" s="14">
        <v>0.1</v>
      </c>
      <c r="N3438" s="14">
        <v>0.1</v>
      </c>
      <c r="O3438" s="14">
        <v>0.5</v>
      </c>
      <c r="P3438" s="14">
        <v>0.8</v>
      </c>
      <c r="Q3438" s="14">
        <v>0.9</v>
      </c>
      <c r="R3438" s="14">
        <v>0.9</v>
      </c>
      <c r="S3438" s="14">
        <v>0.9</v>
      </c>
      <c r="T3438" s="14">
        <v>0.8</v>
      </c>
      <c r="U3438" s="14">
        <v>0.9</v>
      </c>
      <c r="V3438" s="14">
        <v>0.9</v>
      </c>
      <c r="W3438" s="14">
        <v>0.9</v>
      </c>
      <c r="X3438" s="14">
        <v>0.9</v>
      </c>
      <c r="Y3438" s="14">
        <v>0.4</v>
      </c>
      <c r="Z3438" s="14">
        <v>0.1</v>
      </c>
      <c r="AA3438" s="14">
        <v>0.1</v>
      </c>
      <c r="AB3438" s="14">
        <v>0.1</v>
      </c>
      <c r="AC3438" s="14">
        <v>0.1</v>
      </c>
      <c r="AD3438" s="14">
        <v>0.1</v>
      </c>
      <c r="AE3438" s="14">
        <v>0.1</v>
      </c>
      <c r="AF3438" s="14" t="s">
        <v>411</v>
      </c>
    </row>
    <row r="3439" spans="1:32" ht="14.25" customHeight="1" x14ac:dyDescent="0.35">
      <c r="A3439" s="14" t="s">
        <v>2006</v>
      </c>
      <c r="B3439" s="14" t="s">
        <v>427</v>
      </c>
      <c r="C3439" s="14"/>
      <c r="D3439" s="14" t="s">
        <v>512</v>
      </c>
      <c r="E3439" s="15">
        <v>41640</v>
      </c>
      <c r="F3439" s="15">
        <v>42004</v>
      </c>
      <c r="G3439" s="14" t="s">
        <v>415</v>
      </c>
      <c r="H3439" s="14">
        <v>0.1</v>
      </c>
      <c r="I3439" s="14">
        <v>0.1</v>
      </c>
      <c r="J3439" s="14">
        <v>0.1</v>
      </c>
      <c r="K3439" s="14">
        <v>0.1</v>
      </c>
      <c r="L3439" s="14">
        <v>0.1</v>
      </c>
      <c r="M3439" s="14">
        <v>0.1</v>
      </c>
      <c r="N3439" s="14">
        <v>0.1</v>
      </c>
      <c r="O3439" s="14">
        <v>0.1</v>
      </c>
      <c r="P3439" s="14">
        <v>0.2</v>
      </c>
      <c r="Q3439" s="14">
        <v>0.4</v>
      </c>
      <c r="R3439" s="14">
        <v>0.4</v>
      </c>
      <c r="S3439" s="14">
        <v>0.4</v>
      </c>
      <c r="T3439" s="14">
        <v>0.1</v>
      </c>
      <c r="U3439" s="14">
        <v>0.1</v>
      </c>
      <c r="V3439" s="14">
        <v>0.1</v>
      </c>
      <c r="W3439" s="14">
        <v>0.1</v>
      </c>
      <c r="X3439" s="14">
        <v>0.1</v>
      </c>
      <c r="Y3439" s="14">
        <v>0.1</v>
      </c>
      <c r="Z3439" s="14">
        <v>0.1</v>
      </c>
      <c r="AA3439" s="14">
        <v>0.1</v>
      </c>
      <c r="AB3439" s="14">
        <v>0.1</v>
      </c>
      <c r="AC3439" s="14">
        <v>0.1</v>
      </c>
      <c r="AD3439" s="14">
        <v>0.1</v>
      </c>
      <c r="AE3439" s="14">
        <v>0.1</v>
      </c>
      <c r="AF3439" s="14" t="s">
        <v>411</v>
      </c>
    </row>
    <row r="3440" spans="1:32" ht="14.25" customHeight="1" x14ac:dyDescent="0.35">
      <c r="A3440" s="14" t="s">
        <v>2006</v>
      </c>
      <c r="B3440" s="14" t="s">
        <v>427</v>
      </c>
      <c r="C3440" s="14"/>
      <c r="D3440" s="14" t="s">
        <v>419</v>
      </c>
      <c r="E3440" s="15">
        <v>41640</v>
      </c>
      <c r="F3440" s="15">
        <v>42004</v>
      </c>
      <c r="G3440" s="14" t="s">
        <v>410</v>
      </c>
      <c r="H3440" s="14">
        <v>1</v>
      </c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S3440" s="14"/>
      <c r="T3440" s="14"/>
      <c r="U3440" s="14"/>
      <c r="V3440" s="14"/>
      <c r="W3440" s="14"/>
      <c r="X3440" s="14"/>
      <c r="Y3440" s="14"/>
      <c r="Z3440" s="14"/>
      <c r="AA3440" s="14"/>
      <c r="AB3440" s="14"/>
      <c r="AC3440" s="14"/>
      <c r="AD3440" s="14"/>
      <c r="AE3440" s="14"/>
      <c r="AF3440" s="14" t="s">
        <v>411</v>
      </c>
    </row>
    <row r="3441" spans="1:32" ht="14.25" customHeight="1" x14ac:dyDescent="0.35">
      <c r="A3441" s="16" t="s">
        <v>2006</v>
      </c>
      <c r="B3441" s="16" t="s">
        <v>427</v>
      </c>
      <c r="C3441" s="16"/>
      <c r="D3441" s="16" t="s">
        <v>511</v>
      </c>
      <c r="E3441" s="17">
        <v>41640</v>
      </c>
      <c r="F3441" s="17">
        <v>42004</v>
      </c>
      <c r="G3441" s="16" t="s">
        <v>410</v>
      </c>
      <c r="H3441" s="16">
        <v>0.1</v>
      </c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  <c r="AC3441" s="16"/>
      <c r="AD3441" s="16"/>
      <c r="AE3441" s="16"/>
      <c r="AF3441" s="16" t="s">
        <v>411</v>
      </c>
    </row>
    <row r="3442" spans="1:32" ht="14.25" customHeight="1" x14ac:dyDescent="0.35">
      <c r="A3442" s="16" t="s">
        <v>2006</v>
      </c>
      <c r="B3442" s="16" t="s">
        <v>427</v>
      </c>
      <c r="C3442" s="16"/>
      <c r="D3442" s="16" t="s">
        <v>418</v>
      </c>
      <c r="E3442" s="17">
        <v>41640</v>
      </c>
      <c r="F3442" s="17">
        <v>42004</v>
      </c>
      <c r="G3442" s="16" t="s">
        <v>410</v>
      </c>
      <c r="H3442" s="16">
        <v>0</v>
      </c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/>
      <c r="AB3442" s="16"/>
      <c r="AC3442" s="16"/>
      <c r="AD3442" s="16"/>
      <c r="AE3442" s="16"/>
      <c r="AF3442" s="16" t="s">
        <v>411</v>
      </c>
    </row>
    <row r="3443" spans="1:32" ht="14.25" customHeight="1" x14ac:dyDescent="0.35">
      <c r="A3443" s="16" t="s">
        <v>2007</v>
      </c>
      <c r="B3443" s="16" t="s">
        <v>424</v>
      </c>
      <c r="C3443" s="16"/>
      <c r="D3443" s="16" t="s">
        <v>417</v>
      </c>
      <c r="E3443" s="17">
        <v>41640</v>
      </c>
      <c r="F3443" s="17">
        <v>42004</v>
      </c>
      <c r="G3443" s="16" t="s">
        <v>415</v>
      </c>
      <c r="H3443" s="16">
        <v>0.1</v>
      </c>
      <c r="I3443" s="16">
        <v>0.1</v>
      </c>
      <c r="J3443" s="16">
        <v>0.1</v>
      </c>
      <c r="K3443" s="16">
        <v>0.1</v>
      </c>
      <c r="L3443" s="16">
        <v>0.1</v>
      </c>
      <c r="M3443" s="16">
        <v>0.1</v>
      </c>
      <c r="N3443" s="16">
        <v>0.1</v>
      </c>
      <c r="O3443" s="16">
        <v>0.4</v>
      </c>
      <c r="P3443" s="16">
        <v>0.7</v>
      </c>
      <c r="Q3443" s="16">
        <v>0.9</v>
      </c>
      <c r="R3443" s="16">
        <v>0.9</v>
      </c>
      <c r="S3443" s="16">
        <v>0.9</v>
      </c>
      <c r="T3443" s="16">
        <v>0.8</v>
      </c>
      <c r="U3443" s="16">
        <v>0.9</v>
      </c>
      <c r="V3443" s="16">
        <v>0.9</v>
      </c>
      <c r="W3443" s="16">
        <v>0.9</v>
      </c>
      <c r="X3443" s="16">
        <v>0.9</v>
      </c>
      <c r="Y3443" s="16">
        <v>0.3</v>
      </c>
      <c r="Z3443" s="16">
        <v>0.1</v>
      </c>
      <c r="AA3443" s="16">
        <v>0.1</v>
      </c>
      <c r="AB3443" s="16">
        <v>0.1</v>
      </c>
      <c r="AC3443" s="16">
        <v>0.1</v>
      </c>
      <c r="AD3443" s="16">
        <v>0.1</v>
      </c>
      <c r="AE3443" s="16">
        <v>0.1</v>
      </c>
      <c r="AF3443" s="16" t="s">
        <v>411</v>
      </c>
    </row>
    <row r="3444" spans="1:32" ht="14.25" customHeight="1" x14ac:dyDescent="0.35">
      <c r="A3444" s="16" t="s">
        <v>2007</v>
      </c>
      <c r="B3444" s="16" t="s">
        <v>424</v>
      </c>
      <c r="C3444" s="16"/>
      <c r="D3444" s="16" t="s">
        <v>512</v>
      </c>
      <c r="E3444" s="17">
        <v>41640</v>
      </c>
      <c r="F3444" s="17">
        <v>42004</v>
      </c>
      <c r="G3444" s="16" t="s">
        <v>415</v>
      </c>
      <c r="H3444" s="16">
        <v>0.1</v>
      </c>
      <c r="I3444" s="16">
        <v>0.1</v>
      </c>
      <c r="J3444" s="16">
        <v>0.1</v>
      </c>
      <c r="K3444" s="16">
        <v>0.1</v>
      </c>
      <c r="L3444" s="16">
        <v>0.1</v>
      </c>
      <c r="M3444" s="16">
        <v>0.1</v>
      </c>
      <c r="N3444" s="16">
        <v>0.1</v>
      </c>
      <c r="O3444" s="16">
        <v>0.1</v>
      </c>
      <c r="P3444" s="16">
        <v>0.1</v>
      </c>
      <c r="Q3444" s="16">
        <v>0.24</v>
      </c>
      <c r="R3444" s="16">
        <v>0.24</v>
      </c>
      <c r="S3444" s="16">
        <v>0.24</v>
      </c>
      <c r="T3444" s="16">
        <v>0.1</v>
      </c>
      <c r="U3444" s="16">
        <v>0.1</v>
      </c>
      <c r="V3444" s="16">
        <v>0.1</v>
      </c>
      <c r="W3444" s="16">
        <v>0.1</v>
      </c>
      <c r="X3444" s="16">
        <v>0.1</v>
      </c>
      <c r="Y3444" s="16">
        <v>0.1</v>
      </c>
      <c r="Z3444" s="16">
        <v>0.1</v>
      </c>
      <c r="AA3444" s="16">
        <v>0.1</v>
      </c>
      <c r="AB3444" s="16">
        <v>0.1</v>
      </c>
      <c r="AC3444" s="16">
        <v>0.1</v>
      </c>
      <c r="AD3444" s="16">
        <v>0.1</v>
      </c>
      <c r="AE3444" s="16">
        <v>0.1</v>
      </c>
      <c r="AF3444" s="16" t="s">
        <v>411</v>
      </c>
    </row>
    <row r="3445" spans="1:32" ht="14.25" customHeight="1" x14ac:dyDescent="0.35">
      <c r="A3445" s="16" t="s">
        <v>2007</v>
      </c>
      <c r="B3445" s="16" t="s">
        <v>424</v>
      </c>
      <c r="C3445" s="16"/>
      <c r="D3445" s="16" t="s">
        <v>419</v>
      </c>
      <c r="E3445" s="17">
        <v>41640</v>
      </c>
      <c r="F3445" s="17">
        <v>42004</v>
      </c>
      <c r="G3445" s="16" t="s">
        <v>410</v>
      </c>
      <c r="H3445" s="16">
        <v>1</v>
      </c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16"/>
      <c r="AA3445" s="16"/>
      <c r="AB3445" s="16"/>
      <c r="AC3445" s="16"/>
      <c r="AD3445" s="16"/>
      <c r="AE3445" s="16"/>
      <c r="AF3445" s="16" t="s">
        <v>411</v>
      </c>
    </row>
    <row r="3446" spans="1:32" ht="14.25" customHeight="1" x14ac:dyDescent="0.35">
      <c r="A3446" s="14" t="s">
        <v>2007</v>
      </c>
      <c r="B3446" s="14" t="s">
        <v>424</v>
      </c>
      <c r="C3446" s="14"/>
      <c r="D3446" s="14" t="s">
        <v>511</v>
      </c>
      <c r="E3446" s="15">
        <v>41640</v>
      </c>
      <c r="F3446" s="15">
        <v>42004</v>
      </c>
      <c r="G3446" s="14" t="s">
        <v>410</v>
      </c>
      <c r="H3446" s="14">
        <v>0.1</v>
      </c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  <c r="AA3446" s="14"/>
      <c r="AB3446" s="14"/>
      <c r="AC3446" s="14"/>
      <c r="AD3446" s="14"/>
      <c r="AE3446" s="14"/>
      <c r="AF3446" s="14" t="s">
        <v>411</v>
      </c>
    </row>
    <row r="3447" spans="1:32" ht="14.25" customHeight="1" x14ac:dyDescent="0.35">
      <c r="A3447" s="14" t="s">
        <v>2007</v>
      </c>
      <c r="B3447" s="14" t="s">
        <v>424</v>
      </c>
      <c r="C3447" s="14"/>
      <c r="D3447" s="14" t="s">
        <v>418</v>
      </c>
      <c r="E3447" s="15">
        <v>41640</v>
      </c>
      <c r="F3447" s="15">
        <v>42004</v>
      </c>
      <c r="G3447" s="14" t="s">
        <v>410</v>
      </c>
      <c r="H3447" s="14">
        <v>0</v>
      </c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W3447" s="14"/>
      <c r="X3447" s="14"/>
      <c r="Y3447" s="14"/>
      <c r="Z3447" s="14"/>
      <c r="AA3447" s="14"/>
      <c r="AB3447" s="14"/>
      <c r="AC3447" s="14"/>
      <c r="AD3447" s="14"/>
      <c r="AE3447" s="14"/>
      <c r="AF3447" s="14" t="s">
        <v>411</v>
      </c>
    </row>
    <row r="3448" spans="1:32" ht="14.25" customHeight="1" x14ac:dyDescent="0.35">
      <c r="A3448" s="14" t="s">
        <v>2008</v>
      </c>
      <c r="B3448" s="14" t="s">
        <v>448</v>
      </c>
      <c r="C3448" s="14"/>
      <c r="D3448" s="14" t="s">
        <v>417</v>
      </c>
      <c r="E3448" s="15">
        <v>41640</v>
      </c>
      <c r="F3448" s="15">
        <v>42004</v>
      </c>
      <c r="G3448" s="14" t="s">
        <v>415</v>
      </c>
      <c r="H3448" s="14">
        <v>0</v>
      </c>
      <c r="I3448" s="14">
        <v>0</v>
      </c>
      <c r="J3448" s="14">
        <v>0</v>
      </c>
      <c r="K3448" s="14">
        <v>0</v>
      </c>
      <c r="L3448" s="14">
        <v>0</v>
      </c>
      <c r="M3448" s="14">
        <v>0</v>
      </c>
      <c r="N3448" s="14">
        <v>0</v>
      </c>
      <c r="O3448" s="14">
        <v>0.15</v>
      </c>
      <c r="P3448" s="14">
        <v>0.7</v>
      </c>
      <c r="Q3448" s="14">
        <v>0.9</v>
      </c>
      <c r="R3448" s="14">
        <v>0.9</v>
      </c>
      <c r="S3448" s="14">
        <v>0.9</v>
      </c>
      <c r="T3448" s="14">
        <v>0.5</v>
      </c>
      <c r="U3448" s="14">
        <v>0.85</v>
      </c>
      <c r="V3448" s="14">
        <v>0.85</v>
      </c>
      <c r="W3448" s="14">
        <v>0.85</v>
      </c>
      <c r="X3448" s="14">
        <v>0.2</v>
      </c>
      <c r="Y3448" s="14">
        <v>0</v>
      </c>
      <c r="Z3448" s="14">
        <v>0</v>
      </c>
      <c r="AA3448" s="14">
        <v>0</v>
      </c>
      <c r="AB3448" s="14">
        <v>0</v>
      </c>
      <c r="AC3448" s="14">
        <v>0</v>
      </c>
      <c r="AD3448" s="14">
        <v>0</v>
      </c>
      <c r="AE3448" s="14">
        <v>0</v>
      </c>
      <c r="AF3448" s="14" t="s">
        <v>411</v>
      </c>
    </row>
    <row r="3449" spans="1:32" ht="14.25" customHeight="1" x14ac:dyDescent="0.35">
      <c r="A3449" s="16" t="s">
        <v>2008</v>
      </c>
      <c r="B3449" s="16" t="s">
        <v>448</v>
      </c>
      <c r="C3449" s="16"/>
      <c r="D3449" s="16" t="s">
        <v>512</v>
      </c>
      <c r="E3449" s="17">
        <v>41640</v>
      </c>
      <c r="F3449" s="17">
        <v>42004</v>
      </c>
      <c r="G3449" s="16" t="s">
        <v>415</v>
      </c>
      <c r="H3449" s="16">
        <v>0</v>
      </c>
      <c r="I3449" s="16">
        <v>0</v>
      </c>
      <c r="J3449" s="16">
        <v>0</v>
      </c>
      <c r="K3449" s="16">
        <v>0</v>
      </c>
      <c r="L3449" s="16">
        <v>0</v>
      </c>
      <c r="M3449" s="16">
        <v>0</v>
      </c>
      <c r="N3449" s="16">
        <v>0</v>
      </c>
      <c r="O3449" s="16">
        <v>0</v>
      </c>
      <c r="P3449" s="16">
        <v>0.2</v>
      </c>
      <c r="Q3449" s="16">
        <v>0.2</v>
      </c>
      <c r="R3449" s="16">
        <v>0.2</v>
      </c>
      <c r="S3449" s="16">
        <v>0.2</v>
      </c>
      <c r="T3449" s="16">
        <v>0.1</v>
      </c>
      <c r="U3449" s="16">
        <v>0.1</v>
      </c>
      <c r="V3449" s="16">
        <v>0.1</v>
      </c>
      <c r="W3449" s="16">
        <v>0.1</v>
      </c>
      <c r="X3449" s="16">
        <v>0</v>
      </c>
      <c r="Y3449" s="16">
        <v>0</v>
      </c>
      <c r="Z3449" s="16">
        <v>0</v>
      </c>
      <c r="AA3449" s="16">
        <v>0</v>
      </c>
      <c r="AB3449" s="16">
        <v>0</v>
      </c>
      <c r="AC3449" s="16">
        <v>0</v>
      </c>
      <c r="AD3449" s="16">
        <v>0</v>
      </c>
      <c r="AE3449" s="16">
        <v>0</v>
      </c>
      <c r="AF3449" s="16" t="s">
        <v>411</v>
      </c>
    </row>
    <row r="3450" spans="1:32" ht="14.25" customHeight="1" x14ac:dyDescent="0.35">
      <c r="A3450" s="14" t="s">
        <v>2008</v>
      </c>
      <c r="B3450" s="14" t="s">
        <v>448</v>
      </c>
      <c r="C3450" s="14"/>
      <c r="D3450" s="14" t="s">
        <v>419</v>
      </c>
      <c r="E3450" s="15">
        <v>41640</v>
      </c>
      <c r="F3450" s="15">
        <v>42004</v>
      </c>
      <c r="G3450" s="14" t="s">
        <v>410</v>
      </c>
      <c r="H3450" s="14">
        <v>1</v>
      </c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  <c r="U3450" s="14"/>
      <c r="V3450" s="14"/>
      <c r="W3450" s="14"/>
      <c r="X3450" s="14"/>
      <c r="Y3450" s="14"/>
      <c r="Z3450" s="14"/>
      <c r="AA3450" s="14"/>
      <c r="AB3450" s="14"/>
      <c r="AC3450" s="14"/>
      <c r="AD3450" s="14"/>
      <c r="AE3450" s="14"/>
      <c r="AF3450" s="14" t="s">
        <v>411</v>
      </c>
    </row>
    <row r="3451" spans="1:32" ht="14.25" customHeight="1" x14ac:dyDescent="0.35">
      <c r="A3451" s="16" t="s">
        <v>2008</v>
      </c>
      <c r="B3451" s="16" t="s">
        <v>448</v>
      </c>
      <c r="C3451" s="16"/>
      <c r="D3451" s="16" t="s">
        <v>979</v>
      </c>
      <c r="E3451" s="17">
        <v>41640</v>
      </c>
      <c r="F3451" s="17">
        <v>42004</v>
      </c>
      <c r="G3451" s="16" t="s">
        <v>410</v>
      </c>
      <c r="H3451" s="16">
        <v>0</v>
      </c>
      <c r="I3451" s="16"/>
      <c r="J3451" s="16"/>
      <c r="K3451" s="16"/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16"/>
      <c r="AA3451" s="16"/>
      <c r="AB3451" s="16"/>
      <c r="AC3451" s="16"/>
      <c r="AD3451" s="16"/>
      <c r="AE3451" s="16"/>
      <c r="AF3451" s="16" t="s">
        <v>411</v>
      </c>
    </row>
    <row r="3452" spans="1:32" ht="14.25" customHeight="1" x14ac:dyDescent="0.35">
      <c r="A3452" s="16" t="s">
        <v>2009</v>
      </c>
      <c r="B3452" s="16" t="s">
        <v>424</v>
      </c>
      <c r="C3452" s="16"/>
      <c r="D3452" s="16" t="s">
        <v>417</v>
      </c>
      <c r="E3452" s="17">
        <v>41640</v>
      </c>
      <c r="F3452" s="17">
        <v>42004</v>
      </c>
      <c r="G3452" s="16" t="s">
        <v>410</v>
      </c>
      <c r="H3452" s="16">
        <v>0.18</v>
      </c>
      <c r="I3452" s="16"/>
      <c r="J3452" s="16"/>
      <c r="K3452" s="16"/>
      <c r="L3452" s="16"/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16"/>
      <c r="AA3452" s="16"/>
      <c r="AB3452" s="16"/>
      <c r="AC3452" s="16"/>
      <c r="AD3452" s="16"/>
      <c r="AE3452" s="16"/>
      <c r="AF3452" s="16" t="s">
        <v>413</v>
      </c>
    </row>
    <row r="3453" spans="1:32" ht="14.25" customHeight="1" x14ac:dyDescent="0.35">
      <c r="A3453" s="14" t="s">
        <v>2009</v>
      </c>
      <c r="B3453" s="14" t="s">
        <v>424</v>
      </c>
      <c r="C3453" s="14"/>
      <c r="D3453" s="14" t="s">
        <v>1463</v>
      </c>
      <c r="E3453" s="15">
        <v>41640</v>
      </c>
      <c r="F3453" s="15">
        <v>42004</v>
      </c>
      <c r="G3453" s="14" t="s">
        <v>415</v>
      </c>
      <c r="H3453" s="14">
        <v>0.18</v>
      </c>
      <c r="I3453" s="14">
        <v>0.18</v>
      </c>
      <c r="J3453" s="14">
        <v>0.18</v>
      </c>
      <c r="K3453" s="14">
        <v>0.18</v>
      </c>
      <c r="L3453" s="14">
        <v>0.18</v>
      </c>
      <c r="M3453" s="14">
        <v>0.18</v>
      </c>
      <c r="N3453" s="14">
        <v>0.23</v>
      </c>
      <c r="O3453" s="14">
        <v>0.42</v>
      </c>
      <c r="P3453" s="14">
        <v>0.77</v>
      </c>
      <c r="Q3453" s="14">
        <v>0.77</v>
      </c>
      <c r="R3453" s="14">
        <v>0.77</v>
      </c>
      <c r="S3453" s="14">
        <v>0.77</v>
      </c>
      <c r="T3453" s="14">
        <v>0.68</v>
      </c>
      <c r="U3453" s="14">
        <v>0.77</v>
      </c>
      <c r="V3453" s="14">
        <v>0.77</v>
      </c>
      <c r="W3453" s="14">
        <v>0.77</v>
      </c>
      <c r="X3453" s="14">
        <v>0.77</v>
      </c>
      <c r="Y3453" s="14">
        <v>0.61</v>
      </c>
      <c r="Z3453" s="14">
        <v>0.18</v>
      </c>
      <c r="AA3453" s="14">
        <v>0.18</v>
      </c>
      <c r="AB3453" s="14">
        <v>0.18</v>
      </c>
      <c r="AC3453" s="14">
        <v>0.18</v>
      </c>
      <c r="AD3453" s="14">
        <v>0.18</v>
      </c>
      <c r="AE3453" s="14">
        <v>0.18</v>
      </c>
      <c r="AF3453" s="14" t="s">
        <v>413</v>
      </c>
    </row>
    <row r="3454" spans="1:32" ht="14.25" customHeight="1" x14ac:dyDescent="0.35">
      <c r="A3454" s="16" t="s">
        <v>2009</v>
      </c>
      <c r="B3454" s="16" t="s">
        <v>424</v>
      </c>
      <c r="C3454" s="16"/>
      <c r="D3454" s="16" t="s">
        <v>419</v>
      </c>
      <c r="E3454" s="17">
        <v>41640</v>
      </c>
      <c r="F3454" s="17">
        <v>42004</v>
      </c>
      <c r="G3454" s="16" t="s">
        <v>410</v>
      </c>
      <c r="H3454" s="16">
        <v>1</v>
      </c>
      <c r="I3454" s="16"/>
      <c r="J3454" s="16"/>
      <c r="K3454" s="16"/>
      <c r="L3454" s="16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6"/>
      <c r="AA3454" s="16"/>
      <c r="AB3454" s="16"/>
      <c r="AC3454" s="16"/>
      <c r="AD3454" s="16"/>
      <c r="AE3454" s="16"/>
      <c r="AF3454" s="16" t="s">
        <v>413</v>
      </c>
    </row>
    <row r="3455" spans="1:32" ht="14.25" customHeight="1" x14ac:dyDescent="0.35">
      <c r="A3455" s="14" t="s">
        <v>2009</v>
      </c>
      <c r="B3455" s="14" t="s">
        <v>424</v>
      </c>
      <c r="C3455" s="14"/>
      <c r="D3455" s="14" t="s">
        <v>418</v>
      </c>
      <c r="E3455" s="15">
        <v>41640</v>
      </c>
      <c r="F3455" s="15">
        <v>42004</v>
      </c>
      <c r="G3455" s="14" t="s">
        <v>410</v>
      </c>
      <c r="H3455" s="14">
        <v>0</v>
      </c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  <c r="W3455" s="14"/>
      <c r="X3455" s="14"/>
      <c r="Y3455" s="14"/>
      <c r="Z3455" s="14"/>
      <c r="AA3455" s="14"/>
      <c r="AB3455" s="14"/>
      <c r="AC3455" s="14"/>
      <c r="AD3455" s="14"/>
      <c r="AE3455" s="14"/>
      <c r="AF3455" s="14" t="s">
        <v>413</v>
      </c>
    </row>
    <row r="3456" spans="1:32" ht="14.25" customHeight="1" x14ac:dyDescent="0.35">
      <c r="A3456" s="16" t="s">
        <v>2010</v>
      </c>
      <c r="B3456" s="16" t="s">
        <v>424</v>
      </c>
      <c r="C3456" s="16"/>
      <c r="D3456" s="16" t="s">
        <v>417</v>
      </c>
      <c r="E3456" s="17">
        <v>41640</v>
      </c>
      <c r="F3456" s="17">
        <v>42004</v>
      </c>
      <c r="G3456" s="16" t="s">
        <v>410</v>
      </c>
      <c r="H3456" s="16">
        <v>0.1</v>
      </c>
      <c r="I3456" s="16"/>
      <c r="J3456" s="16"/>
      <c r="K3456" s="16"/>
      <c r="L3456" s="16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6"/>
      <c r="AA3456" s="16"/>
      <c r="AB3456" s="16"/>
      <c r="AC3456" s="16"/>
      <c r="AD3456" s="16"/>
      <c r="AE3456" s="16"/>
      <c r="AF3456" s="16" t="s">
        <v>413</v>
      </c>
    </row>
    <row r="3457" spans="1:32" ht="14.25" customHeight="1" x14ac:dyDescent="0.35">
      <c r="A3457" s="14" t="s">
        <v>2010</v>
      </c>
      <c r="B3457" s="14" t="s">
        <v>424</v>
      </c>
      <c r="C3457" s="14"/>
      <c r="D3457" s="14" t="s">
        <v>1463</v>
      </c>
      <c r="E3457" s="15">
        <v>41640</v>
      </c>
      <c r="F3457" s="15">
        <v>42004</v>
      </c>
      <c r="G3457" s="14" t="s">
        <v>415</v>
      </c>
      <c r="H3457" s="14">
        <v>0.1</v>
      </c>
      <c r="I3457" s="14">
        <v>0.1</v>
      </c>
      <c r="J3457" s="14">
        <v>0.1</v>
      </c>
      <c r="K3457" s="14">
        <v>0.1</v>
      </c>
      <c r="L3457" s="14">
        <v>0.1</v>
      </c>
      <c r="M3457" s="14">
        <v>0.1</v>
      </c>
      <c r="N3457" s="14">
        <v>0.1</v>
      </c>
      <c r="O3457" s="14">
        <v>0.6</v>
      </c>
      <c r="P3457" s="14">
        <v>0.75</v>
      </c>
      <c r="Q3457" s="14">
        <v>0.85</v>
      </c>
      <c r="R3457" s="14">
        <v>0.85</v>
      </c>
      <c r="S3457" s="14">
        <v>0.85</v>
      </c>
      <c r="T3457" s="14">
        <v>0.85</v>
      </c>
      <c r="U3457" s="14">
        <v>0.85</v>
      </c>
      <c r="V3457" s="14">
        <v>0.85</v>
      </c>
      <c r="W3457" s="14">
        <v>0.85</v>
      </c>
      <c r="X3457" s="14">
        <v>0.75</v>
      </c>
      <c r="Y3457" s="14">
        <v>0.6</v>
      </c>
      <c r="Z3457" s="14">
        <v>0.1</v>
      </c>
      <c r="AA3457" s="14">
        <v>0.1</v>
      </c>
      <c r="AB3457" s="14">
        <v>0.1</v>
      </c>
      <c r="AC3457" s="14">
        <v>0.1</v>
      </c>
      <c r="AD3457" s="14">
        <v>0.1</v>
      </c>
      <c r="AE3457" s="14">
        <v>0.1</v>
      </c>
      <c r="AF3457" s="14" t="s">
        <v>413</v>
      </c>
    </row>
    <row r="3458" spans="1:32" ht="14.25" customHeight="1" x14ac:dyDescent="0.35">
      <c r="A3458" s="16" t="s">
        <v>2010</v>
      </c>
      <c r="B3458" s="16" t="s">
        <v>424</v>
      </c>
      <c r="C3458" s="16"/>
      <c r="D3458" s="16" t="s">
        <v>419</v>
      </c>
      <c r="E3458" s="17">
        <v>41640</v>
      </c>
      <c r="F3458" s="17">
        <v>42004</v>
      </c>
      <c r="G3458" s="16" t="s">
        <v>410</v>
      </c>
      <c r="H3458" s="16">
        <v>1</v>
      </c>
      <c r="I3458" s="16"/>
      <c r="J3458" s="16"/>
      <c r="K3458" s="16"/>
      <c r="L3458" s="16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/>
      <c r="AB3458" s="16"/>
      <c r="AC3458" s="16"/>
      <c r="AD3458" s="16"/>
      <c r="AE3458" s="16"/>
      <c r="AF3458" s="16" t="s">
        <v>413</v>
      </c>
    </row>
    <row r="3459" spans="1:32" ht="14.25" customHeight="1" x14ac:dyDescent="0.35">
      <c r="A3459" s="14" t="s">
        <v>2010</v>
      </c>
      <c r="B3459" s="14" t="s">
        <v>424</v>
      </c>
      <c r="C3459" s="14"/>
      <c r="D3459" s="14" t="s">
        <v>418</v>
      </c>
      <c r="E3459" s="15">
        <v>41640</v>
      </c>
      <c r="F3459" s="15">
        <v>42004</v>
      </c>
      <c r="G3459" s="14" t="s">
        <v>410</v>
      </c>
      <c r="H3459" s="14">
        <v>0</v>
      </c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4"/>
      <c r="AA3459" s="14"/>
      <c r="AB3459" s="14"/>
      <c r="AC3459" s="14"/>
      <c r="AD3459" s="14"/>
      <c r="AE3459" s="14"/>
      <c r="AF3459" s="14" t="s">
        <v>413</v>
      </c>
    </row>
    <row r="3460" spans="1:32" ht="14.25" customHeight="1" x14ac:dyDescent="0.35">
      <c r="A3460" s="16" t="s">
        <v>2011</v>
      </c>
      <c r="B3460" s="16" t="s">
        <v>448</v>
      </c>
      <c r="C3460" s="16"/>
      <c r="D3460" s="16" t="s">
        <v>417</v>
      </c>
      <c r="E3460" s="17">
        <v>41640</v>
      </c>
      <c r="F3460" s="17">
        <v>42004</v>
      </c>
      <c r="G3460" s="16" t="s">
        <v>410</v>
      </c>
      <c r="H3460" s="16">
        <v>0</v>
      </c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  <c r="AB3460" s="16"/>
      <c r="AC3460" s="16"/>
      <c r="AD3460" s="16"/>
      <c r="AE3460" s="16"/>
      <c r="AF3460" s="16" t="s">
        <v>413</v>
      </c>
    </row>
    <row r="3461" spans="1:32" ht="14.25" customHeight="1" x14ac:dyDescent="0.35">
      <c r="A3461" s="14" t="s">
        <v>2011</v>
      </c>
      <c r="B3461" s="14" t="s">
        <v>448</v>
      </c>
      <c r="C3461" s="14"/>
      <c r="D3461" s="14" t="s">
        <v>551</v>
      </c>
      <c r="E3461" s="15">
        <v>41640</v>
      </c>
      <c r="F3461" s="15">
        <v>42004</v>
      </c>
      <c r="G3461" s="14" t="s">
        <v>415</v>
      </c>
      <c r="H3461" s="14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0.11</v>
      </c>
      <c r="O3461" s="14">
        <v>0.21</v>
      </c>
      <c r="P3461" s="14">
        <v>1</v>
      </c>
      <c r="Q3461" s="14">
        <v>1</v>
      </c>
      <c r="R3461" s="14">
        <v>1</v>
      </c>
      <c r="S3461" s="14">
        <v>1</v>
      </c>
      <c r="T3461" s="14">
        <v>0.53</v>
      </c>
      <c r="U3461" s="14">
        <v>1</v>
      </c>
      <c r="V3461" s="14">
        <v>1</v>
      </c>
      <c r="W3461" s="14">
        <v>1</v>
      </c>
      <c r="X3461" s="14">
        <v>1</v>
      </c>
      <c r="Y3461" s="14">
        <v>0.32</v>
      </c>
      <c r="Z3461" s="14">
        <v>0</v>
      </c>
      <c r="AA3461" s="14">
        <v>0</v>
      </c>
      <c r="AB3461" s="14">
        <v>0</v>
      </c>
      <c r="AC3461" s="14">
        <v>0</v>
      </c>
      <c r="AD3461" s="14">
        <v>0</v>
      </c>
      <c r="AE3461" s="14">
        <v>0</v>
      </c>
      <c r="AF3461" s="14" t="s">
        <v>413</v>
      </c>
    </row>
    <row r="3462" spans="1:32" ht="14.25" customHeight="1" x14ac:dyDescent="0.35">
      <c r="A3462" s="16" t="s">
        <v>2012</v>
      </c>
      <c r="B3462" s="16" t="s">
        <v>408</v>
      </c>
      <c r="C3462" s="16" t="s">
        <v>414</v>
      </c>
      <c r="D3462" s="16" t="s">
        <v>409</v>
      </c>
      <c r="E3462" s="17">
        <v>41640</v>
      </c>
      <c r="F3462" s="17">
        <v>42004</v>
      </c>
      <c r="G3462" s="16" t="s">
        <v>410</v>
      </c>
      <c r="H3462" s="16">
        <v>10</v>
      </c>
      <c r="I3462" s="16"/>
      <c r="J3462" s="16"/>
      <c r="K3462" s="16"/>
      <c r="L3462" s="16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16"/>
      <c r="AA3462" s="16"/>
      <c r="AB3462" s="16"/>
      <c r="AC3462" s="16"/>
      <c r="AD3462" s="16"/>
      <c r="AE3462" s="16"/>
      <c r="AF3462" s="16" t="s">
        <v>413</v>
      </c>
    </row>
    <row r="3463" spans="1:32" ht="14.25" customHeight="1" x14ac:dyDescent="0.35">
      <c r="A3463" s="14" t="s">
        <v>2013</v>
      </c>
      <c r="B3463" s="14" t="s">
        <v>420</v>
      </c>
      <c r="C3463" s="14" t="s">
        <v>414</v>
      </c>
      <c r="D3463" s="14" t="s">
        <v>453</v>
      </c>
      <c r="E3463" s="15">
        <v>41640</v>
      </c>
      <c r="F3463" s="15">
        <v>42004</v>
      </c>
      <c r="G3463" s="14" t="s">
        <v>415</v>
      </c>
      <c r="H3463" s="14">
        <v>30</v>
      </c>
      <c r="I3463" s="14">
        <v>30</v>
      </c>
      <c r="J3463" s="14">
        <v>30</v>
      </c>
      <c r="K3463" s="14">
        <v>30</v>
      </c>
      <c r="L3463" s="14">
        <v>30</v>
      </c>
      <c r="M3463" s="14">
        <v>30</v>
      </c>
      <c r="N3463" s="14">
        <v>30</v>
      </c>
      <c r="O3463" s="14">
        <v>24</v>
      </c>
      <c r="P3463" s="14">
        <v>24</v>
      </c>
      <c r="Q3463" s="14">
        <v>24</v>
      </c>
      <c r="R3463" s="14">
        <v>24</v>
      </c>
      <c r="S3463" s="14">
        <v>24</v>
      </c>
      <c r="T3463" s="14">
        <v>24</v>
      </c>
      <c r="U3463" s="14">
        <v>24</v>
      </c>
      <c r="V3463" s="14">
        <v>24</v>
      </c>
      <c r="W3463" s="14">
        <v>24</v>
      </c>
      <c r="X3463" s="14">
        <v>24</v>
      </c>
      <c r="Y3463" s="14">
        <v>30</v>
      </c>
      <c r="Z3463" s="14">
        <v>30</v>
      </c>
      <c r="AA3463" s="14">
        <v>30</v>
      </c>
      <c r="AB3463" s="14">
        <v>30</v>
      </c>
      <c r="AC3463" s="14">
        <v>30</v>
      </c>
      <c r="AD3463" s="14">
        <v>30</v>
      </c>
      <c r="AE3463" s="14">
        <v>30</v>
      </c>
      <c r="AF3463" s="14" t="s">
        <v>411</v>
      </c>
    </row>
    <row r="3464" spans="1:32" ht="14.25" customHeight="1" x14ac:dyDescent="0.35">
      <c r="A3464" s="14" t="s">
        <v>2013</v>
      </c>
      <c r="B3464" s="14" t="s">
        <v>420</v>
      </c>
      <c r="C3464" s="14" t="s">
        <v>414</v>
      </c>
      <c r="D3464" s="14" t="s">
        <v>512</v>
      </c>
      <c r="E3464" s="15">
        <v>41640</v>
      </c>
      <c r="F3464" s="15">
        <v>42004</v>
      </c>
      <c r="G3464" s="14" t="s">
        <v>415</v>
      </c>
      <c r="H3464" s="14">
        <v>30</v>
      </c>
      <c r="I3464" s="14">
        <v>30</v>
      </c>
      <c r="J3464" s="14">
        <v>30</v>
      </c>
      <c r="K3464" s="14">
        <v>30</v>
      </c>
      <c r="L3464" s="14">
        <v>30</v>
      </c>
      <c r="M3464" s="14">
        <v>30</v>
      </c>
      <c r="N3464" s="14">
        <v>30</v>
      </c>
      <c r="O3464" s="14">
        <v>30</v>
      </c>
      <c r="P3464" s="14">
        <v>24</v>
      </c>
      <c r="Q3464" s="14">
        <v>24</v>
      </c>
      <c r="R3464" s="14">
        <v>24</v>
      </c>
      <c r="S3464" s="14">
        <v>24</v>
      </c>
      <c r="T3464" s="14">
        <v>24</v>
      </c>
      <c r="U3464" s="14">
        <v>24</v>
      </c>
      <c r="V3464" s="14">
        <v>24</v>
      </c>
      <c r="W3464" s="14">
        <v>24</v>
      </c>
      <c r="X3464" s="14">
        <v>30</v>
      </c>
      <c r="Y3464" s="14">
        <v>30</v>
      </c>
      <c r="Z3464" s="14">
        <v>30</v>
      </c>
      <c r="AA3464" s="14">
        <v>30</v>
      </c>
      <c r="AB3464" s="14">
        <v>30</v>
      </c>
      <c r="AC3464" s="14">
        <v>30</v>
      </c>
      <c r="AD3464" s="14">
        <v>30</v>
      </c>
      <c r="AE3464" s="14">
        <v>30</v>
      </c>
      <c r="AF3464" s="14" t="s">
        <v>411</v>
      </c>
    </row>
    <row r="3465" spans="1:32" ht="14.25" customHeight="1" x14ac:dyDescent="0.35">
      <c r="A3465" s="16" t="s">
        <v>2013</v>
      </c>
      <c r="B3465" s="16" t="s">
        <v>420</v>
      </c>
      <c r="C3465" s="16" t="s">
        <v>414</v>
      </c>
      <c r="D3465" s="16" t="s">
        <v>979</v>
      </c>
      <c r="E3465" s="17">
        <v>41640</v>
      </c>
      <c r="F3465" s="17">
        <v>42004</v>
      </c>
      <c r="G3465" s="16" t="s">
        <v>410</v>
      </c>
      <c r="H3465" s="16">
        <v>30</v>
      </c>
      <c r="I3465" s="16"/>
      <c r="J3465" s="16"/>
      <c r="K3465" s="16"/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/>
      <c r="AB3465" s="16"/>
      <c r="AC3465" s="16"/>
      <c r="AD3465" s="16"/>
      <c r="AE3465" s="16"/>
      <c r="AF3465" s="16" t="s">
        <v>411</v>
      </c>
    </row>
    <row r="3466" spans="1:32" ht="14.25" customHeight="1" x14ac:dyDescent="0.35">
      <c r="A3466" s="16" t="s">
        <v>2014</v>
      </c>
      <c r="B3466" s="16" t="s">
        <v>420</v>
      </c>
      <c r="C3466" s="16" t="s">
        <v>414</v>
      </c>
      <c r="D3466" s="16" t="s">
        <v>409</v>
      </c>
      <c r="E3466" s="17">
        <v>41640</v>
      </c>
      <c r="F3466" s="17">
        <v>42004</v>
      </c>
      <c r="G3466" s="16" t="s">
        <v>410</v>
      </c>
      <c r="H3466" s="16">
        <v>26.7</v>
      </c>
      <c r="I3466" s="16"/>
      <c r="J3466" s="16"/>
      <c r="K3466" s="16"/>
      <c r="L3466" s="16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/>
      <c r="AB3466" s="16"/>
      <c r="AC3466" s="16"/>
      <c r="AD3466" s="16"/>
      <c r="AE3466" s="16"/>
      <c r="AF3466" s="16" t="s">
        <v>411</v>
      </c>
    </row>
    <row r="3467" spans="1:32" ht="14.25" customHeight="1" x14ac:dyDescent="0.35">
      <c r="A3467" s="14" t="s">
        <v>2015</v>
      </c>
      <c r="B3467" s="14" t="s">
        <v>518</v>
      </c>
      <c r="C3467" s="14"/>
      <c r="D3467" s="14" t="s">
        <v>476</v>
      </c>
      <c r="E3467" s="15">
        <v>41640</v>
      </c>
      <c r="F3467" s="15">
        <v>42004</v>
      </c>
      <c r="G3467" s="14" t="s">
        <v>410</v>
      </c>
      <c r="H3467" s="14">
        <v>1</v>
      </c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S3467" s="14"/>
      <c r="T3467" s="14"/>
      <c r="U3467" s="14"/>
      <c r="V3467" s="14"/>
      <c r="W3467" s="14"/>
      <c r="X3467" s="14"/>
      <c r="Y3467" s="14"/>
      <c r="Z3467" s="14"/>
      <c r="AA3467" s="14"/>
      <c r="AB3467" s="14"/>
      <c r="AC3467" s="14"/>
      <c r="AD3467" s="14"/>
      <c r="AE3467" s="14"/>
      <c r="AF3467" s="14" t="s">
        <v>411</v>
      </c>
    </row>
    <row r="3468" spans="1:32" ht="14.25" customHeight="1" x14ac:dyDescent="0.35">
      <c r="A3468" s="16" t="s">
        <v>2015</v>
      </c>
      <c r="B3468" s="16" t="s">
        <v>518</v>
      </c>
      <c r="C3468" s="16"/>
      <c r="D3468" s="16" t="s">
        <v>419</v>
      </c>
      <c r="E3468" s="17">
        <v>41640</v>
      </c>
      <c r="F3468" s="17">
        <v>42004</v>
      </c>
      <c r="G3468" s="16" t="s">
        <v>410</v>
      </c>
      <c r="H3468" s="16">
        <v>0.5</v>
      </c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6"/>
      <c r="AA3468" s="16"/>
      <c r="AB3468" s="16"/>
      <c r="AC3468" s="16"/>
      <c r="AD3468" s="16"/>
      <c r="AE3468" s="16"/>
      <c r="AF3468" s="16" t="s">
        <v>411</v>
      </c>
    </row>
    <row r="3469" spans="1:32" ht="14.25" customHeight="1" x14ac:dyDescent="0.35">
      <c r="A3469" s="14" t="s">
        <v>2015</v>
      </c>
      <c r="B3469" s="14" t="s">
        <v>518</v>
      </c>
      <c r="C3469" s="14"/>
      <c r="D3469" s="14" t="s">
        <v>454</v>
      </c>
      <c r="E3469" s="15">
        <v>41913</v>
      </c>
      <c r="F3469" s="15">
        <v>42004</v>
      </c>
      <c r="G3469" s="14" t="s">
        <v>410</v>
      </c>
      <c r="H3469" s="14">
        <v>1</v>
      </c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14"/>
      <c r="T3469" s="14"/>
      <c r="U3469" s="14"/>
      <c r="V3469" s="14"/>
      <c r="W3469" s="14"/>
      <c r="X3469" s="14"/>
      <c r="Y3469" s="14"/>
      <c r="Z3469" s="14"/>
      <c r="AA3469" s="14"/>
      <c r="AB3469" s="14"/>
      <c r="AC3469" s="14"/>
      <c r="AD3469" s="14"/>
      <c r="AE3469" s="14"/>
      <c r="AF3469" s="14" t="s">
        <v>411</v>
      </c>
    </row>
    <row r="3470" spans="1:32" ht="14.25" customHeight="1" x14ac:dyDescent="0.35">
      <c r="A3470" s="16" t="s">
        <v>2015</v>
      </c>
      <c r="B3470" s="16" t="s">
        <v>518</v>
      </c>
      <c r="C3470" s="16"/>
      <c r="D3470" s="16" t="s">
        <v>454</v>
      </c>
      <c r="E3470" s="17">
        <v>41760</v>
      </c>
      <c r="F3470" s="17">
        <v>41912</v>
      </c>
      <c r="G3470" s="16" t="s">
        <v>410</v>
      </c>
      <c r="H3470" s="16">
        <v>0.5</v>
      </c>
      <c r="I3470" s="16"/>
      <c r="J3470" s="16"/>
      <c r="K3470" s="16"/>
      <c r="L3470" s="16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6"/>
      <c r="AA3470" s="16"/>
      <c r="AB3470" s="16"/>
      <c r="AC3470" s="16"/>
      <c r="AD3470" s="16"/>
      <c r="AE3470" s="16"/>
      <c r="AF3470" s="16" t="s">
        <v>411</v>
      </c>
    </row>
    <row r="3471" spans="1:32" ht="14.25" customHeight="1" x14ac:dyDescent="0.35">
      <c r="A3471" s="14" t="s">
        <v>2016</v>
      </c>
      <c r="B3471" s="14" t="s">
        <v>408</v>
      </c>
      <c r="C3471" s="14"/>
      <c r="D3471" s="14" t="s">
        <v>409</v>
      </c>
      <c r="E3471" s="15">
        <v>41640</v>
      </c>
      <c r="F3471" s="15">
        <v>42004</v>
      </c>
      <c r="G3471" s="14" t="s">
        <v>410</v>
      </c>
      <c r="H3471" s="14">
        <v>1</v>
      </c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14"/>
      <c r="T3471" s="14"/>
      <c r="U3471" s="14"/>
      <c r="V3471" s="14"/>
      <c r="W3471" s="14"/>
      <c r="X3471" s="14"/>
      <c r="Y3471" s="14"/>
      <c r="Z3471" s="14"/>
      <c r="AA3471" s="14"/>
      <c r="AB3471" s="14"/>
      <c r="AC3471" s="14"/>
      <c r="AD3471" s="14"/>
      <c r="AE3471" s="14"/>
      <c r="AF3471" s="14" t="s">
        <v>413</v>
      </c>
    </row>
    <row r="3472" spans="1:32" ht="14.25" customHeight="1" x14ac:dyDescent="0.35">
      <c r="A3472" s="16" t="s">
        <v>2017</v>
      </c>
      <c r="B3472" s="16" t="s">
        <v>408</v>
      </c>
      <c r="C3472" s="16"/>
      <c r="D3472" s="16" t="s">
        <v>409</v>
      </c>
      <c r="E3472" s="17">
        <v>41640</v>
      </c>
      <c r="F3472" s="17">
        <v>42004</v>
      </c>
      <c r="G3472" s="16" t="s">
        <v>410</v>
      </c>
      <c r="H3472" s="16">
        <v>4</v>
      </c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/>
      <c r="AB3472" s="16"/>
      <c r="AC3472" s="16"/>
      <c r="AD3472" s="16"/>
      <c r="AE3472" s="16"/>
      <c r="AF3472" s="16" t="s">
        <v>413</v>
      </c>
    </row>
    <row r="3473" spans="1:32" ht="14.25" customHeight="1" x14ac:dyDescent="0.35">
      <c r="A3473" s="14" t="s">
        <v>2018</v>
      </c>
      <c r="B3473" s="14" t="s">
        <v>408</v>
      </c>
      <c r="C3473" s="14"/>
      <c r="D3473" s="14" t="s">
        <v>409</v>
      </c>
      <c r="E3473" s="15">
        <v>41640</v>
      </c>
      <c r="F3473" s="15">
        <v>42004</v>
      </c>
      <c r="G3473" s="14" t="s">
        <v>410</v>
      </c>
      <c r="H3473" s="14">
        <v>0.5</v>
      </c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4"/>
      <c r="Z3473" s="14"/>
      <c r="AA3473" s="14"/>
      <c r="AB3473" s="14"/>
      <c r="AC3473" s="14"/>
      <c r="AD3473" s="14"/>
      <c r="AE3473" s="14"/>
      <c r="AF3473" s="14" t="s">
        <v>413</v>
      </c>
    </row>
    <row r="3474" spans="1:32" ht="14.25" customHeight="1" x14ac:dyDescent="0.35">
      <c r="A3474" s="16" t="s">
        <v>2019</v>
      </c>
      <c r="B3474" s="16" t="s">
        <v>408</v>
      </c>
      <c r="C3474" s="16"/>
      <c r="D3474" s="16" t="s">
        <v>409</v>
      </c>
      <c r="E3474" s="17">
        <v>41640</v>
      </c>
      <c r="F3474" s="17">
        <v>42004</v>
      </c>
      <c r="G3474" s="16" t="s">
        <v>410</v>
      </c>
      <c r="H3474" s="16">
        <v>1</v>
      </c>
      <c r="I3474" s="16"/>
      <c r="J3474" s="16"/>
      <c r="K3474" s="16"/>
      <c r="L3474" s="16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/>
      <c r="AB3474" s="16"/>
      <c r="AC3474" s="16"/>
      <c r="AD3474" s="16"/>
      <c r="AE3474" s="16"/>
      <c r="AF3474" s="16" t="s">
        <v>413</v>
      </c>
    </row>
    <row r="3475" spans="1:32" ht="14.25" customHeight="1" x14ac:dyDescent="0.35">
      <c r="A3475" s="14" t="s">
        <v>2020</v>
      </c>
      <c r="B3475" s="14" t="s">
        <v>424</v>
      </c>
      <c r="C3475" s="14"/>
      <c r="D3475" s="14" t="s">
        <v>409</v>
      </c>
      <c r="E3475" s="15">
        <v>41640</v>
      </c>
      <c r="F3475" s="15">
        <v>42004</v>
      </c>
      <c r="G3475" s="14" t="s">
        <v>415</v>
      </c>
      <c r="H3475" s="14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1</v>
      </c>
      <c r="O3475" s="14">
        <v>1</v>
      </c>
      <c r="P3475" s="14">
        <v>1</v>
      </c>
      <c r="Q3475" s="14">
        <v>1</v>
      </c>
      <c r="R3475" s="14">
        <v>1</v>
      </c>
      <c r="S3475" s="14">
        <v>1</v>
      </c>
      <c r="T3475" s="14">
        <v>1</v>
      </c>
      <c r="U3475" s="14">
        <v>1</v>
      </c>
      <c r="V3475" s="14">
        <v>1</v>
      </c>
      <c r="W3475" s="14">
        <v>1</v>
      </c>
      <c r="X3475" s="14">
        <v>1</v>
      </c>
      <c r="Y3475" s="14">
        <v>1</v>
      </c>
      <c r="Z3475" s="14">
        <v>1</v>
      </c>
      <c r="AA3475" s="14">
        <v>1</v>
      </c>
      <c r="AB3475" s="14">
        <v>1</v>
      </c>
      <c r="AC3475" s="14">
        <v>1</v>
      </c>
      <c r="AD3475" s="14">
        <v>1</v>
      </c>
      <c r="AE3475" s="14">
        <v>1</v>
      </c>
      <c r="AF3475" s="14" t="s">
        <v>413</v>
      </c>
    </row>
    <row r="3476" spans="1:32" ht="14.25" customHeight="1" x14ac:dyDescent="0.35">
      <c r="A3476" s="16" t="s">
        <v>2021</v>
      </c>
      <c r="B3476" s="16" t="s">
        <v>424</v>
      </c>
      <c r="C3476" s="16"/>
      <c r="D3476" s="16" t="s">
        <v>409</v>
      </c>
      <c r="E3476" s="17">
        <v>41640</v>
      </c>
      <c r="F3476" s="17">
        <v>42004</v>
      </c>
      <c r="G3476" s="16" t="s">
        <v>415</v>
      </c>
      <c r="H3476" s="16">
        <v>0.7</v>
      </c>
      <c r="I3476" s="16">
        <v>0.7</v>
      </c>
      <c r="J3476" s="16">
        <v>0.7</v>
      </c>
      <c r="K3476" s="16">
        <v>0.7</v>
      </c>
      <c r="L3476" s="16">
        <v>0.7</v>
      </c>
      <c r="M3476" s="16">
        <v>0.7</v>
      </c>
      <c r="N3476" s="16">
        <v>1</v>
      </c>
      <c r="O3476" s="16">
        <v>1</v>
      </c>
      <c r="P3476" s="16">
        <v>1</v>
      </c>
      <c r="Q3476" s="16">
        <v>1</v>
      </c>
      <c r="R3476" s="16">
        <v>1</v>
      </c>
      <c r="S3476" s="16">
        <v>1</v>
      </c>
      <c r="T3476" s="16">
        <v>1</v>
      </c>
      <c r="U3476" s="16">
        <v>1</v>
      </c>
      <c r="V3476" s="16">
        <v>1</v>
      </c>
      <c r="W3476" s="16">
        <v>1</v>
      </c>
      <c r="X3476" s="16">
        <v>1</v>
      </c>
      <c r="Y3476" s="16">
        <v>1</v>
      </c>
      <c r="Z3476" s="16">
        <v>1</v>
      </c>
      <c r="AA3476" s="16">
        <v>1</v>
      </c>
      <c r="AB3476" s="16">
        <v>1</v>
      </c>
      <c r="AC3476" s="16">
        <v>1</v>
      </c>
      <c r="AD3476" s="16">
        <v>1</v>
      </c>
      <c r="AE3476" s="16">
        <v>1</v>
      </c>
      <c r="AF3476" s="16" t="s">
        <v>413</v>
      </c>
    </row>
    <row r="3477" spans="1:32" ht="14.25" customHeight="1" x14ac:dyDescent="0.35">
      <c r="A3477" s="14" t="s">
        <v>2022</v>
      </c>
      <c r="B3477" s="14" t="s">
        <v>408</v>
      </c>
      <c r="C3477" s="14"/>
      <c r="D3477" s="14" t="s">
        <v>409</v>
      </c>
      <c r="E3477" s="15">
        <v>41640</v>
      </c>
      <c r="F3477" s="15">
        <v>42004</v>
      </c>
      <c r="G3477" s="14" t="s">
        <v>415</v>
      </c>
      <c r="H3477" s="14">
        <v>1</v>
      </c>
      <c r="I3477" s="14">
        <v>1</v>
      </c>
      <c r="J3477" s="14">
        <v>1</v>
      </c>
      <c r="K3477" s="14">
        <v>1</v>
      </c>
      <c r="L3477" s="14">
        <v>0</v>
      </c>
      <c r="M3477" s="14">
        <v>1</v>
      </c>
      <c r="N3477" s="14">
        <v>1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1</v>
      </c>
      <c r="AB3477" s="14">
        <v>1</v>
      </c>
      <c r="AC3477" s="14">
        <v>1</v>
      </c>
      <c r="AD3477" s="14">
        <v>1</v>
      </c>
      <c r="AE3477" s="14">
        <v>1</v>
      </c>
      <c r="AF3477" s="14" t="s">
        <v>413</v>
      </c>
    </row>
    <row r="3478" spans="1:32" ht="14.25" customHeight="1" x14ac:dyDescent="0.35">
      <c r="A3478" s="16" t="s">
        <v>2023</v>
      </c>
      <c r="B3478" s="16" t="s">
        <v>408</v>
      </c>
      <c r="C3478" s="16"/>
      <c r="D3478" s="16" t="s">
        <v>417</v>
      </c>
      <c r="E3478" s="17">
        <v>41640</v>
      </c>
      <c r="F3478" s="17">
        <v>42004</v>
      </c>
      <c r="G3478" s="16" t="s">
        <v>410</v>
      </c>
      <c r="H3478" s="16">
        <v>0</v>
      </c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16"/>
      <c r="AA3478" s="16"/>
      <c r="AB3478" s="16"/>
      <c r="AC3478" s="16"/>
      <c r="AD3478" s="16"/>
      <c r="AE3478" s="16"/>
      <c r="AF3478" s="16" t="s">
        <v>413</v>
      </c>
    </row>
    <row r="3479" spans="1:32" ht="14.25" customHeight="1" x14ac:dyDescent="0.35">
      <c r="A3479" s="16" t="s">
        <v>2023</v>
      </c>
      <c r="B3479" s="16" t="s">
        <v>408</v>
      </c>
      <c r="C3479" s="16"/>
      <c r="D3479" s="16" t="s">
        <v>1463</v>
      </c>
      <c r="E3479" s="17">
        <v>41640</v>
      </c>
      <c r="F3479" s="17">
        <v>42004</v>
      </c>
      <c r="G3479" s="16" t="s">
        <v>415</v>
      </c>
      <c r="H3479" s="16">
        <v>0</v>
      </c>
      <c r="I3479" s="16">
        <v>0</v>
      </c>
      <c r="J3479" s="16">
        <v>0</v>
      </c>
      <c r="K3479" s="16">
        <v>0</v>
      </c>
      <c r="L3479" s="16">
        <v>0</v>
      </c>
      <c r="M3479" s="16">
        <v>0</v>
      </c>
      <c r="N3479" s="16">
        <v>0</v>
      </c>
      <c r="O3479" s="16">
        <v>1</v>
      </c>
      <c r="P3479" s="16">
        <v>1</v>
      </c>
      <c r="Q3479" s="16">
        <v>1</v>
      </c>
      <c r="R3479" s="16">
        <v>1</v>
      </c>
      <c r="S3479" s="16">
        <v>1</v>
      </c>
      <c r="T3479" s="16">
        <v>1</v>
      </c>
      <c r="U3479" s="16">
        <v>1</v>
      </c>
      <c r="V3479" s="16">
        <v>1</v>
      </c>
      <c r="W3479" s="16">
        <v>1</v>
      </c>
      <c r="X3479" s="16">
        <v>1</v>
      </c>
      <c r="Y3479" s="16">
        <v>1</v>
      </c>
      <c r="Z3479" s="16">
        <v>0</v>
      </c>
      <c r="AA3479" s="16">
        <v>0</v>
      </c>
      <c r="AB3479" s="16">
        <v>0</v>
      </c>
      <c r="AC3479" s="16">
        <v>0</v>
      </c>
      <c r="AD3479" s="16">
        <v>0</v>
      </c>
      <c r="AE3479" s="16">
        <v>0</v>
      </c>
      <c r="AF3479" s="16" t="s">
        <v>413</v>
      </c>
    </row>
    <row r="3480" spans="1:32" ht="14.25" customHeight="1" x14ac:dyDescent="0.35">
      <c r="A3480" s="14" t="s">
        <v>2023</v>
      </c>
      <c r="B3480" s="14" t="s">
        <v>408</v>
      </c>
      <c r="C3480" s="14"/>
      <c r="D3480" s="14" t="s">
        <v>421</v>
      </c>
      <c r="E3480" s="15">
        <v>41640</v>
      </c>
      <c r="F3480" s="15">
        <v>42004</v>
      </c>
      <c r="G3480" s="14" t="s">
        <v>410</v>
      </c>
      <c r="H3480" s="14">
        <v>1</v>
      </c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  <c r="U3480" s="14"/>
      <c r="V3480" s="14"/>
      <c r="W3480" s="14"/>
      <c r="X3480" s="14"/>
      <c r="Y3480" s="14"/>
      <c r="Z3480" s="14"/>
      <c r="AA3480" s="14"/>
      <c r="AB3480" s="14"/>
      <c r="AC3480" s="14"/>
      <c r="AD3480" s="14"/>
      <c r="AE3480" s="14"/>
      <c r="AF3480" s="14" t="s">
        <v>413</v>
      </c>
    </row>
    <row r="3481" spans="1:32" ht="14.25" customHeight="1" x14ac:dyDescent="0.35">
      <c r="A3481" s="14" t="s">
        <v>2024</v>
      </c>
      <c r="B3481" s="14" t="s">
        <v>408</v>
      </c>
      <c r="C3481" s="14" t="s">
        <v>414</v>
      </c>
      <c r="D3481" s="14" t="s">
        <v>409</v>
      </c>
      <c r="E3481" s="15">
        <v>41640</v>
      </c>
      <c r="F3481" s="15">
        <v>42004</v>
      </c>
      <c r="G3481" s="14" t="s">
        <v>410</v>
      </c>
      <c r="H3481" s="14">
        <v>26.7</v>
      </c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 t="s">
        <v>413</v>
      </c>
    </row>
    <row r="3482" spans="1:32" ht="14.25" customHeight="1" x14ac:dyDescent="0.35">
      <c r="A3482" s="16" t="s">
        <v>2025</v>
      </c>
      <c r="B3482" s="16" t="s">
        <v>408</v>
      </c>
      <c r="C3482" s="16" t="s">
        <v>414</v>
      </c>
      <c r="D3482" s="16" t="s">
        <v>409</v>
      </c>
      <c r="E3482" s="17">
        <v>41640</v>
      </c>
      <c r="F3482" s="17">
        <v>42004</v>
      </c>
      <c r="G3482" s="16" t="s">
        <v>410</v>
      </c>
      <c r="H3482" s="16">
        <v>15.56</v>
      </c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/>
      <c r="AC3482" s="16"/>
      <c r="AD3482" s="16"/>
      <c r="AE3482" s="16"/>
      <c r="AF3482" s="16" t="s">
        <v>413</v>
      </c>
    </row>
    <row r="3483" spans="1:32" ht="14.25" customHeight="1" x14ac:dyDescent="0.35">
      <c r="A3483" s="14" t="s">
        <v>2026</v>
      </c>
      <c r="B3483" s="14" t="s">
        <v>408</v>
      </c>
      <c r="C3483" s="14" t="s">
        <v>412</v>
      </c>
      <c r="D3483" s="14" t="s">
        <v>409</v>
      </c>
      <c r="E3483" s="15">
        <v>41640</v>
      </c>
      <c r="F3483" s="15">
        <v>42004</v>
      </c>
      <c r="G3483" s="14" t="s">
        <v>410</v>
      </c>
      <c r="H3483" s="14">
        <v>60</v>
      </c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  <c r="U3483" s="14"/>
      <c r="V3483" s="14"/>
      <c r="W3483" s="14"/>
      <c r="X3483" s="14"/>
      <c r="Y3483" s="14"/>
      <c r="Z3483" s="14"/>
      <c r="AA3483" s="14"/>
      <c r="AB3483" s="14"/>
      <c r="AC3483" s="14"/>
      <c r="AD3483" s="14"/>
      <c r="AE3483" s="14"/>
      <c r="AF3483" s="14" t="s">
        <v>413</v>
      </c>
    </row>
    <row r="3484" spans="1:32" ht="14.25" customHeight="1" x14ac:dyDescent="0.35">
      <c r="A3484" s="14" t="s">
        <v>2027</v>
      </c>
      <c r="B3484" s="14" t="s">
        <v>420</v>
      </c>
      <c r="C3484" s="14" t="s">
        <v>414</v>
      </c>
      <c r="D3484" s="14" t="s">
        <v>417</v>
      </c>
      <c r="E3484" s="15">
        <v>41640</v>
      </c>
      <c r="F3484" s="15">
        <v>42004</v>
      </c>
      <c r="G3484" s="14" t="s">
        <v>415</v>
      </c>
      <c r="H3484" s="14">
        <v>15.5</v>
      </c>
      <c r="I3484" s="14">
        <v>15.5</v>
      </c>
      <c r="J3484" s="14">
        <v>15.5</v>
      </c>
      <c r="K3484" s="14">
        <v>15.5</v>
      </c>
      <c r="L3484" s="14">
        <v>15.5</v>
      </c>
      <c r="M3484" s="14">
        <v>15.5</v>
      </c>
      <c r="N3484" s="14">
        <v>21</v>
      </c>
      <c r="O3484" s="14">
        <v>21</v>
      </c>
      <c r="P3484" s="14">
        <v>21</v>
      </c>
      <c r="Q3484" s="14">
        <v>21</v>
      </c>
      <c r="R3484" s="14">
        <v>21</v>
      </c>
      <c r="S3484" s="14">
        <v>21</v>
      </c>
      <c r="T3484" s="14">
        <v>21</v>
      </c>
      <c r="U3484" s="14">
        <v>21</v>
      </c>
      <c r="V3484" s="14">
        <v>21</v>
      </c>
      <c r="W3484" s="14">
        <v>21</v>
      </c>
      <c r="X3484" s="14">
        <v>21</v>
      </c>
      <c r="Y3484" s="14">
        <v>15.5</v>
      </c>
      <c r="Z3484" s="14">
        <v>15.5</v>
      </c>
      <c r="AA3484" s="14">
        <v>15.5</v>
      </c>
      <c r="AB3484" s="14">
        <v>15.5</v>
      </c>
      <c r="AC3484" s="14">
        <v>15.5</v>
      </c>
      <c r="AD3484" s="14">
        <v>15.5</v>
      </c>
      <c r="AE3484" s="14">
        <v>15.5</v>
      </c>
      <c r="AF3484" s="14" t="s">
        <v>411</v>
      </c>
    </row>
    <row r="3485" spans="1:32" ht="14.25" customHeight="1" x14ac:dyDescent="0.35">
      <c r="A3485" s="16" t="s">
        <v>2027</v>
      </c>
      <c r="B3485" s="16" t="s">
        <v>420</v>
      </c>
      <c r="C3485" s="16" t="s">
        <v>414</v>
      </c>
      <c r="D3485" s="16" t="s">
        <v>512</v>
      </c>
      <c r="E3485" s="17">
        <v>41640</v>
      </c>
      <c r="F3485" s="17">
        <v>42004</v>
      </c>
      <c r="G3485" s="16" t="s">
        <v>415</v>
      </c>
      <c r="H3485" s="16">
        <v>15.5</v>
      </c>
      <c r="I3485" s="16">
        <v>15.5</v>
      </c>
      <c r="J3485" s="16">
        <v>15.5</v>
      </c>
      <c r="K3485" s="16">
        <v>15.5</v>
      </c>
      <c r="L3485" s="16">
        <v>15.5</v>
      </c>
      <c r="M3485" s="16">
        <v>15.5</v>
      </c>
      <c r="N3485" s="16">
        <v>15.5</v>
      </c>
      <c r="O3485" s="16">
        <v>21</v>
      </c>
      <c r="P3485" s="16">
        <v>21</v>
      </c>
      <c r="Q3485" s="16">
        <v>21</v>
      </c>
      <c r="R3485" s="16">
        <v>21</v>
      </c>
      <c r="S3485" s="16">
        <v>21</v>
      </c>
      <c r="T3485" s="16">
        <v>21</v>
      </c>
      <c r="U3485" s="16">
        <v>21</v>
      </c>
      <c r="V3485" s="16">
        <v>21</v>
      </c>
      <c r="W3485" s="16">
        <v>21</v>
      </c>
      <c r="X3485" s="16">
        <v>15.5</v>
      </c>
      <c r="Y3485" s="16">
        <v>15.5</v>
      </c>
      <c r="Z3485" s="16">
        <v>15.5</v>
      </c>
      <c r="AA3485" s="16">
        <v>15.5</v>
      </c>
      <c r="AB3485" s="16">
        <v>15.5</v>
      </c>
      <c r="AC3485" s="16">
        <v>15.5</v>
      </c>
      <c r="AD3485" s="16">
        <v>15.5</v>
      </c>
      <c r="AE3485" s="16">
        <v>15.5</v>
      </c>
      <c r="AF3485" s="16" t="s">
        <v>411</v>
      </c>
    </row>
    <row r="3486" spans="1:32" ht="14.25" customHeight="1" x14ac:dyDescent="0.35">
      <c r="A3486" s="14" t="s">
        <v>2027</v>
      </c>
      <c r="B3486" s="14" t="s">
        <v>420</v>
      </c>
      <c r="C3486" s="14" t="s">
        <v>414</v>
      </c>
      <c r="D3486" s="14" t="s">
        <v>983</v>
      </c>
      <c r="E3486" s="15">
        <v>41640</v>
      </c>
      <c r="F3486" s="15">
        <v>42004</v>
      </c>
      <c r="G3486" s="14" t="s">
        <v>410</v>
      </c>
      <c r="H3486" s="14">
        <v>15.5</v>
      </c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14"/>
      <c r="T3486" s="14"/>
      <c r="U3486" s="14"/>
      <c r="V3486" s="14"/>
      <c r="W3486" s="14"/>
      <c r="X3486" s="14"/>
      <c r="Y3486" s="14"/>
      <c r="Z3486" s="14"/>
      <c r="AA3486" s="14"/>
      <c r="AB3486" s="14"/>
      <c r="AC3486" s="14"/>
      <c r="AD3486" s="14"/>
      <c r="AE3486" s="14"/>
      <c r="AF3486" s="14" t="s">
        <v>411</v>
      </c>
    </row>
    <row r="3487" spans="1:32" ht="14.25" customHeight="1" x14ac:dyDescent="0.35">
      <c r="A3487" s="16" t="s">
        <v>2027</v>
      </c>
      <c r="B3487" s="16" t="s">
        <v>420</v>
      </c>
      <c r="C3487" s="16" t="s">
        <v>414</v>
      </c>
      <c r="D3487" s="16" t="s">
        <v>418</v>
      </c>
      <c r="E3487" s="17">
        <v>41640</v>
      </c>
      <c r="F3487" s="17">
        <v>42004</v>
      </c>
      <c r="G3487" s="16" t="s">
        <v>410</v>
      </c>
      <c r="H3487" s="16">
        <v>21</v>
      </c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16"/>
      <c r="AA3487" s="16"/>
      <c r="AB3487" s="16"/>
      <c r="AC3487" s="16"/>
      <c r="AD3487" s="16"/>
      <c r="AE3487" s="16"/>
      <c r="AF3487" s="16" t="s">
        <v>411</v>
      </c>
    </row>
    <row r="3488" spans="1:32" ht="14.25" customHeight="1" x14ac:dyDescent="0.35">
      <c r="A3488" s="14" t="s">
        <v>2028</v>
      </c>
      <c r="B3488" s="14" t="s">
        <v>420</v>
      </c>
      <c r="C3488" s="14" t="s">
        <v>414</v>
      </c>
      <c r="D3488" s="14" t="s">
        <v>409</v>
      </c>
      <c r="E3488" s="15">
        <v>41640</v>
      </c>
      <c r="F3488" s="15">
        <v>42004</v>
      </c>
      <c r="G3488" s="14" t="s">
        <v>410</v>
      </c>
      <c r="H3488" s="14">
        <v>7.2</v>
      </c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S3488" s="14"/>
      <c r="T3488" s="14"/>
      <c r="U3488" s="14"/>
      <c r="V3488" s="14"/>
      <c r="W3488" s="14"/>
      <c r="X3488" s="14"/>
      <c r="Y3488" s="14"/>
      <c r="Z3488" s="14"/>
      <c r="AA3488" s="14"/>
      <c r="AB3488" s="14"/>
      <c r="AC3488" s="14"/>
      <c r="AD3488" s="14"/>
      <c r="AE3488" s="14"/>
      <c r="AF3488" s="14" t="s">
        <v>411</v>
      </c>
    </row>
    <row r="3489" spans="1:32" ht="14.25" customHeight="1" x14ac:dyDescent="0.35">
      <c r="A3489" s="16" t="s">
        <v>2029</v>
      </c>
      <c r="B3489" s="16" t="s">
        <v>420</v>
      </c>
      <c r="C3489" s="16" t="s">
        <v>414</v>
      </c>
      <c r="D3489" s="16" t="s">
        <v>409</v>
      </c>
      <c r="E3489" s="17">
        <v>41640</v>
      </c>
      <c r="F3489" s="17">
        <v>42004</v>
      </c>
      <c r="G3489" s="16" t="s">
        <v>410</v>
      </c>
      <c r="H3489" s="16">
        <v>15.6</v>
      </c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 t="s">
        <v>411</v>
      </c>
    </row>
    <row r="3490" spans="1:32" ht="14.25" customHeight="1" x14ac:dyDescent="0.35">
      <c r="A3490" s="16" t="s">
        <v>2030</v>
      </c>
      <c r="B3490" s="16" t="s">
        <v>441</v>
      </c>
      <c r="C3490" s="16"/>
      <c r="D3490" s="16" t="s">
        <v>409</v>
      </c>
      <c r="E3490" s="17">
        <v>41640</v>
      </c>
      <c r="F3490" s="17">
        <v>42004</v>
      </c>
      <c r="G3490" s="16" t="s">
        <v>410</v>
      </c>
      <c r="H3490" s="16">
        <v>0</v>
      </c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 t="s">
        <v>413</v>
      </c>
    </row>
    <row r="3491" spans="1:32" ht="14.25" customHeight="1" x14ac:dyDescent="0.35">
      <c r="A3491" s="14" t="s">
        <v>2030</v>
      </c>
      <c r="B3491" s="14" t="s">
        <v>441</v>
      </c>
      <c r="C3491" s="14"/>
      <c r="D3491" s="14" t="s">
        <v>429</v>
      </c>
      <c r="E3491" s="15">
        <v>41640</v>
      </c>
      <c r="F3491" s="15">
        <v>42004</v>
      </c>
      <c r="G3491" s="14" t="s">
        <v>415</v>
      </c>
      <c r="H3491" s="14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0.14399999999999999</v>
      </c>
      <c r="O3491" s="14">
        <v>1</v>
      </c>
      <c r="P3491" s="14">
        <v>0.14399999999999999</v>
      </c>
      <c r="Q3491" s="14">
        <v>0.14399999999999999</v>
      </c>
      <c r="R3491" s="14">
        <v>0.14399999999999999</v>
      </c>
      <c r="S3491" s="14">
        <v>0.14399999999999999</v>
      </c>
      <c r="T3491" s="14">
        <v>1</v>
      </c>
      <c r="U3491" s="14">
        <v>0.14399999999999999</v>
      </c>
      <c r="V3491" s="14">
        <v>0.14399999999999999</v>
      </c>
      <c r="W3491" s="14">
        <v>0.14399999999999999</v>
      </c>
      <c r="X3491" s="14">
        <v>0.14399999999999999</v>
      </c>
      <c r="Y3491" s="14">
        <v>1</v>
      </c>
      <c r="Z3491" s="14">
        <v>0.14399999999999999</v>
      </c>
      <c r="AA3491" s="14">
        <v>0</v>
      </c>
      <c r="AB3491" s="14">
        <v>0</v>
      </c>
      <c r="AC3491" s="14">
        <v>0</v>
      </c>
      <c r="AD3491" s="14">
        <v>0</v>
      </c>
      <c r="AE3491" s="14">
        <v>0</v>
      </c>
      <c r="AF3491" s="14" t="s">
        <v>413</v>
      </c>
    </row>
    <row r="3492" spans="1:32" ht="14.25" customHeight="1" x14ac:dyDescent="0.35">
      <c r="A3492" s="16" t="s">
        <v>2031</v>
      </c>
      <c r="B3492" s="16" t="s">
        <v>550</v>
      </c>
      <c r="C3492" s="16"/>
      <c r="D3492" s="16" t="s">
        <v>417</v>
      </c>
      <c r="E3492" s="17">
        <v>41640</v>
      </c>
      <c r="F3492" s="17">
        <v>42004</v>
      </c>
      <c r="G3492" s="16" t="s">
        <v>410</v>
      </c>
      <c r="H3492" s="16">
        <v>0</v>
      </c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6"/>
      <c r="AA3492" s="16"/>
      <c r="AB3492" s="16"/>
      <c r="AC3492" s="16"/>
      <c r="AD3492" s="16"/>
      <c r="AE3492" s="16"/>
      <c r="AF3492" s="16" t="s">
        <v>413</v>
      </c>
    </row>
    <row r="3493" spans="1:32" ht="14.25" customHeight="1" x14ac:dyDescent="0.35">
      <c r="A3493" s="16" t="s">
        <v>2031</v>
      </c>
      <c r="B3493" s="16" t="s">
        <v>550</v>
      </c>
      <c r="C3493" s="16"/>
      <c r="D3493" s="16" t="s">
        <v>1463</v>
      </c>
      <c r="E3493" s="17">
        <v>41640</v>
      </c>
      <c r="F3493" s="17">
        <v>42004</v>
      </c>
      <c r="G3493" s="16" t="s">
        <v>415</v>
      </c>
      <c r="H3493" s="16">
        <v>0</v>
      </c>
      <c r="I3493" s="16">
        <v>0</v>
      </c>
      <c r="J3493" s="16">
        <v>0</v>
      </c>
      <c r="K3493" s="16">
        <v>0</v>
      </c>
      <c r="L3493" s="16">
        <v>0</v>
      </c>
      <c r="M3493" s="16">
        <v>0</v>
      </c>
      <c r="N3493" s="16">
        <v>0</v>
      </c>
      <c r="O3493" s="16">
        <v>0</v>
      </c>
      <c r="P3493" s="16">
        <v>1</v>
      </c>
      <c r="Q3493" s="16">
        <v>1</v>
      </c>
      <c r="R3493" s="16">
        <v>1</v>
      </c>
      <c r="S3493" s="16">
        <v>1</v>
      </c>
      <c r="T3493" s="16">
        <v>1</v>
      </c>
      <c r="U3493" s="16">
        <v>1</v>
      </c>
      <c r="V3493" s="16">
        <v>1</v>
      </c>
      <c r="W3493" s="16">
        <v>1</v>
      </c>
      <c r="X3493" s="16">
        <v>1</v>
      </c>
      <c r="Y3493" s="16">
        <v>1</v>
      </c>
      <c r="Z3493" s="16">
        <v>0</v>
      </c>
      <c r="AA3493" s="16">
        <v>0</v>
      </c>
      <c r="AB3493" s="16">
        <v>0</v>
      </c>
      <c r="AC3493" s="16">
        <v>0</v>
      </c>
      <c r="AD3493" s="16">
        <v>0</v>
      </c>
      <c r="AE3493" s="16">
        <v>0</v>
      </c>
      <c r="AF3493" s="16" t="s">
        <v>413</v>
      </c>
    </row>
    <row r="3494" spans="1:32" ht="14.25" customHeight="1" x14ac:dyDescent="0.35">
      <c r="A3494" s="14" t="s">
        <v>2031</v>
      </c>
      <c r="B3494" s="14" t="s">
        <v>550</v>
      </c>
      <c r="C3494" s="14"/>
      <c r="D3494" s="14" t="s">
        <v>421</v>
      </c>
      <c r="E3494" s="15">
        <v>41640</v>
      </c>
      <c r="F3494" s="15">
        <v>42004</v>
      </c>
      <c r="G3494" s="14" t="s">
        <v>410</v>
      </c>
      <c r="H3494" s="14">
        <v>1</v>
      </c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4"/>
      <c r="AA3494" s="14"/>
      <c r="AB3494" s="14"/>
      <c r="AC3494" s="14"/>
      <c r="AD3494" s="14"/>
      <c r="AE3494" s="14"/>
      <c r="AF3494" s="14" t="s">
        <v>413</v>
      </c>
    </row>
    <row r="3495" spans="1:32" ht="14.25" customHeight="1" x14ac:dyDescent="0.35">
      <c r="A3495" s="14" t="s">
        <v>2032</v>
      </c>
      <c r="B3495" s="14" t="s">
        <v>550</v>
      </c>
      <c r="C3495" s="14"/>
      <c r="D3495" s="14" t="s">
        <v>409</v>
      </c>
      <c r="E3495" s="15">
        <v>41640</v>
      </c>
      <c r="F3495" s="15">
        <v>42004</v>
      </c>
      <c r="G3495" s="14" t="s">
        <v>410</v>
      </c>
      <c r="H3495" s="14">
        <v>1</v>
      </c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  <c r="U3495" s="14"/>
      <c r="V3495" s="14"/>
      <c r="W3495" s="14"/>
      <c r="X3495" s="14"/>
      <c r="Y3495" s="14"/>
      <c r="Z3495" s="14"/>
      <c r="AA3495" s="14"/>
      <c r="AB3495" s="14"/>
      <c r="AC3495" s="14"/>
      <c r="AD3495" s="14"/>
      <c r="AE3495" s="14"/>
      <c r="AF3495" s="14" t="s">
        <v>413</v>
      </c>
    </row>
    <row r="3496" spans="1:32" ht="14.25" customHeight="1" x14ac:dyDescent="0.35">
      <c r="A3496" s="16" t="s">
        <v>2033</v>
      </c>
      <c r="B3496" s="16" t="s">
        <v>550</v>
      </c>
      <c r="C3496" s="16"/>
      <c r="D3496" s="16" t="s">
        <v>409</v>
      </c>
      <c r="E3496" s="17">
        <v>41640</v>
      </c>
      <c r="F3496" s="17">
        <v>42004</v>
      </c>
      <c r="G3496" s="16" t="s">
        <v>410</v>
      </c>
      <c r="H3496" s="16">
        <v>1</v>
      </c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6"/>
      <c r="AA3496" s="16"/>
      <c r="AB3496" s="16"/>
      <c r="AC3496" s="16"/>
      <c r="AD3496" s="16"/>
      <c r="AE3496" s="16"/>
      <c r="AF3496" s="16" t="s">
        <v>413</v>
      </c>
    </row>
    <row r="3497" spans="1:32" ht="14.25" customHeight="1" x14ac:dyDescent="0.35">
      <c r="A3497" s="14" t="s">
        <v>2034</v>
      </c>
      <c r="B3497" s="14" t="s">
        <v>550</v>
      </c>
      <c r="C3497" s="14"/>
      <c r="D3497" s="14" t="s">
        <v>520</v>
      </c>
      <c r="E3497" s="15">
        <v>41640</v>
      </c>
      <c r="F3497" s="15">
        <v>42004</v>
      </c>
      <c r="G3497" s="14" t="s">
        <v>410</v>
      </c>
      <c r="H3497" s="14">
        <v>0</v>
      </c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14"/>
      <c r="T3497" s="14"/>
      <c r="U3497" s="14"/>
      <c r="V3497" s="14"/>
      <c r="W3497" s="14"/>
      <c r="X3497" s="14"/>
      <c r="Y3497" s="14"/>
      <c r="Z3497" s="14"/>
      <c r="AA3497" s="14"/>
      <c r="AB3497" s="14"/>
      <c r="AC3497" s="14"/>
      <c r="AD3497" s="14"/>
      <c r="AE3497" s="14"/>
      <c r="AF3497" s="14" t="s">
        <v>413</v>
      </c>
    </row>
    <row r="3498" spans="1:32" ht="14.25" customHeight="1" x14ac:dyDescent="0.35">
      <c r="A3498" s="14" t="s">
        <v>2034</v>
      </c>
      <c r="B3498" s="14" t="s">
        <v>550</v>
      </c>
      <c r="C3498" s="14"/>
      <c r="D3498" s="14" t="s">
        <v>512</v>
      </c>
      <c r="E3498" s="15">
        <v>41640</v>
      </c>
      <c r="F3498" s="15">
        <v>42004</v>
      </c>
      <c r="G3498" s="14" t="s">
        <v>415</v>
      </c>
      <c r="H3498" s="14">
        <v>0</v>
      </c>
      <c r="I3498" s="14">
        <v>0</v>
      </c>
      <c r="J3498" s="14">
        <v>0</v>
      </c>
      <c r="K3498" s="14">
        <v>0</v>
      </c>
      <c r="L3498" s="14">
        <v>0</v>
      </c>
      <c r="M3498" s="14">
        <v>0</v>
      </c>
      <c r="N3498" s="14">
        <v>0</v>
      </c>
      <c r="O3498" s="14">
        <v>0</v>
      </c>
      <c r="P3498" s="14">
        <v>1</v>
      </c>
      <c r="Q3498" s="14">
        <v>1</v>
      </c>
      <c r="R3498" s="14">
        <v>1</v>
      </c>
      <c r="S3498" s="14">
        <v>1</v>
      </c>
      <c r="T3498" s="14">
        <v>1</v>
      </c>
      <c r="U3498" s="14">
        <v>1</v>
      </c>
      <c r="V3498" s="14">
        <v>1</v>
      </c>
      <c r="W3498" s="14">
        <v>1</v>
      </c>
      <c r="X3498" s="14">
        <v>1</v>
      </c>
      <c r="Y3498" s="14">
        <v>0</v>
      </c>
      <c r="Z3498" s="14">
        <v>0</v>
      </c>
      <c r="AA3498" s="14">
        <v>0</v>
      </c>
      <c r="AB3498" s="14">
        <v>0</v>
      </c>
      <c r="AC3498" s="14">
        <v>0</v>
      </c>
      <c r="AD3498" s="14">
        <v>0</v>
      </c>
      <c r="AE3498" s="14">
        <v>0</v>
      </c>
      <c r="AF3498" s="14" t="s">
        <v>413</v>
      </c>
    </row>
    <row r="3499" spans="1:32" ht="14.25" customHeight="1" x14ac:dyDescent="0.35">
      <c r="A3499" s="16" t="s">
        <v>2034</v>
      </c>
      <c r="B3499" s="16" t="s">
        <v>550</v>
      </c>
      <c r="C3499" s="16"/>
      <c r="D3499" s="16" t="s">
        <v>421</v>
      </c>
      <c r="E3499" s="17">
        <v>41640</v>
      </c>
      <c r="F3499" s="17">
        <v>42004</v>
      </c>
      <c r="G3499" s="16" t="s">
        <v>410</v>
      </c>
      <c r="H3499" s="16">
        <v>1</v>
      </c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6"/>
      <c r="AA3499" s="16"/>
      <c r="AB3499" s="16"/>
      <c r="AC3499" s="16"/>
      <c r="AD3499" s="16"/>
      <c r="AE3499" s="16"/>
      <c r="AF3499" s="16" t="s">
        <v>413</v>
      </c>
    </row>
    <row r="3500" spans="1:32" ht="14.25" customHeight="1" x14ac:dyDescent="0.35">
      <c r="A3500" s="14" t="s">
        <v>2035</v>
      </c>
      <c r="B3500" s="14" t="s">
        <v>408</v>
      </c>
      <c r="C3500" s="14"/>
      <c r="D3500" s="14" t="s">
        <v>417</v>
      </c>
      <c r="E3500" s="15">
        <v>41640</v>
      </c>
      <c r="F3500" s="15">
        <v>42004</v>
      </c>
      <c r="G3500" s="14" t="s">
        <v>410</v>
      </c>
      <c r="H3500" s="14">
        <v>0.3</v>
      </c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14"/>
      <c r="T3500" s="14"/>
      <c r="U3500" s="14"/>
      <c r="V3500" s="14"/>
      <c r="W3500" s="14"/>
      <c r="X3500" s="14"/>
      <c r="Y3500" s="14"/>
      <c r="Z3500" s="14"/>
      <c r="AA3500" s="14"/>
      <c r="AB3500" s="14"/>
      <c r="AC3500" s="14"/>
      <c r="AD3500" s="14"/>
      <c r="AE3500" s="14"/>
      <c r="AF3500" s="14" t="s">
        <v>413</v>
      </c>
    </row>
    <row r="3501" spans="1:32" ht="14.25" customHeight="1" x14ac:dyDescent="0.35">
      <c r="A3501" s="16" t="s">
        <v>2035</v>
      </c>
      <c r="B3501" s="16" t="s">
        <v>408</v>
      </c>
      <c r="C3501" s="16"/>
      <c r="D3501" s="16" t="s">
        <v>1463</v>
      </c>
      <c r="E3501" s="17">
        <v>41640</v>
      </c>
      <c r="F3501" s="17">
        <v>42004</v>
      </c>
      <c r="G3501" s="16" t="s">
        <v>415</v>
      </c>
      <c r="H3501" s="16">
        <v>0.3</v>
      </c>
      <c r="I3501" s="16">
        <v>0.3</v>
      </c>
      <c r="J3501" s="16">
        <v>0.3</v>
      </c>
      <c r="K3501" s="16">
        <v>0.3</v>
      </c>
      <c r="L3501" s="16">
        <v>0.3</v>
      </c>
      <c r="M3501" s="16">
        <v>0.3</v>
      </c>
      <c r="N3501" s="16">
        <v>0.3</v>
      </c>
      <c r="O3501" s="16">
        <v>0.5</v>
      </c>
      <c r="P3501" s="16">
        <v>1</v>
      </c>
      <c r="Q3501" s="16">
        <v>1</v>
      </c>
      <c r="R3501" s="16">
        <v>1</v>
      </c>
      <c r="S3501" s="16">
        <v>1</v>
      </c>
      <c r="T3501" s="16">
        <v>0.94</v>
      </c>
      <c r="U3501" s="16">
        <v>1</v>
      </c>
      <c r="V3501" s="16">
        <v>1</v>
      </c>
      <c r="W3501" s="16">
        <v>1</v>
      </c>
      <c r="X3501" s="16">
        <v>1</v>
      </c>
      <c r="Y3501" s="16">
        <v>0.5</v>
      </c>
      <c r="Z3501" s="16">
        <v>0.3</v>
      </c>
      <c r="AA3501" s="16">
        <v>0.3</v>
      </c>
      <c r="AB3501" s="16">
        <v>0.3</v>
      </c>
      <c r="AC3501" s="16">
        <v>0.3</v>
      </c>
      <c r="AD3501" s="16">
        <v>0.3</v>
      </c>
      <c r="AE3501" s="16">
        <v>0.3</v>
      </c>
      <c r="AF3501" s="16" t="s">
        <v>413</v>
      </c>
    </row>
    <row r="3502" spans="1:32" ht="14.25" customHeight="1" x14ac:dyDescent="0.35">
      <c r="A3502" s="14" t="s">
        <v>2035</v>
      </c>
      <c r="B3502" s="14" t="s">
        <v>408</v>
      </c>
      <c r="C3502" s="14"/>
      <c r="D3502" s="14" t="s">
        <v>419</v>
      </c>
      <c r="E3502" s="15">
        <v>41640</v>
      </c>
      <c r="F3502" s="15">
        <v>42004</v>
      </c>
      <c r="G3502" s="14" t="s">
        <v>410</v>
      </c>
      <c r="H3502" s="14">
        <v>1</v>
      </c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14"/>
      <c r="T3502" s="14"/>
      <c r="U3502" s="14"/>
      <c r="V3502" s="14"/>
      <c r="W3502" s="14"/>
      <c r="X3502" s="14"/>
      <c r="Y3502" s="14"/>
      <c r="Z3502" s="14"/>
      <c r="AA3502" s="14"/>
      <c r="AB3502" s="14"/>
      <c r="AC3502" s="14"/>
      <c r="AD3502" s="14"/>
      <c r="AE3502" s="14"/>
      <c r="AF3502" s="14" t="s">
        <v>413</v>
      </c>
    </row>
    <row r="3503" spans="1:32" ht="14.25" customHeight="1" x14ac:dyDescent="0.35">
      <c r="A3503" s="16" t="s">
        <v>2035</v>
      </c>
      <c r="B3503" s="16" t="s">
        <v>408</v>
      </c>
      <c r="C3503" s="16"/>
      <c r="D3503" s="16" t="s">
        <v>418</v>
      </c>
      <c r="E3503" s="17">
        <v>41640</v>
      </c>
      <c r="F3503" s="17">
        <v>42004</v>
      </c>
      <c r="G3503" s="16" t="s">
        <v>410</v>
      </c>
      <c r="H3503" s="16">
        <v>0</v>
      </c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16"/>
      <c r="AA3503" s="16"/>
      <c r="AB3503" s="16"/>
      <c r="AC3503" s="16"/>
      <c r="AD3503" s="16"/>
      <c r="AE3503" s="16"/>
      <c r="AF3503" s="16" t="s">
        <v>413</v>
      </c>
    </row>
    <row r="3504" spans="1:32" ht="14.25" customHeight="1" x14ac:dyDescent="0.35">
      <c r="A3504" s="14" t="s">
        <v>2036</v>
      </c>
      <c r="B3504" s="14" t="s">
        <v>408</v>
      </c>
      <c r="C3504" s="14"/>
      <c r="D3504" s="14" t="s">
        <v>409</v>
      </c>
      <c r="E3504" s="15">
        <v>41640</v>
      </c>
      <c r="F3504" s="15">
        <v>42004</v>
      </c>
      <c r="G3504" s="14" t="s">
        <v>410</v>
      </c>
      <c r="H3504" s="14">
        <v>0</v>
      </c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14"/>
      <c r="T3504" s="14"/>
      <c r="U3504" s="14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 t="s">
        <v>411</v>
      </c>
    </row>
    <row r="3505" spans="1:32" ht="14.25" customHeight="1" x14ac:dyDescent="0.35">
      <c r="A3505" s="14" t="s">
        <v>2037</v>
      </c>
      <c r="B3505" s="14" t="s">
        <v>408</v>
      </c>
      <c r="C3505" s="14"/>
      <c r="D3505" s="14" t="s">
        <v>409</v>
      </c>
      <c r="E3505" s="15">
        <v>41640</v>
      </c>
      <c r="F3505" s="15">
        <v>42004</v>
      </c>
      <c r="G3505" s="14" t="s">
        <v>410</v>
      </c>
      <c r="H3505" s="14">
        <v>1</v>
      </c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Space Types</vt:lpstr>
      <vt:lpstr>ExportToCSV</vt:lpstr>
      <vt:lpstr>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Lovejoy</dc:creator>
  <cp:lastModifiedBy>Mike Lovejoy</cp:lastModifiedBy>
  <dcterms:created xsi:type="dcterms:W3CDTF">2025-11-10T14:19:55Z</dcterms:created>
  <dcterms:modified xsi:type="dcterms:W3CDTF">2026-07-13T18:35:52Z</dcterms:modified>
</cp:coreProperties>
</file>